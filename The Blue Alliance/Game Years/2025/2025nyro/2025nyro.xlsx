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MatchScoutingData" sheetId="1" state="visible" r:id="rId1"/>
    <sheet name="Event" sheetId="2" state="visible" r:id="rId2"/>
    <sheet name="Teams" sheetId="3" state="visible" r:id="rId3"/>
    <sheet name="Matches" sheetId="4" state="visible" r:id="rId4"/>
    <sheet name="Team Scores" sheetId="5" state="visible" r:id="rId5"/>
    <sheet name="Team Summary" sheetId="6" state="visible" r:id="rId6"/>
    <sheet name="PB Scouter Summary" sheetId="7" state="visible" r:id="rId7"/>
    <sheet name="PB Team Summary" sheetId="8" state="visible" r:id="rId8"/>
  </sheets>
  <definedNames>
    <definedName name="_xlnm._FilterDatabase" localSheetId="0" hidden="1">'MatchScoutingData'!$A$1:$AE$1</definedName>
    <definedName name="_xlnm._FilterDatabase" localSheetId="2" hidden="1">'Teams'!$A$1:$E$1</definedName>
    <definedName name="_xlnm._FilterDatabase" localSheetId="3" hidden="1">'Matches'!$A$1:$H$1</definedName>
    <definedName name="_xlnm._FilterDatabase" localSheetId="4" hidden="1">'Team Scores'!$A$3:$AR$3</definedName>
    <definedName name="_xlnm._FilterDatabase" localSheetId="5" hidden="1">'Team Summary'!$A$3:$U$3</definedName>
    <definedName name="_xlnm._FilterDatabase" localSheetId="6" hidden="1">'PB Scouter Summary'!$A$1:$B$101</definedName>
    <definedName name="_xlnm._FilterDatabase" localSheetId="7" hidden="1">'PB Team Summary'!$A$1:$G$1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#,##0;[Red]#,##0;&quot;-&quot;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 (Body)"/>
      <sz val="11"/>
    </font>
    <font>
      <color rgb="00000000"/>
      <sz val="12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rgb="FF229954"/>
        <bgColor rgb="FF229954"/>
      </patternFill>
    </fill>
    <fill>
      <patternFill patternType="solid">
        <fgColor theme="1" tint="0.3499862666707358"/>
        <bgColor rgb="FFD68910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00595959"/>
        <bgColor rgb="00595959"/>
      </patternFill>
    </fill>
    <fill>
      <patternFill patternType="solid">
        <fgColor rgb="002471a3"/>
        <bgColor rgb="002471a3"/>
      </patternFill>
    </fill>
    <fill>
      <patternFill patternType="solid">
        <fgColor rgb="00cb4335"/>
        <bgColor rgb="00cb4335"/>
      </patternFill>
    </fill>
    <fill>
      <patternFill patternType="solid">
        <fgColor rgb="00D68910"/>
        <bgColor rgb="00D68910"/>
      </patternFill>
    </fill>
    <fill>
      <patternFill patternType="solid">
        <fgColor rgb="00229954"/>
        <bgColor rgb="0022995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textRotation="90"/>
    </xf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textRotation="90"/>
    </xf>
    <xf numFmtId="0" fontId="3" fillId="3" borderId="10" applyAlignment="1" pivotButton="0" quotePrefix="0" xfId="0">
      <alignment horizontal="left" textRotation="90"/>
    </xf>
    <xf numFmtId="0" fontId="3" fillId="3" borderId="8" applyAlignment="1" pivotButton="0" quotePrefix="0" xfId="0">
      <alignment horizontal="left" textRotation="90"/>
    </xf>
    <xf numFmtId="0" fontId="3" fillId="5" borderId="1" applyAlignment="1" pivotButton="0" quotePrefix="0" xfId="0">
      <alignment horizontal="left" textRotation="90"/>
    </xf>
    <xf numFmtId="0" fontId="3" fillId="6" borderId="1" applyAlignment="1" pivotButton="0" quotePrefix="0" xfId="0">
      <alignment horizontal="left" textRotation="90"/>
    </xf>
    <xf numFmtId="0" fontId="3" fillId="7" borderId="1" applyAlignment="1" pivotButton="0" quotePrefix="0" xfId="0">
      <alignment horizontal="left" textRotation="90"/>
    </xf>
    <xf numFmtId="0" fontId="1" fillId="4" borderId="1" applyAlignment="1" pivotButton="0" quotePrefix="0" xfId="0">
      <alignment horizontal="left" textRotation="90"/>
    </xf>
    <xf numFmtId="0" fontId="1" fillId="4" borderId="8" applyAlignment="1" pivotButton="0" quotePrefix="0" xfId="0">
      <alignment horizontal="left" textRotation="90"/>
    </xf>
    <xf numFmtId="0" fontId="1" fillId="6" borderId="1" applyAlignment="1" pivotButton="0" quotePrefix="0" xfId="0">
      <alignment horizontal="left" textRotation="90"/>
    </xf>
    <xf numFmtId="0" fontId="1" fillId="3" borderId="0" applyAlignment="1" pivotButton="0" quotePrefix="0" xfId="0">
      <alignment horizontal="left" textRotation="90"/>
    </xf>
    <xf numFmtId="0" fontId="1" fillId="4" borderId="9" applyAlignment="1" pivotButton="0" quotePrefix="0" xfId="0">
      <alignment horizontal="left" textRotation="90"/>
    </xf>
    <xf numFmtId="0" fontId="1" fillId="5" borderId="9" applyAlignment="1" pivotButton="0" quotePrefix="0" xfId="0">
      <alignment horizontal="left" textRotation="90"/>
    </xf>
    <xf numFmtId="0" fontId="1" fillId="6" borderId="9" applyAlignment="1" pivotButton="0" quotePrefix="0" xfId="0">
      <alignment horizontal="left" textRotation="90"/>
    </xf>
    <xf numFmtId="0" fontId="1" fillId="7" borderId="9" applyAlignment="1" pivotButton="0" quotePrefix="0" xfId="0">
      <alignment horizontal="left" textRotation="90"/>
    </xf>
    <xf numFmtId="0" fontId="1" fillId="5" borderId="1" applyAlignment="1" pivotButton="0" quotePrefix="0" xfId="0">
      <alignment horizontal="left" textRotation="90"/>
    </xf>
    <xf numFmtId="0" fontId="1" fillId="7" borderId="1" applyAlignment="1" pivotButton="0" quotePrefix="0" xfId="0">
      <alignment horizontal="left" textRotation="90"/>
    </xf>
    <xf numFmtId="0" fontId="1" fillId="5" borderId="8" applyAlignment="1" pivotButton="0" quotePrefix="0" xfId="0">
      <alignment horizontal="left" textRotation="90"/>
    </xf>
    <xf numFmtId="0" fontId="1" fillId="6" borderId="8" applyAlignment="1" pivotButton="0" quotePrefix="0" xfId="0">
      <alignment horizontal="left" textRotation="90"/>
    </xf>
    <xf numFmtId="0" fontId="1" fillId="7" borderId="8" applyAlignment="1" pivotButton="0" quotePrefix="0" xfId="0">
      <alignment horizontal="left" textRotation="90"/>
    </xf>
    <xf numFmtId="0" fontId="5" fillId="0" borderId="0" pivotButton="0" quotePrefix="0" xfId="0"/>
    <xf numFmtId="164" fontId="0" fillId="0" borderId="0" pivotButton="0" quotePrefix="0" xfId="0"/>
    <xf numFmtId="0" fontId="0" fillId="9" borderId="9" pivotButton="0" quotePrefix="0" xfId="0"/>
    <xf numFmtId="0" fontId="1" fillId="3" borderId="8" applyAlignment="1" pivotButton="0" quotePrefix="0" xfId="0">
      <alignment horizontal="left" textRotation="90"/>
    </xf>
    <xf numFmtId="0" fontId="1" fillId="0" borderId="0" applyAlignment="1" pivotButton="0" quotePrefix="0" xfId="0">
      <alignment horizontal="left" textRotation="90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8" borderId="1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0" fontId="3" fillId="7" borderId="11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/>
    </xf>
    <xf numFmtId="0" fontId="1" fillId="6" borderId="3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3" fillId="6" borderId="4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3" pivotButton="0" quotePrefix="0" xfId="0"/>
    <xf numFmtId="0" fontId="1" fillId="3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1" fillId="7" borderId="4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4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1" fillId="3" borderId="1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6" fillId="0" borderId="0" pivotButton="0" quotePrefix="0" xfId="0"/>
    <xf numFmtId="0" fontId="7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10" borderId="0" pivotButton="0" quotePrefix="0" xfId="0"/>
    <xf numFmtId="165" fontId="6" fillId="0" borderId="0" pivotButton="0" quotePrefix="0" xfId="0"/>
    <xf numFmtId="165" fontId="7" fillId="11" borderId="0" pivotButton="0" quotePrefix="0" xfId="0"/>
    <xf numFmtId="165" fontId="7" fillId="12" borderId="0" pivotButton="0" quotePrefix="0" xfId="0"/>
    <xf numFmtId="165" fontId="7" fillId="13" borderId="0" pivotButton="0" quotePrefix="0" xfId="0"/>
    <xf numFmtId="165" fontId="7" fillId="14" borderId="0" pivotButton="0" quotePrefix="0" xfId="0"/>
    <xf numFmtId="166" fontId="6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  <dxf>
      <fill>
        <patternFill patternType="solid">
          <fgColor rgb="00C8D6A1"/>
          <bgColor rgb="00C8D6A1"/>
        </patternFill>
      </fill>
    </dxf>
    <dxf>
      <fill>
        <patternFill patternType="solid">
          <fgColor rgb="00D09996"/>
          <bgColor rgb="00D0999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8"/>
  <sheetViews>
    <sheetView tabSelected="1" zoomScale="150" zoomScaleNormal="150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/>
  <sheetData>
    <row r="1" ht="125" customHeight="1">
      <c r="A1" s="1" t="inlineStr">
        <is>
          <t>Key</t>
        </is>
      </c>
      <c r="B1" s="1" t="inlineStr">
        <is>
          <t>Scouter</t>
        </is>
      </c>
      <c r="C1" s="1" t="inlineStr">
        <is>
          <t>Event</t>
        </is>
      </c>
      <c r="D1" s="1" t="inlineStr">
        <is>
          <t>Match</t>
        </is>
      </c>
      <c r="E1" s="1" t="inlineStr">
        <is>
          <t>Alliance</t>
        </is>
      </c>
      <c r="F1" s="1" t="inlineStr">
        <is>
          <t>Team</t>
        </is>
      </c>
      <c r="G1" s="1" t="inlineStr">
        <is>
          <t>Started With Coral</t>
        </is>
      </c>
      <c r="H1" s="1" t="inlineStr">
        <is>
          <t>Left Starting Zone</t>
        </is>
      </c>
      <c r="I1" s="1" t="inlineStr">
        <is>
          <t>Auto Coral L4</t>
        </is>
      </c>
      <c r="J1" s="1" t="inlineStr">
        <is>
          <t>Auto Coral L3</t>
        </is>
      </c>
      <c r="K1" s="1" t="inlineStr">
        <is>
          <t>Auto Coral L2</t>
        </is>
      </c>
      <c r="L1" s="1" t="inlineStr">
        <is>
          <t>Auto Coral L1</t>
        </is>
      </c>
      <c r="M1" s="1" t="inlineStr">
        <is>
          <t>Auto Algae Processor</t>
        </is>
      </c>
      <c r="N1" s="1" t="inlineStr">
        <is>
          <t>Auto Algae Net</t>
        </is>
      </c>
      <c r="O1" s="1" t="inlineStr">
        <is>
          <t>Dropped</t>
        </is>
      </c>
      <c r="P1" s="1" t="inlineStr">
        <is>
          <t>Tele Coral L4</t>
        </is>
      </c>
      <c r="Q1" s="1" t="inlineStr">
        <is>
          <t>Tele Coral L3</t>
        </is>
      </c>
      <c r="R1" s="1" t="inlineStr">
        <is>
          <t>Tele Coral L2</t>
        </is>
      </c>
      <c r="S1" s="1" t="inlineStr">
        <is>
          <t>Tele Coral L1</t>
        </is>
      </c>
      <c r="T1" s="1" t="inlineStr">
        <is>
          <t>Tele Algae Processor</t>
        </is>
      </c>
      <c r="U1" s="1" t="inlineStr">
        <is>
          <t>Tele Algae Net</t>
        </is>
      </c>
      <c r="V1" s="1" t="inlineStr">
        <is>
          <t>Tele Dropped Piecs</t>
        </is>
      </c>
      <c r="W1" s="1" t="inlineStr">
        <is>
          <t>Tele Pickup Coral From</t>
        </is>
      </c>
      <c r="X1" s="1" t="inlineStr">
        <is>
          <t>Endgame Final Status</t>
        </is>
      </c>
      <c r="Y1" s="1" t="inlineStr">
        <is>
          <t>Post Win or Lose</t>
        </is>
      </c>
      <c r="Z1" s="1" t="inlineStr">
        <is>
          <t>Post Auto Ranking</t>
        </is>
      </c>
      <c r="AA1" s="1" t="inlineStr">
        <is>
          <t>Post Coral Ranking</t>
        </is>
      </c>
      <c r="AB1" s="1" t="inlineStr">
        <is>
          <t>Post Barge Ranking</t>
        </is>
      </c>
      <c r="AC1" s="1" t="inlineStr">
        <is>
          <t>Immobilized</t>
        </is>
      </c>
      <c r="AD1" s="1" t="inlineStr">
        <is>
          <t>Make Good Partner</t>
        </is>
      </c>
      <c r="AE1" s="1" t="inlineStr">
        <is>
          <t>Comments</t>
        </is>
      </c>
    </row>
    <row r="2" ht="16" customHeight="1">
      <c r="A2" s="2" t="inlineStr">
        <is>
          <t>1.Red-1</t>
        </is>
      </c>
      <c r="B2" s="3" t="inlineStr">
        <is>
          <t>Abyss Mortimer</t>
        </is>
      </c>
      <c r="C2" s="3" t="inlineStr">
        <is>
          <t>2025nyrt</t>
        </is>
      </c>
      <c r="D2" s="3" t="n">
        <v>1</v>
      </c>
      <c r="E2" s="3" t="inlineStr">
        <is>
          <t>Red-1</t>
        </is>
      </c>
      <c r="F2" s="3" t="n">
        <v>639</v>
      </c>
      <c r="G2" s="3" t="n">
        <v>1</v>
      </c>
      <c r="H2" s="3" t="n">
        <v>1</v>
      </c>
      <c r="I2" s="3" t="n">
        <v>1</v>
      </c>
      <c r="J2" s="3" t="n">
        <v>2</v>
      </c>
      <c r="K2" s="3" t="n">
        <v>3</v>
      </c>
      <c r="L2" s="3" t="n">
        <v>4</v>
      </c>
      <c r="M2" s="3" t="n">
        <v>5</v>
      </c>
      <c r="N2" s="3" t="n">
        <v>6</v>
      </c>
      <c r="O2" s="3" t="n">
        <v>7</v>
      </c>
      <c r="P2" s="3" t="n">
        <v>8</v>
      </c>
      <c r="Q2" s="3" t="n">
        <v>9</v>
      </c>
      <c r="R2" s="3" t="n">
        <v>10</v>
      </c>
      <c r="S2" s="3" t="n">
        <v>11</v>
      </c>
      <c r="T2" s="3" t="n">
        <v>12</v>
      </c>
      <c r="U2" s="3" t="n">
        <v>13</v>
      </c>
      <c r="V2" s="3" t="n">
        <v>14</v>
      </c>
      <c r="W2" s="3" t="inlineStr">
        <is>
          <t>b</t>
        </is>
      </c>
      <c r="X2" s="3" t="inlineStr">
        <is>
          <t>d</t>
        </is>
      </c>
      <c r="Y2" s="3" t="inlineStr">
        <is>
          <t>w</t>
        </is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1</v>
      </c>
      <c r="AE2" s="3" t="inlineStr">
        <is>
          <t>XXX</t>
        </is>
      </c>
    </row>
    <row r="3" ht="16" customHeight="1">
      <c r="A3" s="2" t="inlineStr">
        <is>
          <t>2.Red-1</t>
        </is>
      </c>
      <c r="B3" s="3" t="inlineStr">
        <is>
          <t>Abyss Mortimer</t>
        </is>
      </c>
      <c r="C3" s="3" t="inlineStr">
        <is>
          <t>2025nyrt</t>
        </is>
      </c>
      <c r="D3" s="3" t="n">
        <v>2</v>
      </c>
      <c r="E3" s="3" t="inlineStr">
        <is>
          <t>Red-1</t>
        </is>
      </c>
      <c r="F3" s="3" t="n">
        <v>639</v>
      </c>
      <c r="G3" s="3" t="n">
        <v>1</v>
      </c>
      <c r="H3" s="3" t="n">
        <v>1</v>
      </c>
      <c r="I3" s="3" t="n">
        <v>1</v>
      </c>
      <c r="J3" s="3" t="n">
        <v>2</v>
      </c>
      <c r="K3" s="3" t="n">
        <v>3</v>
      </c>
      <c r="L3" s="3" t="n">
        <v>4</v>
      </c>
      <c r="M3" s="3" t="n">
        <v>5</v>
      </c>
      <c r="N3" s="3" t="n">
        <v>6</v>
      </c>
      <c r="O3" s="3" t="n">
        <v>7</v>
      </c>
      <c r="P3" s="3" t="n">
        <v>8</v>
      </c>
      <c r="Q3" s="3" t="n">
        <v>9</v>
      </c>
      <c r="R3" s="3" t="n">
        <v>10</v>
      </c>
      <c r="S3" s="3" t="n">
        <v>11</v>
      </c>
      <c r="T3" s="3" t="n">
        <v>12</v>
      </c>
      <c r="U3" s="3" t="n">
        <v>13</v>
      </c>
      <c r="V3" s="3" t="n">
        <v>14</v>
      </c>
      <c r="W3" s="3" t="inlineStr">
        <is>
          <t>b</t>
        </is>
      </c>
      <c r="X3" s="3" t="inlineStr">
        <is>
          <t>d</t>
        </is>
      </c>
      <c r="Y3" s="3" t="inlineStr">
        <is>
          <t>w</t>
        </is>
      </c>
      <c r="Z3" s="3" t="n">
        <v>1</v>
      </c>
      <c r="AA3" s="3" t="n">
        <v>0</v>
      </c>
      <c r="AB3" s="3" t="n">
        <v>1</v>
      </c>
      <c r="AC3" s="3" t="n">
        <v>0</v>
      </c>
      <c r="AD3" s="3" t="n">
        <v>1</v>
      </c>
      <c r="AE3" s="3" t="inlineStr">
        <is>
          <t>XXX</t>
        </is>
      </c>
    </row>
    <row r="4" ht="16" customHeight="1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6" customHeight="1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16" customHeight="1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 ht="16" customHeight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16" customHeight="1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16" customHeight="1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16" customHeight="1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0" t="n"/>
      <c r="Y10" s="30" t="n"/>
      <c r="Z10" s="30" t="n"/>
      <c r="AA10" s="30" t="n"/>
      <c r="AB10" s="30" t="n"/>
      <c r="AC10" s="30" t="n"/>
      <c r="AD10" s="30" t="n"/>
      <c r="AE10" s="30" t="n"/>
    </row>
    <row r="11" ht="16" customHeight="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16" customHeight="1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 ht="16" customHeight="1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 ht="16" customHeight="1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 ht="16" customHeight="1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 ht="16" customHeight="1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 ht="16" customHeight="1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 ht="16" customHeight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 ht="16" customHeight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 ht="16" customHeight="1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 ht="16" customHeight="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 ht="16" customHeight="1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 ht="16" customHeight="1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 ht="16" customHeight="1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 ht="16" customHeight="1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 ht="16" customHeight="1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 ht="16" customHeight="1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 ht="16" customHeight="1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 ht="16" customHeight="1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 ht="16" customHeight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 ht="16" customHeight="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 ht="16" customHeight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 ht="16" customHeight="1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 ht="16" customHeight="1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 ht="16" customHeight="1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 ht="16" customHeight="1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 ht="16" customHeight="1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 ht="16" customHeight="1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 ht="16" customHeight="1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 ht="16" customHeight="1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 ht="16" customHeight="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 ht="16" customHeight="1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 ht="16" customHeight="1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 ht="16" customHeight="1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 ht="16" customHeight="1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 ht="16" customHeight="1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 ht="16" customHeight="1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  <row r="48" ht="16" customHeight="1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</row>
    <row r="49" ht="16" customHeight="1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</row>
    <row r="50" ht="16" customHeight="1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</row>
    <row r="51" ht="16" customHeight="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</row>
    <row r="52" ht="16" customHeight="1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</row>
    <row r="53" ht="16" customHeight="1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</row>
    <row r="54" ht="16" customHeight="1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</row>
    <row r="55" ht="16" customHeight="1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</row>
    <row r="56" ht="16" customHeight="1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</row>
    <row r="57" ht="16" customHeight="1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</row>
    <row r="58" ht="16" customHeight="1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</row>
    <row r="59" ht="16" customHeight="1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</row>
    <row r="60" ht="16" customHeight="1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</row>
    <row r="61" ht="16" customHeight="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</row>
    <row r="62" ht="16" customHeight="1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</row>
    <row r="63" ht="16" customHeight="1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</row>
    <row r="64" ht="16" customHeight="1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</row>
    <row r="65" ht="16" customHeight="1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</row>
    <row r="66" ht="16" customHeight="1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</row>
    <row r="67" ht="16" customHeight="1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</row>
    <row r="68" ht="16" customHeight="1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</row>
    <row r="69" ht="16" customHeight="1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</row>
    <row r="70" ht="16" customHeight="1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</row>
    <row r="71" ht="16" customHeight="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</row>
    <row r="72" ht="16" customHeight="1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</row>
    <row r="73" ht="16" customHeight="1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</row>
    <row r="74" ht="16" customHeight="1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</row>
    <row r="75" ht="16" customHeight="1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</row>
    <row r="76" ht="16" customHeight="1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</row>
    <row r="77" ht="16" customHeight="1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</row>
    <row r="78" ht="16" customHeight="1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</row>
    <row r="79" ht="16" customHeight="1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</row>
    <row r="80" ht="16" customHeight="1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</row>
    <row r="81" ht="16" customHeight="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</row>
    <row r="82" ht="16" customHeight="1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</row>
    <row r="83" ht="16" customHeight="1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</row>
    <row r="84" ht="16" customHeight="1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</row>
    <row r="85" ht="16" customHeight="1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</row>
    <row r="86" ht="16" customHeight="1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</row>
    <row r="87" ht="16" customHeight="1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</row>
    <row r="88" ht="16" customHeight="1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</row>
    <row r="89" ht="16" customHeight="1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</row>
    <row r="90" ht="16" customHeight="1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</row>
    <row r="91" ht="16" customHeight="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</row>
    <row r="92" ht="16" customHeight="1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</row>
    <row r="93" ht="16" customHeight="1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</row>
    <row r="94" ht="16" customHeight="1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</row>
    <row r="95" ht="16" customHeight="1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</row>
    <row r="96" ht="16" customHeight="1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</row>
    <row r="97" ht="16" customHeight="1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</row>
    <row r="98" ht="16" customHeight="1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</row>
    <row r="99" ht="16" customHeight="1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</row>
    <row r="100" ht="16" customHeight="1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</row>
    <row r="101" ht="16" customHeight="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</row>
    <row r="102" ht="16" customHeight="1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</row>
    <row r="103" ht="16" customHeight="1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</row>
    <row r="104" ht="16" customHeight="1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</row>
    <row r="105" ht="16" customHeight="1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</row>
    <row r="106" ht="16" customHeight="1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</row>
    <row r="107" ht="16" customHeight="1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</row>
    <row r="108" ht="16" customHeight="1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</row>
    <row r="109" ht="16" customHeight="1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</row>
    <row r="110" ht="16" customHeight="1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</row>
    <row r="111" ht="16" customHeight="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</row>
    <row r="112" ht="16" customHeight="1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</row>
    <row r="113" ht="16" customHeight="1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</row>
    <row r="114" ht="16" customHeight="1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</row>
    <row r="115" ht="16" customHeight="1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</row>
    <row r="116" ht="16" customHeight="1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</row>
    <row r="117" ht="16" customHeight="1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</row>
    <row r="118" ht="16" customHeight="1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</row>
    <row r="119" ht="16" customHeight="1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</row>
    <row r="120" ht="16" customHeight="1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</row>
    <row r="121" ht="16" customHeight="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</row>
    <row r="122" ht="16" customHeight="1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</row>
    <row r="123" ht="16" customHeight="1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</row>
    <row r="124" ht="16" customHeight="1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</row>
    <row r="125" ht="16" customHeight="1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</row>
    <row r="126" ht="16" customHeight="1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</row>
    <row r="127" ht="16" customHeight="1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</row>
    <row r="128" ht="16" customHeight="1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</row>
    <row r="129" ht="16" customHeight="1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</row>
    <row r="130" ht="16" customHeight="1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</row>
    <row r="131" ht="16" customHeight="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</row>
    <row r="132" ht="16" customHeight="1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</row>
    <row r="133" ht="16" customHeight="1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</row>
    <row r="134" ht="16" customHeight="1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</row>
    <row r="135" ht="16" customHeight="1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</row>
    <row r="136" ht="16" customHeight="1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</row>
    <row r="137" ht="16" customHeight="1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</row>
    <row r="138" ht="16" customHeight="1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</row>
    <row r="139" ht="16" customHeight="1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</row>
    <row r="140" ht="16" customHeight="1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</row>
    <row r="141" ht="16" customHeight="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</row>
    <row r="142" ht="16" customHeight="1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</row>
    <row r="143" ht="16" customHeight="1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</row>
    <row r="144" ht="16" customHeight="1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</row>
    <row r="145" ht="16" customHeight="1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</row>
    <row r="146" ht="16" customHeight="1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</row>
    <row r="147" ht="16" customHeight="1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</row>
    <row r="148" ht="16" customHeight="1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</row>
    <row r="149" ht="16" customHeight="1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</row>
    <row r="150" ht="16" customHeight="1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</row>
    <row r="151" ht="16" customHeight="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</row>
    <row r="152" ht="16" customHeight="1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</row>
    <row r="153" ht="16" customHeight="1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</row>
    <row r="154" ht="16" customHeight="1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</row>
    <row r="155" ht="16" customHeight="1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</row>
    <row r="156" ht="16" customHeight="1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</row>
    <row r="157" ht="16" customHeight="1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</row>
    <row r="158" ht="16" customHeight="1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</row>
    <row r="159" ht="16" customHeight="1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</row>
    <row r="160" ht="16" customHeight="1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</row>
    <row r="161" ht="16" customHeight="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</row>
    <row r="162" ht="16" customHeight="1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</row>
    <row r="163" ht="16" customHeight="1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</row>
    <row r="164" ht="16" customHeight="1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</row>
    <row r="165" ht="16" customHeight="1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</row>
    <row r="166" ht="16" customHeight="1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</row>
    <row r="167" ht="16" customHeight="1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</row>
    <row r="168" ht="16" customHeight="1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</row>
    <row r="169" ht="16" customHeight="1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</row>
    <row r="170" ht="16" customHeight="1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</row>
    <row r="171" ht="16" customHeight="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</row>
    <row r="172" ht="16" customHeight="1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</row>
    <row r="173" ht="16" customHeight="1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</row>
    <row r="174" ht="16" customHeight="1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</row>
    <row r="175" ht="16" customHeight="1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</row>
    <row r="176" ht="16" customHeight="1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</row>
    <row r="177" ht="16" customHeight="1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</row>
    <row r="178" ht="16" customHeight="1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</row>
    <row r="179" ht="16" customHeight="1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</row>
    <row r="180" ht="16" customHeight="1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</row>
    <row r="181" ht="16" customHeight="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</row>
    <row r="182" ht="16" customHeight="1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</row>
    <row r="183" ht="16" customHeight="1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</row>
    <row r="184" ht="16" customHeight="1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</row>
    <row r="185" ht="16" customHeight="1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</row>
    <row r="186" ht="16" customHeight="1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</row>
    <row r="187" ht="16" customHeight="1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</row>
    <row r="188" ht="16" customHeight="1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</row>
    <row r="189" ht="16" customHeight="1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</row>
    <row r="190" ht="16" customHeight="1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</row>
    <row r="191" ht="16" customHeight="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</row>
    <row r="192" ht="16" customHeight="1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</row>
    <row r="193" ht="16" customHeight="1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</row>
    <row r="194" ht="16" customHeight="1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</row>
    <row r="195" ht="16" customHeight="1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</row>
    <row r="196" ht="16" customHeight="1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</row>
    <row r="197" ht="16" customHeight="1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</row>
    <row r="198" ht="16" customHeight="1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</row>
    <row r="199" ht="16" customHeight="1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</row>
    <row r="200" ht="16" customHeight="1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</row>
    <row r="201" ht="16" customHeight="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</row>
    <row r="202" ht="16" customHeight="1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</row>
    <row r="203" ht="16" customHeight="1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</row>
    <row r="204" ht="16" customHeight="1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</row>
    <row r="205" ht="16" customHeight="1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</row>
    <row r="206" ht="16" customHeight="1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</row>
    <row r="207" ht="16" customHeight="1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</row>
    <row r="208" ht="16" customHeight="1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</row>
    <row r="209" ht="16" customHeight="1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</row>
    <row r="210" ht="16" customHeight="1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</row>
    <row r="211" ht="16" customHeight="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</row>
    <row r="212" ht="16" customHeight="1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</row>
    <row r="213" ht="16" customHeight="1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</row>
    <row r="214" ht="16" customHeight="1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</row>
    <row r="215" ht="16" customHeight="1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</row>
    <row r="216" ht="16" customHeight="1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</row>
    <row r="217" ht="16" customHeight="1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</row>
    <row r="218" ht="16" customHeight="1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</row>
    <row r="219" ht="16" customHeight="1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</row>
    <row r="220" ht="16" customHeight="1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</row>
    <row r="221" ht="16" customHeight="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</row>
    <row r="222" ht="16" customHeight="1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</row>
    <row r="223" ht="16" customHeight="1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</row>
    <row r="224" ht="16" customHeight="1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</row>
    <row r="225" ht="16" customHeight="1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</row>
    <row r="226" ht="16" customHeight="1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</row>
    <row r="227" ht="16" customHeight="1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</row>
    <row r="228" ht="16" customHeight="1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</row>
    <row r="229" ht="16" customHeight="1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</row>
    <row r="230" ht="16" customHeight="1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</row>
    <row r="231" ht="16" customHeight="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</row>
    <row r="232" ht="16" customHeight="1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</row>
    <row r="233" ht="16" customHeight="1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</row>
    <row r="234" ht="16" customHeight="1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</row>
    <row r="235" ht="16" customHeight="1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</row>
    <row r="236" ht="16" customHeight="1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</row>
    <row r="237" ht="16" customHeight="1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</row>
    <row r="238" ht="16" customHeight="1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</row>
    <row r="239" ht="16" customHeight="1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</row>
    <row r="240" ht="16" customHeight="1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</row>
    <row r="241" ht="16" customHeight="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</row>
    <row r="242" ht="16" customHeight="1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</row>
    <row r="243" ht="16" customHeight="1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</row>
    <row r="244" ht="16" customHeight="1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</row>
    <row r="245" ht="16" customHeight="1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</row>
    <row r="246" ht="16" customHeight="1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</row>
    <row r="247" ht="16" customHeight="1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</row>
    <row r="248" ht="16" customHeight="1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</row>
    <row r="249" ht="16" customHeight="1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</row>
    <row r="250" ht="16" customHeight="1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</row>
    <row r="251" ht="16" customHeight="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</row>
    <row r="252" ht="16" customHeight="1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</row>
    <row r="253" ht="16" customHeight="1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</row>
    <row r="254" ht="16" customHeight="1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</row>
    <row r="255" ht="16" customHeight="1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</row>
    <row r="256" ht="16" customHeight="1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</row>
    <row r="257" ht="16" customHeight="1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</row>
    <row r="258" ht="16" customHeight="1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</row>
    <row r="259" ht="16" customHeight="1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</row>
    <row r="260" ht="16" customHeight="1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</row>
    <row r="261" ht="16" customHeight="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</row>
    <row r="262" ht="16" customHeight="1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</row>
    <row r="263" ht="16" customHeight="1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</row>
    <row r="264" ht="16" customHeight="1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</row>
    <row r="265" ht="16" customHeight="1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</row>
    <row r="266" ht="16" customHeight="1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</row>
    <row r="267" ht="16" customHeight="1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</row>
    <row r="268" ht="16" customHeight="1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</row>
    <row r="269" ht="16" customHeight="1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</row>
    <row r="270" ht="16" customHeight="1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</row>
    <row r="271" ht="16" customHeight="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</row>
    <row r="272" ht="16" customHeight="1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</row>
    <row r="273" ht="16" customHeight="1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</row>
    <row r="274" ht="16" customHeight="1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</row>
    <row r="275" ht="16" customHeight="1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</row>
    <row r="276" ht="16" customHeight="1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</row>
    <row r="277" ht="16" customHeight="1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</row>
    <row r="278" ht="16" customHeight="1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</row>
    <row r="279" ht="16" customHeight="1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</row>
    <row r="280" ht="16" customHeight="1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</row>
    <row r="281" ht="16" customHeight="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</row>
    <row r="282" ht="16" customHeight="1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</row>
    <row r="283" ht="16" customHeight="1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</row>
    <row r="284" ht="16" customHeight="1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</row>
    <row r="285" ht="16" customHeight="1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</row>
    <row r="286" ht="16" customHeight="1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</row>
    <row r="287" ht="16" customHeight="1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</row>
    <row r="288" ht="16" customHeight="1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</row>
    <row r="289" ht="16" customHeight="1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</row>
    <row r="290" ht="16" customHeight="1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</row>
    <row r="291" ht="16" customHeight="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</row>
    <row r="292" ht="16" customHeight="1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</row>
    <row r="293" ht="16" customHeight="1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</row>
    <row r="294" ht="16" customHeight="1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</row>
    <row r="295" ht="16" customHeight="1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</row>
    <row r="296" ht="16" customHeight="1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</row>
    <row r="297" ht="16" customHeight="1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</row>
    <row r="298" ht="16" customHeight="1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</row>
    <row r="299" ht="16" customHeight="1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</row>
    <row r="300" ht="16" customHeight="1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</row>
    <row r="301" ht="16" customHeight="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</row>
    <row r="302" ht="16" customHeight="1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</row>
    <row r="303" ht="16" customHeight="1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</row>
    <row r="304" ht="16" customHeight="1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</row>
    <row r="305" ht="16" customHeight="1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</row>
    <row r="306" ht="16" customHeight="1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</row>
    <row r="307" ht="16" customHeight="1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</row>
    <row r="308" ht="16" customHeight="1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</row>
    <row r="309" ht="16" customHeight="1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</row>
    <row r="310" ht="16" customHeight="1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</row>
    <row r="311" ht="16" customHeight="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</row>
    <row r="312" ht="16" customHeight="1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</row>
    <row r="313" ht="16" customHeight="1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</row>
    <row r="314" ht="16" customHeight="1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</row>
    <row r="315" ht="16" customHeight="1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</row>
    <row r="316" ht="16" customHeight="1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</row>
    <row r="317" ht="16" customHeight="1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</row>
    <row r="318" ht="16" customHeight="1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</row>
    <row r="319" ht="16" customHeight="1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</row>
    <row r="320" ht="16" customHeight="1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</row>
    <row r="321" ht="16" customHeight="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</row>
    <row r="322" ht="16" customHeight="1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</row>
    <row r="323" ht="16" customHeight="1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</row>
    <row r="324" ht="16" customHeight="1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</row>
    <row r="325" ht="16" customHeight="1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</row>
    <row r="326" ht="16" customHeight="1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</row>
    <row r="327" ht="16" customHeight="1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</row>
    <row r="328" ht="16" customHeight="1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</row>
    <row r="329" ht="16" customHeight="1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</row>
    <row r="330" ht="16" customHeight="1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</row>
    <row r="331" ht="16" customHeight="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</row>
    <row r="332" ht="16" customHeight="1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</row>
    <row r="333" ht="16" customHeight="1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</row>
    <row r="334" ht="16" customHeight="1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</row>
    <row r="335" ht="16" customHeight="1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</row>
    <row r="336" ht="16" customHeight="1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</row>
    <row r="337" ht="16" customHeight="1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</row>
    <row r="338" ht="16" customHeight="1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</row>
    <row r="339" ht="16" customHeight="1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</row>
    <row r="340" ht="16" customHeight="1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</row>
    <row r="341" ht="16" customHeight="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</row>
    <row r="342" ht="16" customHeight="1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</row>
    <row r="343" ht="16" customHeight="1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</row>
    <row r="344" ht="16" customHeight="1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</row>
    <row r="345" ht="16" customHeight="1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</row>
    <row r="346" ht="16" customHeight="1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</row>
    <row r="347" ht="16" customHeight="1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</row>
    <row r="348" ht="16" customHeight="1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</row>
    <row r="349" ht="16" customHeight="1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</row>
    <row r="350" ht="16" customHeight="1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</row>
    <row r="351" ht="16" customHeight="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</row>
    <row r="352" ht="16" customHeight="1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</row>
    <row r="353" ht="16" customHeight="1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</row>
    <row r="354" ht="16" customHeight="1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</row>
    <row r="355" ht="16" customHeight="1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</row>
    <row r="356" ht="16" customHeight="1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</row>
    <row r="357" ht="16" customHeight="1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</row>
    <row r="358" ht="16" customHeight="1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</row>
    <row r="359" ht="16" customHeight="1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</row>
    <row r="360" ht="16" customHeight="1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</row>
    <row r="361" ht="16" customHeight="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</row>
    <row r="362" ht="16" customHeight="1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</row>
    <row r="363" ht="16" customHeight="1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</row>
    <row r="364" ht="16" customHeight="1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</row>
    <row r="365" ht="16" customHeight="1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</row>
    <row r="366" ht="16" customHeight="1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</row>
    <row r="367" ht="16" customHeight="1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</row>
    <row r="368" ht="16" customHeight="1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</row>
    <row r="369" ht="16" customHeight="1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</row>
    <row r="370" ht="16" customHeight="1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</row>
    <row r="371" ht="16" customHeight="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</row>
    <row r="372" ht="16" customHeight="1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</row>
    <row r="373" ht="16" customHeight="1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</row>
    <row r="374" ht="16" customHeight="1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</row>
    <row r="375" ht="16" customHeight="1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</row>
    <row r="376" ht="16" customHeight="1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</row>
    <row r="377" ht="16" customHeight="1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</row>
    <row r="378" ht="16" customHeight="1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</row>
    <row r="379" ht="16" customHeight="1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</row>
    <row r="380" ht="16" customHeight="1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</row>
    <row r="381" ht="16" customHeight="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</row>
    <row r="382" ht="16" customHeight="1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</row>
    <row r="383" ht="16" customHeight="1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</row>
    <row r="384" ht="16" customHeight="1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</row>
    <row r="385" ht="16" customHeight="1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</row>
    <row r="386" ht="16" customHeight="1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</row>
    <row r="387" ht="16" customHeight="1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</row>
    <row r="388" ht="16" customHeight="1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</row>
    <row r="389" ht="16" customHeight="1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</row>
    <row r="390" ht="16" customHeight="1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</row>
    <row r="391" ht="16" customHeight="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</row>
    <row r="392" ht="16" customHeight="1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</row>
    <row r="393" ht="16" customHeight="1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</row>
    <row r="394" ht="16" customHeight="1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</row>
    <row r="395" ht="16" customHeight="1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</row>
    <row r="396" ht="16" customHeight="1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</row>
    <row r="397" ht="16" customHeight="1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</row>
    <row r="398" ht="16" customHeight="1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</row>
    <row r="399" ht="16" customHeight="1">
      <c r="A399" s="2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</row>
    <row r="400" ht="16" customHeight="1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</row>
    <row r="401" ht="16" customHeight="1">
      <c r="A401" s="2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</row>
    <row r="402" ht="16" customHeight="1">
      <c r="A402" s="2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</row>
    <row r="403" ht="16" customHeight="1">
      <c r="A403" s="2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</row>
    <row r="404" ht="16" customHeight="1">
      <c r="A404" s="2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</row>
    <row r="405" ht="16" customHeight="1">
      <c r="A405" s="2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</row>
    <row r="406" ht="16" customHeight="1">
      <c r="A406" s="2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</row>
    <row r="407" ht="16" customHeight="1">
      <c r="A407" s="2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</row>
    <row r="408" ht="16" customHeight="1">
      <c r="A408" s="2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</row>
    <row r="409" ht="16" customHeight="1">
      <c r="A409" s="2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</row>
    <row r="410" ht="16" customHeight="1">
      <c r="A410" s="2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</row>
    <row r="411" ht="16" customHeight="1">
      <c r="A411" s="2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</row>
    <row r="412" ht="16" customHeight="1">
      <c r="A412" s="2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</row>
    <row r="413" ht="16" customHeight="1">
      <c r="A413" s="2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</row>
    <row r="414" ht="16" customHeight="1">
      <c r="A414" s="2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</row>
    <row r="415" ht="16" customHeight="1">
      <c r="A415" s="2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</row>
    <row r="416" ht="16" customHeight="1">
      <c r="A416" s="2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</row>
    <row r="417" ht="16" customHeight="1">
      <c r="A417" s="2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</row>
    <row r="418" ht="16" customHeight="1">
      <c r="A418" s="2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</row>
    <row r="419" ht="16" customHeight="1">
      <c r="A419" s="2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</row>
    <row r="420" ht="16" customHeight="1">
      <c r="A420" s="2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</row>
    <row r="421" ht="16" customHeight="1">
      <c r="A421" s="2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</row>
    <row r="422" ht="16" customHeight="1">
      <c r="A422" s="2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</row>
    <row r="423" ht="16" customHeight="1">
      <c r="A423" s="2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</row>
    <row r="424" ht="16" customHeight="1">
      <c r="A424" s="2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</row>
    <row r="425" ht="16" customHeight="1">
      <c r="A425" s="2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</row>
    <row r="426" ht="16" customHeight="1">
      <c r="A426" s="2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</row>
    <row r="427" ht="16" customHeight="1">
      <c r="A427" s="2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</row>
    <row r="428" ht="16" customHeight="1">
      <c r="A428" s="2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</row>
    <row r="429" ht="16" customHeight="1">
      <c r="A429" s="2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</row>
    <row r="430" ht="16" customHeight="1">
      <c r="A430" s="2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</row>
    <row r="431" ht="16" customHeight="1">
      <c r="A431" s="2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</row>
    <row r="432" ht="16" customHeight="1">
      <c r="A432" s="2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</row>
    <row r="433" ht="16" customHeight="1">
      <c r="A433" s="2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</row>
    <row r="434" ht="16" customHeight="1">
      <c r="A434" s="2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</row>
    <row r="435" ht="16" customHeight="1">
      <c r="A435" s="2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</row>
    <row r="436" ht="16" customHeight="1">
      <c r="A436" s="2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</row>
    <row r="437" ht="16" customHeight="1">
      <c r="A437" s="2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</row>
    <row r="438" ht="16" customHeight="1">
      <c r="A438" s="2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</row>
    <row r="439" ht="16" customHeight="1">
      <c r="A439" s="2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</row>
    <row r="440" ht="16" customHeight="1">
      <c r="A440" s="2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</row>
    <row r="441" ht="16" customHeight="1">
      <c r="A441" s="2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</row>
    <row r="442" ht="16" customHeight="1">
      <c r="A442" s="2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</row>
    <row r="443" ht="16" customHeight="1">
      <c r="A443" s="2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</row>
    <row r="444" ht="16" customHeight="1">
      <c r="A444" s="2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</row>
    <row r="445" ht="16" customHeight="1">
      <c r="A445" s="2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</row>
    <row r="446" ht="16" customHeight="1">
      <c r="A446" s="2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</row>
    <row r="447" ht="16" customHeight="1">
      <c r="A447" s="2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</row>
    <row r="448" ht="16" customHeight="1">
      <c r="A448" s="2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</row>
    <row r="449" ht="16" customHeight="1">
      <c r="A449" s="2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</row>
    <row r="450" ht="16" customHeight="1">
      <c r="A450" s="2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</row>
    <row r="451" ht="16" customHeight="1">
      <c r="A451" s="2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</row>
    <row r="452" ht="16" customHeight="1">
      <c r="A452" s="2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</row>
    <row r="453" ht="16" customHeight="1">
      <c r="A453" s="2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</row>
    <row r="454" ht="16" customHeight="1">
      <c r="A454" s="2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</row>
    <row r="455" ht="16" customHeight="1">
      <c r="A455" s="2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</row>
    <row r="456" ht="16" customHeight="1">
      <c r="A456" s="2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</row>
    <row r="457" ht="16" customHeight="1">
      <c r="A457" s="2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</row>
    <row r="458" ht="16" customHeight="1">
      <c r="A458" s="2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</row>
    <row r="459" ht="16" customHeight="1">
      <c r="A459" s="2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</row>
    <row r="460" ht="16" customHeight="1">
      <c r="A460" s="2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</row>
    <row r="461" ht="16" customHeight="1">
      <c r="A461" s="2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</row>
    <row r="462" ht="16" customHeight="1">
      <c r="A462" s="2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</row>
    <row r="463" ht="16" customHeight="1">
      <c r="A463" s="2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</row>
    <row r="464" ht="16" customHeight="1">
      <c r="A464" s="2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</row>
    <row r="465" ht="16" customHeight="1">
      <c r="A465" s="2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</row>
    <row r="466" ht="16" customHeight="1">
      <c r="A466" s="2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</row>
    <row r="467" ht="16" customHeight="1">
      <c r="A467" s="2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</row>
    <row r="468" ht="16" customHeight="1">
      <c r="A468" s="2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</row>
    <row r="469" ht="16" customHeight="1">
      <c r="A469" s="2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</row>
    <row r="470" ht="16" customHeight="1">
      <c r="A470" s="2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</row>
    <row r="471" ht="16" customHeight="1">
      <c r="A471" s="2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</row>
    <row r="472" ht="16" customHeight="1">
      <c r="A472" s="2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</row>
    <row r="473" ht="16" customHeight="1">
      <c r="A473" s="2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</row>
    <row r="474" ht="16" customHeight="1">
      <c r="A474" s="2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</row>
    <row r="475" ht="16" customHeight="1">
      <c r="A475" s="2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</row>
    <row r="476" ht="16" customHeight="1">
      <c r="A476" s="2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</row>
    <row r="477" ht="16" customHeight="1">
      <c r="A477" s="2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</row>
    <row r="478" ht="16" customHeight="1">
      <c r="A478" s="2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</row>
    <row r="479" ht="16" customHeight="1">
      <c r="A479" s="2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</row>
    <row r="480" ht="16" customHeight="1">
      <c r="A480" s="2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</row>
    <row r="481" ht="16" customHeight="1">
      <c r="A481" s="2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</row>
    <row r="482" ht="16" customHeight="1">
      <c r="A482" s="2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</row>
    <row r="483" ht="16" customHeight="1">
      <c r="A483" s="2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</row>
    <row r="484" ht="16" customHeight="1">
      <c r="A484" s="2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</row>
    <row r="485" ht="16" customHeight="1">
      <c r="A485" s="2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</row>
    <row r="486" ht="16" customHeight="1">
      <c r="A486" s="2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</row>
    <row r="487" ht="16" customHeight="1">
      <c r="A487" s="2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</row>
    <row r="488" ht="16" customHeight="1">
      <c r="A488" s="2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</row>
    <row r="489" ht="16" customHeight="1">
      <c r="A489" s="2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</row>
    <row r="490" ht="16" customHeight="1">
      <c r="A490" s="2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</row>
    <row r="491" ht="16" customHeight="1">
      <c r="A491" s="2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</row>
    <row r="492" ht="16" customHeight="1">
      <c r="A492" s="2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</row>
    <row r="493" ht="16" customHeight="1">
      <c r="A493" s="2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</row>
    <row r="494" ht="16" customHeight="1">
      <c r="A494" s="2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</row>
    <row r="495" ht="16" customHeight="1">
      <c r="A495" s="2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</row>
    <row r="496" ht="16" customHeight="1">
      <c r="A496" s="2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</row>
    <row r="497" ht="16" customHeight="1">
      <c r="A497" s="2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</row>
    <row r="498" ht="16" customHeight="1">
      <c r="A498" s="2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</row>
    <row r="499" ht="16" customHeight="1">
      <c r="A499" s="2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</row>
    <row r="500" ht="16" customHeight="1">
      <c r="A500" s="2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</row>
    <row r="501" ht="16" customHeight="1">
      <c r="A501" s="2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</row>
    <row r="502" ht="16" customHeight="1">
      <c r="A502" s="2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</row>
    <row r="503" ht="16" customHeight="1">
      <c r="A503" s="2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</row>
    <row r="504" ht="16" customHeight="1">
      <c r="A504" s="2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</row>
    <row r="505" ht="16" customHeight="1">
      <c r="A505" s="2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</row>
    <row r="506" ht="16" customHeight="1">
      <c r="A506" s="2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</row>
    <row r="507" ht="16" customHeight="1">
      <c r="A507" s="2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</row>
    <row r="508" ht="16" customHeight="1">
      <c r="A508" s="2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</row>
    <row r="509" ht="16" customHeight="1">
      <c r="A509" s="2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</row>
    <row r="510" ht="16" customHeight="1">
      <c r="A510" s="2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</row>
    <row r="511" ht="16" customHeight="1">
      <c r="A511" s="2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</row>
    <row r="512" ht="16" customHeight="1">
      <c r="A512" s="2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</row>
    <row r="513" ht="16" customHeight="1">
      <c r="A513" s="2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</row>
    <row r="514" ht="16" customHeight="1">
      <c r="A514" s="2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</row>
    <row r="515" ht="16" customHeight="1">
      <c r="A515" s="2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</row>
    <row r="516" ht="16" customHeight="1">
      <c r="A516" s="2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</row>
    <row r="517" ht="16" customHeight="1">
      <c r="A517" s="2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</row>
    <row r="518" ht="16" customHeight="1">
      <c r="A518" s="2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</row>
    <row r="519" ht="16" customHeight="1">
      <c r="A519" s="2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</row>
    <row r="520" ht="16" customHeight="1">
      <c r="A520" s="2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</row>
    <row r="521" ht="16" customHeight="1">
      <c r="A521" s="2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</row>
    <row r="522" ht="16" customHeight="1">
      <c r="A522" s="2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</row>
    <row r="523" ht="16" customHeight="1">
      <c r="A523" s="2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</row>
    <row r="524" ht="16" customHeight="1">
      <c r="A524" s="2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</row>
    <row r="525" ht="16" customHeight="1">
      <c r="A525" s="2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</row>
    <row r="526" ht="16" customHeight="1">
      <c r="A526" s="2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</row>
    <row r="527" ht="16" customHeight="1">
      <c r="A527" s="2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</row>
    <row r="528" ht="16" customHeight="1">
      <c r="A528" s="2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</row>
    <row r="529" ht="16" customHeight="1">
      <c r="A529" s="2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</row>
    <row r="530" ht="16" customHeight="1">
      <c r="A530" s="2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</row>
    <row r="531" ht="16" customHeight="1">
      <c r="A531" s="2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</row>
    <row r="532" ht="16" customHeight="1">
      <c r="A532" s="2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</row>
    <row r="533" ht="16" customHeight="1">
      <c r="A533" s="2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</row>
    <row r="534" ht="16" customHeight="1">
      <c r="A534" s="2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</row>
    <row r="535" ht="16" customHeight="1">
      <c r="A535" s="2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</row>
    <row r="536" ht="16" customHeight="1">
      <c r="A536" s="2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</row>
    <row r="537" ht="16" customHeight="1">
      <c r="A537" s="2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</row>
    <row r="538" ht="16" customHeight="1">
      <c r="A538" s="2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</row>
    <row r="539" ht="16" customHeight="1">
      <c r="A539" s="2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</row>
    <row r="540" ht="16" customHeight="1">
      <c r="A540" s="2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</row>
    <row r="541" ht="16" customHeight="1">
      <c r="A541" s="2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</row>
    <row r="542" ht="16" customHeight="1">
      <c r="A542" s="2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</row>
    <row r="543" ht="16" customHeight="1">
      <c r="A543" s="2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</row>
    <row r="544" ht="16" customHeight="1">
      <c r="A544" s="2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</row>
    <row r="545" ht="16" customHeight="1">
      <c r="A545" s="2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</row>
    <row r="546" ht="16" customHeight="1">
      <c r="A546" s="2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</row>
    <row r="547" ht="16" customHeight="1">
      <c r="A547" s="2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</row>
    <row r="548" ht="16" customHeight="1">
      <c r="A548" s="2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</row>
    <row r="549" ht="16" customHeight="1">
      <c r="A549" s="2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</row>
    <row r="550" ht="16" customHeight="1">
      <c r="A550" s="2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</row>
    <row r="551" ht="16" customHeight="1">
      <c r="A551" s="2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</row>
    <row r="552" ht="16" customHeight="1">
      <c r="A552" s="2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</row>
    <row r="553" ht="16" customHeight="1">
      <c r="A553" s="2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</row>
    <row r="554" ht="16" customHeight="1">
      <c r="A554" s="2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</row>
    <row r="555" ht="16" customHeight="1">
      <c r="A555" s="2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</row>
    <row r="556" ht="16" customHeight="1">
      <c r="A556" s="2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</row>
    <row r="557" ht="16" customHeight="1">
      <c r="A557" s="2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</row>
    <row r="558" ht="16" customHeight="1">
      <c r="A558" s="2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</row>
    <row r="559" ht="16" customHeight="1">
      <c r="A559" s="2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</row>
    <row r="560" ht="16" customHeight="1">
      <c r="A560" s="2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</row>
    <row r="561" ht="16" customHeight="1">
      <c r="A561" s="2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</row>
    <row r="562" ht="16" customHeight="1">
      <c r="A562" s="2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</row>
    <row r="563" ht="16" customHeight="1">
      <c r="A563" s="2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</row>
    <row r="564" ht="16" customHeight="1">
      <c r="A564" s="2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</row>
    <row r="565" ht="16" customHeight="1">
      <c r="A565" s="2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</row>
    <row r="566" ht="16" customHeight="1">
      <c r="A566" s="2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</row>
    <row r="567" ht="16" customHeight="1">
      <c r="A567" s="2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</row>
    <row r="568" ht="16" customHeight="1">
      <c r="A568" s="2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</row>
    <row r="569" ht="16" customHeight="1">
      <c r="A569" s="2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</row>
    <row r="570" ht="16" customHeight="1">
      <c r="A570" s="2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</row>
    <row r="571" ht="16" customHeight="1">
      <c r="A571" s="2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</row>
    <row r="572" ht="16" customHeight="1">
      <c r="A572" s="2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</row>
    <row r="573" ht="16" customHeight="1">
      <c r="A573" s="2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</row>
    <row r="574" ht="16" customHeight="1">
      <c r="A574" s="2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</row>
    <row r="575" ht="16" customHeight="1">
      <c r="A575" s="2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</row>
    <row r="576" ht="16" customHeight="1">
      <c r="A576" s="2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</row>
    <row r="577" ht="16" customHeight="1">
      <c r="A577" s="2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</row>
    <row r="578" ht="16" customHeight="1">
      <c r="A578" s="2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</row>
    <row r="579" ht="16" customHeight="1">
      <c r="A579" s="2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</row>
    <row r="580" ht="16" customHeight="1">
      <c r="A580" s="2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</row>
    <row r="581" ht="16" customHeight="1">
      <c r="A581" s="2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</row>
    <row r="582" ht="16" customHeight="1">
      <c r="A582" s="2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</row>
    <row r="583" ht="16" customHeight="1">
      <c r="A583" s="2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</row>
    <row r="584" ht="16" customHeight="1">
      <c r="A584" s="2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</row>
    <row r="585" ht="16" customHeight="1">
      <c r="A585" s="2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</row>
    <row r="586" ht="16" customHeight="1">
      <c r="A586" s="2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</row>
    <row r="587" ht="16" customHeight="1">
      <c r="A587" s="2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</row>
    <row r="588" ht="16" customHeight="1">
      <c r="A588" s="2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</row>
    <row r="589" ht="16" customHeight="1">
      <c r="A589" s="2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</row>
    <row r="590" ht="16" customHeight="1">
      <c r="A590" s="2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</row>
    <row r="591" ht="16" customHeight="1">
      <c r="A591" s="2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</row>
    <row r="592" ht="16" customHeight="1">
      <c r="A592" s="2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</row>
    <row r="593" ht="16" customHeight="1">
      <c r="A593" s="2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</row>
    <row r="594" ht="16" customHeight="1">
      <c r="A594" s="2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</row>
    <row r="595" ht="16" customHeight="1">
      <c r="A595" s="2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</row>
    <row r="596" ht="16" customHeight="1">
      <c r="A596" s="2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</row>
    <row r="597" ht="16" customHeight="1">
      <c r="A597" s="2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</row>
    <row r="598" ht="16" customHeight="1">
      <c r="A598" s="2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</row>
    <row r="599" ht="16" customHeight="1">
      <c r="A599" s="2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</row>
    <row r="600" ht="16" customHeight="1">
      <c r="A600" s="2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</row>
    <row r="601" ht="16" customHeight="1">
      <c r="A601" s="2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</row>
    <row r="602" ht="16" customHeight="1">
      <c r="A602" s="2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</row>
    <row r="603" ht="16" customHeight="1">
      <c r="A603" s="2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</row>
    <row r="604" ht="16" customHeight="1">
      <c r="A604" s="2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</row>
    <row r="605" ht="16" customHeight="1">
      <c r="A605" s="2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</row>
    <row r="606" ht="16" customHeight="1">
      <c r="A606" s="2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</row>
    <row r="607" ht="16" customHeight="1">
      <c r="A607" s="2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</row>
    <row r="608" ht="16" customHeight="1">
      <c r="A608" s="2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</row>
    <row r="609" ht="16" customHeight="1">
      <c r="A609" s="2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</row>
    <row r="610" ht="16" customHeight="1">
      <c r="A610" s="2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</row>
    <row r="611" ht="16" customHeight="1">
      <c r="A611" s="2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</row>
    <row r="612" ht="16" customHeight="1">
      <c r="A612" s="2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</row>
    <row r="613" ht="16" customHeight="1">
      <c r="A613" s="2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</row>
    <row r="614" ht="16" customHeight="1">
      <c r="A614" s="2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</row>
    <row r="615" ht="16" customHeight="1">
      <c r="A615" s="2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</row>
    <row r="616" ht="16" customHeight="1">
      <c r="A616" s="2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</row>
    <row r="617" ht="16" customHeight="1">
      <c r="A617" s="2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</row>
    <row r="618" ht="16" customHeight="1">
      <c r="A618" s="2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</row>
    <row r="619" ht="16" customHeight="1">
      <c r="A619" s="2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</row>
    <row r="620" ht="16" customHeight="1">
      <c r="A620" s="2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</row>
    <row r="621" ht="16" customHeight="1">
      <c r="A621" s="2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</row>
    <row r="622" ht="16" customHeight="1">
      <c r="A622" s="2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</row>
    <row r="623" ht="16" customHeight="1">
      <c r="A623" s="2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</row>
    <row r="624" ht="16" customHeight="1">
      <c r="A624" s="2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</row>
    <row r="625" ht="16" customHeight="1">
      <c r="A625" s="2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</row>
    <row r="626" ht="16" customHeight="1">
      <c r="A626" s="2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</row>
    <row r="627" ht="16" customHeight="1">
      <c r="A627" s="2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</row>
    <row r="628" ht="16" customHeight="1">
      <c r="A628" s="2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</row>
    <row r="629" ht="16" customHeight="1">
      <c r="A629" s="2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</row>
    <row r="630" ht="16" customHeight="1">
      <c r="A630" s="2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</row>
    <row r="631" ht="16" customHeight="1">
      <c r="A631" s="2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</row>
    <row r="632" ht="16" customHeight="1">
      <c r="A632" s="2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</row>
    <row r="633" ht="16" customHeight="1">
      <c r="A633" s="2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</row>
    <row r="634" ht="16" customHeight="1">
      <c r="A634" s="2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</row>
    <row r="635" ht="16" customHeight="1">
      <c r="A635" s="2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</row>
    <row r="636" ht="16" customHeight="1">
      <c r="A636" s="2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</row>
    <row r="637" ht="16" customHeight="1">
      <c r="A637" s="2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</row>
    <row r="638" ht="16" customHeight="1">
      <c r="A638" s="2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</row>
    <row r="639" ht="16" customHeight="1">
      <c r="A639" s="2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</row>
    <row r="640" ht="16" customHeight="1">
      <c r="A640" s="2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</row>
    <row r="641" ht="16" customHeight="1">
      <c r="A641" s="2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</row>
    <row r="642" ht="16" customHeight="1">
      <c r="A642" s="2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</row>
    <row r="643" ht="16" customHeight="1">
      <c r="A643" s="2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</row>
    <row r="644" ht="16" customHeight="1">
      <c r="A644" s="2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</row>
    <row r="645" ht="16" customHeight="1">
      <c r="A645" s="2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</row>
    <row r="646" ht="16" customHeight="1">
      <c r="A646" s="2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</row>
    <row r="647" ht="16" customHeight="1">
      <c r="A647" s="2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</row>
    <row r="648" ht="16" customHeight="1">
      <c r="A648" s="2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</row>
    <row r="649" ht="16" customHeight="1">
      <c r="A649" s="2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</row>
    <row r="650" ht="16" customHeight="1">
      <c r="A650" s="2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</row>
    <row r="651" ht="16" customHeight="1">
      <c r="A651" s="2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</row>
    <row r="652" ht="16" customHeight="1">
      <c r="A652" s="2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</row>
    <row r="653" ht="16" customHeight="1">
      <c r="A653" s="2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</row>
    <row r="654" ht="16" customHeight="1">
      <c r="A654" s="2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</row>
    <row r="655" ht="16" customHeight="1">
      <c r="A655" s="2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</row>
    <row r="656" ht="16" customHeight="1">
      <c r="A656" s="2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</row>
    <row r="657" ht="16" customHeight="1">
      <c r="A657" s="2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</row>
    <row r="658" ht="16" customHeight="1">
      <c r="A658" s="2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</row>
    <row r="659" ht="16" customHeight="1">
      <c r="A659" s="2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</row>
    <row r="660" ht="16" customHeight="1">
      <c r="A660" s="2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</row>
    <row r="661" ht="16" customHeight="1">
      <c r="A661" s="2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</row>
    <row r="662" ht="16" customHeight="1">
      <c r="A662" s="2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</row>
    <row r="663" ht="16" customHeight="1">
      <c r="A663" s="2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</row>
    <row r="664" ht="16" customHeight="1">
      <c r="A664" s="2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</row>
    <row r="665" ht="16" customHeight="1">
      <c r="A665" s="2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</row>
    <row r="666" ht="16" customHeight="1">
      <c r="A666" s="2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</row>
    <row r="667" ht="16" customHeight="1">
      <c r="A667" s="2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</row>
    <row r="668" ht="16" customHeight="1">
      <c r="A668" s="2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</row>
    <row r="669" ht="16" customHeight="1">
      <c r="A669" s="2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</row>
    <row r="670" ht="16" customHeight="1">
      <c r="A670" s="2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</row>
    <row r="671" ht="16" customHeight="1">
      <c r="A671" s="2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</row>
    <row r="672" ht="16" customHeight="1">
      <c r="A672" s="2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</row>
    <row r="673" ht="16" customHeight="1">
      <c r="A673" s="2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</row>
    <row r="674" ht="16" customHeight="1">
      <c r="A674" s="2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</row>
    <row r="675" ht="16" customHeight="1">
      <c r="A675" s="2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</row>
    <row r="676" ht="16" customHeight="1">
      <c r="A676" s="2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</row>
    <row r="677" ht="16" customHeight="1">
      <c r="A677" s="2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</row>
    <row r="678" ht="16" customHeight="1">
      <c r="A678" s="2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</row>
    <row r="679" ht="16" customHeight="1">
      <c r="A679" s="2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</row>
    <row r="680" ht="16" customHeight="1">
      <c r="A680" s="2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</row>
    <row r="681" ht="16" customHeight="1">
      <c r="A681" s="2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</row>
    <row r="682" ht="16" customHeight="1">
      <c r="A682" s="2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</row>
    <row r="683" ht="16" customHeight="1">
      <c r="A683" s="2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</row>
    <row r="684" ht="16" customHeight="1">
      <c r="A684" s="2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</row>
    <row r="685" ht="16" customHeight="1">
      <c r="A685" s="2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</row>
    <row r="686" ht="16" customHeight="1">
      <c r="A686" s="2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</row>
    <row r="687" ht="16" customHeight="1">
      <c r="A687" s="2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</row>
    <row r="688" ht="16" customHeight="1">
      <c r="A688" s="2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</row>
    <row r="689" ht="16" customHeight="1">
      <c r="A689" s="2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</row>
    <row r="690" ht="16" customHeight="1">
      <c r="A690" s="2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</row>
    <row r="691" ht="16" customHeight="1">
      <c r="A691" s="2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</row>
    <row r="692" ht="16" customHeight="1">
      <c r="A692" s="2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</row>
    <row r="693" ht="16" customHeight="1">
      <c r="A693" s="2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</row>
    <row r="694" ht="16" customHeight="1">
      <c r="A694" s="2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</row>
    <row r="695" ht="16" customHeight="1">
      <c r="A695" s="2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</row>
    <row r="696" ht="16" customHeight="1">
      <c r="A696" s="2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</row>
    <row r="697" ht="16" customHeight="1">
      <c r="A697" s="2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</row>
    <row r="698" ht="16" customHeight="1">
      <c r="A698" s="2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</row>
    <row r="699" ht="16" customHeight="1">
      <c r="A699" s="2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</row>
    <row r="700" ht="16" customHeight="1">
      <c r="A700" s="2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</row>
    <row r="701" ht="16" customHeight="1">
      <c r="A701" s="2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</row>
    <row r="702" ht="16" customHeight="1">
      <c r="A702" s="2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</row>
    <row r="703" ht="16" customHeight="1">
      <c r="A703" s="2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</row>
    <row r="704" ht="16" customHeight="1">
      <c r="A704" s="2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</row>
    <row r="705" ht="16" customHeight="1">
      <c r="A705" s="2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</row>
    <row r="706" ht="16" customHeight="1">
      <c r="A706" s="2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</row>
    <row r="707" ht="16" customHeight="1">
      <c r="A707" s="2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</row>
    <row r="708" ht="16" customHeight="1">
      <c r="A708" s="2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</row>
    <row r="709" ht="16" customHeight="1">
      <c r="A709" s="2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</row>
    <row r="710" ht="16" customHeight="1">
      <c r="A710" s="2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</row>
    <row r="711" ht="16" customHeight="1">
      <c r="A711" s="2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</row>
    <row r="712" ht="16" customHeight="1">
      <c r="A712" s="2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</row>
    <row r="713" ht="16" customHeight="1">
      <c r="A713" s="2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</row>
    <row r="714" ht="16" customHeight="1">
      <c r="A714" s="2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</row>
    <row r="715" ht="16" customHeight="1">
      <c r="A715" s="2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</row>
    <row r="716" ht="16" customHeight="1">
      <c r="A716" s="2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</row>
    <row r="717" ht="16" customHeight="1">
      <c r="A717" s="2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</row>
    <row r="718" ht="16" customHeight="1">
      <c r="A718" s="2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</row>
    <row r="719" ht="16" customHeight="1">
      <c r="A719" s="2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</row>
    <row r="720" ht="16" customHeight="1">
      <c r="A720" s="2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</row>
    <row r="721" ht="16" customHeight="1">
      <c r="A721" s="2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</row>
    <row r="722" ht="16" customHeight="1">
      <c r="A722" s="2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</row>
    <row r="723" ht="16" customHeight="1">
      <c r="A723" s="2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</row>
    <row r="724" ht="16" customHeight="1">
      <c r="A724" s="2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</row>
    <row r="725" ht="16" customHeight="1">
      <c r="A725" s="2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</row>
    <row r="726" ht="16" customHeight="1">
      <c r="A726" s="2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</row>
    <row r="727" ht="16" customHeight="1">
      <c r="A727" s="2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</row>
    <row r="728" ht="16" customHeight="1">
      <c r="A728" s="2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</row>
    <row r="729" ht="16" customHeight="1">
      <c r="A729" s="2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</row>
    <row r="730" ht="16" customHeight="1">
      <c r="A730" s="2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</row>
    <row r="731" ht="16" customHeight="1">
      <c r="A731" s="2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</row>
    <row r="732" ht="16" customHeight="1">
      <c r="A732" s="2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</row>
    <row r="733" ht="16" customHeight="1">
      <c r="A733" s="2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</row>
    <row r="734" ht="16" customHeight="1">
      <c r="A734" s="2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</row>
    <row r="735" ht="16" customHeight="1">
      <c r="A735" s="2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</row>
    <row r="736" ht="16" customHeight="1">
      <c r="A736" s="2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</row>
    <row r="737" ht="16" customHeight="1">
      <c r="A737" s="2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</row>
    <row r="738" ht="16" customHeight="1">
      <c r="A738" s="2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</row>
    <row r="739" ht="16" customHeight="1">
      <c r="A739" s="2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</row>
    <row r="740" ht="16" customHeight="1">
      <c r="A740" s="2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</row>
    <row r="741" ht="16" customHeight="1">
      <c r="A741" s="2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</row>
    <row r="742" ht="16" customHeight="1">
      <c r="A742" s="2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</row>
    <row r="743" ht="16" customHeight="1">
      <c r="A743" s="2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</row>
    <row r="744" ht="16" customHeight="1">
      <c r="A744" s="2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</row>
    <row r="745" ht="16" customHeight="1">
      <c r="A745" s="2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</row>
    <row r="746" ht="16" customHeight="1">
      <c r="A746" s="2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</row>
    <row r="747" ht="16" customHeight="1">
      <c r="A747" s="2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</row>
    <row r="748" ht="16" customHeight="1">
      <c r="A748" s="2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</row>
    <row r="749" ht="16" customHeight="1">
      <c r="A749" s="2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</row>
    <row r="750" ht="16" customHeight="1">
      <c r="A750" s="2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</row>
    <row r="751" ht="16" customHeight="1">
      <c r="A751" s="2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</row>
    <row r="752" ht="16" customHeight="1">
      <c r="A752" s="2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</row>
    <row r="753" ht="16" customHeight="1">
      <c r="A753" s="2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</row>
    <row r="754" ht="16" customHeight="1">
      <c r="A754" s="2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</row>
    <row r="755" ht="16" customHeight="1">
      <c r="A755" s="2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</row>
    <row r="756" ht="16" customHeight="1">
      <c r="A756" s="2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</row>
    <row r="757" ht="16" customHeight="1">
      <c r="A757" s="2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</row>
    <row r="758" ht="16" customHeight="1">
      <c r="A758" s="2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</row>
    <row r="759" ht="16" customHeight="1">
      <c r="A759" s="2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</row>
    <row r="760" ht="16" customHeight="1">
      <c r="A760" s="2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</row>
    <row r="761" ht="16" customHeight="1">
      <c r="A761" s="2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</row>
    <row r="762" ht="16" customHeight="1">
      <c r="A762" s="2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</row>
    <row r="763" ht="16" customHeight="1">
      <c r="A763" s="2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</row>
    <row r="764" ht="16" customHeight="1">
      <c r="A764" s="2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</row>
    <row r="765" ht="16" customHeight="1">
      <c r="A765" s="2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</row>
    <row r="766" ht="16" customHeight="1">
      <c r="A766" s="2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</row>
    <row r="767" ht="16" customHeight="1">
      <c r="A767" s="2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</row>
    <row r="768" ht="16" customHeight="1">
      <c r="A768" s="2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</row>
    <row r="769" ht="16" customHeight="1">
      <c r="A769" s="2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</row>
    <row r="770" ht="16" customHeight="1">
      <c r="A770" s="2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</row>
    <row r="771" ht="16" customHeight="1">
      <c r="A771" s="2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</row>
    <row r="772" ht="16" customHeight="1">
      <c r="A772" s="2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</row>
    <row r="773" ht="16" customHeight="1">
      <c r="A773" s="2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</row>
    <row r="774" ht="16" customHeight="1">
      <c r="A774" s="2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</row>
    <row r="775" ht="16" customHeight="1">
      <c r="A775" s="2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</row>
    <row r="776" ht="16" customHeight="1">
      <c r="A776" s="2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</row>
    <row r="777" ht="16" customHeight="1">
      <c r="A777" s="2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</row>
    <row r="778" ht="16" customHeight="1">
      <c r="A778" s="2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</row>
    <row r="779" ht="16" customHeight="1">
      <c r="A779" s="2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</row>
    <row r="780" ht="16" customHeight="1">
      <c r="A780" s="2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</row>
    <row r="781" ht="16" customHeight="1">
      <c r="A781" s="2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</row>
    <row r="782" ht="16" customHeight="1">
      <c r="A782" s="2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</row>
    <row r="783" ht="16" customHeight="1">
      <c r="A783" s="2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</row>
    <row r="784" ht="16" customHeight="1">
      <c r="A784" s="2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</row>
    <row r="785" ht="16" customHeight="1">
      <c r="A785" s="2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</row>
    <row r="786" ht="16" customHeight="1">
      <c r="A786" s="2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</row>
    <row r="787" ht="16" customHeight="1">
      <c r="A787" s="2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</row>
    <row r="788" ht="16" customHeight="1">
      <c r="A788" s="2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</row>
    <row r="789" ht="16" customHeight="1">
      <c r="A789" s="2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</row>
    <row r="790" ht="16" customHeight="1">
      <c r="A790" s="2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</row>
    <row r="791" ht="16" customHeight="1">
      <c r="A791" s="2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</row>
    <row r="792" ht="16" customHeight="1">
      <c r="A792" s="2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</row>
    <row r="793" ht="16" customHeight="1">
      <c r="A793" s="2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</row>
    <row r="794" ht="16" customHeight="1">
      <c r="A794" s="2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</row>
    <row r="795" ht="16" customHeight="1">
      <c r="A795" s="2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</row>
    <row r="796" ht="16" customHeight="1">
      <c r="A796" s="2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</row>
    <row r="797" ht="16" customHeight="1">
      <c r="A797" s="2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</row>
    <row r="798" ht="16" customHeight="1">
      <c r="A798" s="2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</row>
    <row r="799" ht="16" customHeight="1">
      <c r="A799" s="2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</row>
    <row r="800" ht="16" customHeight="1">
      <c r="A800" s="2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</row>
    <row r="801" ht="16" customHeight="1">
      <c r="A801" s="2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</row>
    <row r="802" ht="16" customHeight="1">
      <c r="A802" s="2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</row>
    <row r="803" ht="16" customHeight="1">
      <c r="A803" s="2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</row>
    <row r="804" ht="16" customHeight="1">
      <c r="A804" s="2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</row>
    <row r="805" ht="16" customHeight="1">
      <c r="A805" s="2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</row>
    <row r="806" ht="16" customHeight="1">
      <c r="A806" s="2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</row>
    <row r="807" ht="16" customHeight="1">
      <c r="A807" s="2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</row>
    <row r="808" ht="16" customHeight="1">
      <c r="A808" s="2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</row>
    <row r="809" ht="16" customHeight="1">
      <c r="A809" s="2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</row>
    <row r="810" ht="16" customHeight="1">
      <c r="A810" s="2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</row>
    <row r="811" ht="16" customHeight="1">
      <c r="A811" s="2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</row>
    <row r="812" ht="16" customHeight="1">
      <c r="A812" s="2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</row>
    <row r="813" ht="16" customHeight="1">
      <c r="A813" s="2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</row>
    <row r="814" ht="16" customHeight="1">
      <c r="A814" s="2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</row>
    <row r="815" ht="16" customHeight="1">
      <c r="A815" s="2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</row>
    <row r="816" ht="16" customHeight="1">
      <c r="A816" s="2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</row>
    <row r="817" ht="16" customHeight="1">
      <c r="A817" s="2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</row>
    <row r="818" ht="16" customHeight="1">
      <c r="A818" s="2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</row>
    <row r="819" ht="16" customHeight="1">
      <c r="A819" s="2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</row>
    <row r="820" ht="16" customHeight="1">
      <c r="A820" s="2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</row>
    <row r="821" ht="16" customHeight="1">
      <c r="A821" s="2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</row>
    <row r="822" ht="16" customHeight="1">
      <c r="A822" s="2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</row>
    <row r="823" ht="16" customHeight="1">
      <c r="A823" s="2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</row>
    <row r="824" ht="16" customHeight="1">
      <c r="A824" s="2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</row>
    <row r="825" ht="16" customHeight="1">
      <c r="A825" s="2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</row>
    <row r="826" ht="16" customHeight="1">
      <c r="A826" s="2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</row>
    <row r="827" ht="16" customHeight="1">
      <c r="A827" s="2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</row>
    <row r="828" ht="16" customHeight="1">
      <c r="A828" s="2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</row>
    <row r="829" ht="16" customHeight="1">
      <c r="A829" s="2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</row>
    <row r="830" ht="16" customHeight="1">
      <c r="A830" s="2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</row>
    <row r="831" ht="16" customHeight="1">
      <c r="A831" s="2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</row>
    <row r="832" ht="16" customHeight="1">
      <c r="A832" s="2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</row>
    <row r="833" ht="16" customHeight="1">
      <c r="A833" s="2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</row>
    <row r="834" ht="16" customHeight="1">
      <c r="A834" s="2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</row>
    <row r="835" ht="16" customHeight="1">
      <c r="A835" s="2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</row>
    <row r="836" ht="16" customHeight="1">
      <c r="A836" s="2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</row>
    <row r="837" ht="16" customHeight="1">
      <c r="A837" s="2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</row>
    <row r="838" ht="16" customHeight="1">
      <c r="A838" s="2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</row>
    <row r="839" ht="16" customHeight="1">
      <c r="A839" s="2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</row>
    <row r="840" ht="16" customHeight="1">
      <c r="A840" s="2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</row>
    <row r="841" ht="16" customHeight="1">
      <c r="A841" s="2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</row>
    <row r="842" ht="16" customHeight="1">
      <c r="A842" s="2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</row>
    <row r="843" ht="16" customHeight="1">
      <c r="A843" s="2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</row>
    <row r="844" ht="16" customHeight="1">
      <c r="A844" s="2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</row>
    <row r="845" ht="16" customHeight="1">
      <c r="A845" s="2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</row>
    <row r="846" ht="16" customHeight="1">
      <c r="A846" s="2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</row>
    <row r="847" ht="16" customHeight="1">
      <c r="A847" s="2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</row>
    <row r="848" ht="16" customHeight="1">
      <c r="A848" s="2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</row>
    <row r="849" ht="16" customHeight="1">
      <c r="A849" s="2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</row>
    <row r="850" ht="16" customHeight="1">
      <c r="A850" s="2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</row>
    <row r="851" ht="16" customHeight="1">
      <c r="A851" s="2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</row>
    <row r="852" ht="16" customHeight="1">
      <c r="A852" s="2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</row>
    <row r="853" ht="16" customHeight="1">
      <c r="A853" s="2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</row>
    <row r="854" ht="16" customHeight="1">
      <c r="A854" s="2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</row>
    <row r="855" ht="16" customHeight="1">
      <c r="A855" s="2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</row>
    <row r="856" ht="16" customHeight="1">
      <c r="A856" s="2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</row>
    <row r="857" ht="16" customHeight="1">
      <c r="A857" s="2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</row>
    <row r="858" ht="16" customHeight="1">
      <c r="A858" s="2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</row>
    <row r="859" ht="16" customHeight="1">
      <c r="A859" s="2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</row>
    <row r="860" ht="16" customHeight="1">
      <c r="A860" s="2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</row>
    <row r="861" ht="16" customHeight="1">
      <c r="A861" s="2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</row>
    <row r="862" ht="16" customHeight="1">
      <c r="A862" s="2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</row>
    <row r="863" ht="16" customHeight="1">
      <c r="A863" s="2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</row>
    <row r="864" ht="16" customHeight="1">
      <c r="A864" s="2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</row>
    <row r="865" ht="16" customHeight="1">
      <c r="A865" s="2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</row>
    <row r="866" ht="16" customHeight="1">
      <c r="A866" s="2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</row>
    <row r="867" ht="16" customHeight="1">
      <c r="A867" s="2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</row>
    <row r="868" ht="16" customHeight="1">
      <c r="A868" s="2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</row>
    <row r="869" ht="16" customHeight="1">
      <c r="A869" s="2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</row>
    <row r="870" ht="16" customHeight="1">
      <c r="A870" s="2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</row>
    <row r="871" ht="16" customHeight="1">
      <c r="A871" s="2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</row>
    <row r="872" ht="16" customHeight="1">
      <c r="A872" s="2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</row>
    <row r="873" ht="16" customHeight="1">
      <c r="A873" s="2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</row>
    <row r="874" ht="16" customHeight="1">
      <c r="A874" s="2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</row>
    <row r="875" ht="16" customHeight="1">
      <c r="A875" s="2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</row>
    <row r="876" ht="16" customHeight="1">
      <c r="A876" s="2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</row>
    <row r="877" ht="16" customHeight="1">
      <c r="A877" s="2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</row>
    <row r="878" ht="16" customHeight="1">
      <c r="A878" s="2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</row>
    <row r="879" ht="16" customHeight="1">
      <c r="A879" s="2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</row>
    <row r="880" ht="16" customHeight="1">
      <c r="A880" s="2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</row>
    <row r="881" ht="16" customHeight="1">
      <c r="A881" s="2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</row>
    <row r="882" ht="16" customHeight="1">
      <c r="A882" s="2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</row>
    <row r="883" ht="16" customHeight="1">
      <c r="A883" s="2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</row>
    <row r="884" ht="16" customHeight="1">
      <c r="A884" s="2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</row>
    <row r="885" ht="16" customHeight="1">
      <c r="A885" s="2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</row>
    <row r="886" ht="16" customHeight="1">
      <c r="A886" s="2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</row>
    <row r="887" ht="16" customHeight="1">
      <c r="A887" s="2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</row>
    <row r="888" ht="16" customHeight="1">
      <c r="A888" s="2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</row>
    <row r="889" ht="16" customHeight="1">
      <c r="A889" s="2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</row>
    <row r="890" ht="16" customHeight="1">
      <c r="A890" s="2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</row>
    <row r="891" ht="16" customHeight="1">
      <c r="A891" s="2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</row>
    <row r="892" ht="16" customHeight="1">
      <c r="A892" s="2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</row>
    <row r="893" ht="16" customHeight="1">
      <c r="A893" s="2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</row>
    <row r="894" ht="16" customHeight="1">
      <c r="A894" s="2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</row>
    <row r="895" ht="16" customHeight="1">
      <c r="A895" s="2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</row>
    <row r="896" ht="16" customHeight="1">
      <c r="A896" s="2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</row>
    <row r="897" ht="16" customHeight="1">
      <c r="A897" s="2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</row>
    <row r="898" ht="16" customHeight="1">
      <c r="A898" s="2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</row>
    <row r="899" ht="16" customHeight="1">
      <c r="A899" s="2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</row>
    <row r="900" ht="16" customHeight="1">
      <c r="A900" s="2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</row>
    <row r="901" ht="16" customHeight="1">
      <c r="A901" s="2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</row>
    <row r="902" ht="16" customHeight="1">
      <c r="A902" s="2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</row>
    <row r="903" ht="16" customHeight="1">
      <c r="A903" s="2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</row>
    <row r="904" ht="16" customHeight="1">
      <c r="A904" s="2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</row>
    <row r="905" ht="16" customHeight="1">
      <c r="A905" s="2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</row>
    <row r="906" ht="16" customHeight="1">
      <c r="A906" s="2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</row>
    <row r="907" ht="16" customHeight="1">
      <c r="A907" s="2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</row>
    <row r="908" ht="16" customHeight="1">
      <c r="A908" s="2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</row>
    <row r="909" ht="16" customHeight="1">
      <c r="A909" s="2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</row>
    <row r="910" ht="16" customHeight="1">
      <c r="A910" s="2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</row>
    <row r="911" ht="16" customHeight="1">
      <c r="A911" s="2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</row>
    <row r="912" ht="16" customHeight="1">
      <c r="A912" s="2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</row>
    <row r="913" ht="16" customHeight="1">
      <c r="A913" s="2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</row>
    <row r="914" ht="16" customHeight="1">
      <c r="A914" s="2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</row>
    <row r="915" ht="16" customHeight="1">
      <c r="A915" s="2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</row>
    <row r="916" ht="16" customHeight="1">
      <c r="A916" s="2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</row>
    <row r="917" ht="16" customHeight="1">
      <c r="A917" s="2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</row>
    <row r="918" ht="16" customHeight="1">
      <c r="A918" s="2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</row>
    <row r="919" ht="16" customHeight="1">
      <c r="A919" s="2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</row>
    <row r="920" ht="16" customHeight="1">
      <c r="A920" s="2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</row>
    <row r="921" ht="16" customHeight="1">
      <c r="A921" s="2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</row>
    <row r="922" ht="16" customHeight="1">
      <c r="A922" s="2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</row>
    <row r="923" ht="16" customHeight="1">
      <c r="A923" s="2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</row>
    <row r="924" ht="16" customHeight="1">
      <c r="A924" s="2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</row>
    <row r="925" ht="16" customHeight="1">
      <c r="A925" s="2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</row>
    <row r="926" ht="16" customHeight="1">
      <c r="A926" s="2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</row>
    <row r="927" ht="16" customHeight="1">
      <c r="A927" s="2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</row>
    <row r="928" ht="16" customHeight="1">
      <c r="A928" s="2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</row>
    <row r="929" ht="16" customHeight="1">
      <c r="A929" s="2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</row>
    <row r="930" ht="16" customHeight="1">
      <c r="A930" s="2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</row>
    <row r="931" ht="16" customHeight="1">
      <c r="A931" s="2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</row>
    <row r="932" ht="16" customHeight="1">
      <c r="A932" s="2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</row>
    <row r="933" ht="16" customHeight="1">
      <c r="A933" s="2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</row>
    <row r="934" ht="16" customHeight="1">
      <c r="A934" s="2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</row>
    <row r="935" ht="16" customHeight="1">
      <c r="A935" s="2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</row>
    <row r="936" ht="16" customHeight="1">
      <c r="A936" s="2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</row>
    <row r="937" ht="16" customHeight="1">
      <c r="A937" s="2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</row>
    <row r="938" ht="16" customHeight="1">
      <c r="A938" s="2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</row>
    <row r="939" ht="16" customHeight="1">
      <c r="A939" s="2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</row>
    <row r="940" ht="16" customHeight="1">
      <c r="A940" s="2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</row>
    <row r="941" ht="16" customHeight="1">
      <c r="A941" s="2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</row>
    <row r="942" ht="16" customHeight="1">
      <c r="A942" s="2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</row>
    <row r="943" ht="16" customHeight="1">
      <c r="A943" s="2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</row>
    <row r="944" ht="16" customHeight="1">
      <c r="A944" s="2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</row>
    <row r="945" ht="16" customHeight="1">
      <c r="A945" s="2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</row>
    <row r="946" ht="16" customHeight="1">
      <c r="A946" s="2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</row>
    <row r="947" ht="16" customHeight="1">
      <c r="A947" s="2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</row>
    <row r="948" ht="16" customHeight="1">
      <c r="A948" s="2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</row>
    <row r="949" ht="16" customHeight="1">
      <c r="A949" s="2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</row>
    <row r="950" ht="16" customHeight="1">
      <c r="A950" s="2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</row>
    <row r="951" ht="16" customHeight="1">
      <c r="A951" s="2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</row>
    <row r="952" ht="16" customHeight="1">
      <c r="A952" s="2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</row>
    <row r="953" ht="16" customHeight="1">
      <c r="A953" s="2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</row>
    <row r="954" ht="16" customHeight="1">
      <c r="A954" s="2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</row>
    <row r="955" ht="16" customHeight="1">
      <c r="A955" s="2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</row>
    <row r="956" ht="16" customHeight="1">
      <c r="A956" s="2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</row>
    <row r="957" ht="16" customHeight="1">
      <c r="A957" s="2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</row>
    <row r="958" ht="16" customHeight="1">
      <c r="A958" s="2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</row>
    <row r="959" ht="16" customHeight="1">
      <c r="A959" s="2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</row>
    <row r="960" ht="16" customHeight="1">
      <c r="A960" s="2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</row>
    <row r="961" ht="16" customHeight="1">
      <c r="A961" s="2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</row>
    <row r="962" ht="16" customHeight="1">
      <c r="A962" s="2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</row>
    <row r="963" ht="16" customHeight="1">
      <c r="A963" s="2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</row>
    <row r="964" ht="16" customHeight="1">
      <c r="A964" s="2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</row>
    <row r="965" ht="16" customHeight="1">
      <c r="A965" s="2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</row>
    <row r="966" ht="16" customHeight="1">
      <c r="A966" s="2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</row>
    <row r="967" ht="16" customHeight="1">
      <c r="A967" s="2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</row>
    <row r="968" ht="16" customHeight="1">
      <c r="A968" s="2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</row>
    <row r="969" ht="16" customHeight="1">
      <c r="A969" s="2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</row>
    <row r="970" ht="16" customHeight="1">
      <c r="A970" s="2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</row>
    <row r="971" ht="16" customHeight="1">
      <c r="A971" s="2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</row>
    <row r="972" ht="16" customHeight="1">
      <c r="A972" s="2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</row>
    <row r="973" ht="16" customHeight="1">
      <c r="A973" s="2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</row>
    <row r="974" ht="16" customHeight="1">
      <c r="A974" s="2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</row>
    <row r="975" ht="16" customHeight="1">
      <c r="A975" s="2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</row>
    <row r="976" ht="16" customHeight="1">
      <c r="A976" s="2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</row>
    <row r="977" ht="16" customHeight="1">
      <c r="A977" s="2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</row>
    <row r="978" ht="16" customHeight="1">
      <c r="A978" s="2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</row>
    <row r="979" ht="16" customHeight="1">
      <c r="A979" s="2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</row>
    <row r="980" ht="16" customHeight="1">
      <c r="A980" s="2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</row>
    <row r="981" ht="16" customHeight="1">
      <c r="A981" s="2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</row>
    <row r="982" ht="16" customHeight="1">
      <c r="A982" s="2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</row>
    <row r="983" ht="16" customHeight="1">
      <c r="A983" s="2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</row>
    <row r="984" ht="16" customHeight="1">
      <c r="A984" s="2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</row>
    <row r="985" ht="16" customHeight="1">
      <c r="A985" s="2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</row>
    <row r="986" ht="16" customHeight="1">
      <c r="A986" s="2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</row>
    <row r="987" ht="16" customHeight="1">
      <c r="A987" s="2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</row>
    <row r="988" ht="16" customHeight="1">
      <c r="A988" s="2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</row>
    <row r="989" ht="16" customHeight="1">
      <c r="A989" s="2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</row>
    <row r="990" ht="16" customHeight="1">
      <c r="A990" s="2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</row>
    <row r="991" ht="16" customHeight="1">
      <c r="A991" s="2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</row>
    <row r="992" ht="16" customHeight="1">
      <c r="A992" s="2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</row>
    <row r="993" ht="16" customHeight="1">
      <c r="A993" s="2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</row>
    <row r="994" ht="16" customHeight="1">
      <c r="A994" s="2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</row>
    <row r="995" ht="16" customHeight="1">
      <c r="A995" s="2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</row>
    <row r="996" ht="16" customHeight="1">
      <c r="A996" s="2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</row>
    <row r="997" ht="16" customHeight="1">
      <c r="A997" s="2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</row>
    <row r="998" ht="16" customHeight="1">
      <c r="A998" s="2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outlineLevelCol="0"/>
  <cols>
    <col width="15" customWidth="1" min="1" max="1"/>
    <col width="50" customWidth="1" min="2" max="2"/>
  </cols>
  <sheetData>
    <row r="1" ht="16" customHeight="1">
      <c r="A1" s="4" t="inlineStr">
        <is>
          <t>TBA Key</t>
        </is>
      </c>
      <c r="B1" s="75" t="inlineStr">
        <is>
          <t>2025nyro</t>
        </is>
      </c>
    </row>
    <row r="2" ht="16" customHeight="1">
      <c r="A2" s="4" t="inlineStr">
        <is>
          <t>FIRST Key</t>
        </is>
      </c>
      <c r="B2" s="75" t="inlineStr">
        <is>
          <t>nyro</t>
        </is>
      </c>
    </row>
    <row r="3" ht="16" customHeight="1">
      <c r="A3" s="4" t="inlineStr">
        <is>
          <t>Name</t>
        </is>
      </c>
      <c r="B3" s="75" t="inlineStr">
        <is>
          <t>Finger Lakes Regional</t>
        </is>
      </c>
    </row>
    <row r="4" ht="16" customHeight="1">
      <c r="A4" s="4" t="inlineStr">
        <is>
          <t>Location</t>
        </is>
      </c>
      <c r="B4" s="75" t="inlineStr">
        <is>
          <t>Center For Integrated Manufacturing Studies (CIMS)</t>
        </is>
      </c>
    </row>
    <row r="5" ht="16" customHeight="1">
      <c r="A5" s="4" t="inlineStr">
        <is>
          <t>Start Date</t>
        </is>
      </c>
      <c r="B5" s="75" t="inlineStr">
        <is>
          <t>2025-03-12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5"/>
  <sheetViews>
    <sheetView zoomScale="150" zoomScaleNormal="15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 outlineLevelCol="0"/>
  <cols>
    <col width="16.5" customWidth="1" min="1" max="1"/>
    <col width="35" customWidth="1" min="2" max="2"/>
    <col width="50" customWidth="1" min="3" max="3"/>
    <col width="20" customWidth="1" min="4" max="4"/>
    <col width="15" customWidth="1" min="5" max="5"/>
  </cols>
  <sheetData>
    <row r="1" ht="20" customHeight="1">
      <c r="A1" s="6" t="inlineStr">
        <is>
          <t>Team Number</t>
        </is>
      </c>
      <c r="B1" s="6" t="inlineStr">
        <is>
          <t>Nickname</t>
        </is>
      </c>
      <c r="C1" s="6" t="inlineStr">
        <is>
          <t>School</t>
        </is>
      </c>
      <c r="D1" s="6" t="inlineStr">
        <is>
          <t>Rookie Year</t>
        </is>
      </c>
      <c r="E1" s="6" t="inlineStr">
        <is>
          <t>TBA Key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6" customHeight="1">
      <c r="A2" s="75" t="n">
        <v>20</v>
      </c>
      <c r="B2" t="inlineStr">
        <is>
          <t>The Rocketeers</t>
        </is>
      </c>
      <c r="C2" t="inlineStr">
        <is>
          <t>Shenendehowa High School</t>
        </is>
      </c>
      <c r="D2" t="n">
        <v>1992</v>
      </c>
      <c r="E2" t="inlineStr">
        <is>
          <t>frc20</t>
        </is>
      </c>
    </row>
    <row r="3" ht="16" customHeight="1">
      <c r="A3" s="75" t="n">
        <v>191</v>
      </c>
      <c r="B3" t="inlineStr">
        <is>
          <t>X-CATS</t>
        </is>
      </c>
      <c r="C3" t="inlineStr">
        <is>
          <t>Wilson Magnet High School</t>
        </is>
      </c>
      <c r="D3" t="n">
        <v>1992</v>
      </c>
      <c r="E3" t="inlineStr">
        <is>
          <t>frc191</t>
        </is>
      </c>
    </row>
    <row r="4" ht="16" customHeight="1">
      <c r="A4" s="75" t="n">
        <v>229</v>
      </c>
      <c r="B4" t="inlineStr">
        <is>
          <t>Division By Zero</t>
        </is>
      </c>
      <c r="C4" t="inlineStr">
        <is>
          <t>Norwood-Norfolk Sr High School &amp; Massena High School</t>
        </is>
      </c>
      <c r="D4" t="n">
        <v>1999</v>
      </c>
      <c r="E4" t="inlineStr">
        <is>
          <t>frc229</t>
        </is>
      </c>
    </row>
    <row r="5" ht="16" customHeight="1">
      <c r="A5" s="75" t="n">
        <v>250</v>
      </c>
      <c r="B5" t="inlineStr">
        <is>
          <t>The Dynamos</t>
        </is>
      </c>
      <c r="C5" t="inlineStr">
        <is>
          <t>Colonie Central High School</t>
        </is>
      </c>
      <c r="D5" t="n">
        <v>1999</v>
      </c>
      <c r="E5" t="inlineStr">
        <is>
          <t>frc250</t>
        </is>
      </c>
    </row>
    <row r="6" ht="16" customHeight="1">
      <c r="A6" s="75" t="n">
        <v>271</v>
      </c>
      <c r="B6" t="inlineStr">
        <is>
          <t>Mechanical Marauders</t>
        </is>
      </c>
      <c r="C6" t="inlineStr">
        <is>
          <t>Bay Shore High School</t>
        </is>
      </c>
      <c r="D6" t="n">
        <v>1999</v>
      </c>
      <c r="E6" t="inlineStr">
        <is>
          <t>frc271</t>
        </is>
      </c>
    </row>
    <row r="7" ht="16" customHeight="1">
      <c r="A7" s="75" t="n">
        <v>340</v>
      </c>
      <c r="B7" t="inlineStr">
        <is>
          <t>G.R.R. (Greater Rochester Robotics)</t>
        </is>
      </c>
      <c r="C7" t="inlineStr">
        <is>
          <t>Churchville Chili High School</t>
        </is>
      </c>
      <c r="D7" t="n">
        <v>2000</v>
      </c>
      <c r="E7" t="inlineStr">
        <is>
          <t>frc340</t>
        </is>
      </c>
    </row>
    <row r="8" ht="16" customHeight="1">
      <c r="A8" s="75" t="n">
        <v>378</v>
      </c>
      <c r="B8" t="inlineStr">
        <is>
          <t>The Circuit Stompers</t>
        </is>
      </c>
      <c r="C8" t="inlineStr">
        <is>
          <t>UAW 686</t>
        </is>
      </c>
      <c r="D8" t="n">
        <v>2000</v>
      </c>
      <c r="E8" t="inlineStr">
        <is>
          <t>frc378</t>
        </is>
      </c>
    </row>
    <row r="9" ht="16" customHeight="1">
      <c r="A9" s="75" t="n">
        <v>424</v>
      </c>
      <c r="B9" t="inlineStr">
        <is>
          <t>Rust Belt Robotics</t>
        </is>
      </c>
      <c r="C9" t="inlineStr">
        <is>
          <t>Churchville-Chili High School &amp; Bausch &amp; Lomb Incorporated</t>
        </is>
      </c>
      <c r="D9" t="n">
        <v>2000</v>
      </c>
      <c r="E9" t="inlineStr">
        <is>
          <t>frc424</t>
        </is>
      </c>
    </row>
    <row r="10" ht="16" customHeight="1">
      <c r="A10" s="75" t="n">
        <v>533</v>
      </c>
      <c r="B10" t="inlineStr">
        <is>
          <t>The PSIcotics</t>
        </is>
      </c>
      <c r="C10" t="inlineStr">
        <is>
          <t>Lindenhurst Senior High School</t>
        </is>
      </c>
      <c r="D10" t="n">
        <v>2001</v>
      </c>
      <c r="E10" t="inlineStr">
        <is>
          <t>frc533</t>
        </is>
      </c>
    </row>
    <row r="11" ht="16" customHeight="1">
      <c r="A11" s="75" t="n">
        <v>564</v>
      </c>
      <c r="B11" t="inlineStr">
        <is>
          <t>Longwood RoboLions</t>
        </is>
      </c>
      <c r="C11" t="inlineStr">
        <is>
          <t>Longwood High School</t>
        </is>
      </c>
      <c r="D11" t="n">
        <v>2001</v>
      </c>
      <c r="E11" t="inlineStr">
        <is>
          <t>frc564</t>
        </is>
      </c>
    </row>
    <row r="12" ht="16" customHeight="1">
      <c r="A12" s="75" t="n">
        <v>578</v>
      </c>
      <c r="B12" t="inlineStr">
        <is>
          <t>Fairport Robotics</t>
        </is>
      </c>
      <c r="C12" t="inlineStr">
        <is>
          <t>Fairport High School</t>
        </is>
      </c>
      <c r="D12" t="n">
        <v>2001</v>
      </c>
      <c r="E12" t="inlineStr">
        <is>
          <t>frc578</t>
        </is>
      </c>
    </row>
    <row r="13" ht="16" customHeight="1">
      <c r="A13" s="75" t="n">
        <v>639</v>
      </c>
      <c r="B13" t="inlineStr">
        <is>
          <t>Code Red Robotics</t>
        </is>
      </c>
      <c r="C13" t="inlineStr">
        <is>
          <t>Ithaca High School</t>
        </is>
      </c>
      <c r="D13" t="n">
        <v>2001</v>
      </c>
      <c r="E13" t="inlineStr">
        <is>
          <t>frc639</t>
        </is>
      </c>
    </row>
    <row r="14" ht="16" customHeight="1">
      <c r="A14" s="75" t="n">
        <v>695</v>
      </c>
      <c r="B14" t="inlineStr">
        <is>
          <t>Bison Robotics</t>
        </is>
      </c>
      <c r="C14" t="inlineStr">
        <is>
          <t>Beachwood High School</t>
        </is>
      </c>
      <c r="D14" t="n">
        <v>2001</v>
      </c>
      <c r="E14" t="inlineStr">
        <is>
          <t>frc695</t>
        </is>
      </c>
    </row>
    <row r="15" ht="16" customHeight="1">
      <c r="A15" s="75" t="n">
        <v>1126</v>
      </c>
      <c r="B15" t="inlineStr">
        <is>
          <t>SPARX</t>
        </is>
      </c>
      <c r="C15" t="inlineStr">
        <is>
          <t>Schroeder High School &amp; Webster Thomas High School</t>
        </is>
      </c>
      <c r="D15" t="n">
        <v>2003</v>
      </c>
      <c r="E15" t="inlineStr">
        <is>
          <t>frc1126</t>
        </is>
      </c>
    </row>
    <row r="16" ht="16" customHeight="1">
      <c r="A16" s="75" t="n">
        <v>1308</v>
      </c>
      <c r="B16" t="inlineStr">
        <is>
          <t>Saint Ignatius High School Robotics Team</t>
        </is>
      </c>
      <c r="C16" t="inlineStr">
        <is>
          <t>Saint Ignatius High School</t>
        </is>
      </c>
      <c r="D16" t="n">
        <v>2004</v>
      </c>
      <c r="E16" t="inlineStr">
        <is>
          <t>frc1308</t>
        </is>
      </c>
    </row>
    <row r="17" ht="16" customHeight="1">
      <c r="A17" s="75" t="n">
        <v>1405</v>
      </c>
      <c r="B17" t="inlineStr">
        <is>
          <t>Finney Falcons</t>
        </is>
      </c>
      <c r="C17" t="inlineStr">
        <is>
          <t>The Charles Finney School</t>
        </is>
      </c>
      <c r="D17" t="n">
        <v>2004</v>
      </c>
      <c r="E17" t="inlineStr">
        <is>
          <t>frc1405</t>
        </is>
      </c>
    </row>
    <row r="18" ht="16" customHeight="1">
      <c r="A18" s="75" t="n">
        <v>1507</v>
      </c>
      <c r="B18" t="inlineStr">
        <is>
          <t>Warlocks</t>
        </is>
      </c>
      <c r="C18" t="inlineStr">
        <is>
          <t>Lockport High School</t>
        </is>
      </c>
      <c r="D18" t="n">
        <v>2005</v>
      </c>
      <c r="E18" t="inlineStr">
        <is>
          <t>frc1507</t>
        </is>
      </c>
    </row>
    <row r="19" ht="16" customHeight="1">
      <c r="A19" s="75" t="n">
        <v>1511</v>
      </c>
      <c r="B19" t="inlineStr">
        <is>
          <t>Rolling Thunder</t>
        </is>
      </c>
      <c r="C19" t="inlineStr">
        <is>
          <t>Penfield High School</t>
        </is>
      </c>
      <c r="D19" t="n">
        <v>2005</v>
      </c>
      <c r="E19" t="inlineStr">
        <is>
          <t>frc1511</t>
        </is>
      </c>
    </row>
    <row r="20" ht="16" customHeight="1">
      <c r="A20" s="75" t="n">
        <v>1518</v>
      </c>
      <c r="B20" t="inlineStr">
        <is>
          <t>Raider Robotics</t>
        </is>
      </c>
      <c r="C20" t="inlineStr">
        <is>
          <t>Palmyra-Macedon High School</t>
        </is>
      </c>
      <c r="D20" t="n">
        <v>2005</v>
      </c>
      <c r="E20" t="inlineStr">
        <is>
          <t>frc1518</t>
        </is>
      </c>
    </row>
    <row r="21" ht="16" customHeight="1">
      <c r="A21" s="75" t="n">
        <v>1559</v>
      </c>
      <c r="B21" t="inlineStr">
        <is>
          <t>Devil Tech</t>
        </is>
      </c>
      <c r="C21" t="inlineStr">
        <is>
          <t>Victor High School</t>
        </is>
      </c>
      <c r="D21" t="n">
        <v>2005</v>
      </c>
      <c r="E21" t="inlineStr">
        <is>
          <t>frc1559</t>
        </is>
      </c>
    </row>
    <row r="22" ht="16" customHeight="1">
      <c r="A22" s="75" t="n">
        <v>1585</v>
      </c>
      <c r="B22" t="inlineStr">
        <is>
          <t>Scitobor Robotics</t>
        </is>
      </c>
      <c r="C22" t="inlineStr">
        <is>
          <t>Red Jacket High School</t>
        </is>
      </c>
      <c r="D22" t="n">
        <v>2005</v>
      </c>
      <c r="E22" t="inlineStr">
        <is>
          <t>frc1585</t>
        </is>
      </c>
    </row>
    <row r="23" ht="16" customHeight="1">
      <c r="A23" s="75" t="n">
        <v>1591</v>
      </c>
      <c r="B23" t="inlineStr">
        <is>
          <t>Greece Gladiators</t>
        </is>
      </c>
      <c r="C23" t="inlineStr">
        <is>
          <t>Odyssey Academy &amp; Athena High School &amp; Olympia High School &amp; Arcadia High School</t>
        </is>
      </c>
      <c r="D23" t="n">
        <v>2005</v>
      </c>
      <c r="E23" t="inlineStr">
        <is>
          <t>frc1591</t>
        </is>
      </c>
    </row>
    <row r="24" ht="16" customHeight="1">
      <c r="A24" s="75" t="n">
        <v>1787</v>
      </c>
      <c r="B24" t="inlineStr">
        <is>
          <t>The Flying Circuits</t>
        </is>
      </c>
      <c r="C24" t="inlineStr">
        <is>
          <t>Orange High School</t>
        </is>
      </c>
      <c r="D24" t="n">
        <v>2006</v>
      </c>
      <c r="E24" t="inlineStr">
        <is>
          <t>frc1787</t>
        </is>
      </c>
    </row>
    <row r="25" ht="16" customHeight="1">
      <c r="A25" s="75" t="n">
        <v>2010</v>
      </c>
      <c r="B25" t="inlineStr">
        <is>
          <t>The Lightning Bots</t>
        </is>
      </c>
      <c r="C25" t="inlineStr">
        <is>
          <t>Champion High School</t>
        </is>
      </c>
      <c r="D25" t="n">
        <v>2007</v>
      </c>
      <c r="E25" t="inlineStr">
        <is>
          <t>frc2010</t>
        </is>
      </c>
    </row>
    <row r="26" ht="16" customHeight="1">
      <c r="A26" s="75" t="n">
        <v>2228</v>
      </c>
      <c r="B26" t="inlineStr">
        <is>
          <t>CougarTech</t>
        </is>
      </c>
      <c r="C26" t="inlineStr">
        <is>
          <t>Honeoye Falls Lima High School &amp; Rush Henrietta Senior High Sch</t>
        </is>
      </c>
      <c r="D26" t="n">
        <v>2007</v>
      </c>
      <c r="E26" t="inlineStr">
        <is>
          <t>frc2228</t>
        </is>
      </c>
    </row>
    <row r="27" ht="16" customHeight="1">
      <c r="A27" s="75" t="n">
        <v>2252</v>
      </c>
      <c r="B27" t="inlineStr">
        <is>
          <t>The Mavericks</t>
        </is>
      </c>
      <c r="C27" t="inlineStr">
        <is>
          <t>Ehove Career Center</t>
        </is>
      </c>
      <c r="D27" t="n">
        <v>2007</v>
      </c>
      <c r="E27" t="inlineStr">
        <is>
          <t>frc2252</t>
        </is>
      </c>
    </row>
    <row r="28" ht="16" customHeight="1">
      <c r="A28" s="75" t="n">
        <v>2340</v>
      </c>
      <c r="B28" t="inlineStr">
        <is>
          <t>Xcentrics -Mercy Robotics</t>
        </is>
      </c>
      <c r="C28" t="inlineStr">
        <is>
          <t>Our Lady of Mercy School</t>
        </is>
      </c>
      <c r="D28" t="n">
        <v>2008</v>
      </c>
      <c r="E28" t="inlineStr">
        <is>
          <t>frc2340</t>
        </is>
      </c>
    </row>
    <row r="29" ht="16" customHeight="1">
      <c r="A29" s="75" t="n">
        <v>2614</v>
      </c>
      <c r="B29" t="inlineStr">
        <is>
          <t>Mountaineer Area RoboticS (MARS)</t>
        </is>
      </c>
      <c r="C29" t="inlineStr">
        <is>
          <t>MARS &amp; NASA</t>
        </is>
      </c>
      <c r="D29" t="n">
        <v>2008</v>
      </c>
      <c r="E29" t="inlineStr">
        <is>
          <t>frc2614</t>
        </is>
      </c>
    </row>
    <row r="30" ht="16" customHeight="1">
      <c r="A30" s="75" t="n">
        <v>2791</v>
      </c>
      <c r="B30" t="inlineStr">
        <is>
          <t>Shaker Robotics</t>
        </is>
      </c>
      <c r="C30" t="inlineStr">
        <is>
          <t>Shaker High School</t>
        </is>
      </c>
      <c r="D30" t="n">
        <v>2009</v>
      </c>
      <c r="E30" t="inlineStr">
        <is>
          <t>frc2791</t>
        </is>
      </c>
    </row>
    <row r="31" ht="16" customHeight="1">
      <c r="A31" s="75" t="n">
        <v>3003</v>
      </c>
      <c r="B31" t="inlineStr">
        <is>
          <t>TAN(X)</t>
        </is>
      </c>
      <c r="C31" t="inlineStr">
        <is>
          <t>Canandaigua Academy</t>
        </is>
      </c>
      <c r="D31" t="n">
        <v>2009</v>
      </c>
      <c r="E31" t="inlineStr">
        <is>
          <t>frc3003</t>
        </is>
      </c>
    </row>
    <row r="32" ht="16" customHeight="1">
      <c r="A32" s="75" t="n">
        <v>3004</v>
      </c>
      <c r="B32" t="inlineStr">
        <is>
          <t>Bx Quixote</t>
        </is>
      </c>
      <c r="C32" t="inlineStr">
        <is>
          <t>Bronx Engr &amp; Tech Academy</t>
        </is>
      </c>
      <c r="D32" t="n">
        <v>2009</v>
      </c>
      <c r="E32" t="inlineStr">
        <is>
          <t>frc3004</t>
        </is>
      </c>
    </row>
    <row r="33">
      <c r="A33" s="75" t="n">
        <v>3015</v>
      </c>
      <c r="B33" t="inlineStr">
        <is>
          <t>Ranger Robotics</t>
        </is>
      </c>
      <c r="C33" t="inlineStr">
        <is>
          <t>Spencerport High School</t>
        </is>
      </c>
      <c r="D33" t="n">
        <v>2009</v>
      </c>
      <c r="E33" t="inlineStr">
        <is>
          <t>frc3015</t>
        </is>
      </c>
    </row>
    <row r="34">
      <c r="A34" s="75" t="n">
        <v>3044</v>
      </c>
      <c r="B34" t="inlineStr">
        <is>
          <t>Team 0xBE4</t>
        </is>
      </c>
      <c r="C34" t="inlineStr">
        <is>
          <t>Ballston Spa High School</t>
        </is>
      </c>
      <c r="D34" t="n">
        <v>2009</v>
      </c>
      <c r="E34" t="inlineStr">
        <is>
          <t>frc3044</t>
        </is>
      </c>
    </row>
    <row r="35">
      <c r="A35" s="75" t="n">
        <v>3171</v>
      </c>
      <c r="B35" t="inlineStr">
        <is>
          <t>HURRICANES</t>
        </is>
      </c>
      <c r="C35" t="inlineStr">
        <is>
          <t>Westhampton Beach High School</t>
        </is>
      </c>
      <c r="D35" t="n">
        <v>2010</v>
      </c>
      <c r="E35" t="inlineStr">
        <is>
          <t>frc3171</t>
        </is>
      </c>
    </row>
    <row r="36">
      <c r="A36" s="75" t="n">
        <v>3173</v>
      </c>
      <c r="B36" t="inlineStr">
        <is>
          <t>IgKnighters</t>
        </is>
      </c>
      <c r="C36" t="inlineStr">
        <is>
          <t>McQuaid Jesuit High School</t>
        </is>
      </c>
      <c r="D36" t="n">
        <v>2010</v>
      </c>
      <c r="E36" t="inlineStr">
        <is>
          <t>frc3173</t>
        </is>
      </c>
    </row>
    <row r="37">
      <c r="A37" s="75" t="n">
        <v>3181</v>
      </c>
      <c r="B37" t="inlineStr">
        <is>
          <t>Pittsford Panthers</t>
        </is>
      </c>
      <c r="C37" t="inlineStr">
        <is>
          <t>Pittsford Sutherland High Sch &amp; Pittsford Mendon High School</t>
        </is>
      </c>
      <c r="D37" t="n">
        <v>2010</v>
      </c>
      <c r="E37" t="inlineStr">
        <is>
          <t>frc3181</t>
        </is>
      </c>
    </row>
    <row r="38">
      <c r="A38" s="75" t="n">
        <v>3799</v>
      </c>
      <c r="B38" t="inlineStr">
        <is>
          <t>Electric Fire</t>
        </is>
      </c>
      <c r="C38" t="inlineStr">
        <is>
          <t>Notre Dame High School</t>
        </is>
      </c>
      <c r="D38" t="n">
        <v>2011</v>
      </c>
      <c r="E38" t="inlineStr">
        <is>
          <t>frc3799</t>
        </is>
      </c>
    </row>
    <row r="39">
      <c r="A39" s="75" t="n">
        <v>3838</v>
      </c>
      <c r="B39" t="inlineStr">
        <is>
          <t>Roc City Robotix</t>
        </is>
      </c>
      <c r="C39" t="inlineStr">
        <is>
          <t>Edison Career and Technology High School</t>
        </is>
      </c>
      <c r="D39" t="n">
        <v>2011</v>
      </c>
      <c r="E39" t="inlineStr">
        <is>
          <t>frc3838</t>
        </is>
      </c>
    </row>
    <row r="40">
      <c r="A40" s="75" t="n">
        <v>3951</v>
      </c>
      <c r="B40" t="inlineStr">
        <is>
          <t>SUITS</t>
        </is>
      </c>
      <c r="C40" t="inlineStr">
        <is>
          <t>4-H</t>
        </is>
      </c>
      <c r="D40" t="n">
        <v>2012</v>
      </c>
      <c r="E40" t="inlineStr">
        <is>
          <t>frc3951</t>
        </is>
      </c>
    </row>
    <row r="41">
      <c r="A41" s="75" t="n">
        <v>4611</v>
      </c>
      <c r="B41" t="inlineStr">
        <is>
          <t>OZone</t>
        </is>
      </c>
      <c r="C41" t="inlineStr">
        <is>
          <t>Berlin High School &amp; Olentangy High School &amp; Orange High School &amp; Liberty High School</t>
        </is>
      </c>
      <c r="D41" t="n">
        <v>2013</v>
      </c>
      <c r="E41" t="inlineStr">
        <is>
          <t>frc4611</t>
        </is>
      </c>
    </row>
    <row r="42">
      <c r="A42" s="75" t="n">
        <v>4930</v>
      </c>
      <c r="B42" t="inlineStr">
        <is>
          <t>Electric Mayhem</t>
        </is>
      </c>
      <c r="C42" t="inlineStr">
        <is>
          <t>Nichols School</t>
        </is>
      </c>
      <c r="D42" t="n">
        <v>2014</v>
      </c>
      <c r="E42" t="inlineStr">
        <is>
          <t>frc4930</t>
        </is>
      </c>
    </row>
    <row r="43">
      <c r="A43" s="75" t="n">
        <v>5590</v>
      </c>
      <c r="B43" t="inlineStr">
        <is>
          <t>Alumiboti</t>
        </is>
      </c>
      <c r="C43" t="inlineStr">
        <is>
          <t>St Joseph Collegiate Institute</t>
        </is>
      </c>
      <c r="D43" t="n">
        <v>2015</v>
      </c>
      <c r="E43" t="inlineStr">
        <is>
          <t>frc5590</t>
        </is>
      </c>
    </row>
    <row r="44">
      <c r="A44" s="75" t="n">
        <v>5881</v>
      </c>
      <c r="B44" t="inlineStr">
        <is>
          <t>TVHS Dragons</t>
        </is>
      </c>
      <c r="C44" t="inlineStr">
        <is>
          <t>Tech Valley High School</t>
        </is>
      </c>
      <c r="D44" t="n">
        <v>2016</v>
      </c>
      <c r="E44" t="inlineStr">
        <is>
          <t>frc5881</t>
        </is>
      </c>
    </row>
    <row r="45">
      <c r="A45" s="75" t="n">
        <v>6621</v>
      </c>
      <c r="B45" t="inlineStr">
        <is>
          <t>Artemis</t>
        </is>
      </c>
      <c r="C45" t="inlineStr">
        <is>
          <t>Chatham High School</t>
        </is>
      </c>
      <c r="D45" t="n">
        <v>2017</v>
      </c>
      <c r="E45" t="inlineStr">
        <is>
          <t>frc6621</t>
        </is>
      </c>
    </row>
    <row r="46">
      <c r="A46" s="75" t="n">
        <v>6868</v>
      </c>
      <c r="B46" t="inlineStr">
        <is>
          <t>Cadet Robotics</t>
        </is>
      </c>
      <c r="C46" t="inlineStr">
        <is>
          <t>Hilton High School</t>
        </is>
      </c>
      <c r="D46" t="n">
        <v>2018</v>
      </c>
      <c r="E46" t="inlineStr">
        <is>
          <t>frc6868</t>
        </is>
      </c>
    </row>
    <row r="47">
      <c r="A47" s="75" t="n">
        <v>6911</v>
      </c>
      <c r="B47" t="inlineStr">
        <is>
          <t>SO BOTZ</t>
        </is>
      </c>
      <c r="C47" t="inlineStr">
        <is>
          <t>Tappan Zee High School</t>
        </is>
      </c>
      <c r="D47" t="n">
        <v>2018</v>
      </c>
      <c r="E47" t="inlineStr">
        <is>
          <t>frc6911</t>
        </is>
      </c>
    </row>
    <row r="48">
      <c r="A48" s="75" t="n">
        <v>7165</v>
      </c>
      <c r="B48" t="inlineStr">
        <is>
          <t>Perkins Pirates</t>
        </is>
      </c>
      <c r="C48" t="inlineStr">
        <is>
          <t>Perkins High School &amp; Family/Community</t>
        </is>
      </c>
      <c r="D48" t="n">
        <v>2018</v>
      </c>
      <c r="E48" t="inlineStr">
        <is>
          <t>frc7165</t>
        </is>
      </c>
    </row>
    <row r="49">
      <c r="A49" s="75" t="n">
        <v>7903</v>
      </c>
      <c r="B49" t="inlineStr">
        <is>
          <t>Tigers</t>
        </is>
      </c>
      <c r="C49" t="inlineStr">
        <is>
          <t>Rochester Prep High School</t>
        </is>
      </c>
      <c r="D49" t="n">
        <v>2019</v>
      </c>
      <c r="E49" t="inlineStr">
        <is>
          <t>frc7903</t>
        </is>
      </c>
    </row>
    <row r="50">
      <c r="A50" s="75" t="n">
        <v>8140</v>
      </c>
      <c r="B50" t="inlineStr">
        <is>
          <t>RoboManiacs</t>
        </is>
      </c>
      <c r="C50" t="inlineStr">
        <is>
          <t>Mc2 STEM Hs-Grt Lakes Sci Ctr</t>
        </is>
      </c>
      <c r="D50" t="n">
        <v>2020</v>
      </c>
      <c r="E50" t="inlineStr">
        <is>
          <t>frc8140</t>
        </is>
      </c>
    </row>
    <row r="51">
      <c r="A51" s="75" t="n">
        <v>8243</v>
      </c>
      <c r="B51" t="inlineStr">
        <is>
          <t>AstroCircuits</t>
        </is>
      </c>
      <c r="C51" t="inlineStr">
        <is>
          <t>John Marshall-Info Tech</t>
        </is>
      </c>
      <c r="D51" t="n">
        <v>2020</v>
      </c>
      <c r="E51" t="inlineStr">
        <is>
          <t>frc8243</t>
        </is>
      </c>
    </row>
    <row r="52">
      <c r="A52" s="75" t="n">
        <v>8393</v>
      </c>
      <c r="B52" t="inlineStr">
        <is>
          <t>The Giant Diencephalic BrainSTEM Robotics Team</t>
        </is>
      </c>
      <c r="C52" t="inlineStr">
        <is>
          <t>Family/Community</t>
        </is>
      </c>
      <c r="D52" t="n">
        <v>2020</v>
      </c>
      <c r="E52" t="inlineStr">
        <is>
          <t>frc8393</t>
        </is>
      </c>
    </row>
    <row r="53">
      <c r="A53" s="75" t="n">
        <v>9622</v>
      </c>
      <c r="B53" t="inlineStr">
        <is>
          <t>GRIDLOCK</t>
        </is>
      </c>
      <c r="C53" t="inlineStr">
        <is>
          <t>Garrett Morgan School</t>
        </is>
      </c>
      <c r="D53" t="n">
        <v>2024</v>
      </c>
      <c r="E53" t="inlineStr">
        <is>
          <t>frc9622</t>
        </is>
      </c>
    </row>
    <row r="54">
      <c r="A54" s="75" t="n">
        <v>9643</v>
      </c>
      <c r="B54" t="inlineStr">
        <is>
          <t>Lady Voltage</t>
        </is>
      </c>
      <c r="C54" t="inlineStr">
        <is>
          <t>John Adams Clg &amp; Career Acad &amp; Lincoln-West HS Global Studies &amp; Davis Aerospace &amp; Maritime HS &amp; JFK E3agle Academy &amp; Cleveland HS for Digital Arts &amp; Cleveland Early College HS &amp; James F Rhodes High School &amp; Int'L Newcomers Acad-Jefferson &amp; Facing History New Tech School &amp; Cleveland Sch of Science &amp; Med &amp; Cleveland Sch of Arch &amp; Design &amp; Mc2 STEM Hs-Grt Lakes Sci Ctr</t>
        </is>
      </c>
      <c r="D54" t="n">
        <v>2024</v>
      </c>
      <c r="E54" t="inlineStr">
        <is>
          <t>frc9643</t>
        </is>
      </c>
    </row>
    <row r="55">
      <c r="A55" s="75" t="n">
        <v>10223</v>
      </c>
      <c r="B55" t="inlineStr">
        <is>
          <t>Crimson Jewels</t>
        </is>
      </c>
      <c r="C55" t="inlineStr">
        <is>
          <t>James Monroe Upper School</t>
        </is>
      </c>
      <c r="D55" t="n">
        <v>2025</v>
      </c>
      <c r="E55" t="inlineStr">
        <is>
          <t>frc10223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outlineLevelCol="0"/>
  <cols>
    <col width="15" customWidth="1" min="1" max="1"/>
    <col width="25" customWidth="1" min="2" max="2"/>
    <col width="15" customWidth="1" min="3" max="8"/>
  </cols>
  <sheetData>
    <row r="1" ht="20" customHeight="1">
      <c r="A1" s="76" t="inlineStr">
        <is>
          <t>Match</t>
        </is>
      </c>
      <c r="B1" s="76" t="inlineStr">
        <is>
          <t>Start Time</t>
        </is>
      </c>
      <c r="C1" s="77" t="inlineStr">
        <is>
          <t>Blue-1</t>
        </is>
      </c>
      <c r="D1" s="77" t="inlineStr">
        <is>
          <t>Blue-2</t>
        </is>
      </c>
      <c r="E1" s="77" t="inlineStr">
        <is>
          <t>Blue-3</t>
        </is>
      </c>
      <c r="F1" s="78" t="inlineStr">
        <is>
          <t>Red-1</t>
        </is>
      </c>
      <c r="G1" s="78" t="inlineStr">
        <is>
          <t>Red-2</t>
        </is>
      </c>
      <c r="H1" s="78" t="inlineStr">
        <is>
          <t>Red-3</t>
        </is>
      </c>
    </row>
    <row r="2">
      <c r="A2" s="79" t="n">
        <v>1</v>
      </c>
      <c r="B2" s="79" t="inlineStr">
        <is>
          <t>2025-03-14 08:50:00</t>
        </is>
      </c>
      <c r="C2" s="79" t="n">
        <v>8243</v>
      </c>
      <c r="D2" s="79" t="n">
        <v>1518</v>
      </c>
      <c r="E2" s="79" t="n">
        <v>340</v>
      </c>
      <c r="F2" s="79" t="n">
        <v>8140</v>
      </c>
      <c r="G2" s="79" t="n">
        <v>1511</v>
      </c>
      <c r="H2" s="79" t="n">
        <v>1559</v>
      </c>
    </row>
    <row r="3">
      <c r="A3" s="79" t="n">
        <v>2</v>
      </c>
      <c r="B3" s="79" t="inlineStr">
        <is>
          <t>2025-03-14 08:58:00</t>
        </is>
      </c>
      <c r="C3" s="79" t="n">
        <v>3181</v>
      </c>
      <c r="D3" s="79" t="n">
        <v>20</v>
      </c>
      <c r="E3" s="79" t="n">
        <v>533</v>
      </c>
      <c r="F3" s="79" t="n">
        <v>3004</v>
      </c>
      <c r="G3" s="79" t="n">
        <v>4930</v>
      </c>
      <c r="H3" s="79" t="n">
        <v>6621</v>
      </c>
    </row>
    <row r="4">
      <c r="A4" s="79" t="n">
        <v>3</v>
      </c>
      <c r="B4" s="79" t="inlineStr">
        <is>
          <t>2025-03-14 09:06:00</t>
        </is>
      </c>
      <c r="C4" s="79" t="n">
        <v>2340</v>
      </c>
      <c r="D4" s="79" t="n">
        <v>3173</v>
      </c>
      <c r="E4" s="79" t="n">
        <v>9622</v>
      </c>
      <c r="F4" s="79" t="n">
        <v>250</v>
      </c>
      <c r="G4" s="79" t="n">
        <v>271</v>
      </c>
      <c r="H4" s="79" t="n">
        <v>695</v>
      </c>
    </row>
    <row r="5">
      <c r="A5" s="79" t="n">
        <v>4</v>
      </c>
      <c r="B5" s="79" t="inlineStr">
        <is>
          <t>2025-03-14 09:14:00</t>
        </is>
      </c>
      <c r="C5" s="79" t="n">
        <v>2791</v>
      </c>
      <c r="D5" s="79" t="n">
        <v>7903</v>
      </c>
      <c r="E5" s="79" t="n">
        <v>3003</v>
      </c>
      <c r="F5" s="79" t="n">
        <v>3044</v>
      </c>
      <c r="G5" s="79" t="n">
        <v>5881</v>
      </c>
      <c r="H5" s="79" t="n">
        <v>3171</v>
      </c>
    </row>
    <row r="6">
      <c r="A6" s="79" t="n">
        <v>5</v>
      </c>
      <c r="B6" s="79" t="inlineStr">
        <is>
          <t>2025-03-14 09:22:00</t>
        </is>
      </c>
      <c r="C6" s="79" t="n">
        <v>3951</v>
      </c>
      <c r="D6" s="79" t="n">
        <v>2614</v>
      </c>
      <c r="E6" s="79" t="n">
        <v>1126</v>
      </c>
      <c r="F6" s="79" t="n">
        <v>1591</v>
      </c>
      <c r="G6" s="79" t="n">
        <v>6911</v>
      </c>
      <c r="H6" s="79" t="n">
        <v>1585</v>
      </c>
    </row>
    <row r="7">
      <c r="A7" s="79" t="n">
        <v>6</v>
      </c>
      <c r="B7" s="79" t="inlineStr">
        <is>
          <t>2025-03-14 09:30:00</t>
        </is>
      </c>
      <c r="C7" s="79" t="n">
        <v>9643</v>
      </c>
      <c r="D7" s="79" t="n">
        <v>191</v>
      </c>
      <c r="E7" s="79" t="n">
        <v>2252</v>
      </c>
      <c r="F7" s="79" t="n">
        <v>2228</v>
      </c>
      <c r="G7" s="79" t="n">
        <v>424</v>
      </c>
      <c r="H7" s="79" t="n">
        <v>3015</v>
      </c>
    </row>
    <row r="8">
      <c r="A8" s="79" t="n">
        <v>7</v>
      </c>
      <c r="B8" s="79" t="inlineStr">
        <is>
          <t>2025-03-14 09:38:00</t>
        </is>
      </c>
      <c r="C8" s="79" t="n">
        <v>378</v>
      </c>
      <c r="D8" s="79" t="n">
        <v>639</v>
      </c>
      <c r="E8" s="79" t="n">
        <v>2010</v>
      </c>
      <c r="F8" s="79" t="n">
        <v>10223</v>
      </c>
      <c r="G8" s="79" t="n">
        <v>1787</v>
      </c>
      <c r="H8" s="79" t="n">
        <v>3838</v>
      </c>
    </row>
    <row r="9">
      <c r="A9" s="79" t="n">
        <v>8</v>
      </c>
      <c r="B9" s="79" t="inlineStr">
        <is>
          <t>2025-03-14 09:46:00</t>
        </is>
      </c>
      <c r="C9" s="79" t="n">
        <v>6868</v>
      </c>
      <c r="D9" s="79" t="n">
        <v>564</v>
      </c>
      <c r="E9" s="79" t="n">
        <v>5590</v>
      </c>
      <c r="F9" s="79" t="n">
        <v>229</v>
      </c>
      <c r="G9" s="79" t="n">
        <v>3799</v>
      </c>
      <c r="H9" s="79" t="n">
        <v>8393</v>
      </c>
    </row>
    <row r="10">
      <c r="A10" s="79" t="n">
        <v>9</v>
      </c>
      <c r="B10" s="79" t="inlineStr">
        <is>
          <t>2025-03-14 09:54:00</t>
        </is>
      </c>
      <c r="C10" s="79" t="n">
        <v>1405</v>
      </c>
      <c r="D10" s="79" t="n">
        <v>4611</v>
      </c>
      <c r="E10" s="79" t="n">
        <v>7165</v>
      </c>
      <c r="F10" s="79" t="n">
        <v>1308</v>
      </c>
      <c r="G10" s="79" t="n">
        <v>1507</v>
      </c>
      <c r="H10" s="79" t="n">
        <v>578</v>
      </c>
    </row>
    <row r="11">
      <c r="A11" s="79" t="n">
        <v>10</v>
      </c>
      <c r="B11" s="79" t="inlineStr">
        <is>
          <t>2025-03-14 10:02:00</t>
        </is>
      </c>
      <c r="C11" s="79" t="n">
        <v>6621</v>
      </c>
      <c r="D11" s="79" t="n">
        <v>1518</v>
      </c>
      <c r="E11" s="79" t="n">
        <v>3181</v>
      </c>
      <c r="F11" s="79" t="n">
        <v>3003</v>
      </c>
      <c r="G11" s="79" t="n">
        <v>3171</v>
      </c>
      <c r="H11" s="79" t="n">
        <v>271</v>
      </c>
    </row>
    <row r="12">
      <c r="A12" s="79" t="n">
        <v>11</v>
      </c>
      <c r="B12" s="79" t="inlineStr">
        <is>
          <t>2025-03-14 10:10:00</t>
        </is>
      </c>
      <c r="C12" s="79" t="n">
        <v>3004</v>
      </c>
      <c r="D12" s="79" t="n">
        <v>1591</v>
      </c>
      <c r="E12" s="79" t="n">
        <v>3173</v>
      </c>
      <c r="F12" s="79" t="n">
        <v>4930</v>
      </c>
      <c r="G12" s="79" t="n">
        <v>7903</v>
      </c>
      <c r="H12" s="79" t="n">
        <v>8243</v>
      </c>
    </row>
    <row r="13">
      <c r="A13" s="79" t="n">
        <v>12</v>
      </c>
      <c r="B13" s="79" t="inlineStr">
        <is>
          <t>2025-03-14 10:18:00</t>
        </is>
      </c>
      <c r="C13" s="79" t="n">
        <v>2614</v>
      </c>
      <c r="D13" s="79" t="n">
        <v>1559</v>
      </c>
      <c r="E13" s="79" t="n">
        <v>3044</v>
      </c>
      <c r="F13" s="79" t="n">
        <v>9643</v>
      </c>
      <c r="G13" s="79" t="n">
        <v>533</v>
      </c>
      <c r="H13" s="79" t="n">
        <v>3951</v>
      </c>
    </row>
    <row r="14">
      <c r="A14" s="79" t="n">
        <v>13</v>
      </c>
      <c r="B14" s="79" t="inlineStr">
        <is>
          <t>2025-03-14 10:26:00</t>
        </is>
      </c>
      <c r="C14" s="79" t="n">
        <v>424</v>
      </c>
      <c r="D14" s="79" t="n">
        <v>20</v>
      </c>
      <c r="E14" s="79" t="n">
        <v>2010</v>
      </c>
      <c r="F14" s="79" t="n">
        <v>2340</v>
      </c>
      <c r="G14" s="79" t="n">
        <v>3015</v>
      </c>
      <c r="H14" s="79" t="n">
        <v>1585</v>
      </c>
    </row>
    <row r="15">
      <c r="A15" s="79" t="n">
        <v>14</v>
      </c>
      <c r="B15" s="79" t="inlineStr">
        <is>
          <t>2025-03-14 10:34:00</t>
        </is>
      </c>
      <c r="C15" s="79" t="n">
        <v>695</v>
      </c>
      <c r="D15" s="79" t="n">
        <v>229</v>
      </c>
      <c r="E15" s="79" t="n">
        <v>8140</v>
      </c>
      <c r="F15" s="79" t="n">
        <v>2228</v>
      </c>
      <c r="G15" s="79" t="n">
        <v>639</v>
      </c>
      <c r="H15" s="79" t="n">
        <v>1787</v>
      </c>
    </row>
    <row r="16">
      <c r="A16" s="79" t="n">
        <v>15</v>
      </c>
      <c r="B16" s="79" t="inlineStr">
        <is>
          <t>2025-03-14 10:42:00</t>
        </is>
      </c>
      <c r="C16" s="79" t="n">
        <v>10223</v>
      </c>
      <c r="D16" s="79" t="n">
        <v>8393</v>
      </c>
      <c r="E16" s="79" t="n">
        <v>191</v>
      </c>
      <c r="F16" s="79" t="n">
        <v>1308</v>
      </c>
      <c r="G16" s="79" t="n">
        <v>9622</v>
      </c>
      <c r="H16" s="79" t="n">
        <v>6911</v>
      </c>
    </row>
    <row r="17">
      <c r="A17" s="79" t="n">
        <v>16</v>
      </c>
      <c r="B17" s="79" t="inlineStr">
        <is>
          <t>2025-03-14 10:50:00</t>
        </is>
      </c>
      <c r="C17" s="79" t="n">
        <v>1511</v>
      </c>
      <c r="D17" s="79" t="n">
        <v>7165</v>
      </c>
      <c r="E17" s="79" t="n">
        <v>5881</v>
      </c>
      <c r="F17" s="79" t="n">
        <v>3799</v>
      </c>
      <c r="G17" s="79" t="n">
        <v>4611</v>
      </c>
      <c r="H17" s="79" t="n">
        <v>564</v>
      </c>
    </row>
    <row r="18">
      <c r="A18" s="79" t="n">
        <v>17</v>
      </c>
      <c r="B18" s="79" t="inlineStr">
        <is>
          <t>2025-03-14 10:58:00</t>
        </is>
      </c>
      <c r="C18" s="79" t="n">
        <v>3838</v>
      </c>
      <c r="D18" s="79" t="n">
        <v>1405</v>
      </c>
      <c r="E18" s="79" t="n">
        <v>1507</v>
      </c>
      <c r="F18" s="79" t="n">
        <v>250</v>
      </c>
      <c r="G18" s="79" t="n">
        <v>2252</v>
      </c>
      <c r="H18" s="79" t="n">
        <v>340</v>
      </c>
    </row>
    <row r="19">
      <c r="A19" s="79" t="n">
        <v>18</v>
      </c>
      <c r="B19" s="79" t="inlineStr">
        <is>
          <t>2025-03-14 11:06:00</t>
        </is>
      </c>
      <c r="C19" s="79" t="n">
        <v>6868</v>
      </c>
      <c r="D19" s="79" t="n">
        <v>1126</v>
      </c>
      <c r="E19" s="79" t="n">
        <v>578</v>
      </c>
      <c r="F19" s="79" t="n">
        <v>378</v>
      </c>
      <c r="G19" s="79" t="n">
        <v>5590</v>
      </c>
      <c r="H19" s="79" t="n">
        <v>2791</v>
      </c>
    </row>
    <row r="20">
      <c r="A20" s="79" t="n">
        <v>19</v>
      </c>
      <c r="B20" s="79" t="inlineStr">
        <is>
          <t>2025-03-14 11:14:00</t>
        </is>
      </c>
      <c r="C20" s="79" t="n">
        <v>3003</v>
      </c>
      <c r="D20" s="79" t="n">
        <v>3951</v>
      </c>
      <c r="E20" s="79" t="n">
        <v>424</v>
      </c>
      <c r="F20" s="79" t="n">
        <v>2010</v>
      </c>
      <c r="G20" s="79" t="n">
        <v>271</v>
      </c>
      <c r="H20" s="79" t="n">
        <v>7903</v>
      </c>
    </row>
    <row r="21">
      <c r="A21" s="79" t="n">
        <v>20</v>
      </c>
      <c r="B21" s="79" t="inlineStr">
        <is>
          <t>2025-03-14 11:22:00</t>
        </is>
      </c>
      <c r="C21" s="79" t="n">
        <v>3015</v>
      </c>
      <c r="D21" s="79" t="n">
        <v>639</v>
      </c>
      <c r="E21" s="79" t="n">
        <v>229</v>
      </c>
      <c r="F21" s="79" t="n">
        <v>1559</v>
      </c>
      <c r="G21" s="79" t="n">
        <v>3171</v>
      </c>
      <c r="H21" s="79" t="n">
        <v>3173</v>
      </c>
    </row>
    <row r="22">
      <c r="A22" s="79" t="n">
        <v>21</v>
      </c>
      <c r="B22" s="79" t="inlineStr">
        <is>
          <t>2025-03-14 11:30:00</t>
        </is>
      </c>
      <c r="C22" s="79" t="n">
        <v>8393</v>
      </c>
      <c r="D22" s="79" t="n">
        <v>2228</v>
      </c>
      <c r="E22" s="79" t="n">
        <v>2614</v>
      </c>
      <c r="F22" s="79" t="n">
        <v>1787</v>
      </c>
      <c r="G22" s="79" t="n">
        <v>6621</v>
      </c>
      <c r="H22" s="79" t="n">
        <v>2340</v>
      </c>
    </row>
    <row r="23">
      <c r="A23" s="79" t="n">
        <v>22</v>
      </c>
      <c r="B23" s="79" t="inlineStr">
        <is>
          <t>2025-03-14 11:38:00</t>
        </is>
      </c>
      <c r="C23" s="79" t="n">
        <v>1591</v>
      </c>
      <c r="D23" s="79" t="n">
        <v>9643</v>
      </c>
      <c r="E23" s="79" t="n">
        <v>9622</v>
      </c>
      <c r="F23" s="79" t="n">
        <v>4611</v>
      </c>
      <c r="G23" s="79" t="n">
        <v>3181</v>
      </c>
      <c r="H23" s="79" t="n">
        <v>1511</v>
      </c>
    </row>
    <row r="24">
      <c r="A24" s="79" t="n">
        <v>23</v>
      </c>
      <c r="B24" s="79" t="inlineStr">
        <is>
          <t>2025-03-14 11:46:00</t>
        </is>
      </c>
      <c r="C24" s="79" t="n">
        <v>695</v>
      </c>
      <c r="D24" s="79" t="n">
        <v>1308</v>
      </c>
      <c r="E24" s="79" t="n">
        <v>1518</v>
      </c>
      <c r="F24" s="79" t="n">
        <v>3838</v>
      </c>
      <c r="G24" s="79" t="n">
        <v>564</v>
      </c>
      <c r="H24" s="79" t="n">
        <v>20</v>
      </c>
    </row>
    <row r="25">
      <c r="A25" s="79" t="n">
        <v>24</v>
      </c>
      <c r="B25" s="79" t="inlineStr">
        <is>
          <t>2025-03-14 11:54:00</t>
        </is>
      </c>
      <c r="C25" s="79" t="n">
        <v>5590</v>
      </c>
      <c r="D25" s="79" t="n">
        <v>6911</v>
      </c>
      <c r="E25" s="79" t="n">
        <v>10223</v>
      </c>
      <c r="F25" s="79" t="n">
        <v>1405</v>
      </c>
      <c r="G25" s="79" t="n">
        <v>3004</v>
      </c>
      <c r="H25" s="79" t="n">
        <v>3044</v>
      </c>
    </row>
    <row r="26">
      <c r="A26" s="79" t="n">
        <v>25</v>
      </c>
      <c r="B26" s="79" t="inlineStr">
        <is>
          <t>2025-03-14 13:00:00</t>
        </is>
      </c>
      <c r="C26" s="79" t="n">
        <v>533</v>
      </c>
      <c r="D26" s="79" t="n">
        <v>8243</v>
      </c>
      <c r="E26" s="79" t="n">
        <v>2791</v>
      </c>
      <c r="F26" s="79" t="n">
        <v>7165</v>
      </c>
      <c r="G26" s="79" t="n">
        <v>378</v>
      </c>
      <c r="H26" s="79" t="n">
        <v>2252</v>
      </c>
    </row>
    <row r="27">
      <c r="A27" s="79" t="n">
        <v>26</v>
      </c>
      <c r="B27" s="79" t="inlineStr">
        <is>
          <t>2025-03-14 13:08:00</t>
        </is>
      </c>
      <c r="C27" s="79" t="n">
        <v>578</v>
      </c>
      <c r="D27" s="79" t="n">
        <v>4930</v>
      </c>
      <c r="E27" s="79" t="n">
        <v>250</v>
      </c>
      <c r="F27" s="79" t="n">
        <v>8140</v>
      </c>
      <c r="G27" s="79" t="n">
        <v>1585</v>
      </c>
      <c r="H27" s="79" t="n">
        <v>6868</v>
      </c>
    </row>
    <row r="28">
      <c r="A28" s="79" t="n">
        <v>27</v>
      </c>
      <c r="B28" s="79" t="inlineStr">
        <is>
          <t>2025-03-14 13:16:00</t>
        </is>
      </c>
      <c r="C28" s="79" t="n">
        <v>5881</v>
      </c>
      <c r="D28" s="79" t="n">
        <v>1126</v>
      </c>
      <c r="E28" s="79" t="n">
        <v>3799</v>
      </c>
      <c r="F28" s="79" t="n">
        <v>1507</v>
      </c>
      <c r="G28" s="79" t="n">
        <v>340</v>
      </c>
      <c r="H28" s="79" t="n">
        <v>191</v>
      </c>
    </row>
    <row r="29">
      <c r="A29" s="79" t="n">
        <v>28</v>
      </c>
      <c r="B29" s="79" t="inlineStr">
        <is>
          <t>2025-03-14 13:24:00</t>
        </is>
      </c>
      <c r="C29" s="79" t="n">
        <v>1559</v>
      </c>
      <c r="D29" s="79" t="n">
        <v>229</v>
      </c>
      <c r="E29" s="79" t="n">
        <v>7903</v>
      </c>
      <c r="F29" s="79" t="n">
        <v>2010</v>
      </c>
      <c r="G29" s="79" t="n">
        <v>6621</v>
      </c>
      <c r="H29" s="79" t="n">
        <v>4611</v>
      </c>
    </row>
    <row r="30">
      <c r="A30" s="79" t="n">
        <v>29</v>
      </c>
      <c r="B30" s="79" t="inlineStr">
        <is>
          <t>2025-03-14 13:32:00</t>
        </is>
      </c>
      <c r="C30" s="79" t="n">
        <v>8393</v>
      </c>
      <c r="D30" s="79" t="n">
        <v>1308</v>
      </c>
      <c r="E30" s="79" t="n">
        <v>9643</v>
      </c>
      <c r="F30" s="79" t="n">
        <v>271</v>
      </c>
      <c r="G30" s="79" t="n">
        <v>3173</v>
      </c>
      <c r="H30" s="79" t="n">
        <v>639</v>
      </c>
    </row>
    <row r="31">
      <c r="A31" s="79" t="n">
        <v>30</v>
      </c>
      <c r="B31" s="79" t="inlineStr">
        <is>
          <t>2025-03-14 13:40:00</t>
        </is>
      </c>
      <c r="C31" s="79" t="n">
        <v>2340</v>
      </c>
      <c r="D31" s="79" t="n">
        <v>2228</v>
      </c>
      <c r="E31" s="79" t="n">
        <v>3838</v>
      </c>
      <c r="F31" s="79" t="n">
        <v>3951</v>
      </c>
      <c r="G31" s="79" t="n">
        <v>1511</v>
      </c>
      <c r="H31" s="79" t="n">
        <v>3004</v>
      </c>
    </row>
    <row r="32">
      <c r="A32" s="79" t="n">
        <v>31</v>
      </c>
      <c r="B32" s="79" t="inlineStr">
        <is>
          <t>2025-03-14 13:48:00</t>
        </is>
      </c>
      <c r="C32" s="79" t="n">
        <v>6911</v>
      </c>
      <c r="D32" s="79" t="n">
        <v>533</v>
      </c>
      <c r="E32" s="79" t="n">
        <v>1787</v>
      </c>
      <c r="F32" s="79" t="n">
        <v>3015</v>
      </c>
      <c r="G32" s="79" t="n">
        <v>5590</v>
      </c>
      <c r="H32" s="79" t="n">
        <v>1518</v>
      </c>
    </row>
    <row r="33">
      <c r="A33" s="79" t="n">
        <v>32</v>
      </c>
      <c r="B33" s="79" t="inlineStr">
        <is>
          <t>2025-03-14 13:56:00</t>
        </is>
      </c>
      <c r="C33" s="79" t="n">
        <v>3171</v>
      </c>
      <c r="D33" s="79" t="n">
        <v>8243</v>
      </c>
      <c r="E33" s="79" t="n">
        <v>2252</v>
      </c>
      <c r="F33" s="79" t="n">
        <v>20</v>
      </c>
      <c r="G33" s="79" t="n">
        <v>250</v>
      </c>
      <c r="H33" s="79" t="n">
        <v>1585</v>
      </c>
    </row>
    <row r="34">
      <c r="A34" s="79" t="n">
        <v>33</v>
      </c>
      <c r="B34" s="79" t="inlineStr">
        <is>
          <t>2025-03-14 14:04:00</t>
        </is>
      </c>
      <c r="C34" s="79" t="n">
        <v>9622</v>
      </c>
      <c r="D34" s="79" t="n">
        <v>5881</v>
      </c>
      <c r="E34" s="79" t="n">
        <v>340</v>
      </c>
      <c r="F34" s="79" t="n">
        <v>4930</v>
      </c>
      <c r="G34" s="79" t="n">
        <v>6868</v>
      </c>
      <c r="H34" s="79" t="n">
        <v>378</v>
      </c>
    </row>
    <row r="35">
      <c r="A35" s="79" t="n">
        <v>34</v>
      </c>
      <c r="B35" s="79" t="inlineStr">
        <is>
          <t>2025-03-14 14:12:00</t>
        </is>
      </c>
      <c r="C35" s="79" t="n">
        <v>7165</v>
      </c>
      <c r="D35" s="79" t="n">
        <v>3003</v>
      </c>
      <c r="E35" s="79" t="n">
        <v>564</v>
      </c>
      <c r="F35" s="79" t="n">
        <v>10223</v>
      </c>
      <c r="G35" s="79" t="n">
        <v>8140</v>
      </c>
      <c r="H35" s="79" t="n">
        <v>1591</v>
      </c>
    </row>
    <row r="36">
      <c r="A36" s="79" t="n">
        <v>35</v>
      </c>
      <c r="B36" s="79" t="inlineStr">
        <is>
          <t>2025-03-14 14:20:00</t>
        </is>
      </c>
      <c r="C36" s="79" t="n">
        <v>1405</v>
      </c>
      <c r="D36" s="79" t="n">
        <v>191</v>
      </c>
      <c r="E36" s="79" t="n">
        <v>695</v>
      </c>
      <c r="F36" s="79" t="n">
        <v>2614</v>
      </c>
      <c r="G36" s="79" t="n">
        <v>2791</v>
      </c>
      <c r="H36" s="79" t="n">
        <v>1507</v>
      </c>
    </row>
    <row r="37">
      <c r="A37" s="79" t="n">
        <v>36</v>
      </c>
      <c r="B37" s="79" t="inlineStr">
        <is>
          <t>2025-03-14 14:28:00</t>
        </is>
      </c>
      <c r="C37" s="79" t="n">
        <v>578</v>
      </c>
      <c r="D37" s="79" t="n">
        <v>3799</v>
      </c>
      <c r="E37" s="79" t="n">
        <v>3181</v>
      </c>
      <c r="F37" s="79" t="n">
        <v>1126</v>
      </c>
      <c r="G37" s="79" t="n">
        <v>3044</v>
      </c>
      <c r="H37" s="79" t="n">
        <v>424</v>
      </c>
    </row>
    <row r="38">
      <c r="A38" s="79" t="n">
        <v>37</v>
      </c>
      <c r="B38" s="79" t="inlineStr">
        <is>
          <t>2025-03-14 14:36:00</t>
        </is>
      </c>
      <c r="C38" s="79" t="n">
        <v>639</v>
      </c>
      <c r="D38" s="79" t="n">
        <v>9643</v>
      </c>
      <c r="E38" s="79" t="n">
        <v>2340</v>
      </c>
      <c r="F38" s="79" t="n">
        <v>1518</v>
      </c>
      <c r="G38" s="79" t="n">
        <v>7903</v>
      </c>
      <c r="H38" s="79" t="n">
        <v>533</v>
      </c>
    </row>
    <row r="39">
      <c r="A39" s="79" t="n">
        <v>38</v>
      </c>
      <c r="B39" s="79" t="inlineStr">
        <is>
          <t>2025-03-14 14:44:00</t>
        </is>
      </c>
      <c r="C39" s="79" t="n">
        <v>2010</v>
      </c>
      <c r="D39" s="79" t="n">
        <v>2228</v>
      </c>
      <c r="E39" s="79" t="n">
        <v>3951</v>
      </c>
      <c r="F39" s="79" t="n">
        <v>250</v>
      </c>
      <c r="G39" s="79" t="n">
        <v>4611</v>
      </c>
      <c r="H39" s="79" t="n">
        <v>1308</v>
      </c>
    </row>
    <row r="40">
      <c r="A40" s="79" t="n">
        <v>39</v>
      </c>
      <c r="B40" s="79" t="inlineStr">
        <is>
          <t>2025-03-14 14:52:00</t>
        </is>
      </c>
      <c r="C40" s="79" t="n">
        <v>6621</v>
      </c>
      <c r="D40" s="79" t="n">
        <v>1559</v>
      </c>
      <c r="E40" s="79" t="n">
        <v>8243</v>
      </c>
      <c r="F40" s="79" t="n">
        <v>4930</v>
      </c>
      <c r="G40" s="79" t="n">
        <v>5590</v>
      </c>
      <c r="H40" s="79" t="n">
        <v>5881</v>
      </c>
    </row>
    <row r="41">
      <c r="A41" s="79" t="n">
        <v>40</v>
      </c>
      <c r="B41" s="79" t="inlineStr">
        <is>
          <t>2025-03-14 15:00:00</t>
        </is>
      </c>
      <c r="C41" s="79" t="n">
        <v>1787</v>
      </c>
      <c r="D41" s="79" t="n">
        <v>378</v>
      </c>
      <c r="E41" s="79" t="n">
        <v>271</v>
      </c>
      <c r="F41" s="79" t="n">
        <v>2252</v>
      </c>
      <c r="G41" s="79" t="n">
        <v>564</v>
      </c>
      <c r="H41" s="79" t="n">
        <v>1591</v>
      </c>
    </row>
    <row r="42">
      <c r="A42" s="79" t="n">
        <v>41</v>
      </c>
      <c r="B42" s="79" t="inlineStr">
        <is>
          <t>2025-03-14 15:08:00</t>
        </is>
      </c>
      <c r="C42" s="79" t="n">
        <v>1507</v>
      </c>
      <c r="D42" s="79" t="n">
        <v>8140</v>
      </c>
      <c r="E42" s="79" t="n">
        <v>3004</v>
      </c>
      <c r="F42" s="79" t="n">
        <v>2791</v>
      </c>
      <c r="G42" s="79" t="n">
        <v>8393</v>
      </c>
      <c r="H42" s="79" t="n">
        <v>3015</v>
      </c>
    </row>
    <row r="43">
      <c r="A43" s="79" t="n">
        <v>42</v>
      </c>
      <c r="B43" s="79" t="inlineStr">
        <is>
          <t>2025-03-14 15:16:00</t>
        </is>
      </c>
      <c r="C43" s="79" t="n">
        <v>6911</v>
      </c>
      <c r="D43" s="79" t="n">
        <v>3181</v>
      </c>
      <c r="E43" s="79" t="n">
        <v>229</v>
      </c>
      <c r="F43" s="79" t="n">
        <v>578</v>
      </c>
      <c r="G43" s="79" t="n">
        <v>340</v>
      </c>
      <c r="H43" s="79" t="n">
        <v>3838</v>
      </c>
    </row>
    <row r="44">
      <c r="A44" s="79" t="n">
        <v>43</v>
      </c>
      <c r="B44" s="79" t="inlineStr">
        <is>
          <t>2025-03-14 15:24:00</t>
        </is>
      </c>
      <c r="C44" s="79" t="n">
        <v>3171</v>
      </c>
      <c r="D44" s="79" t="n">
        <v>424</v>
      </c>
      <c r="E44" s="79" t="n">
        <v>3799</v>
      </c>
      <c r="F44" s="79" t="n">
        <v>2614</v>
      </c>
      <c r="G44" s="79" t="n">
        <v>10223</v>
      </c>
      <c r="H44" s="79" t="n">
        <v>9622</v>
      </c>
    </row>
    <row r="45">
      <c r="A45" s="79" t="n">
        <v>44</v>
      </c>
      <c r="B45" s="79" t="inlineStr">
        <is>
          <t>2025-03-14 15:32:00</t>
        </is>
      </c>
      <c r="C45" s="79" t="n">
        <v>1585</v>
      </c>
      <c r="D45" s="79" t="n">
        <v>3044</v>
      </c>
      <c r="E45" s="79" t="n">
        <v>1511</v>
      </c>
      <c r="F45" s="79" t="n">
        <v>3173</v>
      </c>
      <c r="G45" s="79" t="n">
        <v>6868</v>
      </c>
      <c r="H45" s="79" t="n">
        <v>695</v>
      </c>
    </row>
    <row r="46">
      <c r="A46" s="79" t="n">
        <v>45</v>
      </c>
      <c r="B46" s="79" t="inlineStr">
        <is>
          <t>2025-03-14 15:40:00</t>
        </is>
      </c>
      <c r="C46" s="79" t="n">
        <v>191</v>
      </c>
      <c r="D46" s="79" t="n">
        <v>1126</v>
      </c>
      <c r="E46" s="79" t="n">
        <v>7165</v>
      </c>
      <c r="F46" s="79" t="n">
        <v>20</v>
      </c>
      <c r="G46" s="79" t="n">
        <v>1405</v>
      </c>
      <c r="H46" s="79" t="n">
        <v>3003</v>
      </c>
    </row>
    <row r="47">
      <c r="A47" s="79" t="n">
        <v>46</v>
      </c>
      <c r="B47" s="79" t="inlineStr">
        <is>
          <t>2025-03-14 15:48:00</t>
        </is>
      </c>
      <c r="C47" s="79" t="n">
        <v>5590</v>
      </c>
      <c r="D47" s="79" t="n">
        <v>1559</v>
      </c>
      <c r="E47" s="79" t="n">
        <v>4611</v>
      </c>
      <c r="F47" s="79" t="n">
        <v>271</v>
      </c>
      <c r="G47" s="79" t="n">
        <v>2252</v>
      </c>
      <c r="H47" s="79" t="n">
        <v>2340</v>
      </c>
    </row>
    <row r="48">
      <c r="A48" s="79" t="n">
        <v>47</v>
      </c>
      <c r="B48" s="79" t="inlineStr">
        <is>
          <t>2025-03-14 15:56:00</t>
        </is>
      </c>
      <c r="C48" s="79" t="n">
        <v>3015</v>
      </c>
      <c r="D48" s="79" t="n">
        <v>3951</v>
      </c>
      <c r="E48" s="79" t="n">
        <v>4930</v>
      </c>
      <c r="F48" s="79" t="n">
        <v>2791</v>
      </c>
      <c r="G48" s="79" t="n">
        <v>1308</v>
      </c>
      <c r="H48" s="79" t="n">
        <v>6621</v>
      </c>
    </row>
    <row r="49">
      <c r="A49" s="79" t="n">
        <v>48</v>
      </c>
      <c r="B49" s="79" t="inlineStr">
        <is>
          <t>2025-03-14 16:04:00</t>
        </is>
      </c>
      <c r="C49" s="79" t="n">
        <v>7903</v>
      </c>
      <c r="D49" s="79" t="n">
        <v>3181</v>
      </c>
      <c r="E49" s="79" t="n">
        <v>250</v>
      </c>
      <c r="F49" s="79" t="n">
        <v>564</v>
      </c>
      <c r="G49" s="79" t="n">
        <v>6911</v>
      </c>
      <c r="H49" s="79" t="n">
        <v>8393</v>
      </c>
    </row>
    <row r="50">
      <c r="A50" s="79" t="n">
        <v>49</v>
      </c>
      <c r="B50" s="79" t="inlineStr">
        <is>
          <t>2025-03-14 16:12:00</t>
        </is>
      </c>
      <c r="C50" s="79" t="n">
        <v>5881</v>
      </c>
      <c r="D50" s="79" t="n">
        <v>578</v>
      </c>
      <c r="E50" s="79" t="n">
        <v>2614</v>
      </c>
      <c r="F50" s="79" t="n">
        <v>9622</v>
      </c>
      <c r="G50" s="79" t="n">
        <v>3838</v>
      </c>
      <c r="H50" s="79" t="n">
        <v>1518</v>
      </c>
    </row>
    <row r="51">
      <c r="A51" s="79" t="n">
        <v>50</v>
      </c>
      <c r="B51" s="79" t="inlineStr">
        <is>
          <t>2025-03-14 16:20:00</t>
        </is>
      </c>
      <c r="C51" s="79" t="n">
        <v>3799</v>
      </c>
      <c r="D51" s="79" t="n">
        <v>340</v>
      </c>
      <c r="E51" s="79" t="n">
        <v>1591</v>
      </c>
      <c r="F51" s="79" t="n">
        <v>424</v>
      </c>
      <c r="G51" s="79" t="n">
        <v>695</v>
      </c>
      <c r="H51" s="79" t="n">
        <v>533</v>
      </c>
    </row>
    <row r="52">
      <c r="A52" s="79" t="n">
        <v>51</v>
      </c>
      <c r="B52" s="79" t="inlineStr">
        <is>
          <t>2025-03-14 16:28:00</t>
        </is>
      </c>
      <c r="C52" s="79" t="n">
        <v>3003</v>
      </c>
      <c r="D52" s="79" t="n">
        <v>6868</v>
      </c>
      <c r="E52" s="79" t="n">
        <v>10223</v>
      </c>
      <c r="F52" s="79" t="n">
        <v>8243</v>
      </c>
      <c r="G52" s="79" t="n">
        <v>1787</v>
      </c>
      <c r="H52" s="79" t="n">
        <v>9643</v>
      </c>
    </row>
    <row r="53">
      <c r="A53" s="79" t="n">
        <v>52</v>
      </c>
      <c r="B53" s="79" t="inlineStr">
        <is>
          <t>2025-03-14 16:36:00</t>
        </is>
      </c>
      <c r="C53" s="79" t="n">
        <v>3004</v>
      </c>
      <c r="D53" s="79" t="n">
        <v>1585</v>
      </c>
      <c r="E53" s="79" t="n">
        <v>7165</v>
      </c>
      <c r="F53" s="79" t="n">
        <v>191</v>
      </c>
      <c r="G53" s="79" t="n">
        <v>1511</v>
      </c>
      <c r="H53" s="79" t="n">
        <v>639</v>
      </c>
    </row>
    <row r="54">
      <c r="A54" s="79" t="n">
        <v>53</v>
      </c>
      <c r="B54" s="79" t="inlineStr">
        <is>
          <t>2025-03-14 16:44:00</t>
        </is>
      </c>
      <c r="C54" s="79" t="n">
        <v>3173</v>
      </c>
      <c r="D54" s="79" t="n">
        <v>2010</v>
      </c>
      <c r="E54" s="79" t="n">
        <v>8140</v>
      </c>
      <c r="F54" s="79" t="n">
        <v>1126</v>
      </c>
      <c r="G54" s="79" t="n">
        <v>1405</v>
      </c>
      <c r="H54" s="79" t="n">
        <v>3171</v>
      </c>
    </row>
    <row r="55">
      <c r="A55" s="79" t="n">
        <v>54</v>
      </c>
      <c r="B55" s="79" t="inlineStr">
        <is>
          <t>2025-03-14 16:52:00</t>
        </is>
      </c>
      <c r="C55" s="79" t="n">
        <v>3044</v>
      </c>
      <c r="D55" s="79" t="n">
        <v>378</v>
      </c>
      <c r="E55" s="79" t="n">
        <v>20</v>
      </c>
      <c r="F55" s="79" t="n">
        <v>229</v>
      </c>
      <c r="G55" s="79" t="n">
        <v>1507</v>
      </c>
      <c r="H55" s="79" t="n">
        <v>2228</v>
      </c>
    </row>
    <row r="56">
      <c r="A56" s="79" t="n">
        <v>55</v>
      </c>
      <c r="B56" s="79" t="inlineStr">
        <is>
          <t>2025-03-14 17:00:00</t>
        </is>
      </c>
      <c r="C56" s="79" t="n">
        <v>7903</v>
      </c>
      <c r="D56" s="79" t="n">
        <v>3951</v>
      </c>
      <c r="E56" s="79" t="n">
        <v>1308</v>
      </c>
      <c r="F56" s="79" t="n">
        <v>3181</v>
      </c>
      <c r="G56" s="79" t="n">
        <v>2252</v>
      </c>
      <c r="H56" s="79" t="n">
        <v>5590</v>
      </c>
    </row>
    <row r="57">
      <c r="A57" s="79" t="n">
        <v>56</v>
      </c>
      <c r="B57" s="79" t="inlineStr">
        <is>
          <t>2025-03-14 17:08:00</t>
        </is>
      </c>
      <c r="C57" s="79" t="n">
        <v>424</v>
      </c>
      <c r="D57" s="79" t="n">
        <v>1591</v>
      </c>
      <c r="E57" s="79" t="n">
        <v>2791</v>
      </c>
      <c r="F57" s="79" t="n">
        <v>1559</v>
      </c>
      <c r="G57" s="79" t="n">
        <v>3838</v>
      </c>
      <c r="H57" s="79" t="n">
        <v>3799</v>
      </c>
    </row>
    <row r="58">
      <c r="A58" s="79" t="n">
        <v>57</v>
      </c>
      <c r="B58" s="79" t="inlineStr">
        <is>
          <t>2025-03-14 17:16:00</t>
        </is>
      </c>
      <c r="C58" s="79" t="n">
        <v>533</v>
      </c>
      <c r="D58" s="79" t="n">
        <v>250</v>
      </c>
      <c r="E58" s="79" t="n">
        <v>3015</v>
      </c>
      <c r="F58" s="79" t="n">
        <v>695</v>
      </c>
      <c r="G58" s="79" t="n">
        <v>10223</v>
      </c>
      <c r="H58" s="79" t="n">
        <v>5881</v>
      </c>
    </row>
    <row r="59">
      <c r="A59" s="79" t="n">
        <v>58</v>
      </c>
      <c r="B59" s="79" t="inlineStr">
        <is>
          <t>2025-03-14 17:24:00</t>
        </is>
      </c>
      <c r="C59" s="79" t="n">
        <v>4611</v>
      </c>
      <c r="D59" s="79" t="n">
        <v>3003</v>
      </c>
      <c r="E59" s="79" t="n">
        <v>2614</v>
      </c>
      <c r="F59" s="79" t="n">
        <v>340</v>
      </c>
      <c r="G59" s="79" t="n">
        <v>3004</v>
      </c>
      <c r="H59" s="79" t="n">
        <v>639</v>
      </c>
    </row>
    <row r="60">
      <c r="A60" s="79" t="n">
        <v>59</v>
      </c>
      <c r="B60" s="79" t="inlineStr">
        <is>
          <t>2025-03-14 17:32:00</t>
        </is>
      </c>
      <c r="C60" s="79" t="n">
        <v>1787</v>
      </c>
      <c r="D60" s="79" t="n">
        <v>3171</v>
      </c>
      <c r="E60" s="79" t="n">
        <v>8393</v>
      </c>
      <c r="F60" s="79" t="n">
        <v>1511</v>
      </c>
      <c r="G60" s="79" t="n">
        <v>578</v>
      </c>
      <c r="H60" s="79" t="n">
        <v>1405</v>
      </c>
    </row>
    <row r="61">
      <c r="A61" s="79" t="n">
        <v>60</v>
      </c>
      <c r="B61" s="79" t="inlineStr">
        <is>
          <t>2025-03-15 08:50:00</t>
        </is>
      </c>
      <c r="C61" s="79" t="n">
        <v>8140</v>
      </c>
      <c r="D61" s="79" t="n">
        <v>191</v>
      </c>
      <c r="E61" s="79" t="n">
        <v>6621</v>
      </c>
      <c r="F61" s="79" t="n">
        <v>378</v>
      </c>
      <c r="G61" s="79" t="n">
        <v>9643</v>
      </c>
      <c r="H61" s="79" t="n">
        <v>3173</v>
      </c>
    </row>
    <row r="62">
      <c r="A62" s="79" t="n">
        <v>61</v>
      </c>
      <c r="B62" s="79" t="inlineStr">
        <is>
          <t>2025-03-15 08:58:00</t>
        </is>
      </c>
      <c r="C62" s="79" t="n">
        <v>6868</v>
      </c>
      <c r="D62" s="79" t="n">
        <v>271</v>
      </c>
      <c r="E62" s="79" t="n">
        <v>6911</v>
      </c>
      <c r="F62" s="79" t="n">
        <v>1507</v>
      </c>
      <c r="G62" s="79" t="n">
        <v>7165</v>
      </c>
      <c r="H62" s="79" t="n">
        <v>20</v>
      </c>
    </row>
    <row r="63">
      <c r="A63" s="79" t="n">
        <v>62</v>
      </c>
      <c r="B63" s="79" t="inlineStr">
        <is>
          <t>2025-03-15 09:06:00</t>
        </is>
      </c>
      <c r="C63" s="79" t="n">
        <v>1518</v>
      </c>
      <c r="D63" s="79" t="n">
        <v>2010</v>
      </c>
      <c r="E63" s="79" t="n">
        <v>564</v>
      </c>
      <c r="F63" s="79" t="n">
        <v>3044</v>
      </c>
      <c r="G63" s="79" t="n">
        <v>4930</v>
      </c>
      <c r="H63" s="79" t="n">
        <v>2228</v>
      </c>
    </row>
    <row r="64">
      <c r="A64" s="79" t="n">
        <v>63</v>
      </c>
      <c r="B64" s="79" t="inlineStr">
        <is>
          <t>2025-03-15 09:14:00</t>
        </is>
      </c>
      <c r="C64" s="79" t="n">
        <v>8243</v>
      </c>
      <c r="D64" s="79" t="n">
        <v>2340</v>
      </c>
      <c r="E64" s="79" t="n">
        <v>229</v>
      </c>
      <c r="F64" s="79" t="n">
        <v>1585</v>
      </c>
      <c r="G64" s="79" t="n">
        <v>9622</v>
      </c>
      <c r="H64" s="79" t="n">
        <v>1126</v>
      </c>
    </row>
    <row r="65">
      <c r="A65" s="79" t="n">
        <v>64</v>
      </c>
      <c r="B65" s="79" t="inlineStr">
        <is>
          <t>2025-03-15 09:22:00</t>
        </is>
      </c>
      <c r="C65" s="79" t="n">
        <v>7903</v>
      </c>
      <c r="D65" s="79" t="n">
        <v>10223</v>
      </c>
      <c r="E65" s="79" t="n">
        <v>3004</v>
      </c>
      <c r="F65" s="79" t="n">
        <v>340</v>
      </c>
      <c r="G65" s="79" t="n">
        <v>695</v>
      </c>
      <c r="H65" s="79" t="n">
        <v>1559</v>
      </c>
    </row>
    <row r="66">
      <c r="A66" s="79" t="n">
        <v>65</v>
      </c>
      <c r="B66" s="79" t="inlineStr">
        <is>
          <t>2025-03-15 09:30:00</t>
        </is>
      </c>
      <c r="C66" s="79" t="n">
        <v>639</v>
      </c>
      <c r="D66" s="79" t="n">
        <v>2791</v>
      </c>
      <c r="E66" s="79" t="n">
        <v>250</v>
      </c>
      <c r="F66" s="79" t="n">
        <v>5590</v>
      </c>
      <c r="G66" s="79" t="n">
        <v>424</v>
      </c>
      <c r="H66" s="79" t="n">
        <v>1511</v>
      </c>
    </row>
    <row r="67">
      <c r="A67" s="79" t="n">
        <v>66</v>
      </c>
      <c r="B67" s="79" t="inlineStr">
        <is>
          <t>2025-03-15 09:38:00</t>
        </is>
      </c>
      <c r="C67" s="79" t="n">
        <v>3173</v>
      </c>
      <c r="D67" s="79" t="n">
        <v>3015</v>
      </c>
      <c r="E67" s="79" t="n">
        <v>4611</v>
      </c>
      <c r="F67" s="79" t="n">
        <v>3181</v>
      </c>
      <c r="G67" s="79" t="n">
        <v>2614</v>
      </c>
      <c r="H67" s="79" t="n">
        <v>378</v>
      </c>
    </row>
    <row r="68">
      <c r="A68" s="79" t="n">
        <v>67</v>
      </c>
      <c r="B68" s="79" t="inlineStr">
        <is>
          <t>2025-03-15 09:46:00</t>
        </is>
      </c>
      <c r="C68" s="79" t="n">
        <v>5881</v>
      </c>
      <c r="D68" s="79" t="n">
        <v>20</v>
      </c>
      <c r="E68" s="79" t="n">
        <v>9643</v>
      </c>
      <c r="F68" s="79" t="n">
        <v>3951</v>
      </c>
      <c r="G68" s="79" t="n">
        <v>1787</v>
      </c>
      <c r="H68" s="79" t="n">
        <v>578</v>
      </c>
    </row>
    <row r="69">
      <c r="A69" s="79" t="n">
        <v>68</v>
      </c>
      <c r="B69" s="79" t="inlineStr">
        <is>
          <t>2025-03-15 09:54:00</t>
        </is>
      </c>
      <c r="C69" s="79" t="n">
        <v>6911</v>
      </c>
      <c r="D69" s="79" t="n">
        <v>1518</v>
      </c>
      <c r="E69" s="79" t="n">
        <v>1507</v>
      </c>
      <c r="F69" s="79" t="n">
        <v>1591</v>
      </c>
      <c r="G69" s="79" t="n">
        <v>2010</v>
      </c>
      <c r="H69" s="79" t="n">
        <v>1308</v>
      </c>
    </row>
    <row r="70">
      <c r="A70" s="79" t="n">
        <v>69</v>
      </c>
      <c r="B70" s="79" t="inlineStr">
        <is>
          <t>2025-03-15 10:02:00</t>
        </is>
      </c>
      <c r="C70" s="79" t="n">
        <v>2252</v>
      </c>
      <c r="D70" s="79" t="n">
        <v>8393</v>
      </c>
      <c r="E70" s="79" t="n">
        <v>4930</v>
      </c>
      <c r="F70" s="79" t="n">
        <v>1126</v>
      </c>
      <c r="G70" s="79" t="n">
        <v>229</v>
      </c>
      <c r="H70" s="79" t="n">
        <v>3003</v>
      </c>
    </row>
    <row r="71">
      <c r="A71" s="79" t="n">
        <v>70</v>
      </c>
      <c r="B71" s="79" t="inlineStr">
        <is>
          <t>2025-03-15 10:10:00</t>
        </is>
      </c>
      <c r="C71" s="79" t="n">
        <v>271</v>
      </c>
      <c r="D71" s="79" t="n">
        <v>1585</v>
      </c>
      <c r="E71" s="79" t="n">
        <v>2228</v>
      </c>
      <c r="F71" s="79" t="n">
        <v>533</v>
      </c>
      <c r="G71" s="79" t="n">
        <v>3799</v>
      </c>
      <c r="H71" s="79" t="n">
        <v>1405</v>
      </c>
    </row>
    <row r="72">
      <c r="A72" s="79" t="n">
        <v>71</v>
      </c>
      <c r="B72" s="79" t="inlineStr">
        <is>
          <t>2025-03-15 10:18:00</t>
        </is>
      </c>
      <c r="C72" s="79" t="n">
        <v>564</v>
      </c>
      <c r="D72" s="79" t="n">
        <v>2340</v>
      </c>
      <c r="E72" s="79" t="n">
        <v>3171</v>
      </c>
      <c r="F72" s="79" t="n">
        <v>191</v>
      </c>
      <c r="G72" s="79" t="n">
        <v>8243</v>
      </c>
      <c r="H72" s="79" t="n">
        <v>6868</v>
      </c>
    </row>
    <row r="73">
      <c r="A73" s="79" t="n">
        <v>72</v>
      </c>
      <c r="B73" s="79" t="inlineStr">
        <is>
          <t>2025-03-15 10:26:00</t>
        </is>
      </c>
      <c r="C73" s="79" t="n">
        <v>6621</v>
      </c>
      <c r="D73" s="79" t="n">
        <v>3838</v>
      </c>
      <c r="E73" s="79" t="n">
        <v>3044</v>
      </c>
      <c r="F73" s="79" t="n">
        <v>7165</v>
      </c>
      <c r="G73" s="79" t="n">
        <v>9622</v>
      </c>
      <c r="H73" s="79" t="n">
        <v>8140</v>
      </c>
    </row>
    <row r="74">
      <c r="A74" s="79" t="n">
        <v>73</v>
      </c>
      <c r="B74" s="79" t="inlineStr">
        <is>
          <t>2025-03-15 10:34:00</t>
        </is>
      </c>
      <c r="C74" s="79" t="n">
        <v>1511</v>
      </c>
      <c r="D74" s="79" t="n">
        <v>250</v>
      </c>
      <c r="E74" s="79" t="n">
        <v>378</v>
      </c>
      <c r="F74" s="79" t="n">
        <v>20</v>
      </c>
      <c r="G74" s="79" t="n">
        <v>2614</v>
      </c>
      <c r="H74" s="79" t="n">
        <v>7903</v>
      </c>
    </row>
    <row r="75">
      <c r="A75" s="79" t="n">
        <v>74</v>
      </c>
      <c r="B75" s="79" t="inlineStr">
        <is>
          <t>2025-03-15 10:42:00</t>
        </is>
      </c>
      <c r="C75" s="79" t="n">
        <v>340</v>
      </c>
      <c r="D75" s="79" t="n">
        <v>3173</v>
      </c>
      <c r="E75" s="79" t="n">
        <v>10223</v>
      </c>
      <c r="F75" s="79" t="n">
        <v>1518</v>
      </c>
      <c r="G75" s="79" t="n">
        <v>2791</v>
      </c>
      <c r="H75" s="79" t="n">
        <v>3951</v>
      </c>
    </row>
    <row r="76">
      <c r="A76" s="79" t="n">
        <v>75</v>
      </c>
      <c r="B76" s="79" t="inlineStr">
        <is>
          <t>2025-03-15 10:50:00</t>
        </is>
      </c>
      <c r="C76" s="79" t="n">
        <v>1308</v>
      </c>
      <c r="D76" s="79" t="n">
        <v>3004</v>
      </c>
      <c r="E76" s="79" t="n">
        <v>424</v>
      </c>
      <c r="F76" s="79" t="n">
        <v>229</v>
      </c>
      <c r="G76" s="79" t="n">
        <v>5881</v>
      </c>
      <c r="H76" s="79" t="n">
        <v>1787</v>
      </c>
    </row>
    <row r="77">
      <c r="A77" s="79" t="n">
        <v>76</v>
      </c>
      <c r="B77" s="79" t="inlineStr">
        <is>
          <t>2025-03-15 10:58:00</t>
        </is>
      </c>
      <c r="C77" s="79" t="n">
        <v>1585</v>
      </c>
      <c r="D77" s="79" t="n">
        <v>1507</v>
      </c>
      <c r="E77" s="79" t="n">
        <v>1559</v>
      </c>
      <c r="F77" s="79" t="n">
        <v>2228</v>
      </c>
      <c r="G77" s="79" t="n">
        <v>3003</v>
      </c>
      <c r="H77" s="79" t="n">
        <v>3181</v>
      </c>
    </row>
    <row r="78">
      <c r="A78" s="79" t="n">
        <v>77</v>
      </c>
      <c r="B78" s="79" t="inlineStr">
        <is>
          <t>2025-03-15 11:06:00</t>
        </is>
      </c>
      <c r="C78" s="79" t="n">
        <v>4611</v>
      </c>
      <c r="D78" s="79" t="n">
        <v>533</v>
      </c>
      <c r="E78" s="79" t="n">
        <v>191</v>
      </c>
      <c r="F78" s="79" t="n">
        <v>8393</v>
      </c>
      <c r="G78" s="79" t="n">
        <v>578</v>
      </c>
      <c r="H78" s="79" t="n">
        <v>8243</v>
      </c>
    </row>
    <row r="79">
      <c r="A79" s="79" t="n">
        <v>78</v>
      </c>
      <c r="B79" s="79" t="inlineStr">
        <is>
          <t>2025-03-15 11:14:00</t>
        </is>
      </c>
      <c r="C79" s="79" t="n">
        <v>2252</v>
      </c>
      <c r="D79" s="79" t="n">
        <v>6621</v>
      </c>
      <c r="E79" s="79" t="n">
        <v>1405</v>
      </c>
      <c r="F79" s="79" t="n">
        <v>639</v>
      </c>
      <c r="G79" s="79" t="n">
        <v>1591</v>
      </c>
      <c r="H79" s="79" t="n">
        <v>6868</v>
      </c>
    </row>
    <row r="80">
      <c r="A80" s="79" t="n">
        <v>79</v>
      </c>
      <c r="B80" s="79" t="inlineStr">
        <is>
          <t>2025-03-15 11:22:00</t>
        </is>
      </c>
      <c r="C80" s="79" t="n">
        <v>9622</v>
      </c>
      <c r="D80" s="79" t="n">
        <v>695</v>
      </c>
      <c r="E80" s="79" t="n">
        <v>5590</v>
      </c>
      <c r="F80" s="79" t="n">
        <v>9643</v>
      </c>
      <c r="G80" s="79" t="n">
        <v>7165</v>
      </c>
      <c r="H80" s="79" t="n">
        <v>2010</v>
      </c>
    </row>
    <row r="81">
      <c r="A81" s="79" t="n">
        <v>80</v>
      </c>
      <c r="B81" s="79" t="inlineStr">
        <is>
          <t>2025-03-15 11:30:00</t>
        </is>
      </c>
      <c r="C81" s="79" t="n">
        <v>3171</v>
      </c>
      <c r="D81" s="79" t="n">
        <v>8140</v>
      </c>
      <c r="E81" s="79" t="n">
        <v>4930</v>
      </c>
      <c r="F81" s="79" t="n">
        <v>3799</v>
      </c>
      <c r="G81" s="79" t="n">
        <v>2340</v>
      </c>
      <c r="H81" s="79" t="n">
        <v>6911</v>
      </c>
    </row>
    <row r="82">
      <c r="A82" s="79" t="n">
        <v>81</v>
      </c>
      <c r="B82" s="79" t="inlineStr">
        <is>
          <t>2025-03-15 11:38:00</t>
        </is>
      </c>
      <c r="C82" s="79" t="n">
        <v>3838</v>
      </c>
      <c r="D82" s="79" t="n">
        <v>3015</v>
      </c>
      <c r="E82" s="79" t="n">
        <v>1126</v>
      </c>
      <c r="F82" s="79" t="n">
        <v>564</v>
      </c>
      <c r="G82" s="79" t="n">
        <v>3044</v>
      </c>
      <c r="H82" s="79" t="n">
        <v>271</v>
      </c>
    </row>
  </sheetData>
  <autoFilter ref="A1:H1"/>
  <conditionalFormatting sqref="C2:H1000">
    <cfRule type="expression" priority="1" dxfId="2">
      <formula>=COUNTIF(MatchScoutingData!$A$2:$A$1000,CONCATENATE($A2,".",C$1)) = 1</formula>
    </cfRule>
    <cfRule type="expression" priority="2" dxfId="3">
      <formula>=COUNTIF(MatchScoutingData!$A$2:$A$1000,CONCATENATE($A2,".",C$1)) &gt; 1</formula>
    </cfRule>
  </conditionalFormatting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7"/>
  <sheetViews>
    <sheetView zoomScale="150" zoomScaleNormal="15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R4" sqref="R4"/>
    </sheetView>
  </sheetViews>
  <sheetFormatPr baseColWidth="10" defaultColWidth="8.83203125" defaultRowHeight="15" outlineLevelCol="0"/>
  <cols>
    <col width="5.6640625" customWidth="1" min="2" max="45"/>
  </cols>
  <sheetData>
    <row r="1" ht="17" customHeight="1" thickBot="1">
      <c r="A1" s="7" t="n"/>
      <c r="B1" s="7" t="n"/>
      <c r="C1" s="63" t="inlineStr">
        <is>
          <t>Auto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64" t="n"/>
      <c r="R1" s="65" t="inlineStr">
        <is>
          <t>Teleop</t>
        </is>
      </c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64" t="n"/>
      <c r="AF1" s="66" t="inlineStr">
        <is>
          <t>Endgame</t>
        </is>
      </c>
      <c r="AG1" s="55" t="n"/>
      <c r="AH1" s="55" t="n"/>
      <c r="AI1" s="55" t="n"/>
      <c r="AJ1" s="55" t="n"/>
      <c r="AK1" s="55" t="n"/>
      <c r="AL1" s="55" t="n"/>
      <c r="AM1" s="64" t="n"/>
      <c r="AN1" s="67" t="inlineStr">
        <is>
          <t>Points</t>
        </is>
      </c>
      <c r="AO1" s="68" t="n"/>
      <c r="AP1" s="33" t="inlineStr">
        <is>
          <t>Ranking Points</t>
        </is>
      </c>
    </row>
    <row r="2" ht="17" customHeight="1" thickBot="1">
      <c r="A2" s="8" t="n"/>
      <c r="B2" s="8" t="n"/>
      <c r="C2" s="63" t="inlineStr">
        <is>
          <t>Scores</t>
        </is>
      </c>
      <c r="D2" s="55" t="n"/>
      <c r="E2" s="55" t="n"/>
      <c r="F2" s="55" t="n"/>
      <c r="G2" s="55" t="n"/>
      <c r="H2" s="64" t="n"/>
      <c r="I2" s="63" t="inlineStr">
        <is>
          <t>Points</t>
        </is>
      </c>
      <c r="J2" s="55" t="n"/>
      <c r="K2" s="55" t="n"/>
      <c r="L2" s="55" t="n"/>
      <c r="M2" s="55" t="n"/>
      <c r="N2" s="55" t="n"/>
      <c r="O2" s="55" t="n"/>
      <c r="P2" s="55" t="n"/>
      <c r="Q2" s="64" t="n"/>
      <c r="R2" s="65" t="inlineStr">
        <is>
          <t>Scores</t>
        </is>
      </c>
      <c r="S2" s="55" t="n"/>
      <c r="T2" s="55" t="n"/>
      <c r="U2" s="55" t="n"/>
      <c r="V2" s="55" t="n"/>
      <c r="W2" s="64" t="n"/>
      <c r="X2" s="65" t="inlineStr">
        <is>
          <t>Points</t>
        </is>
      </c>
      <c r="Y2" s="55" t="n"/>
      <c r="Z2" s="55" t="n"/>
      <c r="AA2" s="55" t="n"/>
      <c r="AB2" s="55" t="n"/>
      <c r="AC2" s="55" t="n"/>
      <c r="AD2" s="55" t="n"/>
      <c r="AE2" s="64" t="n"/>
      <c r="AF2" s="66" t="inlineStr">
        <is>
          <t>Scores</t>
        </is>
      </c>
      <c r="AG2" s="55" t="n"/>
      <c r="AH2" s="64" t="n"/>
      <c r="AI2" s="66" t="inlineStr">
        <is>
          <t>Points</t>
        </is>
      </c>
      <c r="AJ2" s="55" t="n"/>
      <c r="AK2" s="55" t="n"/>
      <c r="AL2" s="55" t="n"/>
      <c r="AM2" s="64" t="n"/>
      <c r="AN2" s="69" t="n"/>
      <c r="AO2" s="70" t="n"/>
      <c r="AP2" s="71" t="n"/>
    </row>
    <row r="3" ht="56" customHeight="1" thickBot="1">
      <c r="A3" s="9" t="inlineStr">
        <is>
          <t>Team</t>
        </is>
      </c>
      <c r="B3" s="9" t="inlineStr">
        <is>
          <t># Scouted</t>
        </is>
      </c>
      <c r="C3" s="13" t="inlineStr">
        <is>
          <t>L4</t>
        </is>
      </c>
      <c r="D3" s="13" t="inlineStr">
        <is>
          <t>L3</t>
        </is>
      </c>
      <c r="E3" s="13" t="inlineStr">
        <is>
          <t>L2</t>
        </is>
      </c>
      <c r="F3" s="13" t="inlineStr">
        <is>
          <t>L1</t>
        </is>
      </c>
      <c r="G3" s="13" t="inlineStr">
        <is>
          <t>Processor</t>
        </is>
      </c>
      <c r="H3" s="13" t="inlineStr">
        <is>
          <t>Net</t>
        </is>
      </c>
      <c r="I3" s="14" t="inlineStr">
        <is>
          <t>L4</t>
        </is>
      </c>
      <c r="J3" s="13" t="inlineStr">
        <is>
          <t>L3</t>
        </is>
      </c>
      <c r="K3" s="13" t="inlineStr">
        <is>
          <t>L2</t>
        </is>
      </c>
      <c r="L3" s="13" t="inlineStr">
        <is>
          <t>L1</t>
        </is>
      </c>
      <c r="M3" s="13" t="inlineStr">
        <is>
          <t>Processor</t>
        </is>
      </c>
      <c r="N3" s="13" t="inlineStr">
        <is>
          <t>Net</t>
        </is>
      </c>
      <c r="O3" s="13" t="inlineStr">
        <is>
          <t>Leave</t>
        </is>
      </c>
      <c r="P3" s="13" t="inlineStr">
        <is>
          <t>Total</t>
        </is>
      </c>
      <c r="Q3" s="13" t="inlineStr">
        <is>
          <t>Average</t>
        </is>
      </c>
      <c r="R3" s="21" t="inlineStr">
        <is>
          <t>L4</t>
        </is>
      </c>
      <c r="S3" s="21" t="inlineStr">
        <is>
          <t>L3</t>
        </is>
      </c>
      <c r="T3" s="21" t="inlineStr">
        <is>
          <t>L2</t>
        </is>
      </c>
      <c r="U3" s="21" t="inlineStr">
        <is>
          <t>L1</t>
        </is>
      </c>
      <c r="V3" s="10" t="inlineStr">
        <is>
          <t>Processor</t>
        </is>
      </c>
      <c r="W3" s="10" t="inlineStr">
        <is>
          <t>Net</t>
        </is>
      </c>
      <c r="X3" s="21" t="inlineStr">
        <is>
          <t>L4</t>
        </is>
      </c>
      <c r="Y3" s="21" t="inlineStr">
        <is>
          <t>L3</t>
        </is>
      </c>
      <c r="Z3" s="21" t="inlineStr">
        <is>
          <t>L2</t>
        </is>
      </c>
      <c r="AA3" s="21" t="inlineStr">
        <is>
          <t>L1</t>
        </is>
      </c>
      <c r="AB3" s="10" t="inlineStr">
        <is>
          <t>Processor</t>
        </is>
      </c>
      <c r="AC3" s="10" t="inlineStr">
        <is>
          <t>Net</t>
        </is>
      </c>
      <c r="AD3" s="10" t="inlineStr">
        <is>
          <t>Total</t>
        </is>
      </c>
      <c r="AE3" s="10" t="inlineStr">
        <is>
          <t>Average</t>
        </is>
      </c>
      <c r="AF3" s="15" t="inlineStr">
        <is>
          <t>Park</t>
        </is>
      </c>
      <c r="AG3" s="15" t="inlineStr">
        <is>
          <t>Shallow</t>
        </is>
      </c>
      <c r="AH3" s="15" t="inlineStr">
        <is>
          <t>Deep</t>
        </is>
      </c>
      <c r="AI3" s="15" t="inlineStr">
        <is>
          <t>Park</t>
        </is>
      </c>
      <c r="AJ3" s="15" t="inlineStr">
        <is>
          <t>Shallow</t>
        </is>
      </c>
      <c r="AK3" s="15" t="inlineStr">
        <is>
          <t>Deep</t>
        </is>
      </c>
      <c r="AL3" s="11" t="inlineStr">
        <is>
          <t>Total</t>
        </is>
      </c>
      <c r="AM3" s="11" t="inlineStr">
        <is>
          <t>Average</t>
        </is>
      </c>
      <c r="AN3" s="12" t="inlineStr">
        <is>
          <t>Total</t>
        </is>
      </c>
      <c r="AO3" s="12" t="inlineStr">
        <is>
          <t>Average</t>
        </is>
      </c>
      <c r="AP3" s="1" t="inlineStr">
        <is>
          <t>Auto</t>
        </is>
      </c>
      <c r="AQ3" s="1" t="inlineStr">
        <is>
          <t>Coral</t>
        </is>
      </c>
      <c r="AR3" s="1" t="inlineStr">
        <is>
          <t>Barge</t>
        </is>
      </c>
      <c r="AS3" s="1" t="inlineStr">
        <is>
          <t>Total</t>
        </is>
      </c>
    </row>
    <row r="4">
      <c r="A4" s="80" t="n">
        <v>20</v>
      </c>
      <c r="B4" s="81">
        <f>COUNTIF(MatchScoutingData!F$2:F$1000, $A4)</f>
        <v/>
      </c>
      <c r="C4" s="81">
        <f>SUMIF(MatchScoutingData!$F$2:$F$1000, $A4, MatchScoutingData!I$2:I$1000)</f>
        <v/>
      </c>
      <c r="D4" s="81">
        <f>SUMIF(MatchScoutingData!$F$2:$F$1000, $A4, MatchScoutingData!J$2:J$1000)</f>
        <v/>
      </c>
      <c r="E4" s="81">
        <f>SUMIF(MatchScoutingData!$F$2:$F$1000, $A4, MatchScoutingData!K$2:K$1000)</f>
        <v/>
      </c>
      <c r="F4" s="81">
        <f>SUMIF(MatchScoutingData!$F$2:$F$1000, $A4, MatchScoutingData!L$2:L$1000)</f>
        <v/>
      </c>
      <c r="G4" s="81">
        <f>SUMIF(MatchScoutingData!$F$2:$F$1000, $A4, MatchScoutingData!M$2:M$1000)</f>
        <v/>
      </c>
      <c r="H4" s="81">
        <f>SUMIF(MatchScoutingData!$F$2:$F$1000, $A4, MatchScoutingData!N$2:N$1000)</f>
        <v/>
      </c>
      <c r="I4" s="81">
        <f>C4 * 7</f>
        <v/>
      </c>
      <c r="J4" s="81">
        <f>D4 * 6</f>
        <v/>
      </c>
      <c r="K4" s="81">
        <f>E4 * 4</f>
        <v/>
      </c>
      <c r="L4" s="81">
        <f>F4 * 3</f>
        <v/>
      </c>
      <c r="M4" s="81">
        <f>G4 * 6</f>
        <v/>
      </c>
      <c r="N4" s="81">
        <f>H4 * 4</f>
        <v/>
      </c>
      <c r="O4" s="81">
        <f>SUMIF(MatchScoutingData!$F$2:$F$1000, $A4, MatchScoutingData!H$2:H$1000) * 3</f>
        <v/>
      </c>
      <c r="P4" s="82">
        <f>SUM(I4:O4)</f>
        <v/>
      </c>
      <c r="Q4" s="82">
        <f>IF(P4 &gt; 0, P4/B4, 0)</f>
        <v/>
      </c>
      <c r="R4" s="81">
        <f>SUMIF(MatchScoutingData!$F$2:$F$1000, $A4, MatchScoutingData!P$2:P$1000)</f>
        <v/>
      </c>
      <c r="S4" s="81">
        <f>SUMIF(MatchScoutingData!$F$2:$F$1000, $A4, MatchScoutingData!Q$2:Q$1000)</f>
        <v/>
      </c>
      <c r="T4" s="81">
        <f>SUMIF(MatchScoutingData!$F$2:$F$1000, $A4, MatchScoutingData!R$2:R$1000)</f>
        <v/>
      </c>
      <c r="U4" s="81">
        <f>SUMIF(MatchScoutingData!$F$2:$F$1000, $A4, MatchScoutingData!S$2:S$1000)</f>
        <v/>
      </c>
      <c r="V4" s="81">
        <f>SUMIF(MatchScoutingData!$F$2:$F$1000, $A4, MatchScoutingData!T$2:T$1000)</f>
        <v/>
      </c>
      <c r="W4" s="81">
        <f>SUMIF(MatchScoutingData!$F$2:$F$1000, $A4, MatchScoutingData!U$2:U$1000)</f>
        <v/>
      </c>
      <c r="X4" s="81">
        <f>R4 * 5</f>
        <v/>
      </c>
      <c r="Y4" s="81">
        <f>S4 * 4</f>
        <v/>
      </c>
      <c r="Z4" s="81">
        <f>T4 * 3</f>
        <v/>
      </c>
      <c r="AA4" s="81">
        <f>U4 * 2</f>
        <v/>
      </c>
      <c r="AB4" s="81">
        <f>V4 * 6</f>
        <v/>
      </c>
      <c r="AC4" s="81">
        <f>W4 * 4</f>
        <v/>
      </c>
      <c r="AD4" s="83">
        <f>SUM(X4:AC4)</f>
        <v/>
      </c>
      <c r="AE4" s="83">
        <f>IF(AD4 &gt; 0, AD4/B4, 0)</f>
        <v/>
      </c>
      <c r="AF4" s="81">
        <f>COUNTIFS(MatchScoutingData!$F$2:$F$1000, $A4, MatchScoutingData!$X$2:$X$1000, "p")</f>
        <v/>
      </c>
      <c r="AG4" s="81">
        <f>COUNTIFS(MatchScoutingData!$F$2:$F$1000, $A4, MatchScoutingData!$X$2:$X$1000, "s")</f>
        <v/>
      </c>
      <c r="AH4" s="81">
        <f>COUNTIFS(MatchScoutingData!$F$2:$F$1000, $A4, MatchScoutingData!$X$2:$X$1000, "d")</f>
        <v/>
      </c>
      <c r="AI4" s="81">
        <f>AF4 * 2</f>
        <v/>
      </c>
      <c r="AJ4" s="81">
        <f>AG4 * 6</f>
        <v/>
      </c>
      <c r="AK4" s="81">
        <f>AH4 * 12</f>
        <v/>
      </c>
      <c r="AL4" s="84">
        <f>SUM(AI4:AK4)</f>
        <v/>
      </c>
      <c r="AM4" s="84">
        <f>IF(AD4 &gt; 0, AL4/B4, 0)</f>
        <v/>
      </c>
      <c r="AN4" s="85">
        <f>SUM(P4, AD4, AL4)</f>
        <v/>
      </c>
      <c r="AO4" s="85">
        <f>IF(AN4 &gt; 0, AN4/B4, 0)</f>
        <v/>
      </c>
      <c r="AP4" s="81">
        <f>SUMIF(MatchScoutingData!$F$2:$F$1000, $A4, MatchScoutingData!Z$2:Z$1000)</f>
        <v/>
      </c>
      <c r="AQ4" s="81">
        <f>SUMIF(MatchScoutingData!$F$2:$F$1000, $A4, MatchScoutingData!AA$2:AA$1000)</f>
        <v/>
      </c>
      <c r="AR4" s="81">
        <f>SUMIF(MatchScoutingData!$F$2:$F$1000, $A4, MatchScoutingData!AB$2:AB$1000)</f>
        <v/>
      </c>
      <c r="AS4" s="81">
        <f>SUM(AP4, AQ4, AR4)</f>
        <v/>
      </c>
    </row>
    <row r="5">
      <c r="A5" s="80" t="n">
        <v>191</v>
      </c>
      <c r="B5" s="81">
        <f>COUNTIF(MatchScoutingData!F$2:F$1000, $A5)</f>
        <v/>
      </c>
      <c r="C5" s="81">
        <f>SUMIF(MatchScoutingData!$F$2:$F$1000, $A5, MatchScoutingData!I$2:I$1000)</f>
        <v/>
      </c>
      <c r="D5" s="81">
        <f>SUMIF(MatchScoutingData!$F$2:$F$1000, $A5, MatchScoutingData!J$2:J$1000)</f>
        <v/>
      </c>
      <c r="E5" s="81">
        <f>SUMIF(MatchScoutingData!$F$2:$F$1000, $A5, MatchScoutingData!K$2:K$1000)</f>
        <v/>
      </c>
      <c r="F5" s="81">
        <f>SUMIF(MatchScoutingData!$F$2:$F$1000, $A5, MatchScoutingData!L$2:L$1000)</f>
        <v/>
      </c>
      <c r="G5" s="81">
        <f>SUMIF(MatchScoutingData!$F$2:$F$1000, $A5, MatchScoutingData!M$2:M$1000)</f>
        <v/>
      </c>
      <c r="H5" s="81">
        <f>SUMIF(MatchScoutingData!$F$2:$F$1000, $A5, MatchScoutingData!N$2:N$1000)</f>
        <v/>
      </c>
      <c r="I5" s="81">
        <f>C5 * 7</f>
        <v/>
      </c>
      <c r="J5" s="81">
        <f>D5 * 6</f>
        <v/>
      </c>
      <c r="K5" s="81">
        <f>E5 * 4</f>
        <v/>
      </c>
      <c r="L5" s="81">
        <f>F5 * 3</f>
        <v/>
      </c>
      <c r="M5" s="81">
        <f>G5 * 6</f>
        <v/>
      </c>
      <c r="N5" s="81">
        <f>H5 * 4</f>
        <v/>
      </c>
      <c r="O5" s="81">
        <f>SUMIF(MatchScoutingData!$F$2:$F$1000, $A5, MatchScoutingData!H$2:H$1000) * 3</f>
        <v/>
      </c>
      <c r="P5" s="82">
        <f>SUM(I5:O5)</f>
        <v/>
      </c>
      <c r="Q5" s="82">
        <f>IF(P5 &gt; 0, P5/B5, 0)</f>
        <v/>
      </c>
      <c r="R5" s="81">
        <f>SUMIF(MatchScoutingData!$F$2:$F$1000, $A5, MatchScoutingData!P$2:P$1000)</f>
        <v/>
      </c>
      <c r="S5" s="81">
        <f>SUMIF(MatchScoutingData!$F$2:$F$1000, $A5, MatchScoutingData!Q$2:Q$1000)</f>
        <v/>
      </c>
      <c r="T5" s="81">
        <f>SUMIF(MatchScoutingData!$F$2:$F$1000, $A5, MatchScoutingData!R$2:R$1000)</f>
        <v/>
      </c>
      <c r="U5" s="81">
        <f>SUMIF(MatchScoutingData!$F$2:$F$1000, $A5, MatchScoutingData!S$2:S$1000)</f>
        <v/>
      </c>
      <c r="V5" s="81">
        <f>SUMIF(MatchScoutingData!$F$2:$F$1000, $A5, MatchScoutingData!T$2:T$1000)</f>
        <v/>
      </c>
      <c r="W5" s="81">
        <f>SUMIF(MatchScoutingData!$F$2:$F$1000, $A5, MatchScoutingData!U$2:U$1000)</f>
        <v/>
      </c>
      <c r="X5" s="81">
        <f>R5 * 5</f>
        <v/>
      </c>
      <c r="Y5" s="81">
        <f>S5 * 4</f>
        <v/>
      </c>
      <c r="Z5" s="81">
        <f>T5 * 3</f>
        <v/>
      </c>
      <c r="AA5" s="81">
        <f>U5 * 2</f>
        <v/>
      </c>
      <c r="AB5" s="81">
        <f>V5 * 6</f>
        <v/>
      </c>
      <c r="AC5" s="81">
        <f>W5 * 4</f>
        <v/>
      </c>
      <c r="AD5" s="83">
        <f>SUM(X5:AC5)</f>
        <v/>
      </c>
      <c r="AE5" s="83">
        <f>IF(AD5 &gt; 0, AD5/B5, 0)</f>
        <v/>
      </c>
      <c r="AF5" s="81">
        <f>COUNTIFS(MatchScoutingData!$F$2:$F$1000, $A5, MatchScoutingData!$X$2:$X$1000, "p")</f>
        <v/>
      </c>
      <c r="AG5" s="81">
        <f>COUNTIFS(MatchScoutingData!$F$2:$F$1000, $A5, MatchScoutingData!$X$2:$X$1000, "s")</f>
        <v/>
      </c>
      <c r="AH5" s="81">
        <f>COUNTIFS(MatchScoutingData!$F$2:$F$1000, $A5, MatchScoutingData!$X$2:$X$1000, "d")</f>
        <v/>
      </c>
      <c r="AI5" s="81">
        <f>AF5 * 2</f>
        <v/>
      </c>
      <c r="AJ5" s="81">
        <f>AG5 * 6</f>
        <v/>
      </c>
      <c r="AK5" s="81">
        <f>AH5 * 12</f>
        <v/>
      </c>
      <c r="AL5" s="84">
        <f>SUM(AI5:AK5)</f>
        <v/>
      </c>
      <c r="AM5" s="84">
        <f>IF(AD5 &gt; 0, AL5/B5, 0)</f>
        <v/>
      </c>
      <c r="AN5" s="85">
        <f>SUM(P5, AD5, AL5)</f>
        <v/>
      </c>
      <c r="AO5" s="85">
        <f>IF(AN5 &gt; 0, AN5/B5, 0)</f>
        <v/>
      </c>
      <c r="AP5" s="81">
        <f>SUMIF(MatchScoutingData!$F$2:$F$1000, $A5, MatchScoutingData!Z$2:Z$1000)</f>
        <v/>
      </c>
      <c r="AQ5" s="81">
        <f>SUMIF(MatchScoutingData!$F$2:$F$1000, $A5, MatchScoutingData!AA$2:AA$1000)</f>
        <v/>
      </c>
      <c r="AR5" s="81">
        <f>SUMIF(MatchScoutingData!$F$2:$F$1000, $A5, MatchScoutingData!AB$2:AB$1000)</f>
        <v/>
      </c>
      <c r="AS5" s="81">
        <f>SUM(AP5, AQ5, AR5)</f>
        <v/>
      </c>
    </row>
    <row r="6">
      <c r="A6" s="80" t="n">
        <v>229</v>
      </c>
      <c r="B6" s="81">
        <f>COUNTIF(MatchScoutingData!F$2:F$1000, $A6)</f>
        <v/>
      </c>
      <c r="C6" s="81">
        <f>SUMIF(MatchScoutingData!$F$2:$F$1000, $A6, MatchScoutingData!I$2:I$1000)</f>
        <v/>
      </c>
      <c r="D6" s="81">
        <f>SUMIF(MatchScoutingData!$F$2:$F$1000, $A6, MatchScoutingData!J$2:J$1000)</f>
        <v/>
      </c>
      <c r="E6" s="81">
        <f>SUMIF(MatchScoutingData!$F$2:$F$1000, $A6, MatchScoutingData!K$2:K$1000)</f>
        <v/>
      </c>
      <c r="F6" s="81">
        <f>SUMIF(MatchScoutingData!$F$2:$F$1000, $A6, MatchScoutingData!L$2:L$1000)</f>
        <v/>
      </c>
      <c r="G6" s="81">
        <f>SUMIF(MatchScoutingData!$F$2:$F$1000, $A6, MatchScoutingData!M$2:M$1000)</f>
        <v/>
      </c>
      <c r="H6" s="81">
        <f>SUMIF(MatchScoutingData!$F$2:$F$1000, $A6, MatchScoutingData!N$2:N$1000)</f>
        <v/>
      </c>
      <c r="I6" s="81">
        <f>C6 * 7</f>
        <v/>
      </c>
      <c r="J6" s="81">
        <f>D6 * 6</f>
        <v/>
      </c>
      <c r="K6" s="81">
        <f>E6 * 4</f>
        <v/>
      </c>
      <c r="L6" s="81">
        <f>F6 * 3</f>
        <v/>
      </c>
      <c r="M6" s="81">
        <f>G6 * 6</f>
        <v/>
      </c>
      <c r="N6" s="81">
        <f>H6 * 4</f>
        <v/>
      </c>
      <c r="O6" s="81">
        <f>SUMIF(MatchScoutingData!$F$2:$F$1000, $A6, MatchScoutingData!H$2:H$1000) * 3</f>
        <v/>
      </c>
      <c r="P6" s="82">
        <f>SUM(I6:O6)</f>
        <v/>
      </c>
      <c r="Q6" s="82">
        <f>IF(P6 &gt; 0, P6/B6, 0)</f>
        <v/>
      </c>
      <c r="R6" s="81">
        <f>SUMIF(MatchScoutingData!$F$2:$F$1000, $A6, MatchScoutingData!P$2:P$1000)</f>
        <v/>
      </c>
      <c r="S6" s="81">
        <f>SUMIF(MatchScoutingData!$F$2:$F$1000, $A6, MatchScoutingData!Q$2:Q$1000)</f>
        <v/>
      </c>
      <c r="T6" s="81">
        <f>SUMIF(MatchScoutingData!$F$2:$F$1000, $A6, MatchScoutingData!R$2:R$1000)</f>
        <v/>
      </c>
      <c r="U6" s="81">
        <f>SUMIF(MatchScoutingData!$F$2:$F$1000, $A6, MatchScoutingData!S$2:S$1000)</f>
        <v/>
      </c>
      <c r="V6" s="81">
        <f>SUMIF(MatchScoutingData!$F$2:$F$1000, $A6, MatchScoutingData!T$2:T$1000)</f>
        <v/>
      </c>
      <c r="W6" s="81">
        <f>SUMIF(MatchScoutingData!$F$2:$F$1000, $A6, MatchScoutingData!U$2:U$1000)</f>
        <v/>
      </c>
      <c r="X6" s="81">
        <f>R6 * 5</f>
        <v/>
      </c>
      <c r="Y6" s="81">
        <f>S6 * 4</f>
        <v/>
      </c>
      <c r="Z6" s="81">
        <f>T6 * 3</f>
        <v/>
      </c>
      <c r="AA6" s="81">
        <f>U6 * 2</f>
        <v/>
      </c>
      <c r="AB6" s="81">
        <f>V6 * 6</f>
        <v/>
      </c>
      <c r="AC6" s="81">
        <f>W6 * 4</f>
        <v/>
      </c>
      <c r="AD6" s="83">
        <f>SUM(X6:AC6)</f>
        <v/>
      </c>
      <c r="AE6" s="83">
        <f>IF(AD6 &gt; 0, AD6/B6, 0)</f>
        <v/>
      </c>
      <c r="AF6" s="81">
        <f>COUNTIFS(MatchScoutingData!$F$2:$F$1000, $A6, MatchScoutingData!$X$2:$X$1000, "p")</f>
        <v/>
      </c>
      <c r="AG6" s="81">
        <f>COUNTIFS(MatchScoutingData!$F$2:$F$1000, $A6, MatchScoutingData!$X$2:$X$1000, "s")</f>
        <v/>
      </c>
      <c r="AH6" s="81">
        <f>COUNTIFS(MatchScoutingData!$F$2:$F$1000, $A6, MatchScoutingData!$X$2:$X$1000, "d")</f>
        <v/>
      </c>
      <c r="AI6" s="81">
        <f>AF6 * 2</f>
        <v/>
      </c>
      <c r="AJ6" s="81">
        <f>AG6 * 6</f>
        <v/>
      </c>
      <c r="AK6" s="81">
        <f>AH6 * 12</f>
        <v/>
      </c>
      <c r="AL6" s="84">
        <f>SUM(AI6:AK6)</f>
        <v/>
      </c>
      <c r="AM6" s="84">
        <f>IF(AD6 &gt; 0, AL6/B6, 0)</f>
        <v/>
      </c>
      <c r="AN6" s="85">
        <f>SUM(P6, AD6, AL6)</f>
        <v/>
      </c>
      <c r="AO6" s="85">
        <f>IF(AN6 &gt; 0, AN6/B6, 0)</f>
        <v/>
      </c>
      <c r="AP6" s="81">
        <f>SUMIF(MatchScoutingData!$F$2:$F$1000, $A6, MatchScoutingData!Z$2:Z$1000)</f>
        <v/>
      </c>
      <c r="AQ6" s="81">
        <f>SUMIF(MatchScoutingData!$F$2:$F$1000, $A6, MatchScoutingData!AA$2:AA$1000)</f>
        <v/>
      </c>
      <c r="AR6" s="81">
        <f>SUMIF(MatchScoutingData!$F$2:$F$1000, $A6, MatchScoutingData!AB$2:AB$1000)</f>
        <v/>
      </c>
      <c r="AS6" s="81">
        <f>SUM(AP6, AQ6, AR6)</f>
        <v/>
      </c>
    </row>
    <row r="7">
      <c r="A7" s="80" t="n">
        <v>250</v>
      </c>
      <c r="B7" s="81">
        <f>COUNTIF(MatchScoutingData!F$2:F$1000, $A7)</f>
        <v/>
      </c>
      <c r="C7" s="81">
        <f>SUMIF(MatchScoutingData!$F$2:$F$1000, $A7, MatchScoutingData!I$2:I$1000)</f>
        <v/>
      </c>
      <c r="D7" s="81">
        <f>SUMIF(MatchScoutingData!$F$2:$F$1000, $A7, MatchScoutingData!J$2:J$1000)</f>
        <v/>
      </c>
      <c r="E7" s="81">
        <f>SUMIF(MatchScoutingData!$F$2:$F$1000, $A7, MatchScoutingData!K$2:K$1000)</f>
        <v/>
      </c>
      <c r="F7" s="81">
        <f>SUMIF(MatchScoutingData!$F$2:$F$1000, $A7, MatchScoutingData!L$2:L$1000)</f>
        <v/>
      </c>
      <c r="G7" s="81">
        <f>SUMIF(MatchScoutingData!$F$2:$F$1000, $A7, MatchScoutingData!M$2:M$1000)</f>
        <v/>
      </c>
      <c r="H7" s="81">
        <f>SUMIF(MatchScoutingData!$F$2:$F$1000, $A7, MatchScoutingData!N$2:N$1000)</f>
        <v/>
      </c>
      <c r="I7" s="81">
        <f>C7 * 7</f>
        <v/>
      </c>
      <c r="J7" s="81">
        <f>D7 * 6</f>
        <v/>
      </c>
      <c r="K7" s="81">
        <f>E7 * 4</f>
        <v/>
      </c>
      <c r="L7" s="81">
        <f>F7 * 3</f>
        <v/>
      </c>
      <c r="M7" s="81">
        <f>G7 * 6</f>
        <v/>
      </c>
      <c r="N7" s="81">
        <f>H7 * 4</f>
        <v/>
      </c>
      <c r="O7" s="81">
        <f>SUMIF(MatchScoutingData!$F$2:$F$1000, $A7, MatchScoutingData!H$2:H$1000) * 3</f>
        <v/>
      </c>
      <c r="P7" s="82">
        <f>SUM(I7:O7)</f>
        <v/>
      </c>
      <c r="Q7" s="82">
        <f>IF(P7 &gt; 0, P7/B7, 0)</f>
        <v/>
      </c>
      <c r="R7" s="81">
        <f>SUMIF(MatchScoutingData!$F$2:$F$1000, $A7, MatchScoutingData!P$2:P$1000)</f>
        <v/>
      </c>
      <c r="S7" s="81">
        <f>SUMIF(MatchScoutingData!$F$2:$F$1000, $A7, MatchScoutingData!Q$2:Q$1000)</f>
        <v/>
      </c>
      <c r="T7" s="81">
        <f>SUMIF(MatchScoutingData!$F$2:$F$1000, $A7, MatchScoutingData!R$2:R$1000)</f>
        <v/>
      </c>
      <c r="U7" s="81">
        <f>SUMIF(MatchScoutingData!$F$2:$F$1000, $A7, MatchScoutingData!S$2:S$1000)</f>
        <v/>
      </c>
      <c r="V7" s="81">
        <f>SUMIF(MatchScoutingData!$F$2:$F$1000, $A7, MatchScoutingData!T$2:T$1000)</f>
        <v/>
      </c>
      <c r="W7" s="81">
        <f>SUMIF(MatchScoutingData!$F$2:$F$1000, $A7, MatchScoutingData!U$2:U$1000)</f>
        <v/>
      </c>
      <c r="X7" s="81">
        <f>R7 * 5</f>
        <v/>
      </c>
      <c r="Y7" s="81">
        <f>S7 * 4</f>
        <v/>
      </c>
      <c r="Z7" s="81">
        <f>T7 * 3</f>
        <v/>
      </c>
      <c r="AA7" s="81">
        <f>U7 * 2</f>
        <v/>
      </c>
      <c r="AB7" s="81">
        <f>V7 * 6</f>
        <v/>
      </c>
      <c r="AC7" s="81">
        <f>W7 * 4</f>
        <v/>
      </c>
      <c r="AD7" s="83">
        <f>SUM(X7:AC7)</f>
        <v/>
      </c>
      <c r="AE7" s="83">
        <f>IF(AD7 &gt; 0, AD7/B7, 0)</f>
        <v/>
      </c>
      <c r="AF7" s="81">
        <f>COUNTIFS(MatchScoutingData!$F$2:$F$1000, $A7, MatchScoutingData!$X$2:$X$1000, "p")</f>
        <v/>
      </c>
      <c r="AG7" s="81">
        <f>COUNTIFS(MatchScoutingData!$F$2:$F$1000, $A7, MatchScoutingData!$X$2:$X$1000, "s")</f>
        <v/>
      </c>
      <c r="AH7" s="81">
        <f>COUNTIFS(MatchScoutingData!$F$2:$F$1000, $A7, MatchScoutingData!$X$2:$X$1000, "d")</f>
        <v/>
      </c>
      <c r="AI7" s="81">
        <f>AF7 * 2</f>
        <v/>
      </c>
      <c r="AJ7" s="81">
        <f>AG7 * 6</f>
        <v/>
      </c>
      <c r="AK7" s="81">
        <f>AH7 * 12</f>
        <v/>
      </c>
      <c r="AL7" s="84">
        <f>SUM(AI7:AK7)</f>
        <v/>
      </c>
      <c r="AM7" s="84">
        <f>IF(AD7 &gt; 0, AL7/B7, 0)</f>
        <v/>
      </c>
      <c r="AN7" s="85">
        <f>SUM(P7, AD7, AL7)</f>
        <v/>
      </c>
      <c r="AO7" s="85">
        <f>IF(AN7 &gt; 0, AN7/B7, 0)</f>
        <v/>
      </c>
      <c r="AP7" s="81">
        <f>SUMIF(MatchScoutingData!$F$2:$F$1000, $A7, MatchScoutingData!Z$2:Z$1000)</f>
        <v/>
      </c>
      <c r="AQ7" s="81">
        <f>SUMIF(MatchScoutingData!$F$2:$F$1000, $A7, MatchScoutingData!AA$2:AA$1000)</f>
        <v/>
      </c>
      <c r="AR7" s="81">
        <f>SUMIF(MatchScoutingData!$F$2:$F$1000, $A7, MatchScoutingData!AB$2:AB$1000)</f>
        <v/>
      </c>
      <c r="AS7" s="81">
        <f>SUM(AP7, AQ7, AR7)</f>
        <v/>
      </c>
    </row>
    <row r="8">
      <c r="A8" s="80" t="n">
        <v>271</v>
      </c>
      <c r="B8" s="81">
        <f>COUNTIF(MatchScoutingData!F$2:F$1000, $A8)</f>
        <v/>
      </c>
      <c r="C8" s="81">
        <f>SUMIF(MatchScoutingData!$F$2:$F$1000, $A8, MatchScoutingData!I$2:I$1000)</f>
        <v/>
      </c>
      <c r="D8" s="81">
        <f>SUMIF(MatchScoutingData!$F$2:$F$1000, $A8, MatchScoutingData!J$2:J$1000)</f>
        <v/>
      </c>
      <c r="E8" s="81">
        <f>SUMIF(MatchScoutingData!$F$2:$F$1000, $A8, MatchScoutingData!K$2:K$1000)</f>
        <v/>
      </c>
      <c r="F8" s="81">
        <f>SUMIF(MatchScoutingData!$F$2:$F$1000, $A8, MatchScoutingData!L$2:L$1000)</f>
        <v/>
      </c>
      <c r="G8" s="81">
        <f>SUMIF(MatchScoutingData!$F$2:$F$1000, $A8, MatchScoutingData!M$2:M$1000)</f>
        <v/>
      </c>
      <c r="H8" s="81">
        <f>SUMIF(MatchScoutingData!$F$2:$F$1000, $A8, MatchScoutingData!N$2:N$1000)</f>
        <v/>
      </c>
      <c r="I8" s="81">
        <f>C8 * 7</f>
        <v/>
      </c>
      <c r="J8" s="81">
        <f>D8 * 6</f>
        <v/>
      </c>
      <c r="K8" s="81">
        <f>E8 * 4</f>
        <v/>
      </c>
      <c r="L8" s="81">
        <f>F8 * 3</f>
        <v/>
      </c>
      <c r="M8" s="81">
        <f>G8 * 6</f>
        <v/>
      </c>
      <c r="N8" s="81">
        <f>H8 * 4</f>
        <v/>
      </c>
      <c r="O8" s="81">
        <f>SUMIF(MatchScoutingData!$F$2:$F$1000, $A8, MatchScoutingData!H$2:H$1000) * 3</f>
        <v/>
      </c>
      <c r="P8" s="82">
        <f>SUM(I8:O8)</f>
        <v/>
      </c>
      <c r="Q8" s="82">
        <f>IF(P8 &gt; 0, P8/B8, 0)</f>
        <v/>
      </c>
      <c r="R8" s="81">
        <f>SUMIF(MatchScoutingData!$F$2:$F$1000, $A8, MatchScoutingData!P$2:P$1000)</f>
        <v/>
      </c>
      <c r="S8" s="81">
        <f>SUMIF(MatchScoutingData!$F$2:$F$1000, $A8, MatchScoutingData!Q$2:Q$1000)</f>
        <v/>
      </c>
      <c r="T8" s="81">
        <f>SUMIF(MatchScoutingData!$F$2:$F$1000, $A8, MatchScoutingData!R$2:R$1000)</f>
        <v/>
      </c>
      <c r="U8" s="81">
        <f>SUMIF(MatchScoutingData!$F$2:$F$1000, $A8, MatchScoutingData!S$2:S$1000)</f>
        <v/>
      </c>
      <c r="V8" s="81">
        <f>SUMIF(MatchScoutingData!$F$2:$F$1000, $A8, MatchScoutingData!T$2:T$1000)</f>
        <v/>
      </c>
      <c r="W8" s="81">
        <f>SUMIF(MatchScoutingData!$F$2:$F$1000, $A8, MatchScoutingData!U$2:U$1000)</f>
        <v/>
      </c>
      <c r="X8" s="81">
        <f>R8 * 5</f>
        <v/>
      </c>
      <c r="Y8" s="81">
        <f>S8 * 4</f>
        <v/>
      </c>
      <c r="Z8" s="81">
        <f>T8 * 3</f>
        <v/>
      </c>
      <c r="AA8" s="81">
        <f>U8 * 2</f>
        <v/>
      </c>
      <c r="AB8" s="81">
        <f>V8 * 6</f>
        <v/>
      </c>
      <c r="AC8" s="81">
        <f>W8 * 4</f>
        <v/>
      </c>
      <c r="AD8" s="83">
        <f>SUM(X8:AC8)</f>
        <v/>
      </c>
      <c r="AE8" s="83">
        <f>IF(AD8 &gt; 0, AD8/B8, 0)</f>
        <v/>
      </c>
      <c r="AF8" s="81">
        <f>COUNTIFS(MatchScoutingData!$F$2:$F$1000, $A8, MatchScoutingData!$X$2:$X$1000, "p")</f>
        <v/>
      </c>
      <c r="AG8" s="81">
        <f>COUNTIFS(MatchScoutingData!$F$2:$F$1000, $A8, MatchScoutingData!$X$2:$X$1000, "s")</f>
        <v/>
      </c>
      <c r="AH8" s="81">
        <f>COUNTIFS(MatchScoutingData!$F$2:$F$1000, $A8, MatchScoutingData!$X$2:$X$1000, "d")</f>
        <v/>
      </c>
      <c r="AI8" s="81">
        <f>AF8 * 2</f>
        <v/>
      </c>
      <c r="AJ8" s="81">
        <f>AG8 * 6</f>
        <v/>
      </c>
      <c r="AK8" s="81">
        <f>AH8 * 12</f>
        <v/>
      </c>
      <c r="AL8" s="84">
        <f>SUM(AI8:AK8)</f>
        <v/>
      </c>
      <c r="AM8" s="84">
        <f>IF(AD8 &gt; 0, AL8/B8, 0)</f>
        <v/>
      </c>
      <c r="AN8" s="85">
        <f>SUM(P8, AD8, AL8)</f>
        <v/>
      </c>
      <c r="AO8" s="85">
        <f>IF(AN8 &gt; 0, AN8/B8, 0)</f>
        <v/>
      </c>
      <c r="AP8" s="81">
        <f>SUMIF(MatchScoutingData!$F$2:$F$1000, $A8, MatchScoutingData!Z$2:Z$1000)</f>
        <v/>
      </c>
      <c r="AQ8" s="81">
        <f>SUMIF(MatchScoutingData!$F$2:$F$1000, $A8, MatchScoutingData!AA$2:AA$1000)</f>
        <v/>
      </c>
      <c r="AR8" s="81">
        <f>SUMIF(MatchScoutingData!$F$2:$F$1000, $A8, MatchScoutingData!AB$2:AB$1000)</f>
        <v/>
      </c>
      <c r="AS8" s="81">
        <f>SUM(AP8, AQ8, AR8)</f>
        <v/>
      </c>
    </row>
    <row r="9">
      <c r="A9" s="80" t="n">
        <v>340</v>
      </c>
      <c r="B9" s="81">
        <f>COUNTIF(MatchScoutingData!F$2:F$1000, $A9)</f>
        <v/>
      </c>
      <c r="C9" s="81">
        <f>SUMIF(MatchScoutingData!$F$2:$F$1000, $A9, MatchScoutingData!I$2:I$1000)</f>
        <v/>
      </c>
      <c r="D9" s="81">
        <f>SUMIF(MatchScoutingData!$F$2:$F$1000, $A9, MatchScoutingData!J$2:J$1000)</f>
        <v/>
      </c>
      <c r="E9" s="81">
        <f>SUMIF(MatchScoutingData!$F$2:$F$1000, $A9, MatchScoutingData!K$2:K$1000)</f>
        <v/>
      </c>
      <c r="F9" s="81">
        <f>SUMIF(MatchScoutingData!$F$2:$F$1000, $A9, MatchScoutingData!L$2:L$1000)</f>
        <v/>
      </c>
      <c r="G9" s="81">
        <f>SUMIF(MatchScoutingData!$F$2:$F$1000, $A9, MatchScoutingData!M$2:M$1000)</f>
        <v/>
      </c>
      <c r="H9" s="81">
        <f>SUMIF(MatchScoutingData!$F$2:$F$1000, $A9, MatchScoutingData!N$2:N$1000)</f>
        <v/>
      </c>
      <c r="I9" s="81">
        <f>C9 * 7</f>
        <v/>
      </c>
      <c r="J9" s="81">
        <f>D9 * 6</f>
        <v/>
      </c>
      <c r="K9" s="81">
        <f>E9 * 4</f>
        <v/>
      </c>
      <c r="L9" s="81">
        <f>F9 * 3</f>
        <v/>
      </c>
      <c r="M9" s="81">
        <f>G9 * 6</f>
        <v/>
      </c>
      <c r="N9" s="81">
        <f>H9 * 4</f>
        <v/>
      </c>
      <c r="O9" s="81">
        <f>SUMIF(MatchScoutingData!$F$2:$F$1000, $A9, MatchScoutingData!H$2:H$1000) * 3</f>
        <v/>
      </c>
      <c r="P9" s="82">
        <f>SUM(I9:O9)</f>
        <v/>
      </c>
      <c r="Q9" s="82">
        <f>IF(P9 &gt; 0, P9/B9, 0)</f>
        <v/>
      </c>
      <c r="R9" s="81">
        <f>SUMIF(MatchScoutingData!$F$2:$F$1000, $A9, MatchScoutingData!P$2:P$1000)</f>
        <v/>
      </c>
      <c r="S9" s="81">
        <f>SUMIF(MatchScoutingData!$F$2:$F$1000, $A9, MatchScoutingData!Q$2:Q$1000)</f>
        <v/>
      </c>
      <c r="T9" s="81">
        <f>SUMIF(MatchScoutingData!$F$2:$F$1000, $A9, MatchScoutingData!R$2:R$1000)</f>
        <v/>
      </c>
      <c r="U9" s="81">
        <f>SUMIF(MatchScoutingData!$F$2:$F$1000, $A9, MatchScoutingData!S$2:S$1000)</f>
        <v/>
      </c>
      <c r="V9" s="81">
        <f>SUMIF(MatchScoutingData!$F$2:$F$1000, $A9, MatchScoutingData!T$2:T$1000)</f>
        <v/>
      </c>
      <c r="W9" s="81">
        <f>SUMIF(MatchScoutingData!$F$2:$F$1000, $A9, MatchScoutingData!U$2:U$1000)</f>
        <v/>
      </c>
      <c r="X9" s="81">
        <f>R9 * 5</f>
        <v/>
      </c>
      <c r="Y9" s="81">
        <f>S9 * 4</f>
        <v/>
      </c>
      <c r="Z9" s="81">
        <f>T9 * 3</f>
        <v/>
      </c>
      <c r="AA9" s="81">
        <f>U9 * 2</f>
        <v/>
      </c>
      <c r="AB9" s="81">
        <f>V9 * 6</f>
        <v/>
      </c>
      <c r="AC9" s="81">
        <f>W9 * 4</f>
        <v/>
      </c>
      <c r="AD9" s="83">
        <f>SUM(X9:AC9)</f>
        <v/>
      </c>
      <c r="AE9" s="83">
        <f>IF(AD9 &gt; 0, AD9/B9, 0)</f>
        <v/>
      </c>
      <c r="AF9" s="81">
        <f>COUNTIFS(MatchScoutingData!$F$2:$F$1000, $A9, MatchScoutingData!$X$2:$X$1000, "p")</f>
        <v/>
      </c>
      <c r="AG9" s="81">
        <f>COUNTIFS(MatchScoutingData!$F$2:$F$1000, $A9, MatchScoutingData!$X$2:$X$1000, "s")</f>
        <v/>
      </c>
      <c r="AH9" s="81">
        <f>COUNTIFS(MatchScoutingData!$F$2:$F$1000, $A9, MatchScoutingData!$X$2:$X$1000, "d")</f>
        <v/>
      </c>
      <c r="AI9" s="81">
        <f>AF9 * 2</f>
        <v/>
      </c>
      <c r="AJ9" s="81">
        <f>AG9 * 6</f>
        <v/>
      </c>
      <c r="AK9" s="81">
        <f>AH9 * 12</f>
        <v/>
      </c>
      <c r="AL9" s="84">
        <f>SUM(AI9:AK9)</f>
        <v/>
      </c>
      <c r="AM9" s="84">
        <f>IF(AD9 &gt; 0, AL9/B9, 0)</f>
        <v/>
      </c>
      <c r="AN9" s="85">
        <f>SUM(P9, AD9, AL9)</f>
        <v/>
      </c>
      <c r="AO9" s="85">
        <f>IF(AN9 &gt; 0, AN9/B9, 0)</f>
        <v/>
      </c>
      <c r="AP9" s="81">
        <f>SUMIF(MatchScoutingData!$F$2:$F$1000, $A9, MatchScoutingData!Z$2:Z$1000)</f>
        <v/>
      </c>
      <c r="AQ9" s="81">
        <f>SUMIF(MatchScoutingData!$F$2:$F$1000, $A9, MatchScoutingData!AA$2:AA$1000)</f>
        <v/>
      </c>
      <c r="AR9" s="81">
        <f>SUMIF(MatchScoutingData!$F$2:$F$1000, $A9, MatchScoutingData!AB$2:AB$1000)</f>
        <v/>
      </c>
      <c r="AS9" s="81">
        <f>SUM(AP9, AQ9, AR9)</f>
        <v/>
      </c>
    </row>
    <row r="10">
      <c r="A10" s="80" t="n">
        <v>378</v>
      </c>
      <c r="B10" s="81">
        <f>COUNTIF(MatchScoutingData!F$2:F$1000, $A10)</f>
        <v/>
      </c>
      <c r="C10" s="81">
        <f>SUMIF(MatchScoutingData!$F$2:$F$1000, $A10, MatchScoutingData!I$2:I$1000)</f>
        <v/>
      </c>
      <c r="D10" s="81">
        <f>SUMIF(MatchScoutingData!$F$2:$F$1000, $A10, MatchScoutingData!J$2:J$1000)</f>
        <v/>
      </c>
      <c r="E10" s="81">
        <f>SUMIF(MatchScoutingData!$F$2:$F$1000, $A10, MatchScoutingData!K$2:K$1000)</f>
        <v/>
      </c>
      <c r="F10" s="81">
        <f>SUMIF(MatchScoutingData!$F$2:$F$1000, $A10, MatchScoutingData!L$2:L$1000)</f>
        <v/>
      </c>
      <c r="G10" s="81">
        <f>SUMIF(MatchScoutingData!$F$2:$F$1000, $A10, MatchScoutingData!M$2:M$1000)</f>
        <v/>
      </c>
      <c r="H10" s="81">
        <f>SUMIF(MatchScoutingData!$F$2:$F$1000, $A10, MatchScoutingData!N$2:N$1000)</f>
        <v/>
      </c>
      <c r="I10" s="81">
        <f>C10 * 7</f>
        <v/>
      </c>
      <c r="J10" s="81">
        <f>D10 * 6</f>
        <v/>
      </c>
      <c r="K10" s="81">
        <f>E10 * 4</f>
        <v/>
      </c>
      <c r="L10" s="81">
        <f>F10 * 3</f>
        <v/>
      </c>
      <c r="M10" s="81">
        <f>G10 * 6</f>
        <v/>
      </c>
      <c r="N10" s="81">
        <f>H10 * 4</f>
        <v/>
      </c>
      <c r="O10" s="81">
        <f>SUMIF(MatchScoutingData!$F$2:$F$1000, $A10, MatchScoutingData!H$2:H$1000) * 3</f>
        <v/>
      </c>
      <c r="P10" s="82">
        <f>SUM(I10:O10)</f>
        <v/>
      </c>
      <c r="Q10" s="82">
        <f>IF(P10 &gt; 0, P10/B10, 0)</f>
        <v/>
      </c>
      <c r="R10" s="81">
        <f>SUMIF(MatchScoutingData!$F$2:$F$1000, $A10, MatchScoutingData!P$2:P$1000)</f>
        <v/>
      </c>
      <c r="S10" s="81">
        <f>SUMIF(MatchScoutingData!$F$2:$F$1000, $A10, MatchScoutingData!Q$2:Q$1000)</f>
        <v/>
      </c>
      <c r="T10" s="81">
        <f>SUMIF(MatchScoutingData!$F$2:$F$1000, $A10, MatchScoutingData!R$2:R$1000)</f>
        <v/>
      </c>
      <c r="U10" s="81">
        <f>SUMIF(MatchScoutingData!$F$2:$F$1000, $A10, MatchScoutingData!S$2:S$1000)</f>
        <v/>
      </c>
      <c r="V10" s="81">
        <f>SUMIF(MatchScoutingData!$F$2:$F$1000, $A10, MatchScoutingData!T$2:T$1000)</f>
        <v/>
      </c>
      <c r="W10" s="81">
        <f>SUMIF(MatchScoutingData!$F$2:$F$1000, $A10, MatchScoutingData!U$2:U$1000)</f>
        <v/>
      </c>
      <c r="X10" s="81">
        <f>R10 * 5</f>
        <v/>
      </c>
      <c r="Y10" s="81">
        <f>S10 * 4</f>
        <v/>
      </c>
      <c r="Z10" s="81">
        <f>T10 * 3</f>
        <v/>
      </c>
      <c r="AA10" s="81">
        <f>U10 * 2</f>
        <v/>
      </c>
      <c r="AB10" s="81">
        <f>V10 * 6</f>
        <v/>
      </c>
      <c r="AC10" s="81">
        <f>W10 * 4</f>
        <v/>
      </c>
      <c r="AD10" s="83">
        <f>SUM(X10:AC10)</f>
        <v/>
      </c>
      <c r="AE10" s="83">
        <f>IF(AD10 &gt; 0, AD10/B10, 0)</f>
        <v/>
      </c>
      <c r="AF10" s="81">
        <f>COUNTIFS(MatchScoutingData!$F$2:$F$1000, $A10, MatchScoutingData!$X$2:$X$1000, "p")</f>
        <v/>
      </c>
      <c r="AG10" s="81">
        <f>COUNTIFS(MatchScoutingData!$F$2:$F$1000, $A10, MatchScoutingData!$X$2:$X$1000, "s")</f>
        <v/>
      </c>
      <c r="AH10" s="81">
        <f>COUNTIFS(MatchScoutingData!$F$2:$F$1000, $A10, MatchScoutingData!$X$2:$X$1000, "d")</f>
        <v/>
      </c>
      <c r="AI10" s="81">
        <f>AF10 * 2</f>
        <v/>
      </c>
      <c r="AJ10" s="81">
        <f>AG10 * 6</f>
        <v/>
      </c>
      <c r="AK10" s="81">
        <f>AH10 * 12</f>
        <v/>
      </c>
      <c r="AL10" s="84">
        <f>SUM(AI10:AK10)</f>
        <v/>
      </c>
      <c r="AM10" s="84">
        <f>IF(AD10 &gt; 0, AL10/B10, 0)</f>
        <v/>
      </c>
      <c r="AN10" s="85">
        <f>SUM(P10, AD10, AL10)</f>
        <v/>
      </c>
      <c r="AO10" s="85">
        <f>IF(AN10 &gt; 0, AN10/B10, 0)</f>
        <v/>
      </c>
      <c r="AP10" s="81">
        <f>SUMIF(MatchScoutingData!$F$2:$F$1000, $A10, MatchScoutingData!Z$2:Z$1000)</f>
        <v/>
      </c>
      <c r="AQ10" s="81">
        <f>SUMIF(MatchScoutingData!$F$2:$F$1000, $A10, MatchScoutingData!AA$2:AA$1000)</f>
        <v/>
      </c>
      <c r="AR10" s="81">
        <f>SUMIF(MatchScoutingData!$F$2:$F$1000, $A10, MatchScoutingData!AB$2:AB$1000)</f>
        <v/>
      </c>
      <c r="AS10" s="81">
        <f>SUM(AP10, AQ10, AR10)</f>
        <v/>
      </c>
    </row>
    <row r="11">
      <c r="A11" s="80" t="n">
        <v>424</v>
      </c>
      <c r="B11" s="81">
        <f>COUNTIF(MatchScoutingData!F$2:F$1000, $A11)</f>
        <v/>
      </c>
      <c r="C11" s="81">
        <f>SUMIF(MatchScoutingData!$F$2:$F$1000, $A11, MatchScoutingData!I$2:I$1000)</f>
        <v/>
      </c>
      <c r="D11" s="81">
        <f>SUMIF(MatchScoutingData!$F$2:$F$1000, $A11, MatchScoutingData!J$2:J$1000)</f>
        <v/>
      </c>
      <c r="E11" s="81">
        <f>SUMIF(MatchScoutingData!$F$2:$F$1000, $A11, MatchScoutingData!K$2:K$1000)</f>
        <v/>
      </c>
      <c r="F11" s="81">
        <f>SUMIF(MatchScoutingData!$F$2:$F$1000, $A11, MatchScoutingData!L$2:L$1000)</f>
        <v/>
      </c>
      <c r="G11" s="81">
        <f>SUMIF(MatchScoutingData!$F$2:$F$1000, $A11, MatchScoutingData!M$2:M$1000)</f>
        <v/>
      </c>
      <c r="H11" s="81">
        <f>SUMIF(MatchScoutingData!$F$2:$F$1000, $A11, MatchScoutingData!N$2:N$1000)</f>
        <v/>
      </c>
      <c r="I11" s="81">
        <f>C11 * 7</f>
        <v/>
      </c>
      <c r="J11" s="81">
        <f>D11 * 6</f>
        <v/>
      </c>
      <c r="K11" s="81">
        <f>E11 * 4</f>
        <v/>
      </c>
      <c r="L11" s="81">
        <f>F11 * 3</f>
        <v/>
      </c>
      <c r="M11" s="81">
        <f>G11 * 6</f>
        <v/>
      </c>
      <c r="N11" s="81">
        <f>H11 * 4</f>
        <v/>
      </c>
      <c r="O11" s="81">
        <f>SUMIF(MatchScoutingData!$F$2:$F$1000, $A11, MatchScoutingData!H$2:H$1000) * 3</f>
        <v/>
      </c>
      <c r="P11" s="82">
        <f>SUM(I11:O11)</f>
        <v/>
      </c>
      <c r="Q11" s="82">
        <f>IF(P11 &gt; 0, P11/B11, 0)</f>
        <v/>
      </c>
      <c r="R11" s="81">
        <f>SUMIF(MatchScoutingData!$F$2:$F$1000, $A11, MatchScoutingData!P$2:P$1000)</f>
        <v/>
      </c>
      <c r="S11" s="81">
        <f>SUMIF(MatchScoutingData!$F$2:$F$1000, $A11, MatchScoutingData!Q$2:Q$1000)</f>
        <v/>
      </c>
      <c r="T11" s="81">
        <f>SUMIF(MatchScoutingData!$F$2:$F$1000, $A11, MatchScoutingData!R$2:R$1000)</f>
        <v/>
      </c>
      <c r="U11" s="81">
        <f>SUMIF(MatchScoutingData!$F$2:$F$1000, $A11, MatchScoutingData!S$2:S$1000)</f>
        <v/>
      </c>
      <c r="V11" s="81">
        <f>SUMIF(MatchScoutingData!$F$2:$F$1000, $A11, MatchScoutingData!T$2:T$1000)</f>
        <v/>
      </c>
      <c r="W11" s="81">
        <f>SUMIF(MatchScoutingData!$F$2:$F$1000, $A11, MatchScoutingData!U$2:U$1000)</f>
        <v/>
      </c>
      <c r="X11" s="81">
        <f>R11 * 5</f>
        <v/>
      </c>
      <c r="Y11" s="81">
        <f>S11 * 4</f>
        <v/>
      </c>
      <c r="Z11" s="81">
        <f>T11 * 3</f>
        <v/>
      </c>
      <c r="AA11" s="81">
        <f>U11 * 2</f>
        <v/>
      </c>
      <c r="AB11" s="81">
        <f>V11 * 6</f>
        <v/>
      </c>
      <c r="AC11" s="81">
        <f>W11 * 4</f>
        <v/>
      </c>
      <c r="AD11" s="83">
        <f>SUM(X11:AC11)</f>
        <v/>
      </c>
      <c r="AE11" s="83">
        <f>IF(AD11 &gt; 0, AD11/B11, 0)</f>
        <v/>
      </c>
      <c r="AF11" s="81">
        <f>COUNTIFS(MatchScoutingData!$F$2:$F$1000, $A11, MatchScoutingData!$X$2:$X$1000, "p")</f>
        <v/>
      </c>
      <c r="AG11" s="81">
        <f>COUNTIFS(MatchScoutingData!$F$2:$F$1000, $A11, MatchScoutingData!$X$2:$X$1000, "s")</f>
        <v/>
      </c>
      <c r="AH11" s="81">
        <f>COUNTIFS(MatchScoutingData!$F$2:$F$1000, $A11, MatchScoutingData!$X$2:$X$1000, "d")</f>
        <v/>
      </c>
      <c r="AI11" s="81">
        <f>AF11 * 2</f>
        <v/>
      </c>
      <c r="AJ11" s="81">
        <f>AG11 * 6</f>
        <v/>
      </c>
      <c r="AK11" s="81">
        <f>AH11 * 12</f>
        <v/>
      </c>
      <c r="AL11" s="84">
        <f>SUM(AI11:AK11)</f>
        <v/>
      </c>
      <c r="AM11" s="84">
        <f>IF(AD11 &gt; 0, AL11/B11, 0)</f>
        <v/>
      </c>
      <c r="AN11" s="85">
        <f>SUM(P11, AD11, AL11)</f>
        <v/>
      </c>
      <c r="AO11" s="85">
        <f>IF(AN11 &gt; 0, AN11/B11, 0)</f>
        <v/>
      </c>
      <c r="AP11" s="81">
        <f>SUMIF(MatchScoutingData!$F$2:$F$1000, $A11, MatchScoutingData!Z$2:Z$1000)</f>
        <v/>
      </c>
      <c r="AQ11" s="81">
        <f>SUMIF(MatchScoutingData!$F$2:$F$1000, $A11, MatchScoutingData!AA$2:AA$1000)</f>
        <v/>
      </c>
      <c r="AR11" s="81">
        <f>SUMIF(MatchScoutingData!$F$2:$F$1000, $A11, MatchScoutingData!AB$2:AB$1000)</f>
        <v/>
      </c>
      <c r="AS11" s="81">
        <f>SUM(AP11, AQ11, AR11)</f>
        <v/>
      </c>
    </row>
    <row r="12">
      <c r="A12" s="80" t="n">
        <v>533</v>
      </c>
      <c r="B12" s="81">
        <f>COUNTIF(MatchScoutingData!F$2:F$1000, $A12)</f>
        <v/>
      </c>
      <c r="C12" s="81">
        <f>SUMIF(MatchScoutingData!$F$2:$F$1000, $A12, MatchScoutingData!I$2:I$1000)</f>
        <v/>
      </c>
      <c r="D12" s="81">
        <f>SUMIF(MatchScoutingData!$F$2:$F$1000, $A12, MatchScoutingData!J$2:J$1000)</f>
        <v/>
      </c>
      <c r="E12" s="81">
        <f>SUMIF(MatchScoutingData!$F$2:$F$1000, $A12, MatchScoutingData!K$2:K$1000)</f>
        <v/>
      </c>
      <c r="F12" s="81">
        <f>SUMIF(MatchScoutingData!$F$2:$F$1000, $A12, MatchScoutingData!L$2:L$1000)</f>
        <v/>
      </c>
      <c r="G12" s="81">
        <f>SUMIF(MatchScoutingData!$F$2:$F$1000, $A12, MatchScoutingData!M$2:M$1000)</f>
        <v/>
      </c>
      <c r="H12" s="81">
        <f>SUMIF(MatchScoutingData!$F$2:$F$1000, $A12, MatchScoutingData!N$2:N$1000)</f>
        <v/>
      </c>
      <c r="I12" s="81">
        <f>C12 * 7</f>
        <v/>
      </c>
      <c r="J12" s="81">
        <f>D12 * 6</f>
        <v/>
      </c>
      <c r="K12" s="81">
        <f>E12 * 4</f>
        <v/>
      </c>
      <c r="L12" s="81">
        <f>F12 * 3</f>
        <v/>
      </c>
      <c r="M12" s="81">
        <f>G12 * 6</f>
        <v/>
      </c>
      <c r="N12" s="81">
        <f>H12 * 4</f>
        <v/>
      </c>
      <c r="O12" s="81">
        <f>SUMIF(MatchScoutingData!$F$2:$F$1000, $A12, MatchScoutingData!H$2:H$1000) * 3</f>
        <v/>
      </c>
      <c r="P12" s="82">
        <f>SUM(I12:O12)</f>
        <v/>
      </c>
      <c r="Q12" s="82">
        <f>IF(P12 &gt; 0, P12/B12, 0)</f>
        <v/>
      </c>
      <c r="R12" s="81">
        <f>SUMIF(MatchScoutingData!$F$2:$F$1000, $A12, MatchScoutingData!P$2:P$1000)</f>
        <v/>
      </c>
      <c r="S12" s="81">
        <f>SUMIF(MatchScoutingData!$F$2:$F$1000, $A12, MatchScoutingData!Q$2:Q$1000)</f>
        <v/>
      </c>
      <c r="T12" s="81">
        <f>SUMIF(MatchScoutingData!$F$2:$F$1000, $A12, MatchScoutingData!R$2:R$1000)</f>
        <v/>
      </c>
      <c r="U12" s="81">
        <f>SUMIF(MatchScoutingData!$F$2:$F$1000, $A12, MatchScoutingData!S$2:S$1000)</f>
        <v/>
      </c>
      <c r="V12" s="81">
        <f>SUMIF(MatchScoutingData!$F$2:$F$1000, $A12, MatchScoutingData!T$2:T$1000)</f>
        <v/>
      </c>
      <c r="W12" s="81">
        <f>SUMIF(MatchScoutingData!$F$2:$F$1000, $A12, MatchScoutingData!U$2:U$1000)</f>
        <v/>
      </c>
      <c r="X12" s="81">
        <f>R12 * 5</f>
        <v/>
      </c>
      <c r="Y12" s="81">
        <f>S12 * 4</f>
        <v/>
      </c>
      <c r="Z12" s="81">
        <f>T12 * 3</f>
        <v/>
      </c>
      <c r="AA12" s="81">
        <f>U12 * 2</f>
        <v/>
      </c>
      <c r="AB12" s="81">
        <f>V12 * 6</f>
        <v/>
      </c>
      <c r="AC12" s="81">
        <f>W12 * 4</f>
        <v/>
      </c>
      <c r="AD12" s="83">
        <f>SUM(X12:AC12)</f>
        <v/>
      </c>
      <c r="AE12" s="83">
        <f>IF(AD12 &gt; 0, AD12/B12, 0)</f>
        <v/>
      </c>
      <c r="AF12" s="81">
        <f>COUNTIFS(MatchScoutingData!$F$2:$F$1000, $A12, MatchScoutingData!$X$2:$X$1000, "p")</f>
        <v/>
      </c>
      <c r="AG12" s="81">
        <f>COUNTIFS(MatchScoutingData!$F$2:$F$1000, $A12, MatchScoutingData!$X$2:$X$1000, "s")</f>
        <v/>
      </c>
      <c r="AH12" s="81">
        <f>COUNTIFS(MatchScoutingData!$F$2:$F$1000, $A12, MatchScoutingData!$X$2:$X$1000, "d")</f>
        <v/>
      </c>
      <c r="AI12" s="81">
        <f>AF12 * 2</f>
        <v/>
      </c>
      <c r="AJ12" s="81">
        <f>AG12 * 6</f>
        <v/>
      </c>
      <c r="AK12" s="81">
        <f>AH12 * 12</f>
        <v/>
      </c>
      <c r="AL12" s="84">
        <f>SUM(AI12:AK12)</f>
        <v/>
      </c>
      <c r="AM12" s="84">
        <f>IF(AD12 &gt; 0, AL12/B12, 0)</f>
        <v/>
      </c>
      <c r="AN12" s="85">
        <f>SUM(P12, AD12, AL12)</f>
        <v/>
      </c>
      <c r="AO12" s="85">
        <f>IF(AN12 &gt; 0, AN12/B12, 0)</f>
        <v/>
      </c>
      <c r="AP12" s="81">
        <f>SUMIF(MatchScoutingData!$F$2:$F$1000, $A12, MatchScoutingData!Z$2:Z$1000)</f>
        <v/>
      </c>
      <c r="AQ12" s="81">
        <f>SUMIF(MatchScoutingData!$F$2:$F$1000, $A12, MatchScoutingData!AA$2:AA$1000)</f>
        <v/>
      </c>
      <c r="AR12" s="81">
        <f>SUMIF(MatchScoutingData!$F$2:$F$1000, $A12, MatchScoutingData!AB$2:AB$1000)</f>
        <v/>
      </c>
      <c r="AS12" s="81">
        <f>SUM(AP12, AQ12, AR12)</f>
        <v/>
      </c>
    </row>
    <row r="13">
      <c r="A13" s="80" t="n">
        <v>564</v>
      </c>
      <c r="B13" s="81">
        <f>COUNTIF(MatchScoutingData!F$2:F$1000, $A13)</f>
        <v/>
      </c>
      <c r="C13" s="81">
        <f>SUMIF(MatchScoutingData!$F$2:$F$1000, $A13, MatchScoutingData!I$2:I$1000)</f>
        <v/>
      </c>
      <c r="D13" s="81">
        <f>SUMIF(MatchScoutingData!$F$2:$F$1000, $A13, MatchScoutingData!J$2:J$1000)</f>
        <v/>
      </c>
      <c r="E13" s="81">
        <f>SUMIF(MatchScoutingData!$F$2:$F$1000, $A13, MatchScoutingData!K$2:K$1000)</f>
        <v/>
      </c>
      <c r="F13" s="81">
        <f>SUMIF(MatchScoutingData!$F$2:$F$1000, $A13, MatchScoutingData!L$2:L$1000)</f>
        <v/>
      </c>
      <c r="G13" s="81">
        <f>SUMIF(MatchScoutingData!$F$2:$F$1000, $A13, MatchScoutingData!M$2:M$1000)</f>
        <v/>
      </c>
      <c r="H13" s="81">
        <f>SUMIF(MatchScoutingData!$F$2:$F$1000, $A13, MatchScoutingData!N$2:N$1000)</f>
        <v/>
      </c>
      <c r="I13" s="81">
        <f>C13 * 7</f>
        <v/>
      </c>
      <c r="J13" s="81">
        <f>D13 * 6</f>
        <v/>
      </c>
      <c r="K13" s="81">
        <f>E13 * 4</f>
        <v/>
      </c>
      <c r="L13" s="81">
        <f>F13 * 3</f>
        <v/>
      </c>
      <c r="M13" s="81">
        <f>G13 * 6</f>
        <v/>
      </c>
      <c r="N13" s="81">
        <f>H13 * 4</f>
        <v/>
      </c>
      <c r="O13" s="81">
        <f>SUMIF(MatchScoutingData!$F$2:$F$1000, $A13, MatchScoutingData!H$2:H$1000) * 3</f>
        <v/>
      </c>
      <c r="P13" s="82">
        <f>SUM(I13:O13)</f>
        <v/>
      </c>
      <c r="Q13" s="82">
        <f>IF(P13 &gt; 0, P13/B13, 0)</f>
        <v/>
      </c>
      <c r="R13" s="81">
        <f>SUMIF(MatchScoutingData!$F$2:$F$1000, $A13, MatchScoutingData!P$2:P$1000)</f>
        <v/>
      </c>
      <c r="S13" s="81">
        <f>SUMIF(MatchScoutingData!$F$2:$F$1000, $A13, MatchScoutingData!Q$2:Q$1000)</f>
        <v/>
      </c>
      <c r="T13" s="81">
        <f>SUMIF(MatchScoutingData!$F$2:$F$1000, $A13, MatchScoutingData!R$2:R$1000)</f>
        <v/>
      </c>
      <c r="U13" s="81">
        <f>SUMIF(MatchScoutingData!$F$2:$F$1000, $A13, MatchScoutingData!S$2:S$1000)</f>
        <v/>
      </c>
      <c r="V13" s="81">
        <f>SUMIF(MatchScoutingData!$F$2:$F$1000, $A13, MatchScoutingData!T$2:T$1000)</f>
        <v/>
      </c>
      <c r="W13" s="81">
        <f>SUMIF(MatchScoutingData!$F$2:$F$1000, $A13, MatchScoutingData!U$2:U$1000)</f>
        <v/>
      </c>
      <c r="X13" s="81">
        <f>R13 * 5</f>
        <v/>
      </c>
      <c r="Y13" s="81">
        <f>S13 * 4</f>
        <v/>
      </c>
      <c r="Z13" s="81">
        <f>T13 * 3</f>
        <v/>
      </c>
      <c r="AA13" s="81">
        <f>U13 * 2</f>
        <v/>
      </c>
      <c r="AB13" s="81">
        <f>V13 * 6</f>
        <v/>
      </c>
      <c r="AC13" s="81">
        <f>W13 * 4</f>
        <v/>
      </c>
      <c r="AD13" s="83">
        <f>SUM(X13:AC13)</f>
        <v/>
      </c>
      <c r="AE13" s="83">
        <f>IF(AD13 &gt; 0, AD13/B13, 0)</f>
        <v/>
      </c>
      <c r="AF13" s="81">
        <f>COUNTIFS(MatchScoutingData!$F$2:$F$1000, $A13, MatchScoutingData!$X$2:$X$1000, "p")</f>
        <v/>
      </c>
      <c r="AG13" s="81">
        <f>COUNTIFS(MatchScoutingData!$F$2:$F$1000, $A13, MatchScoutingData!$X$2:$X$1000, "s")</f>
        <v/>
      </c>
      <c r="AH13" s="81">
        <f>COUNTIFS(MatchScoutingData!$F$2:$F$1000, $A13, MatchScoutingData!$X$2:$X$1000, "d")</f>
        <v/>
      </c>
      <c r="AI13" s="81">
        <f>AF13 * 2</f>
        <v/>
      </c>
      <c r="AJ13" s="81">
        <f>AG13 * 6</f>
        <v/>
      </c>
      <c r="AK13" s="81">
        <f>AH13 * 12</f>
        <v/>
      </c>
      <c r="AL13" s="84">
        <f>SUM(AI13:AK13)</f>
        <v/>
      </c>
      <c r="AM13" s="84">
        <f>IF(AD13 &gt; 0, AL13/B13, 0)</f>
        <v/>
      </c>
      <c r="AN13" s="85">
        <f>SUM(P13, AD13, AL13)</f>
        <v/>
      </c>
      <c r="AO13" s="85">
        <f>IF(AN13 &gt; 0, AN13/B13, 0)</f>
        <v/>
      </c>
      <c r="AP13" s="81">
        <f>SUMIF(MatchScoutingData!$F$2:$F$1000, $A13, MatchScoutingData!Z$2:Z$1000)</f>
        <v/>
      </c>
      <c r="AQ13" s="81">
        <f>SUMIF(MatchScoutingData!$F$2:$F$1000, $A13, MatchScoutingData!AA$2:AA$1000)</f>
        <v/>
      </c>
      <c r="AR13" s="81">
        <f>SUMIF(MatchScoutingData!$F$2:$F$1000, $A13, MatchScoutingData!AB$2:AB$1000)</f>
        <v/>
      </c>
      <c r="AS13" s="81">
        <f>SUM(AP13, AQ13, AR13)</f>
        <v/>
      </c>
    </row>
    <row r="14">
      <c r="A14" s="80" t="n">
        <v>578</v>
      </c>
      <c r="B14" s="81">
        <f>COUNTIF(MatchScoutingData!F$2:F$1000, $A14)</f>
        <v/>
      </c>
      <c r="C14" s="81">
        <f>SUMIF(MatchScoutingData!$F$2:$F$1000, $A14, MatchScoutingData!I$2:I$1000)</f>
        <v/>
      </c>
      <c r="D14" s="81">
        <f>SUMIF(MatchScoutingData!$F$2:$F$1000, $A14, MatchScoutingData!J$2:J$1000)</f>
        <v/>
      </c>
      <c r="E14" s="81">
        <f>SUMIF(MatchScoutingData!$F$2:$F$1000, $A14, MatchScoutingData!K$2:K$1000)</f>
        <v/>
      </c>
      <c r="F14" s="81">
        <f>SUMIF(MatchScoutingData!$F$2:$F$1000, $A14, MatchScoutingData!L$2:L$1000)</f>
        <v/>
      </c>
      <c r="G14" s="81">
        <f>SUMIF(MatchScoutingData!$F$2:$F$1000, $A14, MatchScoutingData!M$2:M$1000)</f>
        <v/>
      </c>
      <c r="H14" s="81">
        <f>SUMIF(MatchScoutingData!$F$2:$F$1000, $A14, MatchScoutingData!N$2:N$1000)</f>
        <v/>
      </c>
      <c r="I14" s="81">
        <f>C14 * 7</f>
        <v/>
      </c>
      <c r="J14" s="81">
        <f>D14 * 6</f>
        <v/>
      </c>
      <c r="K14" s="81">
        <f>E14 * 4</f>
        <v/>
      </c>
      <c r="L14" s="81">
        <f>F14 * 3</f>
        <v/>
      </c>
      <c r="M14" s="81">
        <f>G14 * 6</f>
        <v/>
      </c>
      <c r="N14" s="81">
        <f>H14 * 4</f>
        <v/>
      </c>
      <c r="O14" s="81">
        <f>SUMIF(MatchScoutingData!$F$2:$F$1000, $A14, MatchScoutingData!H$2:H$1000) * 3</f>
        <v/>
      </c>
      <c r="P14" s="82">
        <f>SUM(I14:O14)</f>
        <v/>
      </c>
      <c r="Q14" s="82">
        <f>IF(P14 &gt; 0, P14/B14, 0)</f>
        <v/>
      </c>
      <c r="R14" s="81">
        <f>SUMIF(MatchScoutingData!$F$2:$F$1000, $A14, MatchScoutingData!P$2:P$1000)</f>
        <v/>
      </c>
      <c r="S14" s="81">
        <f>SUMIF(MatchScoutingData!$F$2:$F$1000, $A14, MatchScoutingData!Q$2:Q$1000)</f>
        <v/>
      </c>
      <c r="T14" s="81">
        <f>SUMIF(MatchScoutingData!$F$2:$F$1000, $A14, MatchScoutingData!R$2:R$1000)</f>
        <v/>
      </c>
      <c r="U14" s="81">
        <f>SUMIF(MatchScoutingData!$F$2:$F$1000, $A14, MatchScoutingData!S$2:S$1000)</f>
        <v/>
      </c>
      <c r="V14" s="81">
        <f>SUMIF(MatchScoutingData!$F$2:$F$1000, $A14, MatchScoutingData!T$2:T$1000)</f>
        <v/>
      </c>
      <c r="W14" s="81">
        <f>SUMIF(MatchScoutingData!$F$2:$F$1000, $A14, MatchScoutingData!U$2:U$1000)</f>
        <v/>
      </c>
      <c r="X14" s="81">
        <f>R14 * 5</f>
        <v/>
      </c>
      <c r="Y14" s="81">
        <f>S14 * 4</f>
        <v/>
      </c>
      <c r="Z14" s="81">
        <f>T14 * 3</f>
        <v/>
      </c>
      <c r="AA14" s="81">
        <f>U14 * 2</f>
        <v/>
      </c>
      <c r="AB14" s="81">
        <f>V14 * 6</f>
        <v/>
      </c>
      <c r="AC14" s="81">
        <f>W14 * 4</f>
        <v/>
      </c>
      <c r="AD14" s="83">
        <f>SUM(X14:AC14)</f>
        <v/>
      </c>
      <c r="AE14" s="83">
        <f>IF(AD14 &gt; 0, AD14/B14, 0)</f>
        <v/>
      </c>
      <c r="AF14" s="81">
        <f>COUNTIFS(MatchScoutingData!$F$2:$F$1000, $A14, MatchScoutingData!$X$2:$X$1000, "p")</f>
        <v/>
      </c>
      <c r="AG14" s="81">
        <f>COUNTIFS(MatchScoutingData!$F$2:$F$1000, $A14, MatchScoutingData!$X$2:$X$1000, "s")</f>
        <v/>
      </c>
      <c r="AH14" s="81">
        <f>COUNTIFS(MatchScoutingData!$F$2:$F$1000, $A14, MatchScoutingData!$X$2:$X$1000, "d")</f>
        <v/>
      </c>
      <c r="AI14" s="81">
        <f>AF14 * 2</f>
        <v/>
      </c>
      <c r="AJ14" s="81">
        <f>AG14 * 6</f>
        <v/>
      </c>
      <c r="AK14" s="81">
        <f>AH14 * 12</f>
        <v/>
      </c>
      <c r="AL14" s="84">
        <f>SUM(AI14:AK14)</f>
        <v/>
      </c>
      <c r="AM14" s="84">
        <f>IF(AD14 &gt; 0, AL14/B14, 0)</f>
        <v/>
      </c>
      <c r="AN14" s="85">
        <f>SUM(P14, AD14, AL14)</f>
        <v/>
      </c>
      <c r="AO14" s="85">
        <f>IF(AN14 &gt; 0, AN14/B14, 0)</f>
        <v/>
      </c>
      <c r="AP14" s="81">
        <f>SUMIF(MatchScoutingData!$F$2:$F$1000, $A14, MatchScoutingData!Z$2:Z$1000)</f>
        <v/>
      </c>
      <c r="AQ14" s="81">
        <f>SUMIF(MatchScoutingData!$F$2:$F$1000, $A14, MatchScoutingData!AA$2:AA$1000)</f>
        <v/>
      </c>
      <c r="AR14" s="81">
        <f>SUMIF(MatchScoutingData!$F$2:$F$1000, $A14, MatchScoutingData!AB$2:AB$1000)</f>
        <v/>
      </c>
      <c r="AS14" s="81">
        <f>SUM(AP14, AQ14, AR14)</f>
        <v/>
      </c>
    </row>
    <row r="15">
      <c r="A15" s="80" t="n">
        <v>639</v>
      </c>
      <c r="B15" s="81">
        <f>COUNTIF(MatchScoutingData!F$2:F$1000, $A15)</f>
        <v/>
      </c>
      <c r="C15" s="81">
        <f>SUMIF(MatchScoutingData!$F$2:$F$1000, $A15, MatchScoutingData!I$2:I$1000)</f>
        <v/>
      </c>
      <c r="D15" s="81">
        <f>SUMIF(MatchScoutingData!$F$2:$F$1000, $A15, MatchScoutingData!J$2:J$1000)</f>
        <v/>
      </c>
      <c r="E15" s="81">
        <f>SUMIF(MatchScoutingData!$F$2:$F$1000, $A15, MatchScoutingData!K$2:K$1000)</f>
        <v/>
      </c>
      <c r="F15" s="81">
        <f>SUMIF(MatchScoutingData!$F$2:$F$1000, $A15, MatchScoutingData!L$2:L$1000)</f>
        <v/>
      </c>
      <c r="G15" s="81">
        <f>SUMIF(MatchScoutingData!$F$2:$F$1000, $A15, MatchScoutingData!M$2:M$1000)</f>
        <v/>
      </c>
      <c r="H15" s="81">
        <f>SUMIF(MatchScoutingData!$F$2:$F$1000, $A15, MatchScoutingData!N$2:N$1000)</f>
        <v/>
      </c>
      <c r="I15" s="81">
        <f>C15 * 7</f>
        <v/>
      </c>
      <c r="J15" s="81">
        <f>D15 * 6</f>
        <v/>
      </c>
      <c r="K15" s="81">
        <f>E15 * 4</f>
        <v/>
      </c>
      <c r="L15" s="81">
        <f>F15 * 3</f>
        <v/>
      </c>
      <c r="M15" s="81">
        <f>G15 * 6</f>
        <v/>
      </c>
      <c r="N15" s="81">
        <f>H15 * 4</f>
        <v/>
      </c>
      <c r="O15" s="81">
        <f>SUMIF(MatchScoutingData!$F$2:$F$1000, $A15, MatchScoutingData!H$2:H$1000) * 3</f>
        <v/>
      </c>
      <c r="P15" s="82">
        <f>SUM(I15:O15)</f>
        <v/>
      </c>
      <c r="Q15" s="82">
        <f>IF(P15 &gt; 0, P15/B15, 0)</f>
        <v/>
      </c>
      <c r="R15" s="81">
        <f>SUMIF(MatchScoutingData!$F$2:$F$1000, $A15, MatchScoutingData!P$2:P$1000)</f>
        <v/>
      </c>
      <c r="S15" s="81">
        <f>SUMIF(MatchScoutingData!$F$2:$F$1000, $A15, MatchScoutingData!Q$2:Q$1000)</f>
        <v/>
      </c>
      <c r="T15" s="81">
        <f>SUMIF(MatchScoutingData!$F$2:$F$1000, $A15, MatchScoutingData!R$2:R$1000)</f>
        <v/>
      </c>
      <c r="U15" s="81">
        <f>SUMIF(MatchScoutingData!$F$2:$F$1000, $A15, MatchScoutingData!S$2:S$1000)</f>
        <v/>
      </c>
      <c r="V15" s="81">
        <f>SUMIF(MatchScoutingData!$F$2:$F$1000, $A15, MatchScoutingData!T$2:T$1000)</f>
        <v/>
      </c>
      <c r="W15" s="81">
        <f>SUMIF(MatchScoutingData!$F$2:$F$1000, $A15, MatchScoutingData!U$2:U$1000)</f>
        <v/>
      </c>
      <c r="X15" s="81">
        <f>R15 * 5</f>
        <v/>
      </c>
      <c r="Y15" s="81">
        <f>S15 * 4</f>
        <v/>
      </c>
      <c r="Z15" s="81">
        <f>T15 * 3</f>
        <v/>
      </c>
      <c r="AA15" s="81">
        <f>U15 * 2</f>
        <v/>
      </c>
      <c r="AB15" s="81">
        <f>V15 * 6</f>
        <v/>
      </c>
      <c r="AC15" s="81">
        <f>W15 * 4</f>
        <v/>
      </c>
      <c r="AD15" s="83">
        <f>SUM(X15:AC15)</f>
        <v/>
      </c>
      <c r="AE15" s="83">
        <f>IF(AD15 &gt; 0, AD15/B15, 0)</f>
        <v/>
      </c>
      <c r="AF15" s="81">
        <f>COUNTIFS(MatchScoutingData!$F$2:$F$1000, $A15, MatchScoutingData!$X$2:$X$1000, "p")</f>
        <v/>
      </c>
      <c r="AG15" s="81">
        <f>COUNTIFS(MatchScoutingData!$F$2:$F$1000, $A15, MatchScoutingData!$X$2:$X$1000, "s")</f>
        <v/>
      </c>
      <c r="AH15" s="81">
        <f>COUNTIFS(MatchScoutingData!$F$2:$F$1000, $A15, MatchScoutingData!$X$2:$X$1000, "d")</f>
        <v/>
      </c>
      <c r="AI15" s="81">
        <f>AF15 * 2</f>
        <v/>
      </c>
      <c r="AJ15" s="81">
        <f>AG15 * 6</f>
        <v/>
      </c>
      <c r="AK15" s="81">
        <f>AH15 * 12</f>
        <v/>
      </c>
      <c r="AL15" s="84">
        <f>SUM(AI15:AK15)</f>
        <v/>
      </c>
      <c r="AM15" s="84">
        <f>IF(AD15 &gt; 0, AL15/B15, 0)</f>
        <v/>
      </c>
      <c r="AN15" s="85">
        <f>SUM(P15, AD15, AL15)</f>
        <v/>
      </c>
      <c r="AO15" s="85">
        <f>IF(AN15 &gt; 0, AN15/B15, 0)</f>
        <v/>
      </c>
      <c r="AP15" s="81">
        <f>SUMIF(MatchScoutingData!$F$2:$F$1000, $A15, MatchScoutingData!Z$2:Z$1000)</f>
        <v/>
      </c>
      <c r="AQ15" s="81">
        <f>SUMIF(MatchScoutingData!$F$2:$F$1000, $A15, MatchScoutingData!AA$2:AA$1000)</f>
        <v/>
      </c>
      <c r="AR15" s="81">
        <f>SUMIF(MatchScoutingData!$F$2:$F$1000, $A15, MatchScoutingData!AB$2:AB$1000)</f>
        <v/>
      </c>
      <c r="AS15" s="81">
        <f>SUM(AP15, AQ15, AR15)</f>
        <v/>
      </c>
    </row>
    <row r="16">
      <c r="A16" s="80" t="n">
        <v>695</v>
      </c>
      <c r="B16" s="81">
        <f>COUNTIF(MatchScoutingData!F$2:F$1000, $A16)</f>
        <v/>
      </c>
      <c r="C16" s="81">
        <f>SUMIF(MatchScoutingData!$F$2:$F$1000, $A16, MatchScoutingData!I$2:I$1000)</f>
        <v/>
      </c>
      <c r="D16" s="81">
        <f>SUMIF(MatchScoutingData!$F$2:$F$1000, $A16, MatchScoutingData!J$2:J$1000)</f>
        <v/>
      </c>
      <c r="E16" s="81">
        <f>SUMIF(MatchScoutingData!$F$2:$F$1000, $A16, MatchScoutingData!K$2:K$1000)</f>
        <v/>
      </c>
      <c r="F16" s="81">
        <f>SUMIF(MatchScoutingData!$F$2:$F$1000, $A16, MatchScoutingData!L$2:L$1000)</f>
        <v/>
      </c>
      <c r="G16" s="81">
        <f>SUMIF(MatchScoutingData!$F$2:$F$1000, $A16, MatchScoutingData!M$2:M$1000)</f>
        <v/>
      </c>
      <c r="H16" s="81">
        <f>SUMIF(MatchScoutingData!$F$2:$F$1000, $A16, MatchScoutingData!N$2:N$1000)</f>
        <v/>
      </c>
      <c r="I16" s="81">
        <f>C16 * 7</f>
        <v/>
      </c>
      <c r="J16" s="81">
        <f>D16 * 6</f>
        <v/>
      </c>
      <c r="K16" s="81">
        <f>E16 * 4</f>
        <v/>
      </c>
      <c r="L16" s="81">
        <f>F16 * 3</f>
        <v/>
      </c>
      <c r="M16" s="81">
        <f>G16 * 6</f>
        <v/>
      </c>
      <c r="N16" s="81">
        <f>H16 * 4</f>
        <v/>
      </c>
      <c r="O16" s="81">
        <f>SUMIF(MatchScoutingData!$F$2:$F$1000, $A16, MatchScoutingData!H$2:H$1000) * 3</f>
        <v/>
      </c>
      <c r="P16" s="82">
        <f>SUM(I16:O16)</f>
        <v/>
      </c>
      <c r="Q16" s="82">
        <f>IF(P16 &gt; 0, P16/B16, 0)</f>
        <v/>
      </c>
      <c r="R16" s="81">
        <f>SUMIF(MatchScoutingData!$F$2:$F$1000, $A16, MatchScoutingData!P$2:P$1000)</f>
        <v/>
      </c>
      <c r="S16" s="81">
        <f>SUMIF(MatchScoutingData!$F$2:$F$1000, $A16, MatchScoutingData!Q$2:Q$1000)</f>
        <v/>
      </c>
      <c r="T16" s="81">
        <f>SUMIF(MatchScoutingData!$F$2:$F$1000, $A16, MatchScoutingData!R$2:R$1000)</f>
        <v/>
      </c>
      <c r="U16" s="81">
        <f>SUMIF(MatchScoutingData!$F$2:$F$1000, $A16, MatchScoutingData!S$2:S$1000)</f>
        <v/>
      </c>
      <c r="V16" s="81">
        <f>SUMIF(MatchScoutingData!$F$2:$F$1000, $A16, MatchScoutingData!T$2:T$1000)</f>
        <v/>
      </c>
      <c r="W16" s="81">
        <f>SUMIF(MatchScoutingData!$F$2:$F$1000, $A16, MatchScoutingData!U$2:U$1000)</f>
        <v/>
      </c>
      <c r="X16" s="81">
        <f>R16 * 5</f>
        <v/>
      </c>
      <c r="Y16" s="81">
        <f>S16 * 4</f>
        <v/>
      </c>
      <c r="Z16" s="81">
        <f>T16 * 3</f>
        <v/>
      </c>
      <c r="AA16" s="81">
        <f>U16 * 2</f>
        <v/>
      </c>
      <c r="AB16" s="81">
        <f>V16 * 6</f>
        <v/>
      </c>
      <c r="AC16" s="81">
        <f>W16 * 4</f>
        <v/>
      </c>
      <c r="AD16" s="83">
        <f>SUM(X16:AC16)</f>
        <v/>
      </c>
      <c r="AE16" s="83">
        <f>IF(AD16 &gt; 0, AD16/B16, 0)</f>
        <v/>
      </c>
      <c r="AF16" s="81">
        <f>COUNTIFS(MatchScoutingData!$F$2:$F$1000, $A16, MatchScoutingData!$X$2:$X$1000, "p")</f>
        <v/>
      </c>
      <c r="AG16" s="81">
        <f>COUNTIFS(MatchScoutingData!$F$2:$F$1000, $A16, MatchScoutingData!$X$2:$X$1000, "s")</f>
        <v/>
      </c>
      <c r="AH16" s="81">
        <f>COUNTIFS(MatchScoutingData!$F$2:$F$1000, $A16, MatchScoutingData!$X$2:$X$1000, "d")</f>
        <v/>
      </c>
      <c r="AI16" s="81">
        <f>AF16 * 2</f>
        <v/>
      </c>
      <c r="AJ16" s="81">
        <f>AG16 * 6</f>
        <v/>
      </c>
      <c r="AK16" s="81">
        <f>AH16 * 12</f>
        <v/>
      </c>
      <c r="AL16" s="84">
        <f>SUM(AI16:AK16)</f>
        <v/>
      </c>
      <c r="AM16" s="84">
        <f>IF(AD16 &gt; 0, AL16/B16, 0)</f>
        <v/>
      </c>
      <c r="AN16" s="85">
        <f>SUM(P16, AD16, AL16)</f>
        <v/>
      </c>
      <c r="AO16" s="85">
        <f>IF(AN16 &gt; 0, AN16/B16, 0)</f>
        <v/>
      </c>
      <c r="AP16" s="81">
        <f>SUMIF(MatchScoutingData!$F$2:$F$1000, $A16, MatchScoutingData!Z$2:Z$1000)</f>
        <v/>
      </c>
      <c r="AQ16" s="81">
        <f>SUMIF(MatchScoutingData!$F$2:$F$1000, $A16, MatchScoutingData!AA$2:AA$1000)</f>
        <v/>
      </c>
      <c r="AR16" s="81">
        <f>SUMIF(MatchScoutingData!$F$2:$F$1000, $A16, MatchScoutingData!AB$2:AB$1000)</f>
        <v/>
      </c>
      <c r="AS16" s="81">
        <f>SUM(AP16, AQ16, AR16)</f>
        <v/>
      </c>
    </row>
    <row r="17">
      <c r="A17" s="80" t="n">
        <v>1126</v>
      </c>
      <c r="B17" s="81">
        <f>COUNTIF(MatchScoutingData!F$2:F$1000, $A17)</f>
        <v/>
      </c>
      <c r="C17" s="81">
        <f>SUMIF(MatchScoutingData!$F$2:$F$1000, $A17, MatchScoutingData!I$2:I$1000)</f>
        <v/>
      </c>
      <c r="D17" s="81">
        <f>SUMIF(MatchScoutingData!$F$2:$F$1000, $A17, MatchScoutingData!J$2:J$1000)</f>
        <v/>
      </c>
      <c r="E17" s="81">
        <f>SUMIF(MatchScoutingData!$F$2:$F$1000, $A17, MatchScoutingData!K$2:K$1000)</f>
        <v/>
      </c>
      <c r="F17" s="81">
        <f>SUMIF(MatchScoutingData!$F$2:$F$1000, $A17, MatchScoutingData!L$2:L$1000)</f>
        <v/>
      </c>
      <c r="G17" s="81">
        <f>SUMIF(MatchScoutingData!$F$2:$F$1000, $A17, MatchScoutingData!M$2:M$1000)</f>
        <v/>
      </c>
      <c r="H17" s="81">
        <f>SUMIF(MatchScoutingData!$F$2:$F$1000, $A17, MatchScoutingData!N$2:N$1000)</f>
        <v/>
      </c>
      <c r="I17" s="81">
        <f>C17 * 7</f>
        <v/>
      </c>
      <c r="J17" s="81">
        <f>D17 * 6</f>
        <v/>
      </c>
      <c r="K17" s="81">
        <f>E17 * 4</f>
        <v/>
      </c>
      <c r="L17" s="81">
        <f>F17 * 3</f>
        <v/>
      </c>
      <c r="M17" s="81">
        <f>G17 * 6</f>
        <v/>
      </c>
      <c r="N17" s="81">
        <f>H17 * 4</f>
        <v/>
      </c>
      <c r="O17" s="81">
        <f>SUMIF(MatchScoutingData!$F$2:$F$1000, $A17, MatchScoutingData!H$2:H$1000) * 3</f>
        <v/>
      </c>
      <c r="P17" s="82">
        <f>SUM(I17:O17)</f>
        <v/>
      </c>
      <c r="Q17" s="82">
        <f>IF(P17 &gt; 0, P17/B17, 0)</f>
        <v/>
      </c>
      <c r="R17" s="81">
        <f>SUMIF(MatchScoutingData!$F$2:$F$1000, $A17, MatchScoutingData!P$2:P$1000)</f>
        <v/>
      </c>
      <c r="S17" s="81">
        <f>SUMIF(MatchScoutingData!$F$2:$F$1000, $A17, MatchScoutingData!Q$2:Q$1000)</f>
        <v/>
      </c>
      <c r="T17" s="81">
        <f>SUMIF(MatchScoutingData!$F$2:$F$1000, $A17, MatchScoutingData!R$2:R$1000)</f>
        <v/>
      </c>
      <c r="U17" s="81">
        <f>SUMIF(MatchScoutingData!$F$2:$F$1000, $A17, MatchScoutingData!S$2:S$1000)</f>
        <v/>
      </c>
      <c r="V17" s="81">
        <f>SUMIF(MatchScoutingData!$F$2:$F$1000, $A17, MatchScoutingData!T$2:T$1000)</f>
        <v/>
      </c>
      <c r="W17" s="81">
        <f>SUMIF(MatchScoutingData!$F$2:$F$1000, $A17, MatchScoutingData!U$2:U$1000)</f>
        <v/>
      </c>
      <c r="X17" s="81">
        <f>R17 * 5</f>
        <v/>
      </c>
      <c r="Y17" s="81">
        <f>S17 * 4</f>
        <v/>
      </c>
      <c r="Z17" s="81">
        <f>T17 * 3</f>
        <v/>
      </c>
      <c r="AA17" s="81">
        <f>U17 * 2</f>
        <v/>
      </c>
      <c r="AB17" s="81">
        <f>V17 * 6</f>
        <v/>
      </c>
      <c r="AC17" s="81">
        <f>W17 * 4</f>
        <v/>
      </c>
      <c r="AD17" s="83">
        <f>SUM(X17:AC17)</f>
        <v/>
      </c>
      <c r="AE17" s="83">
        <f>IF(AD17 &gt; 0, AD17/B17, 0)</f>
        <v/>
      </c>
      <c r="AF17" s="81">
        <f>COUNTIFS(MatchScoutingData!$F$2:$F$1000, $A17, MatchScoutingData!$X$2:$X$1000, "p")</f>
        <v/>
      </c>
      <c r="AG17" s="81">
        <f>COUNTIFS(MatchScoutingData!$F$2:$F$1000, $A17, MatchScoutingData!$X$2:$X$1000, "s")</f>
        <v/>
      </c>
      <c r="AH17" s="81">
        <f>COUNTIFS(MatchScoutingData!$F$2:$F$1000, $A17, MatchScoutingData!$X$2:$X$1000, "d")</f>
        <v/>
      </c>
      <c r="AI17" s="81">
        <f>AF17 * 2</f>
        <v/>
      </c>
      <c r="AJ17" s="81">
        <f>AG17 * 6</f>
        <v/>
      </c>
      <c r="AK17" s="81">
        <f>AH17 * 12</f>
        <v/>
      </c>
      <c r="AL17" s="84">
        <f>SUM(AI17:AK17)</f>
        <v/>
      </c>
      <c r="AM17" s="84">
        <f>IF(AD17 &gt; 0, AL17/B17, 0)</f>
        <v/>
      </c>
      <c r="AN17" s="85">
        <f>SUM(P17, AD17, AL17)</f>
        <v/>
      </c>
      <c r="AO17" s="85">
        <f>IF(AN17 &gt; 0, AN17/B17, 0)</f>
        <v/>
      </c>
      <c r="AP17" s="81">
        <f>SUMIF(MatchScoutingData!$F$2:$F$1000, $A17, MatchScoutingData!Z$2:Z$1000)</f>
        <v/>
      </c>
      <c r="AQ17" s="81">
        <f>SUMIF(MatchScoutingData!$F$2:$F$1000, $A17, MatchScoutingData!AA$2:AA$1000)</f>
        <v/>
      </c>
      <c r="AR17" s="81">
        <f>SUMIF(MatchScoutingData!$F$2:$F$1000, $A17, MatchScoutingData!AB$2:AB$1000)</f>
        <v/>
      </c>
      <c r="AS17" s="81">
        <f>SUM(AP17, AQ17, AR17)</f>
        <v/>
      </c>
    </row>
    <row r="18">
      <c r="A18" s="80" t="n">
        <v>1308</v>
      </c>
      <c r="B18" s="81">
        <f>COUNTIF(MatchScoutingData!F$2:F$1000, $A18)</f>
        <v/>
      </c>
      <c r="C18" s="81">
        <f>SUMIF(MatchScoutingData!$F$2:$F$1000, $A18, MatchScoutingData!I$2:I$1000)</f>
        <v/>
      </c>
      <c r="D18" s="81">
        <f>SUMIF(MatchScoutingData!$F$2:$F$1000, $A18, MatchScoutingData!J$2:J$1000)</f>
        <v/>
      </c>
      <c r="E18" s="81">
        <f>SUMIF(MatchScoutingData!$F$2:$F$1000, $A18, MatchScoutingData!K$2:K$1000)</f>
        <v/>
      </c>
      <c r="F18" s="81">
        <f>SUMIF(MatchScoutingData!$F$2:$F$1000, $A18, MatchScoutingData!L$2:L$1000)</f>
        <v/>
      </c>
      <c r="G18" s="81">
        <f>SUMIF(MatchScoutingData!$F$2:$F$1000, $A18, MatchScoutingData!M$2:M$1000)</f>
        <v/>
      </c>
      <c r="H18" s="81">
        <f>SUMIF(MatchScoutingData!$F$2:$F$1000, $A18, MatchScoutingData!N$2:N$1000)</f>
        <v/>
      </c>
      <c r="I18" s="81">
        <f>C18 * 7</f>
        <v/>
      </c>
      <c r="J18" s="81">
        <f>D18 * 6</f>
        <v/>
      </c>
      <c r="K18" s="81">
        <f>E18 * 4</f>
        <v/>
      </c>
      <c r="L18" s="81">
        <f>F18 * 3</f>
        <v/>
      </c>
      <c r="M18" s="81">
        <f>G18 * 6</f>
        <v/>
      </c>
      <c r="N18" s="81">
        <f>H18 * 4</f>
        <v/>
      </c>
      <c r="O18" s="81">
        <f>SUMIF(MatchScoutingData!$F$2:$F$1000, $A18, MatchScoutingData!H$2:H$1000) * 3</f>
        <v/>
      </c>
      <c r="P18" s="82">
        <f>SUM(I18:O18)</f>
        <v/>
      </c>
      <c r="Q18" s="82">
        <f>IF(P18 &gt; 0, P18/B18, 0)</f>
        <v/>
      </c>
      <c r="R18" s="81">
        <f>SUMIF(MatchScoutingData!$F$2:$F$1000, $A18, MatchScoutingData!P$2:P$1000)</f>
        <v/>
      </c>
      <c r="S18" s="81">
        <f>SUMIF(MatchScoutingData!$F$2:$F$1000, $A18, MatchScoutingData!Q$2:Q$1000)</f>
        <v/>
      </c>
      <c r="T18" s="81">
        <f>SUMIF(MatchScoutingData!$F$2:$F$1000, $A18, MatchScoutingData!R$2:R$1000)</f>
        <v/>
      </c>
      <c r="U18" s="81">
        <f>SUMIF(MatchScoutingData!$F$2:$F$1000, $A18, MatchScoutingData!S$2:S$1000)</f>
        <v/>
      </c>
      <c r="V18" s="81">
        <f>SUMIF(MatchScoutingData!$F$2:$F$1000, $A18, MatchScoutingData!T$2:T$1000)</f>
        <v/>
      </c>
      <c r="W18" s="81">
        <f>SUMIF(MatchScoutingData!$F$2:$F$1000, $A18, MatchScoutingData!U$2:U$1000)</f>
        <v/>
      </c>
      <c r="X18" s="81">
        <f>R18 * 5</f>
        <v/>
      </c>
      <c r="Y18" s="81">
        <f>S18 * 4</f>
        <v/>
      </c>
      <c r="Z18" s="81">
        <f>T18 * 3</f>
        <v/>
      </c>
      <c r="AA18" s="81">
        <f>U18 * 2</f>
        <v/>
      </c>
      <c r="AB18" s="81">
        <f>V18 * 6</f>
        <v/>
      </c>
      <c r="AC18" s="81">
        <f>W18 * 4</f>
        <v/>
      </c>
      <c r="AD18" s="83">
        <f>SUM(X18:AC18)</f>
        <v/>
      </c>
      <c r="AE18" s="83">
        <f>IF(AD18 &gt; 0, AD18/B18, 0)</f>
        <v/>
      </c>
      <c r="AF18" s="81">
        <f>COUNTIFS(MatchScoutingData!$F$2:$F$1000, $A18, MatchScoutingData!$X$2:$X$1000, "p")</f>
        <v/>
      </c>
      <c r="AG18" s="81">
        <f>COUNTIFS(MatchScoutingData!$F$2:$F$1000, $A18, MatchScoutingData!$X$2:$X$1000, "s")</f>
        <v/>
      </c>
      <c r="AH18" s="81">
        <f>COUNTIFS(MatchScoutingData!$F$2:$F$1000, $A18, MatchScoutingData!$X$2:$X$1000, "d")</f>
        <v/>
      </c>
      <c r="AI18" s="81">
        <f>AF18 * 2</f>
        <v/>
      </c>
      <c r="AJ18" s="81">
        <f>AG18 * 6</f>
        <v/>
      </c>
      <c r="AK18" s="81">
        <f>AH18 * 12</f>
        <v/>
      </c>
      <c r="AL18" s="84">
        <f>SUM(AI18:AK18)</f>
        <v/>
      </c>
      <c r="AM18" s="84">
        <f>IF(AD18 &gt; 0, AL18/B18, 0)</f>
        <v/>
      </c>
      <c r="AN18" s="85">
        <f>SUM(P18, AD18, AL18)</f>
        <v/>
      </c>
      <c r="AO18" s="85">
        <f>IF(AN18 &gt; 0, AN18/B18, 0)</f>
        <v/>
      </c>
      <c r="AP18" s="81">
        <f>SUMIF(MatchScoutingData!$F$2:$F$1000, $A18, MatchScoutingData!Z$2:Z$1000)</f>
        <v/>
      </c>
      <c r="AQ18" s="81">
        <f>SUMIF(MatchScoutingData!$F$2:$F$1000, $A18, MatchScoutingData!AA$2:AA$1000)</f>
        <v/>
      </c>
      <c r="AR18" s="81">
        <f>SUMIF(MatchScoutingData!$F$2:$F$1000, $A18, MatchScoutingData!AB$2:AB$1000)</f>
        <v/>
      </c>
      <c r="AS18" s="81">
        <f>SUM(AP18, AQ18, AR18)</f>
        <v/>
      </c>
    </row>
    <row r="19">
      <c r="A19" s="80" t="n">
        <v>1405</v>
      </c>
      <c r="B19" s="81">
        <f>COUNTIF(MatchScoutingData!F$2:F$1000, $A19)</f>
        <v/>
      </c>
      <c r="C19" s="81">
        <f>SUMIF(MatchScoutingData!$F$2:$F$1000, $A19, MatchScoutingData!I$2:I$1000)</f>
        <v/>
      </c>
      <c r="D19" s="81">
        <f>SUMIF(MatchScoutingData!$F$2:$F$1000, $A19, MatchScoutingData!J$2:J$1000)</f>
        <v/>
      </c>
      <c r="E19" s="81">
        <f>SUMIF(MatchScoutingData!$F$2:$F$1000, $A19, MatchScoutingData!K$2:K$1000)</f>
        <v/>
      </c>
      <c r="F19" s="81">
        <f>SUMIF(MatchScoutingData!$F$2:$F$1000, $A19, MatchScoutingData!L$2:L$1000)</f>
        <v/>
      </c>
      <c r="G19" s="81">
        <f>SUMIF(MatchScoutingData!$F$2:$F$1000, $A19, MatchScoutingData!M$2:M$1000)</f>
        <v/>
      </c>
      <c r="H19" s="81">
        <f>SUMIF(MatchScoutingData!$F$2:$F$1000, $A19, MatchScoutingData!N$2:N$1000)</f>
        <v/>
      </c>
      <c r="I19" s="81">
        <f>C19 * 7</f>
        <v/>
      </c>
      <c r="J19" s="81">
        <f>D19 * 6</f>
        <v/>
      </c>
      <c r="K19" s="81">
        <f>E19 * 4</f>
        <v/>
      </c>
      <c r="L19" s="81">
        <f>F19 * 3</f>
        <v/>
      </c>
      <c r="M19" s="81">
        <f>G19 * 6</f>
        <v/>
      </c>
      <c r="N19" s="81">
        <f>H19 * 4</f>
        <v/>
      </c>
      <c r="O19" s="81">
        <f>SUMIF(MatchScoutingData!$F$2:$F$1000, $A19, MatchScoutingData!H$2:H$1000) * 3</f>
        <v/>
      </c>
      <c r="P19" s="82">
        <f>SUM(I19:O19)</f>
        <v/>
      </c>
      <c r="Q19" s="82">
        <f>IF(P19 &gt; 0, P19/B19, 0)</f>
        <v/>
      </c>
      <c r="R19" s="81">
        <f>SUMIF(MatchScoutingData!$F$2:$F$1000, $A19, MatchScoutingData!P$2:P$1000)</f>
        <v/>
      </c>
      <c r="S19" s="81">
        <f>SUMIF(MatchScoutingData!$F$2:$F$1000, $A19, MatchScoutingData!Q$2:Q$1000)</f>
        <v/>
      </c>
      <c r="T19" s="81">
        <f>SUMIF(MatchScoutingData!$F$2:$F$1000, $A19, MatchScoutingData!R$2:R$1000)</f>
        <v/>
      </c>
      <c r="U19" s="81">
        <f>SUMIF(MatchScoutingData!$F$2:$F$1000, $A19, MatchScoutingData!S$2:S$1000)</f>
        <v/>
      </c>
      <c r="V19" s="81">
        <f>SUMIF(MatchScoutingData!$F$2:$F$1000, $A19, MatchScoutingData!T$2:T$1000)</f>
        <v/>
      </c>
      <c r="W19" s="81">
        <f>SUMIF(MatchScoutingData!$F$2:$F$1000, $A19, MatchScoutingData!U$2:U$1000)</f>
        <v/>
      </c>
      <c r="X19" s="81">
        <f>R19 * 5</f>
        <v/>
      </c>
      <c r="Y19" s="81">
        <f>S19 * 4</f>
        <v/>
      </c>
      <c r="Z19" s="81">
        <f>T19 * 3</f>
        <v/>
      </c>
      <c r="AA19" s="81">
        <f>U19 * 2</f>
        <v/>
      </c>
      <c r="AB19" s="81">
        <f>V19 * 6</f>
        <v/>
      </c>
      <c r="AC19" s="81">
        <f>W19 * 4</f>
        <v/>
      </c>
      <c r="AD19" s="83">
        <f>SUM(X19:AC19)</f>
        <v/>
      </c>
      <c r="AE19" s="83">
        <f>IF(AD19 &gt; 0, AD19/B19, 0)</f>
        <v/>
      </c>
      <c r="AF19" s="81">
        <f>COUNTIFS(MatchScoutingData!$F$2:$F$1000, $A19, MatchScoutingData!$X$2:$X$1000, "p")</f>
        <v/>
      </c>
      <c r="AG19" s="81">
        <f>COUNTIFS(MatchScoutingData!$F$2:$F$1000, $A19, MatchScoutingData!$X$2:$X$1000, "s")</f>
        <v/>
      </c>
      <c r="AH19" s="81">
        <f>COUNTIFS(MatchScoutingData!$F$2:$F$1000, $A19, MatchScoutingData!$X$2:$X$1000, "d")</f>
        <v/>
      </c>
      <c r="AI19" s="81">
        <f>AF19 * 2</f>
        <v/>
      </c>
      <c r="AJ19" s="81">
        <f>AG19 * 6</f>
        <v/>
      </c>
      <c r="AK19" s="81">
        <f>AH19 * 12</f>
        <v/>
      </c>
      <c r="AL19" s="84">
        <f>SUM(AI19:AK19)</f>
        <v/>
      </c>
      <c r="AM19" s="84">
        <f>IF(AD19 &gt; 0, AL19/B19, 0)</f>
        <v/>
      </c>
      <c r="AN19" s="85">
        <f>SUM(P19, AD19, AL19)</f>
        <v/>
      </c>
      <c r="AO19" s="85">
        <f>IF(AN19 &gt; 0, AN19/B19, 0)</f>
        <v/>
      </c>
      <c r="AP19" s="81">
        <f>SUMIF(MatchScoutingData!$F$2:$F$1000, $A19, MatchScoutingData!Z$2:Z$1000)</f>
        <v/>
      </c>
      <c r="AQ19" s="81">
        <f>SUMIF(MatchScoutingData!$F$2:$F$1000, $A19, MatchScoutingData!AA$2:AA$1000)</f>
        <v/>
      </c>
      <c r="AR19" s="81">
        <f>SUMIF(MatchScoutingData!$F$2:$F$1000, $A19, MatchScoutingData!AB$2:AB$1000)</f>
        <v/>
      </c>
      <c r="AS19" s="81">
        <f>SUM(AP19, AQ19, AR19)</f>
        <v/>
      </c>
    </row>
    <row r="20">
      <c r="A20" s="80" t="n">
        <v>1507</v>
      </c>
      <c r="B20" s="81">
        <f>COUNTIF(MatchScoutingData!F$2:F$1000, $A20)</f>
        <v/>
      </c>
      <c r="C20" s="81">
        <f>SUMIF(MatchScoutingData!$F$2:$F$1000, $A20, MatchScoutingData!I$2:I$1000)</f>
        <v/>
      </c>
      <c r="D20" s="81">
        <f>SUMIF(MatchScoutingData!$F$2:$F$1000, $A20, MatchScoutingData!J$2:J$1000)</f>
        <v/>
      </c>
      <c r="E20" s="81">
        <f>SUMIF(MatchScoutingData!$F$2:$F$1000, $A20, MatchScoutingData!K$2:K$1000)</f>
        <v/>
      </c>
      <c r="F20" s="81">
        <f>SUMIF(MatchScoutingData!$F$2:$F$1000, $A20, MatchScoutingData!L$2:L$1000)</f>
        <v/>
      </c>
      <c r="G20" s="81">
        <f>SUMIF(MatchScoutingData!$F$2:$F$1000, $A20, MatchScoutingData!M$2:M$1000)</f>
        <v/>
      </c>
      <c r="H20" s="81">
        <f>SUMIF(MatchScoutingData!$F$2:$F$1000, $A20, MatchScoutingData!N$2:N$1000)</f>
        <v/>
      </c>
      <c r="I20" s="81">
        <f>C20 * 7</f>
        <v/>
      </c>
      <c r="J20" s="81">
        <f>D20 * 6</f>
        <v/>
      </c>
      <c r="K20" s="81">
        <f>E20 * 4</f>
        <v/>
      </c>
      <c r="L20" s="81">
        <f>F20 * 3</f>
        <v/>
      </c>
      <c r="M20" s="81">
        <f>G20 * 6</f>
        <v/>
      </c>
      <c r="N20" s="81">
        <f>H20 * 4</f>
        <v/>
      </c>
      <c r="O20" s="81">
        <f>SUMIF(MatchScoutingData!$F$2:$F$1000, $A20, MatchScoutingData!H$2:H$1000) * 3</f>
        <v/>
      </c>
      <c r="P20" s="82">
        <f>SUM(I20:O20)</f>
        <v/>
      </c>
      <c r="Q20" s="82">
        <f>IF(P20 &gt; 0, P20/B20, 0)</f>
        <v/>
      </c>
      <c r="R20" s="81">
        <f>SUMIF(MatchScoutingData!$F$2:$F$1000, $A20, MatchScoutingData!P$2:P$1000)</f>
        <v/>
      </c>
      <c r="S20" s="81">
        <f>SUMIF(MatchScoutingData!$F$2:$F$1000, $A20, MatchScoutingData!Q$2:Q$1000)</f>
        <v/>
      </c>
      <c r="T20" s="81">
        <f>SUMIF(MatchScoutingData!$F$2:$F$1000, $A20, MatchScoutingData!R$2:R$1000)</f>
        <v/>
      </c>
      <c r="U20" s="81">
        <f>SUMIF(MatchScoutingData!$F$2:$F$1000, $A20, MatchScoutingData!S$2:S$1000)</f>
        <v/>
      </c>
      <c r="V20" s="81">
        <f>SUMIF(MatchScoutingData!$F$2:$F$1000, $A20, MatchScoutingData!T$2:T$1000)</f>
        <v/>
      </c>
      <c r="W20" s="81">
        <f>SUMIF(MatchScoutingData!$F$2:$F$1000, $A20, MatchScoutingData!U$2:U$1000)</f>
        <v/>
      </c>
      <c r="X20" s="81">
        <f>R20 * 5</f>
        <v/>
      </c>
      <c r="Y20" s="81">
        <f>S20 * 4</f>
        <v/>
      </c>
      <c r="Z20" s="81">
        <f>T20 * 3</f>
        <v/>
      </c>
      <c r="AA20" s="81">
        <f>U20 * 2</f>
        <v/>
      </c>
      <c r="AB20" s="81">
        <f>V20 * 6</f>
        <v/>
      </c>
      <c r="AC20" s="81">
        <f>W20 * 4</f>
        <v/>
      </c>
      <c r="AD20" s="83">
        <f>SUM(X20:AC20)</f>
        <v/>
      </c>
      <c r="AE20" s="83">
        <f>IF(AD20 &gt; 0, AD20/B20, 0)</f>
        <v/>
      </c>
      <c r="AF20" s="81">
        <f>COUNTIFS(MatchScoutingData!$F$2:$F$1000, $A20, MatchScoutingData!$X$2:$X$1000, "p")</f>
        <v/>
      </c>
      <c r="AG20" s="81">
        <f>COUNTIFS(MatchScoutingData!$F$2:$F$1000, $A20, MatchScoutingData!$X$2:$X$1000, "s")</f>
        <v/>
      </c>
      <c r="AH20" s="81">
        <f>COUNTIFS(MatchScoutingData!$F$2:$F$1000, $A20, MatchScoutingData!$X$2:$X$1000, "d")</f>
        <v/>
      </c>
      <c r="AI20" s="81">
        <f>AF20 * 2</f>
        <v/>
      </c>
      <c r="AJ20" s="81">
        <f>AG20 * 6</f>
        <v/>
      </c>
      <c r="AK20" s="81">
        <f>AH20 * 12</f>
        <v/>
      </c>
      <c r="AL20" s="84">
        <f>SUM(AI20:AK20)</f>
        <v/>
      </c>
      <c r="AM20" s="84">
        <f>IF(AD20 &gt; 0, AL20/B20, 0)</f>
        <v/>
      </c>
      <c r="AN20" s="85">
        <f>SUM(P20, AD20, AL20)</f>
        <v/>
      </c>
      <c r="AO20" s="85">
        <f>IF(AN20 &gt; 0, AN20/B20, 0)</f>
        <v/>
      </c>
      <c r="AP20" s="81">
        <f>SUMIF(MatchScoutingData!$F$2:$F$1000, $A20, MatchScoutingData!Z$2:Z$1000)</f>
        <v/>
      </c>
      <c r="AQ20" s="81">
        <f>SUMIF(MatchScoutingData!$F$2:$F$1000, $A20, MatchScoutingData!AA$2:AA$1000)</f>
        <v/>
      </c>
      <c r="AR20" s="81">
        <f>SUMIF(MatchScoutingData!$F$2:$F$1000, $A20, MatchScoutingData!AB$2:AB$1000)</f>
        <v/>
      </c>
      <c r="AS20" s="81">
        <f>SUM(AP20, AQ20, AR20)</f>
        <v/>
      </c>
    </row>
    <row r="21">
      <c r="A21" s="80" t="n">
        <v>1511</v>
      </c>
      <c r="B21" s="81">
        <f>COUNTIF(MatchScoutingData!F$2:F$1000, $A21)</f>
        <v/>
      </c>
      <c r="C21" s="81">
        <f>SUMIF(MatchScoutingData!$F$2:$F$1000, $A21, MatchScoutingData!I$2:I$1000)</f>
        <v/>
      </c>
      <c r="D21" s="81">
        <f>SUMIF(MatchScoutingData!$F$2:$F$1000, $A21, MatchScoutingData!J$2:J$1000)</f>
        <v/>
      </c>
      <c r="E21" s="81">
        <f>SUMIF(MatchScoutingData!$F$2:$F$1000, $A21, MatchScoutingData!K$2:K$1000)</f>
        <v/>
      </c>
      <c r="F21" s="81">
        <f>SUMIF(MatchScoutingData!$F$2:$F$1000, $A21, MatchScoutingData!L$2:L$1000)</f>
        <v/>
      </c>
      <c r="G21" s="81">
        <f>SUMIF(MatchScoutingData!$F$2:$F$1000, $A21, MatchScoutingData!M$2:M$1000)</f>
        <v/>
      </c>
      <c r="H21" s="81">
        <f>SUMIF(MatchScoutingData!$F$2:$F$1000, $A21, MatchScoutingData!N$2:N$1000)</f>
        <v/>
      </c>
      <c r="I21" s="81">
        <f>C21 * 7</f>
        <v/>
      </c>
      <c r="J21" s="81">
        <f>D21 * 6</f>
        <v/>
      </c>
      <c r="K21" s="81">
        <f>E21 * 4</f>
        <v/>
      </c>
      <c r="L21" s="81">
        <f>F21 * 3</f>
        <v/>
      </c>
      <c r="M21" s="81">
        <f>G21 * 6</f>
        <v/>
      </c>
      <c r="N21" s="81">
        <f>H21 * 4</f>
        <v/>
      </c>
      <c r="O21" s="81">
        <f>SUMIF(MatchScoutingData!$F$2:$F$1000, $A21, MatchScoutingData!H$2:H$1000) * 3</f>
        <v/>
      </c>
      <c r="P21" s="82">
        <f>SUM(I21:O21)</f>
        <v/>
      </c>
      <c r="Q21" s="82">
        <f>IF(P21 &gt; 0, P21/B21, 0)</f>
        <v/>
      </c>
      <c r="R21" s="81">
        <f>SUMIF(MatchScoutingData!$F$2:$F$1000, $A21, MatchScoutingData!P$2:P$1000)</f>
        <v/>
      </c>
      <c r="S21" s="81">
        <f>SUMIF(MatchScoutingData!$F$2:$F$1000, $A21, MatchScoutingData!Q$2:Q$1000)</f>
        <v/>
      </c>
      <c r="T21" s="81">
        <f>SUMIF(MatchScoutingData!$F$2:$F$1000, $A21, MatchScoutingData!R$2:R$1000)</f>
        <v/>
      </c>
      <c r="U21" s="81">
        <f>SUMIF(MatchScoutingData!$F$2:$F$1000, $A21, MatchScoutingData!S$2:S$1000)</f>
        <v/>
      </c>
      <c r="V21" s="81">
        <f>SUMIF(MatchScoutingData!$F$2:$F$1000, $A21, MatchScoutingData!T$2:T$1000)</f>
        <v/>
      </c>
      <c r="W21" s="81">
        <f>SUMIF(MatchScoutingData!$F$2:$F$1000, $A21, MatchScoutingData!U$2:U$1000)</f>
        <v/>
      </c>
      <c r="X21" s="81">
        <f>R21 * 5</f>
        <v/>
      </c>
      <c r="Y21" s="81">
        <f>S21 * 4</f>
        <v/>
      </c>
      <c r="Z21" s="81">
        <f>T21 * 3</f>
        <v/>
      </c>
      <c r="AA21" s="81">
        <f>U21 * 2</f>
        <v/>
      </c>
      <c r="AB21" s="81">
        <f>V21 * 6</f>
        <v/>
      </c>
      <c r="AC21" s="81">
        <f>W21 * 4</f>
        <v/>
      </c>
      <c r="AD21" s="83">
        <f>SUM(X21:AC21)</f>
        <v/>
      </c>
      <c r="AE21" s="83">
        <f>IF(AD21 &gt; 0, AD21/B21, 0)</f>
        <v/>
      </c>
      <c r="AF21" s="81">
        <f>COUNTIFS(MatchScoutingData!$F$2:$F$1000, $A21, MatchScoutingData!$X$2:$X$1000, "p")</f>
        <v/>
      </c>
      <c r="AG21" s="81">
        <f>COUNTIFS(MatchScoutingData!$F$2:$F$1000, $A21, MatchScoutingData!$X$2:$X$1000, "s")</f>
        <v/>
      </c>
      <c r="AH21" s="81">
        <f>COUNTIFS(MatchScoutingData!$F$2:$F$1000, $A21, MatchScoutingData!$X$2:$X$1000, "d")</f>
        <v/>
      </c>
      <c r="AI21" s="81">
        <f>AF21 * 2</f>
        <v/>
      </c>
      <c r="AJ21" s="81">
        <f>AG21 * 6</f>
        <v/>
      </c>
      <c r="AK21" s="81">
        <f>AH21 * 12</f>
        <v/>
      </c>
      <c r="AL21" s="84">
        <f>SUM(AI21:AK21)</f>
        <v/>
      </c>
      <c r="AM21" s="84">
        <f>IF(AD21 &gt; 0, AL21/B21, 0)</f>
        <v/>
      </c>
      <c r="AN21" s="85">
        <f>SUM(P21, AD21, AL21)</f>
        <v/>
      </c>
      <c r="AO21" s="85">
        <f>IF(AN21 &gt; 0, AN21/B21, 0)</f>
        <v/>
      </c>
      <c r="AP21" s="81">
        <f>SUMIF(MatchScoutingData!$F$2:$F$1000, $A21, MatchScoutingData!Z$2:Z$1000)</f>
        <v/>
      </c>
      <c r="AQ21" s="81">
        <f>SUMIF(MatchScoutingData!$F$2:$F$1000, $A21, MatchScoutingData!AA$2:AA$1000)</f>
        <v/>
      </c>
      <c r="AR21" s="81">
        <f>SUMIF(MatchScoutingData!$F$2:$F$1000, $A21, MatchScoutingData!AB$2:AB$1000)</f>
        <v/>
      </c>
      <c r="AS21" s="81">
        <f>SUM(AP21, AQ21, AR21)</f>
        <v/>
      </c>
    </row>
    <row r="22">
      <c r="A22" s="80" t="n">
        <v>1518</v>
      </c>
      <c r="B22" s="81">
        <f>COUNTIF(MatchScoutingData!F$2:F$1000, $A22)</f>
        <v/>
      </c>
      <c r="C22" s="81">
        <f>SUMIF(MatchScoutingData!$F$2:$F$1000, $A22, MatchScoutingData!I$2:I$1000)</f>
        <v/>
      </c>
      <c r="D22" s="81">
        <f>SUMIF(MatchScoutingData!$F$2:$F$1000, $A22, MatchScoutingData!J$2:J$1000)</f>
        <v/>
      </c>
      <c r="E22" s="81">
        <f>SUMIF(MatchScoutingData!$F$2:$F$1000, $A22, MatchScoutingData!K$2:K$1000)</f>
        <v/>
      </c>
      <c r="F22" s="81">
        <f>SUMIF(MatchScoutingData!$F$2:$F$1000, $A22, MatchScoutingData!L$2:L$1000)</f>
        <v/>
      </c>
      <c r="G22" s="81">
        <f>SUMIF(MatchScoutingData!$F$2:$F$1000, $A22, MatchScoutingData!M$2:M$1000)</f>
        <v/>
      </c>
      <c r="H22" s="81">
        <f>SUMIF(MatchScoutingData!$F$2:$F$1000, $A22, MatchScoutingData!N$2:N$1000)</f>
        <v/>
      </c>
      <c r="I22" s="81">
        <f>C22 * 7</f>
        <v/>
      </c>
      <c r="J22" s="81">
        <f>D22 * 6</f>
        <v/>
      </c>
      <c r="K22" s="81">
        <f>E22 * 4</f>
        <v/>
      </c>
      <c r="L22" s="81">
        <f>F22 * 3</f>
        <v/>
      </c>
      <c r="M22" s="81">
        <f>G22 * 6</f>
        <v/>
      </c>
      <c r="N22" s="81">
        <f>H22 * 4</f>
        <v/>
      </c>
      <c r="O22" s="81">
        <f>SUMIF(MatchScoutingData!$F$2:$F$1000, $A22, MatchScoutingData!H$2:H$1000) * 3</f>
        <v/>
      </c>
      <c r="P22" s="82">
        <f>SUM(I22:O22)</f>
        <v/>
      </c>
      <c r="Q22" s="82">
        <f>IF(P22 &gt; 0, P22/B22, 0)</f>
        <v/>
      </c>
      <c r="R22" s="81">
        <f>SUMIF(MatchScoutingData!$F$2:$F$1000, $A22, MatchScoutingData!P$2:P$1000)</f>
        <v/>
      </c>
      <c r="S22" s="81">
        <f>SUMIF(MatchScoutingData!$F$2:$F$1000, $A22, MatchScoutingData!Q$2:Q$1000)</f>
        <v/>
      </c>
      <c r="T22" s="81">
        <f>SUMIF(MatchScoutingData!$F$2:$F$1000, $A22, MatchScoutingData!R$2:R$1000)</f>
        <v/>
      </c>
      <c r="U22" s="81">
        <f>SUMIF(MatchScoutingData!$F$2:$F$1000, $A22, MatchScoutingData!S$2:S$1000)</f>
        <v/>
      </c>
      <c r="V22" s="81">
        <f>SUMIF(MatchScoutingData!$F$2:$F$1000, $A22, MatchScoutingData!T$2:T$1000)</f>
        <v/>
      </c>
      <c r="W22" s="81">
        <f>SUMIF(MatchScoutingData!$F$2:$F$1000, $A22, MatchScoutingData!U$2:U$1000)</f>
        <v/>
      </c>
      <c r="X22" s="81">
        <f>R22 * 5</f>
        <v/>
      </c>
      <c r="Y22" s="81">
        <f>S22 * 4</f>
        <v/>
      </c>
      <c r="Z22" s="81">
        <f>T22 * 3</f>
        <v/>
      </c>
      <c r="AA22" s="81">
        <f>U22 * 2</f>
        <v/>
      </c>
      <c r="AB22" s="81">
        <f>V22 * 6</f>
        <v/>
      </c>
      <c r="AC22" s="81">
        <f>W22 * 4</f>
        <v/>
      </c>
      <c r="AD22" s="83">
        <f>SUM(X22:AC22)</f>
        <v/>
      </c>
      <c r="AE22" s="83">
        <f>IF(AD22 &gt; 0, AD22/B22, 0)</f>
        <v/>
      </c>
      <c r="AF22" s="81">
        <f>COUNTIFS(MatchScoutingData!$F$2:$F$1000, $A22, MatchScoutingData!$X$2:$X$1000, "p")</f>
        <v/>
      </c>
      <c r="AG22" s="81">
        <f>COUNTIFS(MatchScoutingData!$F$2:$F$1000, $A22, MatchScoutingData!$X$2:$X$1000, "s")</f>
        <v/>
      </c>
      <c r="AH22" s="81">
        <f>COUNTIFS(MatchScoutingData!$F$2:$F$1000, $A22, MatchScoutingData!$X$2:$X$1000, "d")</f>
        <v/>
      </c>
      <c r="AI22" s="81">
        <f>AF22 * 2</f>
        <v/>
      </c>
      <c r="AJ22" s="81">
        <f>AG22 * 6</f>
        <v/>
      </c>
      <c r="AK22" s="81">
        <f>AH22 * 12</f>
        <v/>
      </c>
      <c r="AL22" s="84">
        <f>SUM(AI22:AK22)</f>
        <v/>
      </c>
      <c r="AM22" s="84">
        <f>IF(AD22 &gt; 0, AL22/B22, 0)</f>
        <v/>
      </c>
      <c r="AN22" s="85">
        <f>SUM(P22, AD22, AL22)</f>
        <v/>
      </c>
      <c r="AO22" s="85">
        <f>IF(AN22 &gt; 0, AN22/B22, 0)</f>
        <v/>
      </c>
      <c r="AP22" s="81">
        <f>SUMIF(MatchScoutingData!$F$2:$F$1000, $A22, MatchScoutingData!Z$2:Z$1000)</f>
        <v/>
      </c>
      <c r="AQ22" s="81">
        <f>SUMIF(MatchScoutingData!$F$2:$F$1000, $A22, MatchScoutingData!AA$2:AA$1000)</f>
        <v/>
      </c>
      <c r="AR22" s="81">
        <f>SUMIF(MatchScoutingData!$F$2:$F$1000, $A22, MatchScoutingData!AB$2:AB$1000)</f>
        <v/>
      </c>
      <c r="AS22" s="81">
        <f>SUM(AP22, AQ22, AR22)</f>
        <v/>
      </c>
    </row>
    <row r="23">
      <c r="A23" s="80" t="n">
        <v>1559</v>
      </c>
      <c r="B23" s="81">
        <f>COUNTIF(MatchScoutingData!F$2:F$1000, $A23)</f>
        <v/>
      </c>
      <c r="C23" s="81">
        <f>SUMIF(MatchScoutingData!$F$2:$F$1000, $A23, MatchScoutingData!I$2:I$1000)</f>
        <v/>
      </c>
      <c r="D23" s="81">
        <f>SUMIF(MatchScoutingData!$F$2:$F$1000, $A23, MatchScoutingData!J$2:J$1000)</f>
        <v/>
      </c>
      <c r="E23" s="81">
        <f>SUMIF(MatchScoutingData!$F$2:$F$1000, $A23, MatchScoutingData!K$2:K$1000)</f>
        <v/>
      </c>
      <c r="F23" s="81">
        <f>SUMIF(MatchScoutingData!$F$2:$F$1000, $A23, MatchScoutingData!L$2:L$1000)</f>
        <v/>
      </c>
      <c r="G23" s="81">
        <f>SUMIF(MatchScoutingData!$F$2:$F$1000, $A23, MatchScoutingData!M$2:M$1000)</f>
        <v/>
      </c>
      <c r="H23" s="81">
        <f>SUMIF(MatchScoutingData!$F$2:$F$1000, $A23, MatchScoutingData!N$2:N$1000)</f>
        <v/>
      </c>
      <c r="I23" s="81">
        <f>C23 * 7</f>
        <v/>
      </c>
      <c r="J23" s="81">
        <f>D23 * 6</f>
        <v/>
      </c>
      <c r="K23" s="81">
        <f>E23 * 4</f>
        <v/>
      </c>
      <c r="L23" s="81">
        <f>F23 * 3</f>
        <v/>
      </c>
      <c r="M23" s="81">
        <f>G23 * 6</f>
        <v/>
      </c>
      <c r="N23" s="81">
        <f>H23 * 4</f>
        <v/>
      </c>
      <c r="O23" s="81">
        <f>SUMIF(MatchScoutingData!$F$2:$F$1000, $A23, MatchScoutingData!H$2:H$1000) * 3</f>
        <v/>
      </c>
      <c r="P23" s="82">
        <f>SUM(I23:O23)</f>
        <v/>
      </c>
      <c r="Q23" s="82">
        <f>IF(P23 &gt; 0, P23/B23, 0)</f>
        <v/>
      </c>
      <c r="R23" s="81">
        <f>SUMIF(MatchScoutingData!$F$2:$F$1000, $A23, MatchScoutingData!P$2:P$1000)</f>
        <v/>
      </c>
      <c r="S23" s="81">
        <f>SUMIF(MatchScoutingData!$F$2:$F$1000, $A23, MatchScoutingData!Q$2:Q$1000)</f>
        <v/>
      </c>
      <c r="T23" s="81">
        <f>SUMIF(MatchScoutingData!$F$2:$F$1000, $A23, MatchScoutingData!R$2:R$1000)</f>
        <v/>
      </c>
      <c r="U23" s="81">
        <f>SUMIF(MatchScoutingData!$F$2:$F$1000, $A23, MatchScoutingData!S$2:S$1000)</f>
        <v/>
      </c>
      <c r="V23" s="81">
        <f>SUMIF(MatchScoutingData!$F$2:$F$1000, $A23, MatchScoutingData!T$2:T$1000)</f>
        <v/>
      </c>
      <c r="W23" s="81">
        <f>SUMIF(MatchScoutingData!$F$2:$F$1000, $A23, MatchScoutingData!U$2:U$1000)</f>
        <v/>
      </c>
      <c r="X23" s="81">
        <f>R23 * 5</f>
        <v/>
      </c>
      <c r="Y23" s="81">
        <f>S23 * 4</f>
        <v/>
      </c>
      <c r="Z23" s="81">
        <f>T23 * 3</f>
        <v/>
      </c>
      <c r="AA23" s="81">
        <f>U23 * 2</f>
        <v/>
      </c>
      <c r="AB23" s="81">
        <f>V23 * 6</f>
        <v/>
      </c>
      <c r="AC23" s="81">
        <f>W23 * 4</f>
        <v/>
      </c>
      <c r="AD23" s="83">
        <f>SUM(X23:AC23)</f>
        <v/>
      </c>
      <c r="AE23" s="83">
        <f>IF(AD23 &gt; 0, AD23/B23, 0)</f>
        <v/>
      </c>
      <c r="AF23" s="81">
        <f>COUNTIFS(MatchScoutingData!$F$2:$F$1000, $A23, MatchScoutingData!$X$2:$X$1000, "p")</f>
        <v/>
      </c>
      <c r="AG23" s="81">
        <f>COUNTIFS(MatchScoutingData!$F$2:$F$1000, $A23, MatchScoutingData!$X$2:$X$1000, "s")</f>
        <v/>
      </c>
      <c r="AH23" s="81">
        <f>COUNTIFS(MatchScoutingData!$F$2:$F$1000, $A23, MatchScoutingData!$X$2:$X$1000, "d")</f>
        <v/>
      </c>
      <c r="AI23" s="81">
        <f>AF23 * 2</f>
        <v/>
      </c>
      <c r="AJ23" s="81">
        <f>AG23 * 6</f>
        <v/>
      </c>
      <c r="AK23" s="81">
        <f>AH23 * 12</f>
        <v/>
      </c>
      <c r="AL23" s="84">
        <f>SUM(AI23:AK23)</f>
        <v/>
      </c>
      <c r="AM23" s="84">
        <f>IF(AD23 &gt; 0, AL23/B23, 0)</f>
        <v/>
      </c>
      <c r="AN23" s="85">
        <f>SUM(P23, AD23, AL23)</f>
        <v/>
      </c>
      <c r="AO23" s="85">
        <f>IF(AN23 &gt; 0, AN23/B23, 0)</f>
        <v/>
      </c>
      <c r="AP23" s="81">
        <f>SUMIF(MatchScoutingData!$F$2:$F$1000, $A23, MatchScoutingData!Z$2:Z$1000)</f>
        <v/>
      </c>
      <c r="AQ23" s="81">
        <f>SUMIF(MatchScoutingData!$F$2:$F$1000, $A23, MatchScoutingData!AA$2:AA$1000)</f>
        <v/>
      </c>
      <c r="AR23" s="81">
        <f>SUMIF(MatchScoutingData!$F$2:$F$1000, $A23, MatchScoutingData!AB$2:AB$1000)</f>
        <v/>
      </c>
      <c r="AS23" s="81">
        <f>SUM(AP23, AQ23, AR23)</f>
        <v/>
      </c>
    </row>
    <row r="24">
      <c r="A24" s="80" t="n">
        <v>1585</v>
      </c>
      <c r="B24" s="81">
        <f>COUNTIF(MatchScoutingData!F$2:F$1000, $A24)</f>
        <v/>
      </c>
      <c r="C24" s="81">
        <f>SUMIF(MatchScoutingData!$F$2:$F$1000, $A24, MatchScoutingData!I$2:I$1000)</f>
        <v/>
      </c>
      <c r="D24" s="81">
        <f>SUMIF(MatchScoutingData!$F$2:$F$1000, $A24, MatchScoutingData!J$2:J$1000)</f>
        <v/>
      </c>
      <c r="E24" s="81">
        <f>SUMIF(MatchScoutingData!$F$2:$F$1000, $A24, MatchScoutingData!K$2:K$1000)</f>
        <v/>
      </c>
      <c r="F24" s="81">
        <f>SUMIF(MatchScoutingData!$F$2:$F$1000, $A24, MatchScoutingData!L$2:L$1000)</f>
        <v/>
      </c>
      <c r="G24" s="81">
        <f>SUMIF(MatchScoutingData!$F$2:$F$1000, $A24, MatchScoutingData!M$2:M$1000)</f>
        <v/>
      </c>
      <c r="H24" s="81">
        <f>SUMIF(MatchScoutingData!$F$2:$F$1000, $A24, MatchScoutingData!N$2:N$1000)</f>
        <v/>
      </c>
      <c r="I24" s="81">
        <f>C24 * 7</f>
        <v/>
      </c>
      <c r="J24" s="81">
        <f>D24 * 6</f>
        <v/>
      </c>
      <c r="K24" s="81">
        <f>E24 * 4</f>
        <v/>
      </c>
      <c r="L24" s="81">
        <f>F24 * 3</f>
        <v/>
      </c>
      <c r="M24" s="81">
        <f>G24 * 6</f>
        <v/>
      </c>
      <c r="N24" s="81">
        <f>H24 * 4</f>
        <v/>
      </c>
      <c r="O24" s="81">
        <f>SUMIF(MatchScoutingData!$F$2:$F$1000, $A24, MatchScoutingData!H$2:H$1000) * 3</f>
        <v/>
      </c>
      <c r="P24" s="82">
        <f>SUM(I24:O24)</f>
        <v/>
      </c>
      <c r="Q24" s="82">
        <f>IF(P24 &gt; 0, P24/B24, 0)</f>
        <v/>
      </c>
      <c r="R24" s="81">
        <f>SUMIF(MatchScoutingData!$F$2:$F$1000, $A24, MatchScoutingData!P$2:P$1000)</f>
        <v/>
      </c>
      <c r="S24" s="81">
        <f>SUMIF(MatchScoutingData!$F$2:$F$1000, $A24, MatchScoutingData!Q$2:Q$1000)</f>
        <v/>
      </c>
      <c r="T24" s="81">
        <f>SUMIF(MatchScoutingData!$F$2:$F$1000, $A24, MatchScoutingData!R$2:R$1000)</f>
        <v/>
      </c>
      <c r="U24" s="81">
        <f>SUMIF(MatchScoutingData!$F$2:$F$1000, $A24, MatchScoutingData!S$2:S$1000)</f>
        <v/>
      </c>
      <c r="V24" s="81">
        <f>SUMIF(MatchScoutingData!$F$2:$F$1000, $A24, MatchScoutingData!T$2:T$1000)</f>
        <v/>
      </c>
      <c r="W24" s="81">
        <f>SUMIF(MatchScoutingData!$F$2:$F$1000, $A24, MatchScoutingData!U$2:U$1000)</f>
        <v/>
      </c>
      <c r="X24" s="81">
        <f>R24 * 5</f>
        <v/>
      </c>
      <c r="Y24" s="81">
        <f>S24 * 4</f>
        <v/>
      </c>
      <c r="Z24" s="81">
        <f>T24 * 3</f>
        <v/>
      </c>
      <c r="AA24" s="81">
        <f>U24 * 2</f>
        <v/>
      </c>
      <c r="AB24" s="81">
        <f>V24 * 6</f>
        <v/>
      </c>
      <c r="AC24" s="81">
        <f>W24 * 4</f>
        <v/>
      </c>
      <c r="AD24" s="83">
        <f>SUM(X24:AC24)</f>
        <v/>
      </c>
      <c r="AE24" s="83">
        <f>IF(AD24 &gt; 0, AD24/B24, 0)</f>
        <v/>
      </c>
      <c r="AF24" s="81">
        <f>COUNTIFS(MatchScoutingData!$F$2:$F$1000, $A24, MatchScoutingData!$X$2:$X$1000, "p")</f>
        <v/>
      </c>
      <c r="AG24" s="81">
        <f>COUNTIFS(MatchScoutingData!$F$2:$F$1000, $A24, MatchScoutingData!$X$2:$X$1000, "s")</f>
        <v/>
      </c>
      <c r="AH24" s="81">
        <f>COUNTIFS(MatchScoutingData!$F$2:$F$1000, $A24, MatchScoutingData!$X$2:$X$1000, "d")</f>
        <v/>
      </c>
      <c r="AI24" s="81">
        <f>AF24 * 2</f>
        <v/>
      </c>
      <c r="AJ24" s="81">
        <f>AG24 * 6</f>
        <v/>
      </c>
      <c r="AK24" s="81">
        <f>AH24 * 12</f>
        <v/>
      </c>
      <c r="AL24" s="84">
        <f>SUM(AI24:AK24)</f>
        <v/>
      </c>
      <c r="AM24" s="84">
        <f>IF(AD24 &gt; 0, AL24/B24, 0)</f>
        <v/>
      </c>
      <c r="AN24" s="85">
        <f>SUM(P24, AD24, AL24)</f>
        <v/>
      </c>
      <c r="AO24" s="85">
        <f>IF(AN24 &gt; 0, AN24/B24, 0)</f>
        <v/>
      </c>
      <c r="AP24" s="81">
        <f>SUMIF(MatchScoutingData!$F$2:$F$1000, $A24, MatchScoutingData!Z$2:Z$1000)</f>
        <v/>
      </c>
      <c r="AQ24" s="81">
        <f>SUMIF(MatchScoutingData!$F$2:$F$1000, $A24, MatchScoutingData!AA$2:AA$1000)</f>
        <v/>
      </c>
      <c r="AR24" s="81">
        <f>SUMIF(MatchScoutingData!$F$2:$F$1000, $A24, MatchScoutingData!AB$2:AB$1000)</f>
        <v/>
      </c>
      <c r="AS24" s="81">
        <f>SUM(AP24, AQ24, AR24)</f>
        <v/>
      </c>
    </row>
    <row r="25">
      <c r="A25" s="80" t="n">
        <v>1591</v>
      </c>
      <c r="B25" s="81">
        <f>COUNTIF(MatchScoutingData!F$2:F$1000, $A25)</f>
        <v/>
      </c>
      <c r="C25" s="81">
        <f>SUMIF(MatchScoutingData!$F$2:$F$1000, $A25, MatchScoutingData!I$2:I$1000)</f>
        <v/>
      </c>
      <c r="D25" s="81">
        <f>SUMIF(MatchScoutingData!$F$2:$F$1000, $A25, MatchScoutingData!J$2:J$1000)</f>
        <v/>
      </c>
      <c r="E25" s="81">
        <f>SUMIF(MatchScoutingData!$F$2:$F$1000, $A25, MatchScoutingData!K$2:K$1000)</f>
        <v/>
      </c>
      <c r="F25" s="81">
        <f>SUMIF(MatchScoutingData!$F$2:$F$1000, $A25, MatchScoutingData!L$2:L$1000)</f>
        <v/>
      </c>
      <c r="G25" s="81">
        <f>SUMIF(MatchScoutingData!$F$2:$F$1000, $A25, MatchScoutingData!M$2:M$1000)</f>
        <v/>
      </c>
      <c r="H25" s="81">
        <f>SUMIF(MatchScoutingData!$F$2:$F$1000, $A25, MatchScoutingData!N$2:N$1000)</f>
        <v/>
      </c>
      <c r="I25" s="81">
        <f>C25 * 7</f>
        <v/>
      </c>
      <c r="J25" s="81">
        <f>D25 * 6</f>
        <v/>
      </c>
      <c r="K25" s="81">
        <f>E25 * 4</f>
        <v/>
      </c>
      <c r="L25" s="81">
        <f>F25 * 3</f>
        <v/>
      </c>
      <c r="M25" s="81">
        <f>G25 * 6</f>
        <v/>
      </c>
      <c r="N25" s="81">
        <f>H25 * 4</f>
        <v/>
      </c>
      <c r="O25" s="81">
        <f>SUMIF(MatchScoutingData!$F$2:$F$1000, $A25, MatchScoutingData!H$2:H$1000) * 3</f>
        <v/>
      </c>
      <c r="P25" s="82">
        <f>SUM(I25:O25)</f>
        <v/>
      </c>
      <c r="Q25" s="82">
        <f>IF(P25 &gt; 0, P25/B25, 0)</f>
        <v/>
      </c>
      <c r="R25" s="81">
        <f>SUMIF(MatchScoutingData!$F$2:$F$1000, $A25, MatchScoutingData!P$2:P$1000)</f>
        <v/>
      </c>
      <c r="S25" s="81">
        <f>SUMIF(MatchScoutingData!$F$2:$F$1000, $A25, MatchScoutingData!Q$2:Q$1000)</f>
        <v/>
      </c>
      <c r="T25" s="81">
        <f>SUMIF(MatchScoutingData!$F$2:$F$1000, $A25, MatchScoutingData!R$2:R$1000)</f>
        <v/>
      </c>
      <c r="U25" s="81">
        <f>SUMIF(MatchScoutingData!$F$2:$F$1000, $A25, MatchScoutingData!S$2:S$1000)</f>
        <v/>
      </c>
      <c r="V25" s="81">
        <f>SUMIF(MatchScoutingData!$F$2:$F$1000, $A25, MatchScoutingData!T$2:T$1000)</f>
        <v/>
      </c>
      <c r="W25" s="81">
        <f>SUMIF(MatchScoutingData!$F$2:$F$1000, $A25, MatchScoutingData!U$2:U$1000)</f>
        <v/>
      </c>
      <c r="X25" s="81">
        <f>R25 * 5</f>
        <v/>
      </c>
      <c r="Y25" s="81">
        <f>S25 * 4</f>
        <v/>
      </c>
      <c r="Z25" s="81">
        <f>T25 * 3</f>
        <v/>
      </c>
      <c r="AA25" s="81">
        <f>U25 * 2</f>
        <v/>
      </c>
      <c r="AB25" s="81">
        <f>V25 * 6</f>
        <v/>
      </c>
      <c r="AC25" s="81">
        <f>W25 * 4</f>
        <v/>
      </c>
      <c r="AD25" s="83">
        <f>SUM(X25:AC25)</f>
        <v/>
      </c>
      <c r="AE25" s="83">
        <f>IF(AD25 &gt; 0, AD25/B25, 0)</f>
        <v/>
      </c>
      <c r="AF25" s="81">
        <f>COUNTIFS(MatchScoutingData!$F$2:$F$1000, $A25, MatchScoutingData!$X$2:$X$1000, "p")</f>
        <v/>
      </c>
      <c r="AG25" s="81">
        <f>COUNTIFS(MatchScoutingData!$F$2:$F$1000, $A25, MatchScoutingData!$X$2:$X$1000, "s")</f>
        <v/>
      </c>
      <c r="AH25" s="81">
        <f>COUNTIFS(MatchScoutingData!$F$2:$F$1000, $A25, MatchScoutingData!$X$2:$X$1000, "d")</f>
        <v/>
      </c>
      <c r="AI25" s="81">
        <f>AF25 * 2</f>
        <v/>
      </c>
      <c r="AJ25" s="81">
        <f>AG25 * 6</f>
        <v/>
      </c>
      <c r="AK25" s="81">
        <f>AH25 * 12</f>
        <v/>
      </c>
      <c r="AL25" s="84">
        <f>SUM(AI25:AK25)</f>
        <v/>
      </c>
      <c r="AM25" s="84">
        <f>IF(AD25 &gt; 0, AL25/B25, 0)</f>
        <v/>
      </c>
      <c r="AN25" s="85">
        <f>SUM(P25, AD25, AL25)</f>
        <v/>
      </c>
      <c r="AO25" s="85">
        <f>IF(AN25 &gt; 0, AN25/B25, 0)</f>
        <v/>
      </c>
      <c r="AP25" s="81">
        <f>SUMIF(MatchScoutingData!$F$2:$F$1000, $A25, MatchScoutingData!Z$2:Z$1000)</f>
        <v/>
      </c>
      <c r="AQ25" s="81">
        <f>SUMIF(MatchScoutingData!$F$2:$F$1000, $A25, MatchScoutingData!AA$2:AA$1000)</f>
        <v/>
      </c>
      <c r="AR25" s="81">
        <f>SUMIF(MatchScoutingData!$F$2:$F$1000, $A25, MatchScoutingData!AB$2:AB$1000)</f>
        <v/>
      </c>
      <c r="AS25" s="81">
        <f>SUM(AP25, AQ25, AR25)</f>
        <v/>
      </c>
    </row>
    <row r="26">
      <c r="A26" s="80" t="n">
        <v>1787</v>
      </c>
      <c r="B26" s="81">
        <f>COUNTIF(MatchScoutingData!F$2:F$1000, $A26)</f>
        <v/>
      </c>
      <c r="C26" s="81">
        <f>SUMIF(MatchScoutingData!$F$2:$F$1000, $A26, MatchScoutingData!I$2:I$1000)</f>
        <v/>
      </c>
      <c r="D26" s="81">
        <f>SUMIF(MatchScoutingData!$F$2:$F$1000, $A26, MatchScoutingData!J$2:J$1000)</f>
        <v/>
      </c>
      <c r="E26" s="81">
        <f>SUMIF(MatchScoutingData!$F$2:$F$1000, $A26, MatchScoutingData!K$2:K$1000)</f>
        <v/>
      </c>
      <c r="F26" s="81">
        <f>SUMIF(MatchScoutingData!$F$2:$F$1000, $A26, MatchScoutingData!L$2:L$1000)</f>
        <v/>
      </c>
      <c r="G26" s="81">
        <f>SUMIF(MatchScoutingData!$F$2:$F$1000, $A26, MatchScoutingData!M$2:M$1000)</f>
        <v/>
      </c>
      <c r="H26" s="81">
        <f>SUMIF(MatchScoutingData!$F$2:$F$1000, $A26, MatchScoutingData!N$2:N$1000)</f>
        <v/>
      </c>
      <c r="I26" s="81">
        <f>C26 * 7</f>
        <v/>
      </c>
      <c r="J26" s="81">
        <f>D26 * 6</f>
        <v/>
      </c>
      <c r="K26" s="81">
        <f>E26 * 4</f>
        <v/>
      </c>
      <c r="L26" s="81">
        <f>F26 * 3</f>
        <v/>
      </c>
      <c r="M26" s="81">
        <f>G26 * 6</f>
        <v/>
      </c>
      <c r="N26" s="81">
        <f>H26 * 4</f>
        <v/>
      </c>
      <c r="O26" s="81">
        <f>SUMIF(MatchScoutingData!$F$2:$F$1000, $A26, MatchScoutingData!H$2:H$1000) * 3</f>
        <v/>
      </c>
      <c r="P26" s="82">
        <f>SUM(I26:O26)</f>
        <v/>
      </c>
      <c r="Q26" s="82">
        <f>IF(P26 &gt; 0, P26/B26, 0)</f>
        <v/>
      </c>
      <c r="R26" s="81">
        <f>SUMIF(MatchScoutingData!$F$2:$F$1000, $A26, MatchScoutingData!P$2:P$1000)</f>
        <v/>
      </c>
      <c r="S26" s="81">
        <f>SUMIF(MatchScoutingData!$F$2:$F$1000, $A26, MatchScoutingData!Q$2:Q$1000)</f>
        <v/>
      </c>
      <c r="T26" s="81">
        <f>SUMIF(MatchScoutingData!$F$2:$F$1000, $A26, MatchScoutingData!R$2:R$1000)</f>
        <v/>
      </c>
      <c r="U26" s="81">
        <f>SUMIF(MatchScoutingData!$F$2:$F$1000, $A26, MatchScoutingData!S$2:S$1000)</f>
        <v/>
      </c>
      <c r="V26" s="81">
        <f>SUMIF(MatchScoutingData!$F$2:$F$1000, $A26, MatchScoutingData!T$2:T$1000)</f>
        <v/>
      </c>
      <c r="W26" s="81">
        <f>SUMIF(MatchScoutingData!$F$2:$F$1000, $A26, MatchScoutingData!U$2:U$1000)</f>
        <v/>
      </c>
      <c r="X26" s="81">
        <f>R26 * 5</f>
        <v/>
      </c>
      <c r="Y26" s="81">
        <f>S26 * 4</f>
        <v/>
      </c>
      <c r="Z26" s="81">
        <f>T26 * 3</f>
        <v/>
      </c>
      <c r="AA26" s="81">
        <f>U26 * 2</f>
        <v/>
      </c>
      <c r="AB26" s="81">
        <f>V26 * 6</f>
        <v/>
      </c>
      <c r="AC26" s="81">
        <f>W26 * 4</f>
        <v/>
      </c>
      <c r="AD26" s="83">
        <f>SUM(X26:AC26)</f>
        <v/>
      </c>
      <c r="AE26" s="83">
        <f>IF(AD26 &gt; 0, AD26/B26, 0)</f>
        <v/>
      </c>
      <c r="AF26" s="81">
        <f>COUNTIFS(MatchScoutingData!$F$2:$F$1000, $A26, MatchScoutingData!$X$2:$X$1000, "p")</f>
        <v/>
      </c>
      <c r="AG26" s="81">
        <f>COUNTIFS(MatchScoutingData!$F$2:$F$1000, $A26, MatchScoutingData!$X$2:$X$1000, "s")</f>
        <v/>
      </c>
      <c r="AH26" s="81">
        <f>COUNTIFS(MatchScoutingData!$F$2:$F$1000, $A26, MatchScoutingData!$X$2:$X$1000, "d")</f>
        <v/>
      </c>
      <c r="AI26" s="81">
        <f>AF26 * 2</f>
        <v/>
      </c>
      <c r="AJ26" s="81">
        <f>AG26 * 6</f>
        <v/>
      </c>
      <c r="AK26" s="81">
        <f>AH26 * 12</f>
        <v/>
      </c>
      <c r="AL26" s="84">
        <f>SUM(AI26:AK26)</f>
        <v/>
      </c>
      <c r="AM26" s="84">
        <f>IF(AD26 &gt; 0, AL26/B26, 0)</f>
        <v/>
      </c>
      <c r="AN26" s="85">
        <f>SUM(P26, AD26, AL26)</f>
        <v/>
      </c>
      <c r="AO26" s="85">
        <f>IF(AN26 &gt; 0, AN26/B26, 0)</f>
        <v/>
      </c>
      <c r="AP26" s="81">
        <f>SUMIF(MatchScoutingData!$F$2:$F$1000, $A26, MatchScoutingData!Z$2:Z$1000)</f>
        <v/>
      </c>
      <c r="AQ26" s="81">
        <f>SUMIF(MatchScoutingData!$F$2:$F$1000, $A26, MatchScoutingData!AA$2:AA$1000)</f>
        <v/>
      </c>
      <c r="AR26" s="81">
        <f>SUMIF(MatchScoutingData!$F$2:$F$1000, $A26, MatchScoutingData!AB$2:AB$1000)</f>
        <v/>
      </c>
      <c r="AS26" s="81">
        <f>SUM(AP26, AQ26, AR26)</f>
        <v/>
      </c>
    </row>
    <row r="27">
      <c r="A27" s="80" t="n">
        <v>2010</v>
      </c>
      <c r="B27" s="81">
        <f>COUNTIF(MatchScoutingData!F$2:F$1000, $A27)</f>
        <v/>
      </c>
      <c r="C27" s="81">
        <f>SUMIF(MatchScoutingData!$F$2:$F$1000, $A27, MatchScoutingData!I$2:I$1000)</f>
        <v/>
      </c>
      <c r="D27" s="81">
        <f>SUMIF(MatchScoutingData!$F$2:$F$1000, $A27, MatchScoutingData!J$2:J$1000)</f>
        <v/>
      </c>
      <c r="E27" s="81">
        <f>SUMIF(MatchScoutingData!$F$2:$F$1000, $A27, MatchScoutingData!K$2:K$1000)</f>
        <v/>
      </c>
      <c r="F27" s="81">
        <f>SUMIF(MatchScoutingData!$F$2:$F$1000, $A27, MatchScoutingData!L$2:L$1000)</f>
        <v/>
      </c>
      <c r="G27" s="81">
        <f>SUMIF(MatchScoutingData!$F$2:$F$1000, $A27, MatchScoutingData!M$2:M$1000)</f>
        <v/>
      </c>
      <c r="H27" s="81">
        <f>SUMIF(MatchScoutingData!$F$2:$F$1000, $A27, MatchScoutingData!N$2:N$1000)</f>
        <v/>
      </c>
      <c r="I27" s="81">
        <f>C27 * 7</f>
        <v/>
      </c>
      <c r="J27" s="81">
        <f>D27 * 6</f>
        <v/>
      </c>
      <c r="K27" s="81">
        <f>E27 * 4</f>
        <v/>
      </c>
      <c r="L27" s="81">
        <f>F27 * 3</f>
        <v/>
      </c>
      <c r="M27" s="81">
        <f>G27 * 6</f>
        <v/>
      </c>
      <c r="N27" s="81">
        <f>H27 * 4</f>
        <v/>
      </c>
      <c r="O27" s="81">
        <f>SUMIF(MatchScoutingData!$F$2:$F$1000, $A27, MatchScoutingData!H$2:H$1000) * 3</f>
        <v/>
      </c>
      <c r="P27" s="82">
        <f>SUM(I27:O27)</f>
        <v/>
      </c>
      <c r="Q27" s="82">
        <f>IF(P27 &gt; 0, P27/B27, 0)</f>
        <v/>
      </c>
      <c r="R27" s="81">
        <f>SUMIF(MatchScoutingData!$F$2:$F$1000, $A27, MatchScoutingData!P$2:P$1000)</f>
        <v/>
      </c>
      <c r="S27" s="81">
        <f>SUMIF(MatchScoutingData!$F$2:$F$1000, $A27, MatchScoutingData!Q$2:Q$1000)</f>
        <v/>
      </c>
      <c r="T27" s="81">
        <f>SUMIF(MatchScoutingData!$F$2:$F$1000, $A27, MatchScoutingData!R$2:R$1000)</f>
        <v/>
      </c>
      <c r="U27" s="81">
        <f>SUMIF(MatchScoutingData!$F$2:$F$1000, $A27, MatchScoutingData!S$2:S$1000)</f>
        <v/>
      </c>
      <c r="V27" s="81">
        <f>SUMIF(MatchScoutingData!$F$2:$F$1000, $A27, MatchScoutingData!T$2:T$1000)</f>
        <v/>
      </c>
      <c r="W27" s="81">
        <f>SUMIF(MatchScoutingData!$F$2:$F$1000, $A27, MatchScoutingData!U$2:U$1000)</f>
        <v/>
      </c>
      <c r="X27" s="81">
        <f>R27 * 5</f>
        <v/>
      </c>
      <c r="Y27" s="81">
        <f>S27 * 4</f>
        <v/>
      </c>
      <c r="Z27" s="81">
        <f>T27 * 3</f>
        <v/>
      </c>
      <c r="AA27" s="81">
        <f>U27 * 2</f>
        <v/>
      </c>
      <c r="AB27" s="81">
        <f>V27 * 6</f>
        <v/>
      </c>
      <c r="AC27" s="81">
        <f>W27 * 4</f>
        <v/>
      </c>
      <c r="AD27" s="83">
        <f>SUM(X27:AC27)</f>
        <v/>
      </c>
      <c r="AE27" s="83">
        <f>IF(AD27 &gt; 0, AD27/B27, 0)</f>
        <v/>
      </c>
      <c r="AF27" s="81">
        <f>COUNTIFS(MatchScoutingData!$F$2:$F$1000, $A27, MatchScoutingData!$X$2:$X$1000, "p")</f>
        <v/>
      </c>
      <c r="AG27" s="81">
        <f>COUNTIFS(MatchScoutingData!$F$2:$F$1000, $A27, MatchScoutingData!$X$2:$X$1000, "s")</f>
        <v/>
      </c>
      <c r="AH27" s="81">
        <f>COUNTIFS(MatchScoutingData!$F$2:$F$1000, $A27, MatchScoutingData!$X$2:$X$1000, "d")</f>
        <v/>
      </c>
      <c r="AI27" s="81">
        <f>AF27 * 2</f>
        <v/>
      </c>
      <c r="AJ27" s="81">
        <f>AG27 * 6</f>
        <v/>
      </c>
      <c r="AK27" s="81">
        <f>AH27 * 12</f>
        <v/>
      </c>
      <c r="AL27" s="84">
        <f>SUM(AI27:AK27)</f>
        <v/>
      </c>
      <c r="AM27" s="84">
        <f>IF(AD27 &gt; 0, AL27/B27, 0)</f>
        <v/>
      </c>
      <c r="AN27" s="85">
        <f>SUM(P27, AD27, AL27)</f>
        <v/>
      </c>
      <c r="AO27" s="85">
        <f>IF(AN27 &gt; 0, AN27/B27, 0)</f>
        <v/>
      </c>
      <c r="AP27" s="81">
        <f>SUMIF(MatchScoutingData!$F$2:$F$1000, $A27, MatchScoutingData!Z$2:Z$1000)</f>
        <v/>
      </c>
      <c r="AQ27" s="81">
        <f>SUMIF(MatchScoutingData!$F$2:$F$1000, $A27, MatchScoutingData!AA$2:AA$1000)</f>
        <v/>
      </c>
      <c r="AR27" s="81">
        <f>SUMIF(MatchScoutingData!$F$2:$F$1000, $A27, MatchScoutingData!AB$2:AB$1000)</f>
        <v/>
      </c>
      <c r="AS27" s="81">
        <f>SUM(AP27, AQ27, AR27)</f>
        <v/>
      </c>
    </row>
    <row r="28">
      <c r="A28" s="80" t="n">
        <v>2228</v>
      </c>
      <c r="B28" s="81">
        <f>COUNTIF(MatchScoutingData!F$2:F$1000, $A28)</f>
        <v/>
      </c>
      <c r="C28" s="81">
        <f>SUMIF(MatchScoutingData!$F$2:$F$1000, $A28, MatchScoutingData!I$2:I$1000)</f>
        <v/>
      </c>
      <c r="D28" s="81">
        <f>SUMIF(MatchScoutingData!$F$2:$F$1000, $A28, MatchScoutingData!J$2:J$1000)</f>
        <v/>
      </c>
      <c r="E28" s="81">
        <f>SUMIF(MatchScoutingData!$F$2:$F$1000, $A28, MatchScoutingData!K$2:K$1000)</f>
        <v/>
      </c>
      <c r="F28" s="81">
        <f>SUMIF(MatchScoutingData!$F$2:$F$1000, $A28, MatchScoutingData!L$2:L$1000)</f>
        <v/>
      </c>
      <c r="G28" s="81">
        <f>SUMIF(MatchScoutingData!$F$2:$F$1000, $A28, MatchScoutingData!M$2:M$1000)</f>
        <v/>
      </c>
      <c r="H28" s="81">
        <f>SUMIF(MatchScoutingData!$F$2:$F$1000, $A28, MatchScoutingData!N$2:N$1000)</f>
        <v/>
      </c>
      <c r="I28" s="81">
        <f>C28 * 7</f>
        <v/>
      </c>
      <c r="J28" s="81">
        <f>D28 * 6</f>
        <v/>
      </c>
      <c r="K28" s="81">
        <f>E28 * 4</f>
        <v/>
      </c>
      <c r="L28" s="81">
        <f>F28 * 3</f>
        <v/>
      </c>
      <c r="M28" s="81">
        <f>G28 * 6</f>
        <v/>
      </c>
      <c r="N28" s="81">
        <f>H28 * 4</f>
        <v/>
      </c>
      <c r="O28" s="81">
        <f>SUMIF(MatchScoutingData!$F$2:$F$1000, $A28, MatchScoutingData!H$2:H$1000) * 3</f>
        <v/>
      </c>
      <c r="P28" s="82">
        <f>SUM(I28:O28)</f>
        <v/>
      </c>
      <c r="Q28" s="82">
        <f>IF(P28 &gt; 0, P28/B28, 0)</f>
        <v/>
      </c>
      <c r="R28" s="81">
        <f>SUMIF(MatchScoutingData!$F$2:$F$1000, $A28, MatchScoutingData!P$2:P$1000)</f>
        <v/>
      </c>
      <c r="S28" s="81">
        <f>SUMIF(MatchScoutingData!$F$2:$F$1000, $A28, MatchScoutingData!Q$2:Q$1000)</f>
        <v/>
      </c>
      <c r="T28" s="81">
        <f>SUMIF(MatchScoutingData!$F$2:$F$1000, $A28, MatchScoutingData!R$2:R$1000)</f>
        <v/>
      </c>
      <c r="U28" s="81">
        <f>SUMIF(MatchScoutingData!$F$2:$F$1000, $A28, MatchScoutingData!S$2:S$1000)</f>
        <v/>
      </c>
      <c r="V28" s="81">
        <f>SUMIF(MatchScoutingData!$F$2:$F$1000, $A28, MatchScoutingData!T$2:T$1000)</f>
        <v/>
      </c>
      <c r="W28" s="81">
        <f>SUMIF(MatchScoutingData!$F$2:$F$1000, $A28, MatchScoutingData!U$2:U$1000)</f>
        <v/>
      </c>
      <c r="X28" s="81">
        <f>R28 * 5</f>
        <v/>
      </c>
      <c r="Y28" s="81">
        <f>S28 * 4</f>
        <v/>
      </c>
      <c r="Z28" s="81">
        <f>T28 * 3</f>
        <v/>
      </c>
      <c r="AA28" s="81">
        <f>U28 * 2</f>
        <v/>
      </c>
      <c r="AB28" s="81">
        <f>V28 * 6</f>
        <v/>
      </c>
      <c r="AC28" s="81">
        <f>W28 * 4</f>
        <v/>
      </c>
      <c r="AD28" s="83">
        <f>SUM(X28:AC28)</f>
        <v/>
      </c>
      <c r="AE28" s="83">
        <f>IF(AD28 &gt; 0, AD28/B28, 0)</f>
        <v/>
      </c>
      <c r="AF28" s="81">
        <f>COUNTIFS(MatchScoutingData!$F$2:$F$1000, $A28, MatchScoutingData!$X$2:$X$1000, "p")</f>
        <v/>
      </c>
      <c r="AG28" s="81">
        <f>COUNTIFS(MatchScoutingData!$F$2:$F$1000, $A28, MatchScoutingData!$X$2:$X$1000, "s")</f>
        <v/>
      </c>
      <c r="AH28" s="81">
        <f>COUNTIFS(MatchScoutingData!$F$2:$F$1000, $A28, MatchScoutingData!$X$2:$X$1000, "d")</f>
        <v/>
      </c>
      <c r="AI28" s="81">
        <f>AF28 * 2</f>
        <v/>
      </c>
      <c r="AJ28" s="81">
        <f>AG28 * 6</f>
        <v/>
      </c>
      <c r="AK28" s="81">
        <f>AH28 * 12</f>
        <v/>
      </c>
      <c r="AL28" s="84">
        <f>SUM(AI28:AK28)</f>
        <v/>
      </c>
      <c r="AM28" s="84">
        <f>IF(AD28 &gt; 0, AL28/B28, 0)</f>
        <v/>
      </c>
      <c r="AN28" s="85">
        <f>SUM(P28, AD28, AL28)</f>
        <v/>
      </c>
      <c r="AO28" s="85">
        <f>IF(AN28 &gt; 0, AN28/B28, 0)</f>
        <v/>
      </c>
      <c r="AP28" s="81">
        <f>SUMIF(MatchScoutingData!$F$2:$F$1000, $A28, MatchScoutingData!Z$2:Z$1000)</f>
        <v/>
      </c>
      <c r="AQ28" s="81">
        <f>SUMIF(MatchScoutingData!$F$2:$F$1000, $A28, MatchScoutingData!AA$2:AA$1000)</f>
        <v/>
      </c>
      <c r="AR28" s="81">
        <f>SUMIF(MatchScoutingData!$F$2:$F$1000, $A28, MatchScoutingData!AB$2:AB$1000)</f>
        <v/>
      </c>
      <c r="AS28" s="81">
        <f>SUM(AP28, AQ28, AR28)</f>
        <v/>
      </c>
    </row>
    <row r="29">
      <c r="A29" s="80" t="n">
        <v>2252</v>
      </c>
      <c r="B29" s="81">
        <f>COUNTIF(MatchScoutingData!F$2:F$1000, $A29)</f>
        <v/>
      </c>
      <c r="C29" s="81">
        <f>SUMIF(MatchScoutingData!$F$2:$F$1000, $A29, MatchScoutingData!I$2:I$1000)</f>
        <v/>
      </c>
      <c r="D29" s="81">
        <f>SUMIF(MatchScoutingData!$F$2:$F$1000, $A29, MatchScoutingData!J$2:J$1000)</f>
        <v/>
      </c>
      <c r="E29" s="81">
        <f>SUMIF(MatchScoutingData!$F$2:$F$1000, $A29, MatchScoutingData!K$2:K$1000)</f>
        <v/>
      </c>
      <c r="F29" s="81">
        <f>SUMIF(MatchScoutingData!$F$2:$F$1000, $A29, MatchScoutingData!L$2:L$1000)</f>
        <v/>
      </c>
      <c r="G29" s="81">
        <f>SUMIF(MatchScoutingData!$F$2:$F$1000, $A29, MatchScoutingData!M$2:M$1000)</f>
        <v/>
      </c>
      <c r="H29" s="81">
        <f>SUMIF(MatchScoutingData!$F$2:$F$1000, $A29, MatchScoutingData!N$2:N$1000)</f>
        <v/>
      </c>
      <c r="I29" s="81">
        <f>C29 * 7</f>
        <v/>
      </c>
      <c r="J29" s="81">
        <f>D29 * 6</f>
        <v/>
      </c>
      <c r="K29" s="81">
        <f>E29 * 4</f>
        <v/>
      </c>
      <c r="L29" s="81">
        <f>F29 * 3</f>
        <v/>
      </c>
      <c r="M29" s="81">
        <f>G29 * 6</f>
        <v/>
      </c>
      <c r="N29" s="81">
        <f>H29 * 4</f>
        <v/>
      </c>
      <c r="O29" s="81">
        <f>SUMIF(MatchScoutingData!$F$2:$F$1000, $A29, MatchScoutingData!H$2:H$1000) * 3</f>
        <v/>
      </c>
      <c r="P29" s="82">
        <f>SUM(I29:O29)</f>
        <v/>
      </c>
      <c r="Q29" s="82">
        <f>IF(P29 &gt; 0, P29/B29, 0)</f>
        <v/>
      </c>
      <c r="R29" s="81">
        <f>SUMIF(MatchScoutingData!$F$2:$F$1000, $A29, MatchScoutingData!P$2:P$1000)</f>
        <v/>
      </c>
      <c r="S29" s="81">
        <f>SUMIF(MatchScoutingData!$F$2:$F$1000, $A29, MatchScoutingData!Q$2:Q$1000)</f>
        <v/>
      </c>
      <c r="T29" s="81">
        <f>SUMIF(MatchScoutingData!$F$2:$F$1000, $A29, MatchScoutingData!R$2:R$1000)</f>
        <v/>
      </c>
      <c r="U29" s="81">
        <f>SUMIF(MatchScoutingData!$F$2:$F$1000, $A29, MatchScoutingData!S$2:S$1000)</f>
        <v/>
      </c>
      <c r="V29" s="81">
        <f>SUMIF(MatchScoutingData!$F$2:$F$1000, $A29, MatchScoutingData!T$2:T$1000)</f>
        <v/>
      </c>
      <c r="W29" s="81">
        <f>SUMIF(MatchScoutingData!$F$2:$F$1000, $A29, MatchScoutingData!U$2:U$1000)</f>
        <v/>
      </c>
      <c r="X29" s="81">
        <f>R29 * 5</f>
        <v/>
      </c>
      <c r="Y29" s="81">
        <f>S29 * 4</f>
        <v/>
      </c>
      <c r="Z29" s="81">
        <f>T29 * 3</f>
        <v/>
      </c>
      <c r="AA29" s="81">
        <f>U29 * 2</f>
        <v/>
      </c>
      <c r="AB29" s="81">
        <f>V29 * 6</f>
        <v/>
      </c>
      <c r="AC29" s="81">
        <f>W29 * 4</f>
        <v/>
      </c>
      <c r="AD29" s="83">
        <f>SUM(X29:AC29)</f>
        <v/>
      </c>
      <c r="AE29" s="83">
        <f>IF(AD29 &gt; 0, AD29/B29, 0)</f>
        <v/>
      </c>
      <c r="AF29" s="81">
        <f>COUNTIFS(MatchScoutingData!$F$2:$F$1000, $A29, MatchScoutingData!$X$2:$X$1000, "p")</f>
        <v/>
      </c>
      <c r="AG29" s="81">
        <f>COUNTIFS(MatchScoutingData!$F$2:$F$1000, $A29, MatchScoutingData!$X$2:$X$1000, "s")</f>
        <v/>
      </c>
      <c r="AH29" s="81">
        <f>COUNTIFS(MatchScoutingData!$F$2:$F$1000, $A29, MatchScoutingData!$X$2:$X$1000, "d")</f>
        <v/>
      </c>
      <c r="AI29" s="81">
        <f>AF29 * 2</f>
        <v/>
      </c>
      <c r="AJ29" s="81">
        <f>AG29 * 6</f>
        <v/>
      </c>
      <c r="AK29" s="81">
        <f>AH29 * 12</f>
        <v/>
      </c>
      <c r="AL29" s="84">
        <f>SUM(AI29:AK29)</f>
        <v/>
      </c>
      <c r="AM29" s="84">
        <f>IF(AD29 &gt; 0, AL29/B29, 0)</f>
        <v/>
      </c>
      <c r="AN29" s="85">
        <f>SUM(P29, AD29, AL29)</f>
        <v/>
      </c>
      <c r="AO29" s="85">
        <f>IF(AN29 &gt; 0, AN29/B29, 0)</f>
        <v/>
      </c>
      <c r="AP29" s="81">
        <f>SUMIF(MatchScoutingData!$F$2:$F$1000, $A29, MatchScoutingData!Z$2:Z$1000)</f>
        <v/>
      </c>
      <c r="AQ29" s="81">
        <f>SUMIF(MatchScoutingData!$F$2:$F$1000, $A29, MatchScoutingData!AA$2:AA$1000)</f>
        <v/>
      </c>
      <c r="AR29" s="81">
        <f>SUMIF(MatchScoutingData!$F$2:$F$1000, $A29, MatchScoutingData!AB$2:AB$1000)</f>
        <v/>
      </c>
      <c r="AS29" s="81">
        <f>SUM(AP29, AQ29, AR29)</f>
        <v/>
      </c>
    </row>
    <row r="30">
      <c r="A30" s="80" t="n">
        <v>2340</v>
      </c>
      <c r="B30" s="81">
        <f>COUNTIF(MatchScoutingData!F$2:F$1000, $A30)</f>
        <v/>
      </c>
      <c r="C30" s="81">
        <f>SUMIF(MatchScoutingData!$F$2:$F$1000, $A30, MatchScoutingData!I$2:I$1000)</f>
        <v/>
      </c>
      <c r="D30" s="81">
        <f>SUMIF(MatchScoutingData!$F$2:$F$1000, $A30, MatchScoutingData!J$2:J$1000)</f>
        <v/>
      </c>
      <c r="E30" s="81">
        <f>SUMIF(MatchScoutingData!$F$2:$F$1000, $A30, MatchScoutingData!K$2:K$1000)</f>
        <v/>
      </c>
      <c r="F30" s="81">
        <f>SUMIF(MatchScoutingData!$F$2:$F$1000, $A30, MatchScoutingData!L$2:L$1000)</f>
        <v/>
      </c>
      <c r="G30" s="81">
        <f>SUMIF(MatchScoutingData!$F$2:$F$1000, $A30, MatchScoutingData!M$2:M$1000)</f>
        <v/>
      </c>
      <c r="H30" s="81">
        <f>SUMIF(MatchScoutingData!$F$2:$F$1000, $A30, MatchScoutingData!N$2:N$1000)</f>
        <v/>
      </c>
      <c r="I30" s="81">
        <f>C30 * 7</f>
        <v/>
      </c>
      <c r="J30" s="81">
        <f>D30 * 6</f>
        <v/>
      </c>
      <c r="K30" s="81">
        <f>E30 * 4</f>
        <v/>
      </c>
      <c r="L30" s="81">
        <f>F30 * 3</f>
        <v/>
      </c>
      <c r="M30" s="81">
        <f>G30 * 6</f>
        <v/>
      </c>
      <c r="N30" s="81">
        <f>H30 * 4</f>
        <v/>
      </c>
      <c r="O30" s="81">
        <f>SUMIF(MatchScoutingData!$F$2:$F$1000, $A30, MatchScoutingData!H$2:H$1000) * 3</f>
        <v/>
      </c>
      <c r="P30" s="82">
        <f>SUM(I30:O30)</f>
        <v/>
      </c>
      <c r="Q30" s="82">
        <f>IF(P30 &gt; 0, P30/B30, 0)</f>
        <v/>
      </c>
      <c r="R30" s="81">
        <f>SUMIF(MatchScoutingData!$F$2:$F$1000, $A30, MatchScoutingData!P$2:P$1000)</f>
        <v/>
      </c>
      <c r="S30" s="81">
        <f>SUMIF(MatchScoutingData!$F$2:$F$1000, $A30, MatchScoutingData!Q$2:Q$1000)</f>
        <v/>
      </c>
      <c r="T30" s="81">
        <f>SUMIF(MatchScoutingData!$F$2:$F$1000, $A30, MatchScoutingData!R$2:R$1000)</f>
        <v/>
      </c>
      <c r="U30" s="81">
        <f>SUMIF(MatchScoutingData!$F$2:$F$1000, $A30, MatchScoutingData!S$2:S$1000)</f>
        <v/>
      </c>
      <c r="V30" s="81">
        <f>SUMIF(MatchScoutingData!$F$2:$F$1000, $A30, MatchScoutingData!T$2:T$1000)</f>
        <v/>
      </c>
      <c r="W30" s="81">
        <f>SUMIF(MatchScoutingData!$F$2:$F$1000, $A30, MatchScoutingData!U$2:U$1000)</f>
        <v/>
      </c>
      <c r="X30" s="81">
        <f>R30 * 5</f>
        <v/>
      </c>
      <c r="Y30" s="81">
        <f>S30 * 4</f>
        <v/>
      </c>
      <c r="Z30" s="81">
        <f>T30 * 3</f>
        <v/>
      </c>
      <c r="AA30" s="81">
        <f>U30 * 2</f>
        <v/>
      </c>
      <c r="AB30" s="81">
        <f>V30 * 6</f>
        <v/>
      </c>
      <c r="AC30" s="81">
        <f>W30 * 4</f>
        <v/>
      </c>
      <c r="AD30" s="83">
        <f>SUM(X30:AC30)</f>
        <v/>
      </c>
      <c r="AE30" s="83">
        <f>IF(AD30 &gt; 0, AD30/B30, 0)</f>
        <v/>
      </c>
      <c r="AF30" s="81">
        <f>COUNTIFS(MatchScoutingData!$F$2:$F$1000, $A30, MatchScoutingData!$X$2:$X$1000, "p")</f>
        <v/>
      </c>
      <c r="AG30" s="81">
        <f>COUNTIFS(MatchScoutingData!$F$2:$F$1000, $A30, MatchScoutingData!$X$2:$X$1000, "s")</f>
        <v/>
      </c>
      <c r="AH30" s="81">
        <f>COUNTIFS(MatchScoutingData!$F$2:$F$1000, $A30, MatchScoutingData!$X$2:$X$1000, "d")</f>
        <v/>
      </c>
      <c r="AI30" s="81">
        <f>AF30 * 2</f>
        <v/>
      </c>
      <c r="AJ30" s="81">
        <f>AG30 * 6</f>
        <v/>
      </c>
      <c r="AK30" s="81">
        <f>AH30 * 12</f>
        <v/>
      </c>
      <c r="AL30" s="84">
        <f>SUM(AI30:AK30)</f>
        <v/>
      </c>
      <c r="AM30" s="84">
        <f>IF(AD30 &gt; 0, AL30/B30, 0)</f>
        <v/>
      </c>
      <c r="AN30" s="85">
        <f>SUM(P30, AD30, AL30)</f>
        <v/>
      </c>
      <c r="AO30" s="85">
        <f>IF(AN30 &gt; 0, AN30/B30, 0)</f>
        <v/>
      </c>
      <c r="AP30" s="81">
        <f>SUMIF(MatchScoutingData!$F$2:$F$1000, $A30, MatchScoutingData!Z$2:Z$1000)</f>
        <v/>
      </c>
      <c r="AQ30" s="81">
        <f>SUMIF(MatchScoutingData!$F$2:$F$1000, $A30, MatchScoutingData!AA$2:AA$1000)</f>
        <v/>
      </c>
      <c r="AR30" s="81">
        <f>SUMIF(MatchScoutingData!$F$2:$F$1000, $A30, MatchScoutingData!AB$2:AB$1000)</f>
        <v/>
      </c>
      <c r="AS30" s="81">
        <f>SUM(AP30, AQ30, AR30)</f>
        <v/>
      </c>
    </row>
    <row r="31">
      <c r="A31" s="80" t="n">
        <v>2614</v>
      </c>
      <c r="B31" s="81">
        <f>COUNTIF(MatchScoutingData!F$2:F$1000, $A31)</f>
        <v/>
      </c>
      <c r="C31" s="81">
        <f>SUMIF(MatchScoutingData!$F$2:$F$1000, $A31, MatchScoutingData!I$2:I$1000)</f>
        <v/>
      </c>
      <c r="D31" s="81">
        <f>SUMIF(MatchScoutingData!$F$2:$F$1000, $A31, MatchScoutingData!J$2:J$1000)</f>
        <v/>
      </c>
      <c r="E31" s="81">
        <f>SUMIF(MatchScoutingData!$F$2:$F$1000, $A31, MatchScoutingData!K$2:K$1000)</f>
        <v/>
      </c>
      <c r="F31" s="81">
        <f>SUMIF(MatchScoutingData!$F$2:$F$1000, $A31, MatchScoutingData!L$2:L$1000)</f>
        <v/>
      </c>
      <c r="G31" s="81">
        <f>SUMIF(MatchScoutingData!$F$2:$F$1000, $A31, MatchScoutingData!M$2:M$1000)</f>
        <v/>
      </c>
      <c r="H31" s="81">
        <f>SUMIF(MatchScoutingData!$F$2:$F$1000, $A31, MatchScoutingData!N$2:N$1000)</f>
        <v/>
      </c>
      <c r="I31" s="81">
        <f>C31 * 7</f>
        <v/>
      </c>
      <c r="J31" s="81">
        <f>D31 * 6</f>
        <v/>
      </c>
      <c r="K31" s="81">
        <f>E31 * 4</f>
        <v/>
      </c>
      <c r="L31" s="81">
        <f>F31 * 3</f>
        <v/>
      </c>
      <c r="M31" s="81">
        <f>G31 * 6</f>
        <v/>
      </c>
      <c r="N31" s="81">
        <f>H31 * 4</f>
        <v/>
      </c>
      <c r="O31" s="81">
        <f>SUMIF(MatchScoutingData!$F$2:$F$1000, $A31, MatchScoutingData!H$2:H$1000) * 3</f>
        <v/>
      </c>
      <c r="P31" s="82">
        <f>SUM(I31:O31)</f>
        <v/>
      </c>
      <c r="Q31" s="82">
        <f>IF(P31 &gt; 0, P31/B31, 0)</f>
        <v/>
      </c>
      <c r="R31" s="81">
        <f>SUMIF(MatchScoutingData!$F$2:$F$1000, $A31, MatchScoutingData!P$2:P$1000)</f>
        <v/>
      </c>
      <c r="S31" s="81">
        <f>SUMIF(MatchScoutingData!$F$2:$F$1000, $A31, MatchScoutingData!Q$2:Q$1000)</f>
        <v/>
      </c>
      <c r="T31" s="81">
        <f>SUMIF(MatchScoutingData!$F$2:$F$1000, $A31, MatchScoutingData!R$2:R$1000)</f>
        <v/>
      </c>
      <c r="U31" s="81">
        <f>SUMIF(MatchScoutingData!$F$2:$F$1000, $A31, MatchScoutingData!S$2:S$1000)</f>
        <v/>
      </c>
      <c r="V31" s="81">
        <f>SUMIF(MatchScoutingData!$F$2:$F$1000, $A31, MatchScoutingData!T$2:T$1000)</f>
        <v/>
      </c>
      <c r="W31" s="81">
        <f>SUMIF(MatchScoutingData!$F$2:$F$1000, $A31, MatchScoutingData!U$2:U$1000)</f>
        <v/>
      </c>
      <c r="X31" s="81">
        <f>R31 * 5</f>
        <v/>
      </c>
      <c r="Y31" s="81">
        <f>S31 * 4</f>
        <v/>
      </c>
      <c r="Z31" s="81">
        <f>T31 * 3</f>
        <v/>
      </c>
      <c r="AA31" s="81">
        <f>U31 * 2</f>
        <v/>
      </c>
      <c r="AB31" s="81">
        <f>V31 * 6</f>
        <v/>
      </c>
      <c r="AC31" s="81">
        <f>W31 * 4</f>
        <v/>
      </c>
      <c r="AD31" s="83">
        <f>SUM(X31:AC31)</f>
        <v/>
      </c>
      <c r="AE31" s="83">
        <f>IF(AD31 &gt; 0, AD31/B31, 0)</f>
        <v/>
      </c>
      <c r="AF31" s="81">
        <f>COUNTIFS(MatchScoutingData!$F$2:$F$1000, $A31, MatchScoutingData!$X$2:$X$1000, "p")</f>
        <v/>
      </c>
      <c r="AG31" s="81">
        <f>COUNTIFS(MatchScoutingData!$F$2:$F$1000, $A31, MatchScoutingData!$X$2:$X$1000, "s")</f>
        <v/>
      </c>
      <c r="AH31" s="81">
        <f>COUNTIFS(MatchScoutingData!$F$2:$F$1000, $A31, MatchScoutingData!$X$2:$X$1000, "d")</f>
        <v/>
      </c>
      <c r="AI31" s="81">
        <f>AF31 * 2</f>
        <v/>
      </c>
      <c r="AJ31" s="81">
        <f>AG31 * 6</f>
        <v/>
      </c>
      <c r="AK31" s="81">
        <f>AH31 * 12</f>
        <v/>
      </c>
      <c r="AL31" s="84">
        <f>SUM(AI31:AK31)</f>
        <v/>
      </c>
      <c r="AM31" s="84">
        <f>IF(AD31 &gt; 0, AL31/B31, 0)</f>
        <v/>
      </c>
      <c r="AN31" s="85">
        <f>SUM(P31, AD31, AL31)</f>
        <v/>
      </c>
      <c r="AO31" s="85">
        <f>IF(AN31 &gt; 0, AN31/B31, 0)</f>
        <v/>
      </c>
      <c r="AP31" s="81">
        <f>SUMIF(MatchScoutingData!$F$2:$F$1000, $A31, MatchScoutingData!Z$2:Z$1000)</f>
        <v/>
      </c>
      <c r="AQ31" s="81">
        <f>SUMIF(MatchScoutingData!$F$2:$F$1000, $A31, MatchScoutingData!AA$2:AA$1000)</f>
        <v/>
      </c>
      <c r="AR31" s="81">
        <f>SUMIF(MatchScoutingData!$F$2:$F$1000, $A31, MatchScoutingData!AB$2:AB$1000)</f>
        <v/>
      </c>
      <c r="AS31" s="81">
        <f>SUM(AP31, AQ31, AR31)</f>
        <v/>
      </c>
    </row>
    <row r="32">
      <c r="A32" s="80" t="n">
        <v>2791</v>
      </c>
      <c r="B32" s="81">
        <f>COUNTIF(MatchScoutingData!F$2:F$1000, $A32)</f>
        <v/>
      </c>
      <c r="C32" s="81">
        <f>SUMIF(MatchScoutingData!$F$2:$F$1000, $A32, MatchScoutingData!I$2:I$1000)</f>
        <v/>
      </c>
      <c r="D32" s="81">
        <f>SUMIF(MatchScoutingData!$F$2:$F$1000, $A32, MatchScoutingData!J$2:J$1000)</f>
        <v/>
      </c>
      <c r="E32" s="81">
        <f>SUMIF(MatchScoutingData!$F$2:$F$1000, $A32, MatchScoutingData!K$2:K$1000)</f>
        <v/>
      </c>
      <c r="F32" s="81">
        <f>SUMIF(MatchScoutingData!$F$2:$F$1000, $A32, MatchScoutingData!L$2:L$1000)</f>
        <v/>
      </c>
      <c r="G32" s="81">
        <f>SUMIF(MatchScoutingData!$F$2:$F$1000, $A32, MatchScoutingData!M$2:M$1000)</f>
        <v/>
      </c>
      <c r="H32" s="81">
        <f>SUMIF(MatchScoutingData!$F$2:$F$1000, $A32, MatchScoutingData!N$2:N$1000)</f>
        <v/>
      </c>
      <c r="I32" s="81">
        <f>C32 * 7</f>
        <v/>
      </c>
      <c r="J32" s="81">
        <f>D32 * 6</f>
        <v/>
      </c>
      <c r="K32" s="81">
        <f>E32 * 4</f>
        <v/>
      </c>
      <c r="L32" s="81">
        <f>F32 * 3</f>
        <v/>
      </c>
      <c r="M32" s="81">
        <f>G32 * 6</f>
        <v/>
      </c>
      <c r="N32" s="81">
        <f>H32 * 4</f>
        <v/>
      </c>
      <c r="O32" s="81">
        <f>SUMIF(MatchScoutingData!$F$2:$F$1000, $A32, MatchScoutingData!H$2:H$1000) * 3</f>
        <v/>
      </c>
      <c r="P32" s="82">
        <f>SUM(I32:O32)</f>
        <v/>
      </c>
      <c r="Q32" s="82">
        <f>IF(P32 &gt; 0, P32/B32, 0)</f>
        <v/>
      </c>
      <c r="R32" s="81">
        <f>SUMIF(MatchScoutingData!$F$2:$F$1000, $A32, MatchScoutingData!P$2:P$1000)</f>
        <v/>
      </c>
      <c r="S32" s="81">
        <f>SUMIF(MatchScoutingData!$F$2:$F$1000, $A32, MatchScoutingData!Q$2:Q$1000)</f>
        <v/>
      </c>
      <c r="T32" s="81">
        <f>SUMIF(MatchScoutingData!$F$2:$F$1000, $A32, MatchScoutingData!R$2:R$1000)</f>
        <v/>
      </c>
      <c r="U32" s="81">
        <f>SUMIF(MatchScoutingData!$F$2:$F$1000, $A32, MatchScoutingData!S$2:S$1000)</f>
        <v/>
      </c>
      <c r="V32" s="81">
        <f>SUMIF(MatchScoutingData!$F$2:$F$1000, $A32, MatchScoutingData!T$2:T$1000)</f>
        <v/>
      </c>
      <c r="W32" s="81">
        <f>SUMIF(MatchScoutingData!$F$2:$F$1000, $A32, MatchScoutingData!U$2:U$1000)</f>
        <v/>
      </c>
      <c r="X32" s="81">
        <f>R32 * 5</f>
        <v/>
      </c>
      <c r="Y32" s="81">
        <f>S32 * 4</f>
        <v/>
      </c>
      <c r="Z32" s="81">
        <f>T32 * 3</f>
        <v/>
      </c>
      <c r="AA32" s="81">
        <f>U32 * 2</f>
        <v/>
      </c>
      <c r="AB32" s="81">
        <f>V32 * 6</f>
        <v/>
      </c>
      <c r="AC32" s="81">
        <f>W32 * 4</f>
        <v/>
      </c>
      <c r="AD32" s="83">
        <f>SUM(X32:AC32)</f>
        <v/>
      </c>
      <c r="AE32" s="83">
        <f>IF(AD32 &gt; 0, AD32/B32, 0)</f>
        <v/>
      </c>
      <c r="AF32" s="81">
        <f>COUNTIFS(MatchScoutingData!$F$2:$F$1000, $A32, MatchScoutingData!$X$2:$X$1000, "p")</f>
        <v/>
      </c>
      <c r="AG32" s="81">
        <f>COUNTIFS(MatchScoutingData!$F$2:$F$1000, $A32, MatchScoutingData!$X$2:$X$1000, "s")</f>
        <v/>
      </c>
      <c r="AH32" s="81">
        <f>COUNTIFS(MatchScoutingData!$F$2:$F$1000, $A32, MatchScoutingData!$X$2:$X$1000, "d")</f>
        <v/>
      </c>
      <c r="AI32" s="81">
        <f>AF32 * 2</f>
        <v/>
      </c>
      <c r="AJ32" s="81">
        <f>AG32 * 6</f>
        <v/>
      </c>
      <c r="AK32" s="81">
        <f>AH32 * 12</f>
        <v/>
      </c>
      <c r="AL32" s="84">
        <f>SUM(AI32:AK32)</f>
        <v/>
      </c>
      <c r="AM32" s="84">
        <f>IF(AD32 &gt; 0, AL32/B32, 0)</f>
        <v/>
      </c>
      <c r="AN32" s="85">
        <f>SUM(P32, AD32, AL32)</f>
        <v/>
      </c>
      <c r="AO32" s="85">
        <f>IF(AN32 &gt; 0, AN32/B32, 0)</f>
        <v/>
      </c>
      <c r="AP32" s="81">
        <f>SUMIF(MatchScoutingData!$F$2:$F$1000, $A32, MatchScoutingData!Z$2:Z$1000)</f>
        <v/>
      </c>
      <c r="AQ32" s="81">
        <f>SUMIF(MatchScoutingData!$F$2:$F$1000, $A32, MatchScoutingData!AA$2:AA$1000)</f>
        <v/>
      </c>
      <c r="AR32" s="81">
        <f>SUMIF(MatchScoutingData!$F$2:$F$1000, $A32, MatchScoutingData!AB$2:AB$1000)</f>
        <v/>
      </c>
      <c r="AS32" s="81">
        <f>SUM(AP32, AQ32, AR32)</f>
        <v/>
      </c>
    </row>
    <row r="33">
      <c r="A33" s="80" t="n">
        <v>3003</v>
      </c>
      <c r="B33" s="81">
        <f>COUNTIF(MatchScoutingData!F$2:F$1000, $A33)</f>
        <v/>
      </c>
      <c r="C33" s="81">
        <f>SUMIF(MatchScoutingData!$F$2:$F$1000, $A33, MatchScoutingData!I$2:I$1000)</f>
        <v/>
      </c>
      <c r="D33" s="81">
        <f>SUMIF(MatchScoutingData!$F$2:$F$1000, $A33, MatchScoutingData!J$2:J$1000)</f>
        <v/>
      </c>
      <c r="E33" s="81">
        <f>SUMIF(MatchScoutingData!$F$2:$F$1000, $A33, MatchScoutingData!K$2:K$1000)</f>
        <v/>
      </c>
      <c r="F33" s="81">
        <f>SUMIF(MatchScoutingData!$F$2:$F$1000, $A33, MatchScoutingData!L$2:L$1000)</f>
        <v/>
      </c>
      <c r="G33" s="81">
        <f>SUMIF(MatchScoutingData!$F$2:$F$1000, $A33, MatchScoutingData!M$2:M$1000)</f>
        <v/>
      </c>
      <c r="H33" s="81">
        <f>SUMIF(MatchScoutingData!$F$2:$F$1000, $A33, MatchScoutingData!N$2:N$1000)</f>
        <v/>
      </c>
      <c r="I33" s="81">
        <f>C33 * 7</f>
        <v/>
      </c>
      <c r="J33" s="81">
        <f>D33 * 6</f>
        <v/>
      </c>
      <c r="K33" s="81">
        <f>E33 * 4</f>
        <v/>
      </c>
      <c r="L33" s="81">
        <f>F33 * 3</f>
        <v/>
      </c>
      <c r="M33" s="81">
        <f>G33 * 6</f>
        <v/>
      </c>
      <c r="N33" s="81">
        <f>H33 * 4</f>
        <v/>
      </c>
      <c r="O33" s="81">
        <f>SUMIF(MatchScoutingData!$F$2:$F$1000, $A33, MatchScoutingData!H$2:H$1000) * 3</f>
        <v/>
      </c>
      <c r="P33" s="82">
        <f>SUM(I33:O33)</f>
        <v/>
      </c>
      <c r="Q33" s="82">
        <f>IF(P33 &gt; 0, P33/B33, 0)</f>
        <v/>
      </c>
      <c r="R33" s="81">
        <f>SUMIF(MatchScoutingData!$F$2:$F$1000, $A33, MatchScoutingData!P$2:P$1000)</f>
        <v/>
      </c>
      <c r="S33" s="81">
        <f>SUMIF(MatchScoutingData!$F$2:$F$1000, $A33, MatchScoutingData!Q$2:Q$1000)</f>
        <v/>
      </c>
      <c r="T33" s="81">
        <f>SUMIF(MatchScoutingData!$F$2:$F$1000, $A33, MatchScoutingData!R$2:R$1000)</f>
        <v/>
      </c>
      <c r="U33" s="81">
        <f>SUMIF(MatchScoutingData!$F$2:$F$1000, $A33, MatchScoutingData!S$2:S$1000)</f>
        <v/>
      </c>
      <c r="V33" s="81">
        <f>SUMIF(MatchScoutingData!$F$2:$F$1000, $A33, MatchScoutingData!T$2:T$1000)</f>
        <v/>
      </c>
      <c r="W33" s="81">
        <f>SUMIF(MatchScoutingData!$F$2:$F$1000, $A33, MatchScoutingData!U$2:U$1000)</f>
        <v/>
      </c>
      <c r="X33" s="81">
        <f>R33 * 5</f>
        <v/>
      </c>
      <c r="Y33" s="81">
        <f>S33 * 4</f>
        <v/>
      </c>
      <c r="Z33" s="81">
        <f>T33 * 3</f>
        <v/>
      </c>
      <c r="AA33" s="81">
        <f>U33 * 2</f>
        <v/>
      </c>
      <c r="AB33" s="81">
        <f>V33 * 6</f>
        <v/>
      </c>
      <c r="AC33" s="81">
        <f>W33 * 4</f>
        <v/>
      </c>
      <c r="AD33" s="83">
        <f>SUM(X33:AC33)</f>
        <v/>
      </c>
      <c r="AE33" s="83">
        <f>IF(AD33 &gt; 0, AD33/B33, 0)</f>
        <v/>
      </c>
      <c r="AF33" s="81">
        <f>COUNTIFS(MatchScoutingData!$F$2:$F$1000, $A33, MatchScoutingData!$X$2:$X$1000, "p")</f>
        <v/>
      </c>
      <c r="AG33" s="81">
        <f>COUNTIFS(MatchScoutingData!$F$2:$F$1000, $A33, MatchScoutingData!$X$2:$X$1000, "s")</f>
        <v/>
      </c>
      <c r="AH33" s="81">
        <f>COUNTIFS(MatchScoutingData!$F$2:$F$1000, $A33, MatchScoutingData!$X$2:$X$1000, "d")</f>
        <v/>
      </c>
      <c r="AI33" s="81">
        <f>AF33 * 2</f>
        <v/>
      </c>
      <c r="AJ33" s="81">
        <f>AG33 * 6</f>
        <v/>
      </c>
      <c r="AK33" s="81">
        <f>AH33 * 12</f>
        <v/>
      </c>
      <c r="AL33" s="84">
        <f>SUM(AI33:AK33)</f>
        <v/>
      </c>
      <c r="AM33" s="84">
        <f>IF(AD33 &gt; 0, AL33/B33, 0)</f>
        <v/>
      </c>
      <c r="AN33" s="85">
        <f>SUM(P33, AD33, AL33)</f>
        <v/>
      </c>
      <c r="AO33" s="85">
        <f>IF(AN33 &gt; 0, AN33/B33, 0)</f>
        <v/>
      </c>
      <c r="AP33" s="81">
        <f>SUMIF(MatchScoutingData!$F$2:$F$1000, $A33, MatchScoutingData!Z$2:Z$1000)</f>
        <v/>
      </c>
      <c r="AQ33" s="81">
        <f>SUMIF(MatchScoutingData!$F$2:$F$1000, $A33, MatchScoutingData!AA$2:AA$1000)</f>
        <v/>
      </c>
      <c r="AR33" s="81">
        <f>SUMIF(MatchScoutingData!$F$2:$F$1000, $A33, MatchScoutingData!AB$2:AB$1000)</f>
        <v/>
      </c>
      <c r="AS33" s="81">
        <f>SUM(AP33, AQ33, AR33)</f>
        <v/>
      </c>
    </row>
    <row r="34">
      <c r="A34" s="80" t="n">
        <v>3004</v>
      </c>
      <c r="B34" s="81">
        <f>COUNTIF(MatchScoutingData!F$2:F$1000, $A34)</f>
        <v/>
      </c>
      <c r="C34" s="81">
        <f>SUMIF(MatchScoutingData!$F$2:$F$1000, $A34, MatchScoutingData!I$2:I$1000)</f>
        <v/>
      </c>
      <c r="D34" s="81">
        <f>SUMIF(MatchScoutingData!$F$2:$F$1000, $A34, MatchScoutingData!J$2:J$1000)</f>
        <v/>
      </c>
      <c r="E34" s="81">
        <f>SUMIF(MatchScoutingData!$F$2:$F$1000, $A34, MatchScoutingData!K$2:K$1000)</f>
        <v/>
      </c>
      <c r="F34" s="81">
        <f>SUMIF(MatchScoutingData!$F$2:$F$1000, $A34, MatchScoutingData!L$2:L$1000)</f>
        <v/>
      </c>
      <c r="G34" s="81">
        <f>SUMIF(MatchScoutingData!$F$2:$F$1000, $A34, MatchScoutingData!M$2:M$1000)</f>
        <v/>
      </c>
      <c r="H34" s="81">
        <f>SUMIF(MatchScoutingData!$F$2:$F$1000, $A34, MatchScoutingData!N$2:N$1000)</f>
        <v/>
      </c>
      <c r="I34" s="81">
        <f>C34 * 7</f>
        <v/>
      </c>
      <c r="J34" s="81">
        <f>D34 * 6</f>
        <v/>
      </c>
      <c r="K34" s="81">
        <f>E34 * 4</f>
        <v/>
      </c>
      <c r="L34" s="81">
        <f>F34 * 3</f>
        <v/>
      </c>
      <c r="M34" s="81">
        <f>G34 * 6</f>
        <v/>
      </c>
      <c r="N34" s="81">
        <f>H34 * 4</f>
        <v/>
      </c>
      <c r="O34" s="81">
        <f>SUMIF(MatchScoutingData!$F$2:$F$1000, $A34, MatchScoutingData!H$2:H$1000) * 3</f>
        <v/>
      </c>
      <c r="P34" s="82">
        <f>SUM(I34:O34)</f>
        <v/>
      </c>
      <c r="Q34" s="82">
        <f>IF(P34 &gt; 0, P34/B34, 0)</f>
        <v/>
      </c>
      <c r="R34" s="81">
        <f>SUMIF(MatchScoutingData!$F$2:$F$1000, $A34, MatchScoutingData!P$2:P$1000)</f>
        <v/>
      </c>
      <c r="S34" s="81">
        <f>SUMIF(MatchScoutingData!$F$2:$F$1000, $A34, MatchScoutingData!Q$2:Q$1000)</f>
        <v/>
      </c>
      <c r="T34" s="81">
        <f>SUMIF(MatchScoutingData!$F$2:$F$1000, $A34, MatchScoutingData!R$2:R$1000)</f>
        <v/>
      </c>
      <c r="U34" s="81">
        <f>SUMIF(MatchScoutingData!$F$2:$F$1000, $A34, MatchScoutingData!S$2:S$1000)</f>
        <v/>
      </c>
      <c r="V34" s="81">
        <f>SUMIF(MatchScoutingData!$F$2:$F$1000, $A34, MatchScoutingData!T$2:T$1000)</f>
        <v/>
      </c>
      <c r="W34" s="81">
        <f>SUMIF(MatchScoutingData!$F$2:$F$1000, $A34, MatchScoutingData!U$2:U$1000)</f>
        <v/>
      </c>
      <c r="X34" s="81">
        <f>R34 * 5</f>
        <v/>
      </c>
      <c r="Y34" s="81">
        <f>S34 * 4</f>
        <v/>
      </c>
      <c r="Z34" s="81">
        <f>T34 * 3</f>
        <v/>
      </c>
      <c r="AA34" s="81">
        <f>U34 * 2</f>
        <v/>
      </c>
      <c r="AB34" s="81">
        <f>V34 * 6</f>
        <v/>
      </c>
      <c r="AC34" s="81">
        <f>W34 * 4</f>
        <v/>
      </c>
      <c r="AD34" s="83">
        <f>SUM(X34:AC34)</f>
        <v/>
      </c>
      <c r="AE34" s="83">
        <f>IF(AD34 &gt; 0, AD34/B34, 0)</f>
        <v/>
      </c>
      <c r="AF34" s="81">
        <f>COUNTIFS(MatchScoutingData!$F$2:$F$1000, $A34, MatchScoutingData!$X$2:$X$1000, "p")</f>
        <v/>
      </c>
      <c r="AG34" s="81">
        <f>COUNTIFS(MatchScoutingData!$F$2:$F$1000, $A34, MatchScoutingData!$X$2:$X$1000, "s")</f>
        <v/>
      </c>
      <c r="AH34" s="81">
        <f>COUNTIFS(MatchScoutingData!$F$2:$F$1000, $A34, MatchScoutingData!$X$2:$X$1000, "d")</f>
        <v/>
      </c>
      <c r="AI34" s="81">
        <f>AF34 * 2</f>
        <v/>
      </c>
      <c r="AJ34" s="81">
        <f>AG34 * 6</f>
        <v/>
      </c>
      <c r="AK34" s="81">
        <f>AH34 * 12</f>
        <v/>
      </c>
      <c r="AL34" s="84">
        <f>SUM(AI34:AK34)</f>
        <v/>
      </c>
      <c r="AM34" s="84">
        <f>IF(AD34 &gt; 0, AL34/B34, 0)</f>
        <v/>
      </c>
      <c r="AN34" s="85">
        <f>SUM(P34, AD34, AL34)</f>
        <v/>
      </c>
      <c r="AO34" s="85">
        <f>IF(AN34 &gt; 0, AN34/B34, 0)</f>
        <v/>
      </c>
      <c r="AP34" s="81">
        <f>SUMIF(MatchScoutingData!$F$2:$F$1000, $A34, MatchScoutingData!Z$2:Z$1000)</f>
        <v/>
      </c>
      <c r="AQ34" s="81">
        <f>SUMIF(MatchScoutingData!$F$2:$F$1000, $A34, MatchScoutingData!AA$2:AA$1000)</f>
        <v/>
      </c>
      <c r="AR34" s="81">
        <f>SUMIF(MatchScoutingData!$F$2:$F$1000, $A34, MatchScoutingData!AB$2:AB$1000)</f>
        <v/>
      </c>
      <c r="AS34" s="81">
        <f>SUM(AP34, AQ34, AR34)</f>
        <v/>
      </c>
    </row>
    <row r="35">
      <c r="A35" s="80" t="n">
        <v>3015</v>
      </c>
      <c r="B35" s="81">
        <f>COUNTIF(MatchScoutingData!F$2:F$1000, $A35)</f>
        <v/>
      </c>
      <c r="C35" s="81">
        <f>SUMIF(MatchScoutingData!$F$2:$F$1000, $A35, MatchScoutingData!I$2:I$1000)</f>
        <v/>
      </c>
      <c r="D35" s="81">
        <f>SUMIF(MatchScoutingData!$F$2:$F$1000, $A35, MatchScoutingData!J$2:J$1000)</f>
        <v/>
      </c>
      <c r="E35" s="81">
        <f>SUMIF(MatchScoutingData!$F$2:$F$1000, $A35, MatchScoutingData!K$2:K$1000)</f>
        <v/>
      </c>
      <c r="F35" s="81">
        <f>SUMIF(MatchScoutingData!$F$2:$F$1000, $A35, MatchScoutingData!L$2:L$1000)</f>
        <v/>
      </c>
      <c r="G35" s="81">
        <f>SUMIF(MatchScoutingData!$F$2:$F$1000, $A35, MatchScoutingData!M$2:M$1000)</f>
        <v/>
      </c>
      <c r="H35" s="81">
        <f>SUMIF(MatchScoutingData!$F$2:$F$1000, $A35, MatchScoutingData!N$2:N$1000)</f>
        <v/>
      </c>
      <c r="I35" s="81">
        <f>C35 * 7</f>
        <v/>
      </c>
      <c r="J35" s="81">
        <f>D35 * 6</f>
        <v/>
      </c>
      <c r="K35" s="81">
        <f>E35 * 4</f>
        <v/>
      </c>
      <c r="L35" s="81">
        <f>F35 * 3</f>
        <v/>
      </c>
      <c r="M35" s="81">
        <f>G35 * 6</f>
        <v/>
      </c>
      <c r="N35" s="81">
        <f>H35 * 4</f>
        <v/>
      </c>
      <c r="O35" s="81">
        <f>SUMIF(MatchScoutingData!$F$2:$F$1000, $A35, MatchScoutingData!H$2:H$1000) * 3</f>
        <v/>
      </c>
      <c r="P35" s="82">
        <f>SUM(I35:O35)</f>
        <v/>
      </c>
      <c r="Q35" s="82">
        <f>IF(P35 &gt; 0, P35/B35, 0)</f>
        <v/>
      </c>
      <c r="R35" s="81">
        <f>SUMIF(MatchScoutingData!$F$2:$F$1000, $A35, MatchScoutingData!P$2:P$1000)</f>
        <v/>
      </c>
      <c r="S35" s="81">
        <f>SUMIF(MatchScoutingData!$F$2:$F$1000, $A35, MatchScoutingData!Q$2:Q$1000)</f>
        <v/>
      </c>
      <c r="T35" s="81">
        <f>SUMIF(MatchScoutingData!$F$2:$F$1000, $A35, MatchScoutingData!R$2:R$1000)</f>
        <v/>
      </c>
      <c r="U35" s="81">
        <f>SUMIF(MatchScoutingData!$F$2:$F$1000, $A35, MatchScoutingData!S$2:S$1000)</f>
        <v/>
      </c>
      <c r="V35" s="81">
        <f>SUMIF(MatchScoutingData!$F$2:$F$1000, $A35, MatchScoutingData!T$2:T$1000)</f>
        <v/>
      </c>
      <c r="W35" s="81">
        <f>SUMIF(MatchScoutingData!$F$2:$F$1000, $A35, MatchScoutingData!U$2:U$1000)</f>
        <v/>
      </c>
      <c r="X35" s="81">
        <f>R35 * 5</f>
        <v/>
      </c>
      <c r="Y35" s="81">
        <f>S35 * 4</f>
        <v/>
      </c>
      <c r="Z35" s="81">
        <f>T35 * 3</f>
        <v/>
      </c>
      <c r="AA35" s="81">
        <f>U35 * 2</f>
        <v/>
      </c>
      <c r="AB35" s="81">
        <f>V35 * 6</f>
        <v/>
      </c>
      <c r="AC35" s="81">
        <f>W35 * 4</f>
        <v/>
      </c>
      <c r="AD35" s="83">
        <f>SUM(X35:AC35)</f>
        <v/>
      </c>
      <c r="AE35" s="83">
        <f>IF(AD35 &gt; 0, AD35/B35, 0)</f>
        <v/>
      </c>
      <c r="AF35" s="81">
        <f>COUNTIFS(MatchScoutingData!$F$2:$F$1000, $A35, MatchScoutingData!$X$2:$X$1000, "p")</f>
        <v/>
      </c>
      <c r="AG35" s="81">
        <f>COUNTIFS(MatchScoutingData!$F$2:$F$1000, $A35, MatchScoutingData!$X$2:$X$1000, "s")</f>
        <v/>
      </c>
      <c r="AH35" s="81">
        <f>COUNTIFS(MatchScoutingData!$F$2:$F$1000, $A35, MatchScoutingData!$X$2:$X$1000, "d")</f>
        <v/>
      </c>
      <c r="AI35" s="81">
        <f>AF35 * 2</f>
        <v/>
      </c>
      <c r="AJ35" s="81">
        <f>AG35 * 6</f>
        <v/>
      </c>
      <c r="AK35" s="81">
        <f>AH35 * 12</f>
        <v/>
      </c>
      <c r="AL35" s="84">
        <f>SUM(AI35:AK35)</f>
        <v/>
      </c>
      <c r="AM35" s="84">
        <f>IF(AD35 &gt; 0, AL35/B35, 0)</f>
        <v/>
      </c>
      <c r="AN35" s="85">
        <f>SUM(P35, AD35, AL35)</f>
        <v/>
      </c>
      <c r="AO35" s="85">
        <f>IF(AN35 &gt; 0, AN35/B35, 0)</f>
        <v/>
      </c>
      <c r="AP35" s="81">
        <f>SUMIF(MatchScoutingData!$F$2:$F$1000, $A35, MatchScoutingData!Z$2:Z$1000)</f>
        <v/>
      </c>
      <c r="AQ35" s="81">
        <f>SUMIF(MatchScoutingData!$F$2:$F$1000, $A35, MatchScoutingData!AA$2:AA$1000)</f>
        <v/>
      </c>
      <c r="AR35" s="81">
        <f>SUMIF(MatchScoutingData!$F$2:$F$1000, $A35, MatchScoutingData!AB$2:AB$1000)</f>
        <v/>
      </c>
      <c r="AS35" s="81">
        <f>SUM(AP35, AQ35, AR35)</f>
        <v/>
      </c>
    </row>
    <row r="36">
      <c r="A36" s="80" t="n">
        <v>3044</v>
      </c>
      <c r="B36" s="81">
        <f>COUNTIF(MatchScoutingData!F$2:F$1000, $A36)</f>
        <v/>
      </c>
      <c r="C36" s="81">
        <f>SUMIF(MatchScoutingData!$F$2:$F$1000, $A36, MatchScoutingData!I$2:I$1000)</f>
        <v/>
      </c>
      <c r="D36" s="81">
        <f>SUMIF(MatchScoutingData!$F$2:$F$1000, $A36, MatchScoutingData!J$2:J$1000)</f>
        <v/>
      </c>
      <c r="E36" s="81">
        <f>SUMIF(MatchScoutingData!$F$2:$F$1000, $A36, MatchScoutingData!K$2:K$1000)</f>
        <v/>
      </c>
      <c r="F36" s="81">
        <f>SUMIF(MatchScoutingData!$F$2:$F$1000, $A36, MatchScoutingData!L$2:L$1000)</f>
        <v/>
      </c>
      <c r="G36" s="81">
        <f>SUMIF(MatchScoutingData!$F$2:$F$1000, $A36, MatchScoutingData!M$2:M$1000)</f>
        <v/>
      </c>
      <c r="H36" s="81">
        <f>SUMIF(MatchScoutingData!$F$2:$F$1000, $A36, MatchScoutingData!N$2:N$1000)</f>
        <v/>
      </c>
      <c r="I36" s="81">
        <f>C36 * 7</f>
        <v/>
      </c>
      <c r="J36" s="81">
        <f>D36 * 6</f>
        <v/>
      </c>
      <c r="K36" s="81">
        <f>E36 * 4</f>
        <v/>
      </c>
      <c r="L36" s="81">
        <f>F36 * 3</f>
        <v/>
      </c>
      <c r="M36" s="81">
        <f>G36 * 6</f>
        <v/>
      </c>
      <c r="N36" s="81">
        <f>H36 * 4</f>
        <v/>
      </c>
      <c r="O36" s="81">
        <f>SUMIF(MatchScoutingData!$F$2:$F$1000, $A36, MatchScoutingData!H$2:H$1000) * 3</f>
        <v/>
      </c>
      <c r="P36" s="82">
        <f>SUM(I36:O36)</f>
        <v/>
      </c>
      <c r="Q36" s="82">
        <f>IF(P36 &gt; 0, P36/B36, 0)</f>
        <v/>
      </c>
      <c r="R36" s="81">
        <f>SUMIF(MatchScoutingData!$F$2:$F$1000, $A36, MatchScoutingData!P$2:P$1000)</f>
        <v/>
      </c>
      <c r="S36" s="81">
        <f>SUMIF(MatchScoutingData!$F$2:$F$1000, $A36, MatchScoutingData!Q$2:Q$1000)</f>
        <v/>
      </c>
      <c r="T36" s="81">
        <f>SUMIF(MatchScoutingData!$F$2:$F$1000, $A36, MatchScoutingData!R$2:R$1000)</f>
        <v/>
      </c>
      <c r="U36" s="81">
        <f>SUMIF(MatchScoutingData!$F$2:$F$1000, $A36, MatchScoutingData!S$2:S$1000)</f>
        <v/>
      </c>
      <c r="V36" s="81">
        <f>SUMIF(MatchScoutingData!$F$2:$F$1000, $A36, MatchScoutingData!T$2:T$1000)</f>
        <v/>
      </c>
      <c r="W36" s="81">
        <f>SUMIF(MatchScoutingData!$F$2:$F$1000, $A36, MatchScoutingData!U$2:U$1000)</f>
        <v/>
      </c>
      <c r="X36" s="81">
        <f>R36 * 5</f>
        <v/>
      </c>
      <c r="Y36" s="81">
        <f>S36 * 4</f>
        <v/>
      </c>
      <c r="Z36" s="81">
        <f>T36 * 3</f>
        <v/>
      </c>
      <c r="AA36" s="81">
        <f>U36 * 2</f>
        <v/>
      </c>
      <c r="AB36" s="81">
        <f>V36 * 6</f>
        <v/>
      </c>
      <c r="AC36" s="81">
        <f>W36 * 4</f>
        <v/>
      </c>
      <c r="AD36" s="83">
        <f>SUM(X36:AC36)</f>
        <v/>
      </c>
      <c r="AE36" s="83">
        <f>IF(AD36 &gt; 0, AD36/B36, 0)</f>
        <v/>
      </c>
      <c r="AF36" s="81">
        <f>COUNTIFS(MatchScoutingData!$F$2:$F$1000, $A36, MatchScoutingData!$X$2:$X$1000, "p")</f>
        <v/>
      </c>
      <c r="AG36" s="81">
        <f>COUNTIFS(MatchScoutingData!$F$2:$F$1000, $A36, MatchScoutingData!$X$2:$X$1000, "s")</f>
        <v/>
      </c>
      <c r="AH36" s="81">
        <f>COUNTIFS(MatchScoutingData!$F$2:$F$1000, $A36, MatchScoutingData!$X$2:$X$1000, "d")</f>
        <v/>
      </c>
      <c r="AI36" s="81">
        <f>AF36 * 2</f>
        <v/>
      </c>
      <c r="AJ36" s="81">
        <f>AG36 * 6</f>
        <v/>
      </c>
      <c r="AK36" s="81">
        <f>AH36 * 12</f>
        <v/>
      </c>
      <c r="AL36" s="84">
        <f>SUM(AI36:AK36)</f>
        <v/>
      </c>
      <c r="AM36" s="84">
        <f>IF(AD36 &gt; 0, AL36/B36, 0)</f>
        <v/>
      </c>
      <c r="AN36" s="85">
        <f>SUM(P36, AD36, AL36)</f>
        <v/>
      </c>
      <c r="AO36" s="85">
        <f>IF(AN36 &gt; 0, AN36/B36, 0)</f>
        <v/>
      </c>
      <c r="AP36" s="81">
        <f>SUMIF(MatchScoutingData!$F$2:$F$1000, $A36, MatchScoutingData!Z$2:Z$1000)</f>
        <v/>
      </c>
      <c r="AQ36" s="81">
        <f>SUMIF(MatchScoutingData!$F$2:$F$1000, $A36, MatchScoutingData!AA$2:AA$1000)</f>
        <v/>
      </c>
      <c r="AR36" s="81">
        <f>SUMIF(MatchScoutingData!$F$2:$F$1000, $A36, MatchScoutingData!AB$2:AB$1000)</f>
        <v/>
      </c>
      <c r="AS36" s="81">
        <f>SUM(AP36, AQ36, AR36)</f>
        <v/>
      </c>
    </row>
    <row r="37">
      <c r="A37" s="80" t="n">
        <v>3171</v>
      </c>
      <c r="B37" s="81">
        <f>COUNTIF(MatchScoutingData!F$2:F$1000, $A37)</f>
        <v/>
      </c>
      <c r="C37" s="81">
        <f>SUMIF(MatchScoutingData!$F$2:$F$1000, $A37, MatchScoutingData!I$2:I$1000)</f>
        <v/>
      </c>
      <c r="D37" s="81">
        <f>SUMIF(MatchScoutingData!$F$2:$F$1000, $A37, MatchScoutingData!J$2:J$1000)</f>
        <v/>
      </c>
      <c r="E37" s="81">
        <f>SUMIF(MatchScoutingData!$F$2:$F$1000, $A37, MatchScoutingData!K$2:K$1000)</f>
        <v/>
      </c>
      <c r="F37" s="81">
        <f>SUMIF(MatchScoutingData!$F$2:$F$1000, $A37, MatchScoutingData!L$2:L$1000)</f>
        <v/>
      </c>
      <c r="G37" s="81">
        <f>SUMIF(MatchScoutingData!$F$2:$F$1000, $A37, MatchScoutingData!M$2:M$1000)</f>
        <v/>
      </c>
      <c r="H37" s="81">
        <f>SUMIF(MatchScoutingData!$F$2:$F$1000, $A37, MatchScoutingData!N$2:N$1000)</f>
        <v/>
      </c>
      <c r="I37" s="81">
        <f>C37 * 7</f>
        <v/>
      </c>
      <c r="J37" s="81">
        <f>D37 * 6</f>
        <v/>
      </c>
      <c r="K37" s="81">
        <f>E37 * 4</f>
        <v/>
      </c>
      <c r="L37" s="81">
        <f>F37 * 3</f>
        <v/>
      </c>
      <c r="M37" s="81">
        <f>G37 * 6</f>
        <v/>
      </c>
      <c r="N37" s="81">
        <f>H37 * 4</f>
        <v/>
      </c>
      <c r="O37" s="81">
        <f>SUMIF(MatchScoutingData!$F$2:$F$1000, $A37, MatchScoutingData!H$2:H$1000) * 3</f>
        <v/>
      </c>
      <c r="P37" s="82">
        <f>SUM(I37:O37)</f>
        <v/>
      </c>
      <c r="Q37" s="82">
        <f>IF(P37 &gt; 0, P37/B37, 0)</f>
        <v/>
      </c>
      <c r="R37" s="81">
        <f>SUMIF(MatchScoutingData!$F$2:$F$1000, $A37, MatchScoutingData!P$2:P$1000)</f>
        <v/>
      </c>
      <c r="S37" s="81">
        <f>SUMIF(MatchScoutingData!$F$2:$F$1000, $A37, MatchScoutingData!Q$2:Q$1000)</f>
        <v/>
      </c>
      <c r="T37" s="81">
        <f>SUMIF(MatchScoutingData!$F$2:$F$1000, $A37, MatchScoutingData!R$2:R$1000)</f>
        <v/>
      </c>
      <c r="U37" s="81">
        <f>SUMIF(MatchScoutingData!$F$2:$F$1000, $A37, MatchScoutingData!S$2:S$1000)</f>
        <v/>
      </c>
      <c r="V37" s="81">
        <f>SUMIF(MatchScoutingData!$F$2:$F$1000, $A37, MatchScoutingData!T$2:T$1000)</f>
        <v/>
      </c>
      <c r="W37" s="81">
        <f>SUMIF(MatchScoutingData!$F$2:$F$1000, $A37, MatchScoutingData!U$2:U$1000)</f>
        <v/>
      </c>
      <c r="X37" s="81">
        <f>R37 * 5</f>
        <v/>
      </c>
      <c r="Y37" s="81">
        <f>S37 * 4</f>
        <v/>
      </c>
      <c r="Z37" s="81">
        <f>T37 * 3</f>
        <v/>
      </c>
      <c r="AA37" s="81">
        <f>U37 * 2</f>
        <v/>
      </c>
      <c r="AB37" s="81">
        <f>V37 * 6</f>
        <v/>
      </c>
      <c r="AC37" s="81">
        <f>W37 * 4</f>
        <v/>
      </c>
      <c r="AD37" s="83">
        <f>SUM(X37:AC37)</f>
        <v/>
      </c>
      <c r="AE37" s="83">
        <f>IF(AD37 &gt; 0, AD37/B37, 0)</f>
        <v/>
      </c>
      <c r="AF37" s="81">
        <f>COUNTIFS(MatchScoutingData!$F$2:$F$1000, $A37, MatchScoutingData!$X$2:$X$1000, "p")</f>
        <v/>
      </c>
      <c r="AG37" s="81">
        <f>COUNTIFS(MatchScoutingData!$F$2:$F$1000, $A37, MatchScoutingData!$X$2:$X$1000, "s")</f>
        <v/>
      </c>
      <c r="AH37" s="81">
        <f>COUNTIFS(MatchScoutingData!$F$2:$F$1000, $A37, MatchScoutingData!$X$2:$X$1000, "d")</f>
        <v/>
      </c>
      <c r="AI37" s="81">
        <f>AF37 * 2</f>
        <v/>
      </c>
      <c r="AJ37" s="81">
        <f>AG37 * 6</f>
        <v/>
      </c>
      <c r="AK37" s="81">
        <f>AH37 * 12</f>
        <v/>
      </c>
      <c r="AL37" s="84">
        <f>SUM(AI37:AK37)</f>
        <v/>
      </c>
      <c r="AM37" s="84">
        <f>IF(AD37 &gt; 0, AL37/B37, 0)</f>
        <v/>
      </c>
      <c r="AN37" s="85">
        <f>SUM(P37, AD37, AL37)</f>
        <v/>
      </c>
      <c r="AO37" s="85">
        <f>IF(AN37 &gt; 0, AN37/B37, 0)</f>
        <v/>
      </c>
      <c r="AP37" s="81">
        <f>SUMIF(MatchScoutingData!$F$2:$F$1000, $A37, MatchScoutingData!Z$2:Z$1000)</f>
        <v/>
      </c>
      <c r="AQ37" s="81">
        <f>SUMIF(MatchScoutingData!$F$2:$F$1000, $A37, MatchScoutingData!AA$2:AA$1000)</f>
        <v/>
      </c>
      <c r="AR37" s="81">
        <f>SUMIF(MatchScoutingData!$F$2:$F$1000, $A37, MatchScoutingData!AB$2:AB$1000)</f>
        <v/>
      </c>
      <c r="AS37" s="81">
        <f>SUM(AP37, AQ37, AR37)</f>
        <v/>
      </c>
    </row>
    <row r="38">
      <c r="A38" s="80" t="n">
        <v>3173</v>
      </c>
      <c r="B38" s="81">
        <f>COUNTIF(MatchScoutingData!F$2:F$1000, $A38)</f>
        <v/>
      </c>
      <c r="C38" s="81">
        <f>SUMIF(MatchScoutingData!$F$2:$F$1000, $A38, MatchScoutingData!I$2:I$1000)</f>
        <v/>
      </c>
      <c r="D38" s="81">
        <f>SUMIF(MatchScoutingData!$F$2:$F$1000, $A38, MatchScoutingData!J$2:J$1000)</f>
        <v/>
      </c>
      <c r="E38" s="81">
        <f>SUMIF(MatchScoutingData!$F$2:$F$1000, $A38, MatchScoutingData!K$2:K$1000)</f>
        <v/>
      </c>
      <c r="F38" s="81">
        <f>SUMIF(MatchScoutingData!$F$2:$F$1000, $A38, MatchScoutingData!L$2:L$1000)</f>
        <v/>
      </c>
      <c r="G38" s="81">
        <f>SUMIF(MatchScoutingData!$F$2:$F$1000, $A38, MatchScoutingData!M$2:M$1000)</f>
        <v/>
      </c>
      <c r="H38" s="81">
        <f>SUMIF(MatchScoutingData!$F$2:$F$1000, $A38, MatchScoutingData!N$2:N$1000)</f>
        <v/>
      </c>
      <c r="I38" s="81">
        <f>C38 * 7</f>
        <v/>
      </c>
      <c r="J38" s="81">
        <f>D38 * 6</f>
        <v/>
      </c>
      <c r="K38" s="81">
        <f>E38 * 4</f>
        <v/>
      </c>
      <c r="L38" s="81">
        <f>F38 * 3</f>
        <v/>
      </c>
      <c r="M38" s="81">
        <f>G38 * 6</f>
        <v/>
      </c>
      <c r="N38" s="81">
        <f>H38 * 4</f>
        <v/>
      </c>
      <c r="O38" s="81">
        <f>SUMIF(MatchScoutingData!$F$2:$F$1000, $A38, MatchScoutingData!H$2:H$1000) * 3</f>
        <v/>
      </c>
      <c r="P38" s="82">
        <f>SUM(I38:O38)</f>
        <v/>
      </c>
      <c r="Q38" s="82">
        <f>IF(P38 &gt; 0, P38/B38, 0)</f>
        <v/>
      </c>
      <c r="R38" s="81">
        <f>SUMIF(MatchScoutingData!$F$2:$F$1000, $A38, MatchScoutingData!P$2:P$1000)</f>
        <v/>
      </c>
      <c r="S38" s="81">
        <f>SUMIF(MatchScoutingData!$F$2:$F$1000, $A38, MatchScoutingData!Q$2:Q$1000)</f>
        <v/>
      </c>
      <c r="T38" s="81">
        <f>SUMIF(MatchScoutingData!$F$2:$F$1000, $A38, MatchScoutingData!R$2:R$1000)</f>
        <v/>
      </c>
      <c r="U38" s="81">
        <f>SUMIF(MatchScoutingData!$F$2:$F$1000, $A38, MatchScoutingData!S$2:S$1000)</f>
        <v/>
      </c>
      <c r="V38" s="81">
        <f>SUMIF(MatchScoutingData!$F$2:$F$1000, $A38, MatchScoutingData!T$2:T$1000)</f>
        <v/>
      </c>
      <c r="W38" s="81">
        <f>SUMIF(MatchScoutingData!$F$2:$F$1000, $A38, MatchScoutingData!U$2:U$1000)</f>
        <v/>
      </c>
      <c r="X38" s="81">
        <f>R38 * 5</f>
        <v/>
      </c>
      <c r="Y38" s="81">
        <f>S38 * 4</f>
        <v/>
      </c>
      <c r="Z38" s="81">
        <f>T38 * 3</f>
        <v/>
      </c>
      <c r="AA38" s="81">
        <f>U38 * 2</f>
        <v/>
      </c>
      <c r="AB38" s="81">
        <f>V38 * 6</f>
        <v/>
      </c>
      <c r="AC38" s="81">
        <f>W38 * 4</f>
        <v/>
      </c>
      <c r="AD38" s="83">
        <f>SUM(X38:AC38)</f>
        <v/>
      </c>
      <c r="AE38" s="83">
        <f>IF(AD38 &gt; 0, AD38/B38, 0)</f>
        <v/>
      </c>
      <c r="AF38" s="81">
        <f>COUNTIFS(MatchScoutingData!$F$2:$F$1000, $A38, MatchScoutingData!$X$2:$X$1000, "p")</f>
        <v/>
      </c>
      <c r="AG38" s="81">
        <f>COUNTIFS(MatchScoutingData!$F$2:$F$1000, $A38, MatchScoutingData!$X$2:$X$1000, "s")</f>
        <v/>
      </c>
      <c r="AH38" s="81">
        <f>COUNTIFS(MatchScoutingData!$F$2:$F$1000, $A38, MatchScoutingData!$X$2:$X$1000, "d")</f>
        <v/>
      </c>
      <c r="AI38" s="81">
        <f>AF38 * 2</f>
        <v/>
      </c>
      <c r="AJ38" s="81">
        <f>AG38 * 6</f>
        <v/>
      </c>
      <c r="AK38" s="81">
        <f>AH38 * 12</f>
        <v/>
      </c>
      <c r="AL38" s="84">
        <f>SUM(AI38:AK38)</f>
        <v/>
      </c>
      <c r="AM38" s="84">
        <f>IF(AD38 &gt; 0, AL38/B38, 0)</f>
        <v/>
      </c>
      <c r="AN38" s="85">
        <f>SUM(P38, AD38, AL38)</f>
        <v/>
      </c>
      <c r="AO38" s="85">
        <f>IF(AN38 &gt; 0, AN38/B38, 0)</f>
        <v/>
      </c>
      <c r="AP38" s="81">
        <f>SUMIF(MatchScoutingData!$F$2:$F$1000, $A38, MatchScoutingData!Z$2:Z$1000)</f>
        <v/>
      </c>
      <c r="AQ38" s="81">
        <f>SUMIF(MatchScoutingData!$F$2:$F$1000, $A38, MatchScoutingData!AA$2:AA$1000)</f>
        <v/>
      </c>
      <c r="AR38" s="81">
        <f>SUMIF(MatchScoutingData!$F$2:$F$1000, $A38, MatchScoutingData!AB$2:AB$1000)</f>
        <v/>
      </c>
      <c r="AS38" s="81">
        <f>SUM(AP38, AQ38, AR38)</f>
        <v/>
      </c>
    </row>
    <row r="39">
      <c r="A39" s="80" t="n">
        <v>3181</v>
      </c>
      <c r="B39" s="81">
        <f>COUNTIF(MatchScoutingData!F$2:F$1000, $A39)</f>
        <v/>
      </c>
      <c r="C39" s="81">
        <f>SUMIF(MatchScoutingData!$F$2:$F$1000, $A39, MatchScoutingData!I$2:I$1000)</f>
        <v/>
      </c>
      <c r="D39" s="81">
        <f>SUMIF(MatchScoutingData!$F$2:$F$1000, $A39, MatchScoutingData!J$2:J$1000)</f>
        <v/>
      </c>
      <c r="E39" s="81">
        <f>SUMIF(MatchScoutingData!$F$2:$F$1000, $A39, MatchScoutingData!K$2:K$1000)</f>
        <v/>
      </c>
      <c r="F39" s="81">
        <f>SUMIF(MatchScoutingData!$F$2:$F$1000, $A39, MatchScoutingData!L$2:L$1000)</f>
        <v/>
      </c>
      <c r="G39" s="81">
        <f>SUMIF(MatchScoutingData!$F$2:$F$1000, $A39, MatchScoutingData!M$2:M$1000)</f>
        <v/>
      </c>
      <c r="H39" s="81">
        <f>SUMIF(MatchScoutingData!$F$2:$F$1000, $A39, MatchScoutingData!N$2:N$1000)</f>
        <v/>
      </c>
      <c r="I39" s="81">
        <f>C39 * 7</f>
        <v/>
      </c>
      <c r="J39" s="81">
        <f>D39 * 6</f>
        <v/>
      </c>
      <c r="K39" s="81">
        <f>E39 * 4</f>
        <v/>
      </c>
      <c r="L39" s="81">
        <f>F39 * 3</f>
        <v/>
      </c>
      <c r="M39" s="81">
        <f>G39 * 6</f>
        <v/>
      </c>
      <c r="N39" s="81">
        <f>H39 * 4</f>
        <v/>
      </c>
      <c r="O39" s="81">
        <f>SUMIF(MatchScoutingData!$F$2:$F$1000, $A39, MatchScoutingData!H$2:H$1000) * 3</f>
        <v/>
      </c>
      <c r="P39" s="82">
        <f>SUM(I39:O39)</f>
        <v/>
      </c>
      <c r="Q39" s="82">
        <f>IF(P39 &gt; 0, P39/B39, 0)</f>
        <v/>
      </c>
      <c r="R39" s="81">
        <f>SUMIF(MatchScoutingData!$F$2:$F$1000, $A39, MatchScoutingData!P$2:P$1000)</f>
        <v/>
      </c>
      <c r="S39" s="81">
        <f>SUMIF(MatchScoutingData!$F$2:$F$1000, $A39, MatchScoutingData!Q$2:Q$1000)</f>
        <v/>
      </c>
      <c r="T39" s="81">
        <f>SUMIF(MatchScoutingData!$F$2:$F$1000, $A39, MatchScoutingData!R$2:R$1000)</f>
        <v/>
      </c>
      <c r="U39" s="81">
        <f>SUMIF(MatchScoutingData!$F$2:$F$1000, $A39, MatchScoutingData!S$2:S$1000)</f>
        <v/>
      </c>
      <c r="V39" s="81">
        <f>SUMIF(MatchScoutingData!$F$2:$F$1000, $A39, MatchScoutingData!T$2:T$1000)</f>
        <v/>
      </c>
      <c r="W39" s="81">
        <f>SUMIF(MatchScoutingData!$F$2:$F$1000, $A39, MatchScoutingData!U$2:U$1000)</f>
        <v/>
      </c>
      <c r="X39" s="81">
        <f>R39 * 5</f>
        <v/>
      </c>
      <c r="Y39" s="81">
        <f>S39 * 4</f>
        <v/>
      </c>
      <c r="Z39" s="81">
        <f>T39 * 3</f>
        <v/>
      </c>
      <c r="AA39" s="81">
        <f>U39 * 2</f>
        <v/>
      </c>
      <c r="AB39" s="81">
        <f>V39 * 6</f>
        <v/>
      </c>
      <c r="AC39" s="81">
        <f>W39 * 4</f>
        <v/>
      </c>
      <c r="AD39" s="83">
        <f>SUM(X39:AC39)</f>
        <v/>
      </c>
      <c r="AE39" s="83">
        <f>IF(AD39 &gt; 0, AD39/B39, 0)</f>
        <v/>
      </c>
      <c r="AF39" s="81">
        <f>COUNTIFS(MatchScoutingData!$F$2:$F$1000, $A39, MatchScoutingData!$X$2:$X$1000, "p")</f>
        <v/>
      </c>
      <c r="AG39" s="81">
        <f>COUNTIFS(MatchScoutingData!$F$2:$F$1000, $A39, MatchScoutingData!$X$2:$X$1000, "s")</f>
        <v/>
      </c>
      <c r="AH39" s="81">
        <f>COUNTIFS(MatchScoutingData!$F$2:$F$1000, $A39, MatchScoutingData!$X$2:$X$1000, "d")</f>
        <v/>
      </c>
      <c r="AI39" s="81">
        <f>AF39 * 2</f>
        <v/>
      </c>
      <c r="AJ39" s="81">
        <f>AG39 * 6</f>
        <v/>
      </c>
      <c r="AK39" s="81">
        <f>AH39 * 12</f>
        <v/>
      </c>
      <c r="AL39" s="84">
        <f>SUM(AI39:AK39)</f>
        <v/>
      </c>
      <c r="AM39" s="84">
        <f>IF(AD39 &gt; 0, AL39/B39, 0)</f>
        <v/>
      </c>
      <c r="AN39" s="85">
        <f>SUM(P39, AD39, AL39)</f>
        <v/>
      </c>
      <c r="AO39" s="85">
        <f>IF(AN39 &gt; 0, AN39/B39, 0)</f>
        <v/>
      </c>
      <c r="AP39" s="81">
        <f>SUMIF(MatchScoutingData!$F$2:$F$1000, $A39, MatchScoutingData!Z$2:Z$1000)</f>
        <v/>
      </c>
      <c r="AQ39" s="81">
        <f>SUMIF(MatchScoutingData!$F$2:$F$1000, $A39, MatchScoutingData!AA$2:AA$1000)</f>
        <v/>
      </c>
      <c r="AR39" s="81">
        <f>SUMIF(MatchScoutingData!$F$2:$F$1000, $A39, MatchScoutingData!AB$2:AB$1000)</f>
        <v/>
      </c>
      <c r="AS39" s="81">
        <f>SUM(AP39, AQ39, AR39)</f>
        <v/>
      </c>
    </row>
    <row r="40">
      <c r="A40" s="80" t="n">
        <v>3799</v>
      </c>
      <c r="B40" s="81">
        <f>COUNTIF(MatchScoutingData!F$2:F$1000, $A40)</f>
        <v/>
      </c>
      <c r="C40" s="81">
        <f>SUMIF(MatchScoutingData!$F$2:$F$1000, $A40, MatchScoutingData!I$2:I$1000)</f>
        <v/>
      </c>
      <c r="D40" s="81">
        <f>SUMIF(MatchScoutingData!$F$2:$F$1000, $A40, MatchScoutingData!J$2:J$1000)</f>
        <v/>
      </c>
      <c r="E40" s="81">
        <f>SUMIF(MatchScoutingData!$F$2:$F$1000, $A40, MatchScoutingData!K$2:K$1000)</f>
        <v/>
      </c>
      <c r="F40" s="81">
        <f>SUMIF(MatchScoutingData!$F$2:$F$1000, $A40, MatchScoutingData!L$2:L$1000)</f>
        <v/>
      </c>
      <c r="G40" s="81">
        <f>SUMIF(MatchScoutingData!$F$2:$F$1000, $A40, MatchScoutingData!M$2:M$1000)</f>
        <v/>
      </c>
      <c r="H40" s="81">
        <f>SUMIF(MatchScoutingData!$F$2:$F$1000, $A40, MatchScoutingData!N$2:N$1000)</f>
        <v/>
      </c>
      <c r="I40" s="81">
        <f>C40 * 7</f>
        <v/>
      </c>
      <c r="J40" s="81">
        <f>D40 * 6</f>
        <v/>
      </c>
      <c r="K40" s="81">
        <f>E40 * 4</f>
        <v/>
      </c>
      <c r="L40" s="81">
        <f>F40 * 3</f>
        <v/>
      </c>
      <c r="M40" s="81">
        <f>G40 * 6</f>
        <v/>
      </c>
      <c r="N40" s="81">
        <f>H40 * 4</f>
        <v/>
      </c>
      <c r="O40" s="81">
        <f>SUMIF(MatchScoutingData!$F$2:$F$1000, $A40, MatchScoutingData!H$2:H$1000) * 3</f>
        <v/>
      </c>
      <c r="P40" s="82">
        <f>SUM(I40:O40)</f>
        <v/>
      </c>
      <c r="Q40" s="82">
        <f>IF(P40 &gt; 0, P40/B40, 0)</f>
        <v/>
      </c>
      <c r="R40" s="81">
        <f>SUMIF(MatchScoutingData!$F$2:$F$1000, $A40, MatchScoutingData!P$2:P$1000)</f>
        <v/>
      </c>
      <c r="S40" s="81">
        <f>SUMIF(MatchScoutingData!$F$2:$F$1000, $A40, MatchScoutingData!Q$2:Q$1000)</f>
        <v/>
      </c>
      <c r="T40" s="81">
        <f>SUMIF(MatchScoutingData!$F$2:$F$1000, $A40, MatchScoutingData!R$2:R$1000)</f>
        <v/>
      </c>
      <c r="U40" s="81">
        <f>SUMIF(MatchScoutingData!$F$2:$F$1000, $A40, MatchScoutingData!S$2:S$1000)</f>
        <v/>
      </c>
      <c r="V40" s="81">
        <f>SUMIF(MatchScoutingData!$F$2:$F$1000, $A40, MatchScoutingData!T$2:T$1000)</f>
        <v/>
      </c>
      <c r="W40" s="81">
        <f>SUMIF(MatchScoutingData!$F$2:$F$1000, $A40, MatchScoutingData!U$2:U$1000)</f>
        <v/>
      </c>
      <c r="X40" s="81">
        <f>R40 * 5</f>
        <v/>
      </c>
      <c r="Y40" s="81">
        <f>S40 * 4</f>
        <v/>
      </c>
      <c r="Z40" s="81">
        <f>T40 * 3</f>
        <v/>
      </c>
      <c r="AA40" s="81">
        <f>U40 * 2</f>
        <v/>
      </c>
      <c r="AB40" s="81">
        <f>V40 * 6</f>
        <v/>
      </c>
      <c r="AC40" s="81">
        <f>W40 * 4</f>
        <v/>
      </c>
      <c r="AD40" s="83">
        <f>SUM(X40:AC40)</f>
        <v/>
      </c>
      <c r="AE40" s="83">
        <f>IF(AD40 &gt; 0, AD40/B40, 0)</f>
        <v/>
      </c>
      <c r="AF40" s="81">
        <f>COUNTIFS(MatchScoutingData!$F$2:$F$1000, $A40, MatchScoutingData!$X$2:$X$1000, "p")</f>
        <v/>
      </c>
      <c r="AG40" s="81">
        <f>COUNTIFS(MatchScoutingData!$F$2:$F$1000, $A40, MatchScoutingData!$X$2:$X$1000, "s")</f>
        <v/>
      </c>
      <c r="AH40" s="81">
        <f>COUNTIFS(MatchScoutingData!$F$2:$F$1000, $A40, MatchScoutingData!$X$2:$X$1000, "d")</f>
        <v/>
      </c>
      <c r="AI40" s="81">
        <f>AF40 * 2</f>
        <v/>
      </c>
      <c r="AJ40" s="81">
        <f>AG40 * 6</f>
        <v/>
      </c>
      <c r="AK40" s="81">
        <f>AH40 * 12</f>
        <v/>
      </c>
      <c r="AL40" s="84">
        <f>SUM(AI40:AK40)</f>
        <v/>
      </c>
      <c r="AM40" s="84">
        <f>IF(AD40 &gt; 0, AL40/B40, 0)</f>
        <v/>
      </c>
      <c r="AN40" s="85">
        <f>SUM(P40, AD40, AL40)</f>
        <v/>
      </c>
      <c r="AO40" s="85">
        <f>IF(AN40 &gt; 0, AN40/B40, 0)</f>
        <v/>
      </c>
      <c r="AP40" s="81">
        <f>SUMIF(MatchScoutingData!$F$2:$F$1000, $A40, MatchScoutingData!Z$2:Z$1000)</f>
        <v/>
      </c>
      <c r="AQ40" s="81">
        <f>SUMIF(MatchScoutingData!$F$2:$F$1000, $A40, MatchScoutingData!AA$2:AA$1000)</f>
        <v/>
      </c>
      <c r="AR40" s="81">
        <f>SUMIF(MatchScoutingData!$F$2:$F$1000, $A40, MatchScoutingData!AB$2:AB$1000)</f>
        <v/>
      </c>
      <c r="AS40" s="81">
        <f>SUM(AP40, AQ40, AR40)</f>
        <v/>
      </c>
    </row>
    <row r="41">
      <c r="A41" s="80" t="n">
        <v>3838</v>
      </c>
      <c r="B41" s="81">
        <f>COUNTIF(MatchScoutingData!F$2:F$1000, $A41)</f>
        <v/>
      </c>
      <c r="C41" s="81">
        <f>SUMIF(MatchScoutingData!$F$2:$F$1000, $A41, MatchScoutingData!I$2:I$1000)</f>
        <v/>
      </c>
      <c r="D41" s="81">
        <f>SUMIF(MatchScoutingData!$F$2:$F$1000, $A41, MatchScoutingData!J$2:J$1000)</f>
        <v/>
      </c>
      <c r="E41" s="81">
        <f>SUMIF(MatchScoutingData!$F$2:$F$1000, $A41, MatchScoutingData!K$2:K$1000)</f>
        <v/>
      </c>
      <c r="F41" s="81">
        <f>SUMIF(MatchScoutingData!$F$2:$F$1000, $A41, MatchScoutingData!L$2:L$1000)</f>
        <v/>
      </c>
      <c r="G41" s="81">
        <f>SUMIF(MatchScoutingData!$F$2:$F$1000, $A41, MatchScoutingData!M$2:M$1000)</f>
        <v/>
      </c>
      <c r="H41" s="81">
        <f>SUMIF(MatchScoutingData!$F$2:$F$1000, $A41, MatchScoutingData!N$2:N$1000)</f>
        <v/>
      </c>
      <c r="I41" s="81">
        <f>C41 * 7</f>
        <v/>
      </c>
      <c r="J41" s="81">
        <f>D41 * 6</f>
        <v/>
      </c>
      <c r="K41" s="81">
        <f>E41 * 4</f>
        <v/>
      </c>
      <c r="L41" s="81">
        <f>F41 * 3</f>
        <v/>
      </c>
      <c r="M41" s="81">
        <f>G41 * 6</f>
        <v/>
      </c>
      <c r="N41" s="81">
        <f>H41 * 4</f>
        <v/>
      </c>
      <c r="O41" s="81">
        <f>SUMIF(MatchScoutingData!$F$2:$F$1000, $A41, MatchScoutingData!H$2:H$1000) * 3</f>
        <v/>
      </c>
      <c r="P41" s="82">
        <f>SUM(I41:O41)</f>
        <v/>
      </c>
      <c r="Q41" s="82">
        <f>IF(P41 &gt; 0, P41/B41, 0)</f>
        <v/>
      </c>
      <c r="R41" s="81">
        <f>SUMIF(MatchScoutingData!$F$2:$F$1000, $A41, MatchScoutingData!P$2:P$1000)</f>
        <v/>
      </c>
      <c r="S41" s="81">
        <f>SUMIF(MatchScoutingData!$F$2:$F$1000, $A41, MatchScoutingData!Q$2:Q$1000)</f>
        <v/>
      </c>
      <c r="T41" s="81">
        <f>SUMIF(MatchScoutingData!$F$2:$F$1000, $A41, MatchScoutingData!R$2:R$1000)</f>
        <v/>
      </c>
      <c r="U41" s="81">
        <f>SUMIF(MatchScoutingData!$F$2:$F$1000, $A41, MatchScoutingData!S$2:S$1000)</f>
        <v/>
      </c>
      <c r="V41" s="81">
        <f>SUMIF(MatchScoutingData!$F$2:$F$1000, $A41, MatchScoutingData!T$2:T$1000)</f>
        <v/>
      </c>
      <c r="W41" s="81">
        <f>SUMIF(MatchScoutingData!$F$2:$F$1000, $A41, MatchScoutingData!U$2:U$1000)</f>
        <v/>
      </c>
      <c r="X41" s="81">
        <f>R41 * 5</f>
        <v/>
      </c>
      <c r="Y41" s="81">
        <f>S41 * 4</f>
        <v/>
      </c>
      <c r="Z41" s="81">
        <f>T41 * 3</f>
        <v/>
      </c>
      <c r="AA41" s="81">
        <f>U41 * 2</f>
        <v/>
      </c>
      <c r="AB41" s="81">
        <f>V41 * 6</f>
        <v/>
      </c>
      <c r="AC41" s="81">
        <f>W41 * 4</f>
        <v/>
      </c>
      <c r="AD41" s="83">
        <f>SUM(X41:AC41)</f>
        <v/>
      </c>
      <c r="AE41" s="83">
        <f>IF(AD41 &gt; 0, AD41/B41, 0)</f>
        <v/>
      </c>
      <c r="AF41" s="81">
        <f>COUNTIFS(MatchScoutingData!$F$2:$F$1000, $A41, MatchScoutingData!$X$2:$X$1000, "p")</f>
        <v/>
      </c>
      <c r="AG41" s="81">
        <f>COUNTIFS(MatchScoutingData!$F$2:$F$1000, $A41, MatchScoutingData!$X$2:$X$1000, "s")</f>
        <v/>
      </c>
      <c r="AH41" s="81">
        <f>COUNTIFS(MatchScoutingData!$F$2:$F$1000, $A41, MatchScoutingData!$X$2:$X$1000, "d")</f>
        <v/>
      </c>
      <c r="AI41" s="81">
        <f>AF41 * 2</f>
        <v/>
      </c>
      <c r="AJ41" s="81">
        <f>AG41 * 6</f>
        <v/>
      </c>
      <c r="AK41" s="81">
        <f>AH41 * 12</f>
        <v/>
      </c>
      <c r="AL41" s="84">
        <f>SUM(AI41:AK41)</f>
        <v/>
      </c>
      <c r="AM41" s="84">
        <f>IF(AD41 &gt; 0, AL41/B41, 0)</f>
        <v/>
      </c>
      <c r="AN41" s="85">
        <f>SUM(P41, AD41, AL41)</f>
        <v/>
      </c>
      <c r="AO41" s="85">
        <f>IF(AN41 &gt; 0, AN41/B41, 0)</f>
        <v/>
      </c>
      <c r="AP41" s="81">
        <f>SUMIF(MatchScoutingData!$F$2:$F$1000, $A41, MatchScoutingData!Z$2:Z$1000)</f>
        <v/>
      </c>
      <c r="AQ41" s="81">
        <f>SUMIF(MatchScoutingData!$F$2:$F$1000, $A41, MatchScoutingData!AA$2:AA$1000)</f>
        <v/>
      </c>
      <c r="AR41" s="81">
        <f>SUMIF(MatchScoutingData!$F$2:$F$1000, $A41, MatchScoutingData!AB$2:AB$1000)</f>
        <v/>
      </c>
      <c r="AS41" s="81">
        <f>SUM(AP41, AQ41, AR41)</f>
        <v/>
      </c>
    </row>
    <row r="42">
      <c r="A42" s="80" t="n">
        <v>3951</v>
      </c>
      <c r="B42" s="81">
        <f>COUNTIF(MatchScoutingData!F$2:F$1000, $A42)</f>
        <v/>
      </c>
      <c r="C42" s="81">
        <f>SUMIF(MatchScoutingData!$F$2:$F$1000, $A42, MatchScoutingData!I$2:I$1000)</f>
        <v/>
      </c>
      <c r="D42" s="81">
        <f>SUMIF(MatchScoutingData!$F$2:$F$1000, $A42, MatchScoutingData!J$2:J$1000)</f>
        <v/>
      </c>
      <c r="E42" s="81">
        <f>SUMIF(MatchScoutingData!$F$2:$F$1000, $A42, MatchScoutingData!K$2:K$1000)</f>
        <v/>
      </c>
      <c r="F42" s="81">
        <f>SUMIF(MatchScoutingData!$F$2:$F$1000, $A42, MatchScoutingData!L$2:L$1000)</f>
        <v/>
      </c>
      <c r="G42" s="81">
        <f>SUMIF(MatchScoutingData!$F$2:$F$1000, $A42, MatchScoutingData!M$2:M$1000)</f>
        <v/>
      </c>
      <c r="H42" s="81">
        <f>SUMIF(MatchScoutingData!$F$2:$F$1000, $A42, MatchScoutingData!N$2:N$1000)</f>
        <v/>
      </c>
      <c r="I42" s="81">
        <f>C42 * 7</f>
        <v/>
      </c>
      <c r="J42" s="81">
        <f>D42 * 6</f>
        <v/>
      </c>
      <c r="K42" s="81">
        <f>E42 * 4</f>
        <v/>
      </c>
      <c r="L42" s="81">
        <f>F42 * 3</f>
        <v/>
      </c>
      <c r="M42" s="81">
        <f>G42 * 6</f>
        <v/>
      </c>
      <c r="N42" s="81">
        <f>H42 * 4</f>
        <v/>
      </c>
      <c r="O42" s="81">
        <f>SUMIF(MatchScoutingData!$F$2:$F$1000, $A42, MatchScoutingData!H$2:H$1000) * 3</f>
        <v/>
      </c>
      <c r="P42" s="82">
        <f>SUM(I42:O42)</f>
        <v/>
      </c>
      <c r="Q42" s="82">
        <f>IF(P42 &gt; 0, P42/B42, 0)</f>
        <v/>
      </c>
      <c r="R42" s="81">
        <f>SUMIF(MatchScoutingData!$F$2:$F$1000, $A42, MatchScoutingData!P$2:P$1000)</f>
        <v/>
      </c>
      <c r="S42" s="81">
        <f>SUMIF(MatchScoutingData!$F$2:$F$1000, $A42, MatchScoutingData!Q$2:Q$1000)</f>
        <v/>
      </c>
      <c r="T42" s="81">
        <f>SUMIF(MatchScoutingData!$F$2:$F$1000, $A42, MatchScoutingData!R$2:R$1000)</f>
        <v/>
      </c>
      <c r="U42" s="81">
        <f>SUMIF(MatchScoutingData!$F$2:$F$1000, $A42, MatchScoutingData!S$2:S$1000)</f>
        <v/>
      </c>
      <c r="V42" s="81">
        <f>SUMIF(MatchScoutingData!$F$2:$F$1000, $A42, MatchScoutingData!T$2:T$1000)</f>
        <v/>
      </c>
      <c r="W42" s="81">
        <f>SUMIF(MatchScoutingData!$F$2:$F$1000, $A42, MatchScoutingData!U$2:U$1000)</f>
        <v/>
      </c>
      <c r="X42" s="81">
        <f>R42 * 5</f>
        <v/>
      </c>
      <c r="Y42" s="81">
        <f>S42 * 4</f>
        <v/>
      </c>
      <c r="Z42" s="81">
        <f>T42 * 3</f>
        <v/>
      </c>
      <c r="AA42" s="81">
        <f>U42 * 2</f>
        <v/>
      </c>
      <c r="AB42" s="81">
        <f>V42 * 6</f>
        <v/>
      </c>
      <c r="AC42" s="81">
        <f>W42 * 4</f>
        <v/>
      </c>
      <c r="AD42" s="83">
        <f>SUM(X42:AC42)</f>
        <v/>
      </c>
      <c r="AE42" s="83">
        <f>IF(AD42 &gt; 0, AD42/B42, 0)</f>
        <v/>
      </c>
      <c r="AF42" s="81">
        <f>COUNTIFS(MatchScoutingData!$F$2:$F$1000, $A42, MatchScoutingData!$X$2:$X$1000, "p")</f>
        <v/>
      </c>
      <c r="AG42" s="81">
        <f>COUNTIFS(MatchScoutingData!$F$2:$F$1000, $A42, MatchScoutingData!$X$2:$X$1000, "s")</f>
        <v/>
      </c>
      <c r="AH42" s="81">
        <f>COUNTIFS(MatchScoutingData!$F$2:$F$1000, $A42, MatchScoutingData!$X$2:$X$1000, "d")</f>
        <v/>
      </c>
      <c r="AI42" s="81">
        <f>AF42 * 2</f>
        <v/>
      </c>
      <c r="AJ42" s="81">
        <f>AG42 * 6</f>
        <v/>
      </c>
      <c r="AK42" s="81">
        <f>AH42 * 12</f>
        <v/>
      </c>
      <c r="AL42" s="84">
        <f>SUM(AI42:AK42)</f>
        <v/>
      </c>
      <c r="AM42" s="84">
        <f>IF(AD42 &gt; 0, AL42/B42, 0)</f>
        <v/>
      </c>
      <c r="AN42" s="85">
        <f>SUM(P42, AD42, AL42)</f>
        <v/>
      </c>
      <c r="AO42" s="85">
        <f>IF(AN42 &gt; 0, AN42/B42, 0)</f>
        <v/>
      </c>
      <c r="AP42" s="81">
        <f>SUMIF(MatchScoutingData!$F$2:$F$1000, $A42, MatchScoutingData!Z$2:Z$1000)</f>
        <v/>
      </c>
      <c r="AQ42" s="81">
        <f>SUMIF(MatchScoutingData!$F$2:$F$1000, $A42, MatchScoutingData!AA$2:AA$1000)</f>
        <v/>
      </c>
      <c r="AR42" s="81">
        <f>SUMIF(MatchScoutingData!$F$2:$F$1000, $A42, MatchScoutingData!AB$2:AB$1000)</f>
        <v/>
      </c>
      <c r="AS42" s="81">
        <f>SUM(AP42, AQ42, AR42)</f>
        <v/>
      </c>
    </row>
    <row r="43">
      <c r="A43" s="80" t="n">
        <v>4611</v>
      </c>
      <c r="B43" s="81">
        <f>COUNTIF(MatchScoutingData!F$2:F$1000, $A43)</f>
        <v/>
      </c>
      <c r="C43" s="81">
        <f>SUMIF(MatchScoutingData!$F$2:$F$1000, $A43, MatchScoutingData!I$2:I$1000)</f>
        <v/>
      </c>
      <c r="D43" s="81">
        <f>SUMIF(MatchScoutingData!$F$2:$F$1000, $A43, MatchScoutingData!J$2:J$1000)</f>
        <v/>
      </c>
      <c r="E43" s="81">
        <f>SUMIF(MatchScoutingData!$F$2:$F$1000, $A43, MatchScoutingData!K$2:K$1000)</f>
        <v/>
      </c>
      <c r="F43" s="81">
        <f>SUMIF(MatchScoutingData!$F$2:$F$1000, $A43, MatchScoutingData!L$2:L$1000)</f>
        <v/>
      </c>
      <c r="G43" s="81">
        <f>SUMIF(MatchScoutingData!$F$2:$F$1000, $A43, MatchScoutingData!M$2:M$1000)</f>
        <v/>
      </c>
      <c r="H43" s="81">
        <f>SUMIF(MatchScoutingData!$F$2:$F$1000, $A43, MatchScoutingData!N$2:N$1000)</f>
        <v/>
      </c>
      <c r="I43" s="81">
        <f>C43 * 7</f>
        <v/>
      </c>
      <c r="J43" s="81">
        <f>D43 * 6</f>
        <v/>
      </c>
      <c r="K43" s="81">
        <f>E43 * 4</f>
        <v/>
      </c>
      <c r="L43" s="81">
        <f>F43 * 3</f>
        <v/>
      </c>
      <c r="M43" s="81">
        <f>G43 * 6</f>
        <v/>
      </c>
      <c r="N43" s="81">
        <f>H43 * 4</f>
        <v/>
      </c>
      <c r="O43" s="81">
        <f>SUMIF(MatchScoutingData!$F$2:$F$1000, $A43, MatchScoutingData!H$2:H$1000) * 3</f>
        <v/>
      </c>
      <c r="P43" s="82">
        <f>SUM(I43:O43)</f>
        <v/>
      </c>
      <c r="Q43" s="82">
        <f>IF(P43 &gt; 0, P43/B43, 0)</f>
        <v/>
      </c>
      <c r="R43" s="81">
        <f>SUMIF(MatchScoutingData!$F$2:$F$1000, $A43, MatchScoutingData!P$2:P$1000)</f>
        <v/>
      </c>
      <c r="S43" s="81">
        <f>SUMIF(MatchScoutingData!$F$2:$F$1000, $A43, MatchScoutingData!Q$2:Q$1000)</f>
        <v/>
      </c>
      <c r="T43" s="81">
        <f>SUMIF(MatchScoutingData!$F$2:$F$1000, $A43, MatchScoutingData!R$2:R$1000)</f>
        <v/>
      </c>
      <c r="U43" s="81">
        <f>SUMIF(MatchScoutingData!$F$2:$F$1000, $A43, MatchScoutingData!S$2:S$1000)</f>
        <v/>
      </c>
      <c r="V43" s="81">
        <f>SUMIF(MatchScoutingData!$F$2:$F$1000, $A43, MatchScoutingData!T$2:T$1000)</f>
        <v/>
      </c>
      <c r="W43" s="81">
        <f>SUMIF(MatchScoutingData!$F$2:$F$1000, $A43, MatchScoutingData!U$2:U$1000)</f>
        <v/>
      </c>
      <c r="X43" s="81">
        <f>R43 * 5</f>
        <v/>
      </c>
      <c r="Y43" s="81">
        <f>S43 * 4</f>
        <v/>
      </c>
      <c r="Z43" s="81">
        <f>T43 * 3</f>
        <v/>
      </c>
      <c r="AA43" s="81">
        <f>U43 * 2</f>
        <v/>
      </c>
      <c r="AB43" s="81">
        <f>V43 * 6</f>
        <v/>
      </c>
      <c r="AC43" s="81">
        <f>W43 * 4</f>
        <v/>
      </c>
      <c r="AD43" s="83">
        <f>SUM(X43:AC43)</f>
        <v/>
      </c>
      <c r="AE43" s="83">
        <f>IF(AD43 &gt; 0, AD43/B43, 0)</f>
        <v/>
      </c>
      <c r="AF43" s="81">
        <f>COUNTIFS(MatchScoutingData!$F$2:$F$1000, $A43, MatchScoutingData!$X$2:$X$1000, "p")</f>
        <v/>
      </c>
      <c r="AG43" s="81">
        <f>COUNTIFS(MatchScoutingData!$F$2:$F$1000, $A43, MatchScoutingData!$X$2:$X$1000, "s")</f>
        <v/>
      </c>
      <c r="AH43" s="81">
        <f>COUNTIFS(MatchScoutingData!$F$2:$F$1000, $A43, MatchScoutingData!$X$2:$X$1000, "d")</f>
        <v/>
      </c>
      <c r="AI43" s="81">
        <f>AF43 * 2</f>
        <v/>
      </c>
      <c r="AJ43" s="81">
        <f>AG43 * 6</f>
        <v/>
      </c>
      <c r="AK43" s="81">
        <f>AH43 * 12</f>
        <v/>
      </c>
      <c r="AL43" s="84">
        <f>SUM(AI43:AK43)</f>
        <v/>
      </c>
      <c r="AM43" s="84">
        <f>IF(AD43 &gt; 0, AL43/B43, 0)</f>
        <v/>
      </c>
      <c r="AN43" s="85">
        <f>SUM(P43, AD43, AL43)</f>
        <v/>
      </c>
      <c r="AO43" s="85">
        <f>IF(AN43 &gt; 0, AN43/B43, 0)</f>
        <v/>
      </c>
      <c r="AP43" s="81">
        <f>SUMIF(MatchScoutingData!$F$2:$F$1000, $A43, MatchScoutingData!Z$2:Z$1000)</f>
        <v/>
      </c>
      <c r="AQ43" s="81">
        <f>SUMIF(MatchScoutingData!$F$2:$F$1000, $A43, MatchScoutingData!AA$2:AA$1000)</f>
        <v/>
      </c>
      <c r="AR43" s="81">
        <f>SUMIF(MatchScoutingData!$F$2:$F$1000, $A43, MatchScoutingData!AB$2:AB$1000)</f>
        <v/>
      </c>
      <c r="AS43" s="81">
        <f>SUM(AP43, AQ43, AR43)</f>
        <v/>
      </c>
    </row>
    <row r="44">
      <c r="A44" s="80" t="n">
        <v>4930</v>
      </c>
      <c r="B44" s="81">
        <f>COUNTIF(MatchScoutingData!F$2:F$1000, $A44)</f>
        <v/>
      </c>
      <c r="C44" s="81">
        <f>SUMIF(MatchScoutingData!$F$2:$F$1000, $A44, MatchScoutingData!I$2:I$1000)</f>
        <v/>
      </c>
      <c r="D44" s="81">
        <f>SUMIF(MatchScoutingData!$F$2:$F$1000, $A44, MatchScoutingData!J$2:J$1000)</f>
        <v/>
      </c>
      <c r="E44" s="81">
        <f>SUMIF(MatchScoutingData!$F$2:$F$1000, $A44, MatchScoutingData!K$2:K$1000)</f>
        <v/>
      </c>
      <c r="F44" s="81">
        <f>SUMIF(MatchScoutingData!$F$2:$F$1000, $A44, MatchScoutingData!L$2:L$1000)</f>
        <v/>
      </c>
      <c r="G44" s="81">
        <f>SUMIF(MatchScoutingData!$F$2:$F$1000, $A44, MatchScoutingData!M$2:M$1000)</f>
        <v/>
      </c>
      <c r="H44" s="81">
        <f>SUMIF(MatchScoutingData!$F$2:$F$1000, $A44, MatchScoutingData!N$2:N$1000)</f>
        <v/>
      </c>
      <c r="I44" s="81">
        <f>C44 * 7</f>
        <v/>
      </c>
      <c r="J44" s="81">
        <f>D44 * 6</f>
        <v/>
      </c>
      <c r="K44" s="81">
        <f>E44 * 4</f>
        <v/>
      </c>
      <c r="L44" s="81">
        <f>F44 * 3</f>
        <v/>
      </c>
      <c r="M44" s="81">
        <f>G44 * 6</f>
        <v/>
      </c>
      <c r="N44" s="81">
        <f>H44 * 4</f>
        <v/>
      </c>
      <c r="O44" s="81">
        <f>SUMIF(MatchScoutingData!$F$2:$F$1000, $A44, MatchScoutingData!H$2:H$1000) * 3</f>
        <v/>
      </c>
      <c r="P44" s="82">
        <f>SUM(I44:O44)</f>
        <v/>
      </c>
      <c r="Q44" s="82">
        <f>IF(P44 &gt; 0, P44/B44, 0)</f>
        <v/>
      </c>
      <c r="R44" s="81">
        <f>SUMIF(MatchScoutingData!$F$2:$F$1000, $A44, MatchScoutingData!P$2:P$1000)</f>
        <v/>
      </c>
      <c r="S44" s="81">
        <f>SUMIF(MatchScoutingData!$F$2:$F$1000, $A44, MatchScoutingData!Q$2:Q$1000)</f>
        <v/>
      </c>
      <c r="T44" s="81">
        <f>SUMIF(MatchScoutingData!$F$2:$F$1000, $A44, MatchScoutingData!R$2:R$1000)</f>
        <v/>
      </c>
      <c r="U44" s="81">
        <f>SUMIF(MatchScoutingData!$F$2:$F$1000, $A44, MatchScoutingData!S$2:S$1000)</f>
        <v/>
      </c>
      <c r="V44" s="81">
        <f>SUMIF(MatchScoutingData!$F$2:$F$1000, $A44, MatchScoutingData!T$2:T$1000)</f>
        <v/>
      </c>
      <c r="W44" s="81">
        <f>SUMIF(MatchScoutingData!$F$2:$F$1000, $A44, MatchScoutingData!U$2:U$1000)</f>
        <v/>
      </c>
      <c r="X44" s="81">
        <f>R44 * 5</f>
        <v/>
      </c>
      <c r="Y44" s="81">
        <f>S44 * 4</f>
        <v/>
      </c>
      <c r="Z44" s="81">
        <f>T44 * 3</f>
        <v/>
      </c>
      <c r="AA44" s="81">
        <f>U44 * 2</f>
        <v/>
      </c>
      <c r="AB44" s="81">
        <f>V44 * 6</f>
        <v/>
      </c>
      <c r="AC44" s="81">
        <f>W44 * 4</f>
        <v/>
      </c>
      <c r="AD44" s="83">
        <f>SUM(X44:AC44)</f>
        <v/>
      </c>
      <c r="AE44" s="83">
        <f>IF(AD44 &gt; 0, AD44/B44, 0)</f>
        <v/>
      </c>
      <c r="AF44" s="81">
        <f>COUNTIFS(MatchScoutingData!$F$2:$F$1000, $A44, MatchScoutingData!$X$2:$X$1000, "p")</f>
        <v/>
      </c>
      <c r="AG44" s="81">
        <f>COUNTIFS(MatchScoutingData!$F$2:$F$1000, $A44, MatchScoutingData!$X$2:$X$1000, "s")</f>
        <v/>
      </c>
      <c r="AH44" s="81">
        <f>COUNTIFS(MatchScoutingData!$F$2:$F$1000, $A44, MatchScoutingData!$X$2:$X$1000, "d")</f>
        <v/>
      </c>
      <c r="AI44" s="81">
        <f>AF44 * 2</f>
        <v/>
      </c>
      <c r="AJ44" s="81">
        <f>AG44 * 6</f>
        <v/>
      </c>
      <c r="AK44" s="81">
        <f>AH44 * 12</f>
        <v/>
      </c>
      <c r="AL44" s="84">
        <f>SUM(AI44:AK44)</f>
        <v/>
      </c>
      <c r="AM44" s="84">
        <f>IF(AD44 &gt; 0, AL44/B44, 0)</f>
        <v/>
      </c>
      <c r="AN44" s="85">
        <f>SUM(P44, AD44, AL44)</f>
        <v/>
      </c>
      <c r="AO44" s="85">
        <f>IF(AN44 &gt; 0, AN44/B44, 0)</f>
        <v/>
      </c>
      <c r="AP44" s="81">
        <f>SUMIF(MatchScoutingData!$F$2:$F$1000, $A44, MatchScoutingData!Z$2:Z$1000)</f>
        <v/>
      </c>
      <c r="AQ44" s="81">
        <f>SUMIF(MatchScoutingData!$F$2:$F$1000, $A44, MatchScoutingData!AA$2:AA$1000)</f>
        <v/>
      </c>
      <c r="AR44" s="81">
        <f>SUMIF(MatchScoutingData!$F$2:$F$1000, $A44, MatchScoutingData!AB$2:AB$1000)</f>
        <v/>
      </c>
      <c r="AS44" s="81">
        <f>SUM(AP44, AQ44, AR44)</f>
        <v/>
      </c>
    </row>
    <row r="45">
      <c r="A45" s="80" t="n">
        <v>5590</v>
      </c>
      <c r="B45" s="81">
        <f>COUNTIF(MatchScoutingData!F$2:F$1000, $A45)</f>
        <v/>
      </c>
      <c r="C45" s="81">
        <f>SUMIF(MatchScoutingData!$F$2:$F$1000, $A45, MatchScoutingData!I$2:I$1000)</f>
        <v/>
      </c>
      <c r="D45" s="81">
        <f>SUMIF(MatchScoutingData!$F$2:$F$1000, $A45, MatchScoutingData!J$2:J$1000)</f>
        <v/>
      </c>
      <c r="E45" s="81">
        <f>SUMIF(MatchScoutingData!$F$2:$F$1000, $A45, MatchScoutingData!K$2:K$1000)</f>
        <v/>
      </c>
      <c r="F45" s="81">
        <f>SUMIF(MatchScoutingData!$F$2:$F$1000, $A45, MatchScoutingData!L$2:L$1000)</f>
        <v/>
      </c>
      <c r="G45" s="81">
        <f>SUMIF(MatchScoutingData!$F$2:$F$1000, $A45, MatchScoutingData!M$2:M$1000)</f>
        <v/>
      </c>
      <c r="H45" s="81">
        <f>SUMIF(MatchScoutingData!$F$2:$F$1000, $A45, MatchScoutingData!N$2:N$1000)</f>
        <v/>
      </c>
      <c r="I45" s="81">
        <f>C45 * 7</f>
        <v/>
      </c>
      <c r="J45" s="81">
        <f>D45 * 6</f>
        <v/>
      </c>
      <c r="K45" s="81">
        <f>E45 * 4</f>
        <v/>
      </c>
      <c r="L45" s="81">
        <f>F45 * 3</f>
        <v/>
      </c>
      <c r="M45" s="81">
        <f>G45 * 6</f>
        <v/>
      </c>
      <c r="N45" s="81">
        <f>H45 * 4</f>
        <v/>
      </c>
      <c r="O45" s="81">
        <f>SUMIF(MatchScoutingData!$F$2:$F$1000, $A45, MatchScoutingData!H$2:H$1000) * 3</f>
        <v/>
      </c>
      <c r="P45" s="82">
        <f>SUM(I45:O45)</f>
        <v/>
      </c>
      <c r="Q45" s="82">
        <f>IF(P45 &gt; 0, P45/B45, 0)</f>
        <v/>
      </c>
      <c r="R45" s="81">
        <f>SUMIF(MatchScoutingData!$F$2:$F$1000, $A45, MatchScoutingData!P$2:P$1000)</f>
        <v/>
      </c>
      <c r="S45" s="81">
        <f>SUMIF(MatchScoutingData!$F$2:$F$1000, $A45, MatchScoutingData!Q$2:Q$1000)</f>
        <v/>
      </c>
      <c r="T45" s="81">
        <f>SUMIF(MatchScoutingData!$F$2:$F$1000, $A45, MatchScoutingData!R$2:R$1000)</f>
        <v/>
      </c>
      <c r="U45" s="81">
        <f>SUMIF(MatchScoutingData!$F$2:$F$1000, $A45, MatchScoutingData!S$2:S$1000)</f>
        <v/>
      </c>
      <c r="V45" s="81">
        <f>SUMIF(MatchScoutingData!$F$2:$F$1000, $A45, MatchScoutingData!T$2:T$1000)</f>
        <v/>
      </c>
      <c r="W45" s="81">
        <f>SUMIF(MatchScoutingData!$F$2:$F$1000, $A45, MatchScoutingData!U$2:U$1000)</f>
        <v/>
      </c>
      <c r="X45" s="81">
        <f>R45 * 5</f>
        <v/>
      </c>
      <c r="Y45" s="81">
        <f>S45 * 4</f>
        <v/>
      </c>
      <c r="Z45" s="81">
        <f>T45 * 3</f>
        <v/>
      </c>
      <c r="AA45" s="81">
        <f>U45 * 2</f>
        <v/>
      </c>
      <c r="AB45" s="81">
        <f>V45 * 6</f>
        <v/>
      </c>
      <c r="AC45" s="81">
        <f>W45 * 4</f>
        <v/>
      </c>
      <c r="AD45" s="83">
        <f>SUM(X45:AC45)</f>
        <v/>
      </c>
      <c r="AE45" s="83">
        <f>IF(AD45 &gt; 0, AD45/B45, 0)</f>
        <v/>
      </c>
      <c r="AF45" s="81">
        <f>COUNTIFS(MatchScoutingData!$F$2:$F$1000, $A45, MatchScoutingData!$X$2:$X$1000, "p")</f>
        <v/>
      </c>
      <c r="AG45" s="81">
        <f>COUNTIFS(MatchScoutingData!$F$2:$F$1000, $A45, MatchScoutingData!$X$2:$X$1000, "s")</f>
        <v/>
      </c>
      <c r="AH45" s="81">
        <f>COUNTIFS(MatchScoutingData!$F$2:$F$1000, $A45, MatchScoutingData!$X$2:$X$1000, "d")</f>
        <v/>
      </c>
      <c r="AI45" s="81">
        <f>AF45 * 2</f>
        <v/>
      </c>
      <c r="AJ45" s="81">
        <f>AG45 * 6</f>
        <v/>
      </c>
      <c r="AK45" s="81">
        <f>AH45 * 12</f>
        <v/>
      </c>
      <c r="AL45" s="84">
        <f>SUM(AI45:AK45)</f>
        <v/>
      </c>
      <c r="AM45" s="84">
        <f>IF(AD45 &gt; 0, AL45/B45, 0)</f>
        <v/>
      </c>
      <c r="AN45" s="85">
        <f>SUM(P45, AD45, AL45)</f>
        <v/>
      </c>
      <c r="AO45" s="85">
        <f>IF(AN45 &gt; 0, AN45/B45, 0)</f>
        <v/>
      </c>
      <c r="AP45" s="81">
        <f>SUMIF(MatchScoutingData!$F$2:$F$1000, $A45, MatchScoutingData!Z$2:Z$1000)</f>
        <v/>
      </c>
      <c r="AQ45" s="81">
        <f>SUMIF(MatchScoutingData!$F$2:$F$1000, $A45, MatchScoutingData!AA$2:AA$1000)</f>
        <v/>
      </c>
      <c r="AR45" s="81">
        <f>SUMIF(MatchScoutingData!$F$2:$F$1000, $A45, MatchScoutingData!AB$2:AB$1000)</f>
        <v/>
      </c>
      <c r="AS45" s="81">
        <f>SUM(AP45, AQ45, AR45)</f>
        <v/>
      </c>
    </row>
    <row r="46">
      <c r="A46" s="80" t="n">
        <v>5881</v>
      </c>
      <c r="B46" s="81">
        <f>COUNTIF(MatchScoutingData!F$2:F$1000, $A46)</f>
        <v/>
      </c>
      <c r="C46" s="81">
        <f>SUMIF(MatchScoutingData!$F$2:$F$1000, $A46, MatchScoutingData!I$2:I$1000)</f>
        <v/>
      </c>
      <c r="D46" s="81">
        <f>SUMIF(MatchScoutingData!$F$2:$F$1000, $A46, MatchScoutingData!J$2:J$1000)</f>
        <v/>
      </c>
      <c r="E46" s="81">
        <f>SUMIF(MatchScoutingData!$F$2:$F$1000, $A46, MatchScoutingData!K$2:K$1000)</f>
        <v/>
      </c>
      <c r="F46" s="81">
        <f>SUMIF(MatchScoutingData!$F$2:$F$1000, $A46, MatchScoutingData!L$2:L$1000)</f>
        <v/>
      </c>
      <c r="G46" s="81">
        <f>SUMIF(MatchScoutingData!$F$2:$F$1000, $A46, MatchScoutingData!M$2:M$1000)</f>
        <v/>
      </c>
      <c r="H46" s="81">
        <f>SUMIF(MatchScoutingData!$F$2:$F$1000, $A46, MatchScoutingData!N$2:N$1000)</f>
        <v/>
      </c>
      <c r="I46" s="81">
        <f>C46 * 7</f>
        <v/>
      </c>
      <c r="J46" s="81">
        <f>D46 * 6</f>
        <v/>
      </c>
      <c r="K46" s="81">
        <f>E46 * 4</f>
        <v/>
      </c>
      <c r="L46" s="81">
        <f>F46 * 3</f>
        <v/>
      </c>
      <c r="M46" s="81">
        <f>G46 * 6</f>
        <v/>
      </c>
      <c r="N46" s="81">
        <f>H46 * 4</f>
        <v/>
      </c>
      <c r="O46" s="81">
        <f>SUMIF(MatchScoutingData!$F$2:$F$1000, $A46, MatchScoutingData!H$2:H$1000) * 3</f>
        <v/>
      </c>
      <c r="P46" s="82">
        <f>SUM(I46:O46)</f>
        <v/>
      </c>
      <c r="Q46" s="82">
        <f>IF(P46 &gt; 0, P46/B46, 0)</f>
        <v/>
      </c>
      <c r="R46" s="81">
        <f>SUMIF(MatchScoutingData!$F$2:$F$1000, $A46, MatchScoutingData!P$2:P$1000)</f>
        <v/>
      </c>
      <c r="S46" s="81">
        <f>SUMIF(MatchScoutingData!$F$2:$F$1000, $A46, MatchScoutingData!Q$2:Q$1000)</f>
        <v/>
      </c>
      <c r="T46" s="81">
        <f>SUMIF(MatchScoutingData!$F$2:$F$1000, $A46, MatchScoutingData!R$2:R$1000)</f>
        <v/>
      </c>
      <c r="U46" s="81">
        <f>SUMIF(MatchScoutingData!$F$2:$F$1000, $A46, MatchScoutingData!S$2:S$1000)</f>
        <v/>
      </c>
      <c r="V46" s="81">
        <f>SUMIF(MatchScoutingData!$F$2:$F$1000, $A46, MatchScoutingData!T$2:T$1000)</f>
        <v/>
      </c>
      <c r="W46" s="81">
        <f>SUMIF(MatchScoutingData!$F$2:$F$1000, $A46, MatchScoutingData!U$2:U$1000)</f>
        <v/>
      </c>
      <c r="X46" s="81">
        <f>R46 * 5</f>
        <v/>
      </c>
      <c r="Y46" s="81">
        <f>S46 * 4</f>
        <v/>
      </c>
      <c r="Z46" s="81">
        <f>T46 * 3</f>
        <v/>
      </c>
      <c r="AA46" s="81">
        <f>U46 * 2</f>
        <v/>
      </c>
      <c r="AB46" s="81">
        <f>V46 * 6</f>
        <v/>
      </c>
      <c r="AC46" s="81">
        <f>W46 * 4</f>
        <v/>
      </c>
      <c r="AD46" s="83">
        <f>SUM(X46:AC46)</f>
        <v/>
      </c>
      <c r="AE46" s="83">
        <f>IF(AD46 &gt; 0, AD46/B46, 0)</f>
        <v/>
      </c>
      <c r="AF46" s="81">
        <f>COUNTIFS(MatchScoutingData!$F$2:$F$1000, $A46, MatchScoutingData!$X$2:$X$1000, "p")</f>
        <v/>
      </c>
      <c r="AG46" s="81">
        <f>COUNTIFS(MatchScoutingData!$F$2:$F$1000, $A46, MatchScoutingData!$X$2:$X$1000, "s")</f>
        <v/>
      </c>
      <c r="AH46" s="81">
        <f>COUNTIFS(MatchScoutingData!$F$2:$F$1000, $A46, MatchScoutingData!$X$2:$X$1000, "d")</f>
        <v/>
      </c>
      <c r="AI46" s="81">
        <f>AF46 * 2</f>
        <v/>
      </c>
      <c r="AJ46" s="81">
        <f>AG46 * 6</f>
        <v/>
      </c>
      <c r="AK46" s="81">
        <f>AH46 * 12</f>
        <v/>
      </c>
      <c r="AL46" s="84">
        <f>SUM(AI46:AK46)</f>
        <v/>
      </c>
      <c r="AM46" s="84">
        <f>IF(AD46 &gt; 0, AL46/B46, 0)</f>
        <v/>
      </c>
      <c r="AN46" s="85">
        <f>SUM(P46, AD46, AL46)</f>
        <v/>
      </c>
      <c r="AO46" s="85">
        <f>IF(AN46 &gt; 0, AN46/B46, 0)</f>
        <v/>
      </c>
      <c r="AP46" s="81">
        <f>SUMIF(MatchScoutingData!$F$2:$F$1000, $A46, MatchScoutingData!Z$2:Z$1000)</f>
        <v/>
      </c>
      <c r="AQ46" s="81">
        <f>SUMIF(MatchScoutingData!$F$2:$F$1000, $A46, MatchScoutingData!AA$2:AA$1000)</f>
        <v/>
      </c>
      <c r="AR46" s="81">
        <f>SUMIF(MatchScoutingData!$F$2:$F$1000, $A46, MatchScoutingData!AB$2:AB$1000)</f>
        <v/>
      </c>
      <c r="AS46" s="81">
        <f>SUM(AP46, AQ46, AR46)</f>
        <v/>
      </c>
    </row>
    <row r="47">
      <c r="A47" s="80" t="n">
        <v>6621</v>
      </c>
      <c r="B47" s="81">
        <f>COUNTIF(MatchScoutingData!F$2:F$1000, $A47)</f>
        <v/>
      </c>
      <c r="C47" s="81">
        <f>SUMIF(MatchScoutingData!$F$2:$F$1000, $A47, MatchScoutingData!I$2:I$1000)</f>
        <v/>
      </c>
      <c r="D47" s="81">
        <f>SUMIF(MatchScoutingData!$F$2:$F$1000, $A47, MatchScoutingData!J$2:J$1000)</f>
        <v/>
      </c>
      <c r="E47" s="81">
        <f>SUMIF(MatchScoutingData!$F$2:$F$1000, $A47, MatchScoutingData!K$2:K$1000)</f>
        <v/>
      </c>
      <c r="F47" s="81">
        <f>SUMIF(MatchScoutingData!$F$2:$F$1000, $A47, MatchScoutingData!L$2:L$1000)</f>
        <v/>
      </c>
      <c r="G47" s="81">
        <f>SUMIF(MatchScoutingData!$F$2:$F$1000, $A47, MatchScoutingData!M$2:M$1000)</f>
        <v/>
      </c>
      <c r="H47" s="81">
        <f>SUMIF(MatchScoutingData!$F$2:$F$1000, $A47, MatchScoutingData!N$2:N$1000)</f>
        <v/>
      </c>
      <c r="I47" s="81">
        <f>C47 * 7</f>
        <v/>
      </c>
      <c r="J47" s="81">
        <f>D47 * 6</f>
        <v/>
      </c>
      <c r="K47" s="81">
        <f>E47 * 4</f>
        <v/>
      </c>
      <c r="L47" s="81">
        <f>F47 * 3</f>
        <v/>
      </c>
      <c r="M47" s="81">
        <f>G47 * 6</f>
        <v/>
      </c>
      <c r="N47" s="81">
        <f>H47 * 4</f>
        <v/>
      </c>
      <c r="O47" s="81">
        <f>SUMIF(MatchScoutingData!$F$2:$F$1000, $A47, MatchScoutingData!H$2:H$1000) * 3</f>
        <v/>
      </c>
      <c r="P47" s="82">
        <f>SUM(I47:O47)</f>
        <v/>
      </c>
      <c r="Q47" s="82">
        <f>IF(P47 &gt; 0, P47/B47, 0)</f>
        <v/>
      </c>
      <c r="R47" s="81">
        <f>SUMIF(MatchScoutingData!$F$2:$F$1000, $A47, MatchScoutingData!P$2:P$1000)</f>
        <v/>
      </c>
      <c r="S47" s="81">
        <f>SUMIF(MatchScoutingData!$F$2:$F$1000, $A47, MatchScoutingData!Q$2:Q$1000)</f>
        <v/>
      </c>
      <c r="T47" s="81">
        <f>SUMIF(MatchScoutingData!$F$2:$F$1000, $A47, MatchScoutingData!R$2:R$1000)</f>
        <v/>
      </c>
      <c r="U47" s="81">
        <f>SUMIF(MatchScoutingData!$F$2:$F$1000, $A47, MatchScoutingData!S$2:S$1000)</f>
        <v/>
      </c>
      <c r="V47" s="81">
        <f>SUMIF(MatchScoutingData!$F$2:$F$1000, $A47, MatchScoutingData!T$2:T$1000)</f>
        <v/>
      </c>
      <c r="W47" s="81">
        <f>SUMIF(MatchScoutingData!$F$2:$F$1000, $A47, MatchScoutingData!U$2:U$1000)</f>
        <v/>
      </c>
      <c r="X47" s="81">
        <f>R47 * 5</f>
        <v/>
      </c>
      <c r="Y47" s="81">
        <f>S47 * 4</f>
        <v/>
      </c>
      <c r="Z47" s="81">
        <f>T47 * 3</f>
        <v/>
      </c>
      <c r="AA47" s="81">
        <f>U47 * 2</f>
        <v/>
      </c>
      <c r="AB47" s="81">
        <f>V47 * 6</f>
        <v/>
      </c>
      <c r="AC47" s="81">
        <f>W47 * 4</f>
        <v/>
      </c>
      <c r="AD47" s="83">
        <f>SUM(X47:AC47)</f>
        <v/>
      </c>
      <c r="AE47" s="83">
        <f>IF(AD47 &gt; 0, AD47/B47, 0)</f>
        <v/>
      </c>
      <c r="AF47" s="81">
        <f>COUNTIFS(MatchScoutingData!$F$2:$F$1000, $A47, MatchScoutingData!$X$2:$X$1000, "p")</f>
        <v/>
      </c>
      <c r="AG47" s="81">
        <f>COUNTIFS(MatchScoutingData!$F$2:$F$1000, $A47, MatchScoutingData!$X$2:$X$1000, "s")</f>
        <v/>
      </c>
      <c r="AH47" s="81">
        <f>COUNTIFS(MatchScoutingData!$F$2:$F$1000, $A47, MatchScoutingData!$X$2:$X$1000, "d")</f>
        <v/>
      </c>
      <c r="AI47" s="81">
        <f>AF47 * 2</f>
        <v/>
      </c>
      <c r="AJ47" s="81">
        <f>AG47 * 6</f>
        <v/>
      </c>
      <c r="AK47" s="81">
        <f>AH47 * 12</f>
        <v/>
      </c>
      <c r="AL47" s="84">
        <f>SUM(AI47:AK47)</f>
        <v/>
      </c>
      <c r="AM47" s="84">
        <f>IF(AD47 &gt; 0, AL47/B47, 0)</f>
        <v/>
      </c>
      <c r="AN47" s="85">
        <f>SUM(P47, AD47, AL47)</f>
        <v/>
      </c>
      <c r="AO47" s="85">
        <f>IF(AN47 &gt; 0, AN47/B47, 0)</f>
        <v/>
      </c>
      <c r="AP47" s="81">
        <f>SUMIF(MatchScoutingData!$F$2:$F$1000, $A47, MatchScoutingData!Z$2:Z$1000)</f>
        <v/>
      </c>
      <c r="AQ47" s="81">
        <f>SUMIF(MatchScoutingData!$F$2:$F$1000, $A47, MatchScoutingData!AA$2:AA$1000)</f>
        <v/>
      </c>
      <c r="AR47" s="81">
        <f>SUMIF(MatchScoutingData!$F$2:$F$1000, $A47, MatchScoutingData!AB$2:AB$1000)</f>
        <v/>
      </c>
      <c r="AS47" s="81">
        <f>SUM(AP47, AQ47, AR47)</f>
        <v/>
      </c>
    </row>
    <row r="48">
      <c r="A48" s="80" t="n">
        <v>6868</v>
      </c>
      <c r="B48" s="81">
        <f>COUNTIF(MatchScoutingData!F$2:F$1000, $A48)</f>
        <v/>
      </c>
      <c r="C48" s="81">
        <f>SUMIF(MatchScoutingData!$F$2:$F$1000, $A48, MatchScoutingData!I$2:I$1000)</f>
        <v/>
      </c>
      <c r="D48" s="81">
        <f>SUMIF(MatchScoutingData!$F$2:$F$1000, $A48, MatchScoutingData!J$2:J$1000)</f>
        <v/>
      </c>
      <c r="E48" s="81">
        <f>SUMIF(MatchScoutingData!$F$2:$F$1000, $A48, MatchScoutingData!K$2:K$1000)</f>
        <v/>
      </c>
      <c r="F48" s="81">
        <f>SUMIF(MatchScoutingData!$F$2:$F$1000, $A48, MatchScoutingData!L$2:L$1000)</f>
        <v/>
      </c>
      <c r="G48" s="81">
        <f>SUMIF(MatchScoutingData!$F$2:$F$1000, $A48, MatchScoutingData!M$2:M$1000)</f>
        <v/>
      </c>
      <c r="H48" s="81">
        <f>SUMIF(MatchScoutingData!$F$2:$F$1000, $A48, MatchScoutingData!N$2:N$1000)</f>
        <v/>
      </c>
      <c r="I48" s="81">
        <f>C48 * 7</f>
        <v/>
      </c>
      <c r="J48" s="81">
        <f>D48 * 6</f>
        <v/>
      </c>
      <c r="K48" s="81">
        <f>E48 * 4</f>
        <v/>
      </c>
      <c r="L48" s="81">
        <f>F48 * 3</f>
        <v/>
      </c>
      <c r="M48" s="81">
        <f>G48 * 6</f>
        <v/>
      </c>
      <c r="N48" s="81">
        <f>H48 * 4</f>
        <v/>
      </c>
      <c r="O48" s="81">
        <f>SUMIF(MatchScoutingData!$F$2:$F$1000, $A48, MatchScoutingData!H$2:H$1000) * 3</f>
        <v/>
      </c>
      <c r="P48" s="82">
        <f>SUM(I48:O48)</f>
        <v/>
      </c>
      <c r="Q48" s="82">
        <f>IF(P48 &gt; 0, P48/B48, 0)</f>
        <v/>
      </c>
      <c r="R48" s="81">
        <f>SUMIF(MatchScoutingData!$F$2:$F$1000, $A48, MatchScoutingData!P$2:P$1000)</f>
        <v/>
      </c>
      <c r="S48" s="81">
        <f>SUMIF(MatchScoutingData!$F$2:$F$1000, $A48, MatchScoutingData!Q$2:Q$1000)</f>
        <v/>
      </c>
      <c r="T48" s="81">
        <f>SUMIF(MatchScoutingData!$F$2:$F$1000, $A48, MatchScoutingData!R$2:R$1000)</f>
        <v/>
      </c>
      <c r="U48" s="81">
        <f>SUMIF(MatchScoutingData!$F$2:$F$1000, $A48, MatchScoutingData!S$2:S$1000)</f>
        <v/>
      </c>
      <c r="V48" s="81">
        <f>SUMIF(MatchScoutingData!$F$2:$F$1000, $A48, MatchScoutingData!T$2:T$1000)</f>
        <v/>
      </c>
      <c r="W48" s="81">
        <f>SUMIF(MatchScoutingData!$F$2:$F$1000, $A48, MatchScoutingData!U$2:U$1000)</f>
        <v/>
      </c>
      <c r="X48" s="81">
        <f>R48 * 5</f>
        <v/>
      </c>
      <c r="Y48" s="81">
        <f>S48 * 4</f>
        <v/>
      </c>
      <c r="Z48" s="81">
        <f>T48 * 3</f>
        <v/>
      </c>
      <c r="AA48" s="81">
        <f>U48 * 2</f>
        <v/>
      </c>
      <c r="AB48" s="81">
        <f>V48 * 6</f>
        <v/>
      </c>
      <c r="AC48" s="81">
        <f>W48 * 4</f>
        <v/>
      </c>
      <c r="AD48" s="83">
        <f>SUM(X48:AC48)</f>
        <v/>
      </c>
      <c r="AE48" s="83">
        <f>IF(AD48 &gt; 0, AD48/B48, 0)</f>
        <v/>
      </c>
      <c r="AF48" s="81">
        <f>COUNTIFS(MatchScoutingData!$F$2:$F$1000, $A48, MatchScoutingData!$X$2:$X$1000, "p")</f>
        <v/>
      </c>
      <c r="AG48" s="81">
        <f>COUNTIFS(MatchScoutingData!$F$2:$F$1000, $A48, MatchScoutingData!$X$2:$X$1000, "s")</f>
        <v/>
      </c>
      <c r="AH48" s="81">
        <f>COUNTIFS(MatchScoutingData!$F$2:$F$1000, $A48, MatchScoutingData!$X$2:$X$1000, "d")</f>
        <v/>
      </c>
      <c r="AI48" s="81">
        <f>AF48 * 2</f>
        <v/>
      </c>
      <c r="AJ48" s="81">
        <f>AG48 * 6</f>
        <v/>
      </c>
      <c r="AK48" s="81">
        <f>AH48 * 12</f>
        <v/>
      </c>
      <c r="AL48" s="84">
        <f>SUM(AI48:AK48)</f>
        <v/>
      </c>
      <c r="AM48" s="84">
        <f>IF(AD48 &gt; 0, AL48/B48, 0)</f>
        <v/>
      </c>
      <c r="AN48" s="85">
        <f>SUM(P48, AD48, AL48)</f>
        <v/>
      </c>
      <c r="AO48" s="85">
        <f>IF(AN48 &gt; 0, AN48/B48, 0)</f>
        <v/>
      </c>
      <c r="AP48" s="81">
        <f>SUMIF(MatchScoutingData!$F$2:$F$1000, $A48, MatchScoutingData!Z$2:Z$1000)</f>
        <v/>
      </c>
      <c r="AQ48" s="81">
        <f>SUMIF(MatchScoutingData!$F$2:$F$1000, $A48, MatchScoutingData!AA$2:AA$1000)</f>
        <v/>
      </c>
      <c r="AR48" s="81">
        <f>SUMIF(MatchScoutingData!$F$2:$F$1000, $A48, MatchScoutingData!AB$2:AB$1000)</f>
        <v/>
      </c>
      <c r="AS48" s="81">
        <f>SUM(AP48, AQ48, AR48)</f>
        <v/>
      </c>
    </row>
    <row r="49">
      <c r="A49" s="80" t="n">
        <v>6911</v>
      </c>
      <c r="B49" s="81">
        <f>COUNTIF(MatchScoutingData!F$2:F$1000, $A49)</f>
        <v/>
      </c>
      <c r="C49" s="81">
        <f>SUMIF(MatchScoutingData!$F$2:$F$1000, $A49, MatchScoutingData!I$2:I$1000)</f>
        <v/>
      </c>
      <c r="D49" s="81">
        <f>SUMIF(MatchScoutingData!$F$2:$F$1000, $A49, MatchScoutingData!J$2:J$1000)</f>
        <v/>
      </c>
      <c r="E49" s="81">
        <f>SUMIF(MatchScoutingData!$F$2:$F$1000, $A49, MatchScoutingData!K$2:K$1000)</f>
        <v/>
      </c>
      <c r="F49" s="81">
        <f>SUMIF(MatchScoutingData!$F$2:$F$1000, $A49, MatchScoutingData!L$2:L$1000)</f>
        <v/>
      </c>
      <c r="G49" s="81">
        <f>SUMIF(MatchScoutingData!$F$2:$F$1000, $A49, MatchScoutingData!M$2:M$1000)</f>
        <v/>
      </c>
      <c r="H49" s="81">
        <f>SUMIF(MatchScoutingData!$F$2:$F$1000, $A49, MatchScoutingData!N$2:N$1000)</f>
        <v/>
      </c>
      <c r="I49" s="81">
        <f>C49 * 7</f>
        <v/>
      </c>
      <c r="J49" s="81">
        <f>D49 * 6</f>
        <v/>
      </c>
      <c r="K49" s="81">
        <f>E49 * 4</f>
        <v/>
      </c>
      <c r="L49" s="81">
        <f>F49 * 3</f>
        <v/>
      </c>
      <c r="M49" s="81">
        <f>G49 * 6</f>
        <v/>
      </c>
      <c r="N49" s="81">
        <f>H49 * 4</f>
        <v/>
      </c>
      <c r="O49" s="81">
        <f>SUMIF(MatchScoutingData!$F$2:$F$1000, $A49, MatchScoutingData!H$2:H$1000) * 3</f>
        <v/>
      </c>
      <c r="P49" s="82">
        <f>SUM(I49:O49)</f>
        <v/>
      </c>
      <c r="Q49" s="82">
        <f>IF(P49 &gt; 0, P49/B49, 0)</f>
        <v/>
      </c>
      <c r="R49" s="81">
        <f>SUMIF(MatchScoutingData!$F$2:$F$1000, $A49, MatchScoutingData!P$2:P$1000)</f>
        <v/>
      </c>
      <c r="S49" s="81">
        <f>SUMIF(MatchScoutingData!$F$2:$F$1000, $A49, MatchScoutingData!Q$2:Q$1000)</f>
        <v/>
      </c>
      <c r="T49" s="81">
        <f>SUMIF(MatchScoutingData!$F$2:$F$1000, $A49, MatchScoutingData!R$2:R$1000)</f>
        <v/>
      </c>
      <c r="U49" s="81">
        <f>SUMIF(MatchScoutingData!$F$2:$F$1000, $A49, MatchScoutingData!S$2:S$1000)</f>
        <v/>
      </c>
      <c r="V49" s="81">
        <f>SUMIF(MatchScoutingData!$F$2:$F$1000, $A49, MatchScoutingData!T$2:T$1000)</f>
        <v/>
      </c>
      <c r="W49" s="81">
        <f>SUMIF(MatchScoutingData!$F$2:$F$1000, $A49, MatchScoutingData!U$2:U$1000)</f>
        <v/>
      </c>
      <c r="X49" s="81">
        <f>R49 * 5</f>
        <v/>
      </c>
      <c r="Y49" s="81">
        <f>S49 * 4</f>
        <v/>
      </c>
      <c r="Z49" s="81">
        <f>T49 * 3</f>
        <v/>
      </c>
      <c r="AA49" s="81">
        <f>U49 * 2</f>
        <v/>
      </c>
      <c r="AB49" s="81">
        <f>V49 * 6</f>
        <v/>
      </c>
      <c r="AC49" s="81">
        <f>W49 * 4</f>
        <v/>
      </c>
      <c r="AD49" s="83">
        <f>SUM(X49:AC49)</f>
        <v/>
      </c>
      <c r="AE49" s="83">
        <f>IF(AD49 &gt; 0, AD49/B49, 0)</f>
        <v/>
      </c>
      <c r="AF49" s="81">
        <f>COUNTIFS(MatchScoutingData!$F$2:$F$1000, $A49, MatchScoutingData!$X$2:$X$1000, "p")</f>
        <v/>
      </c>
      <c r="AG49" s="81">
        <f>COUNTIFS(MatchScoutingData!$F$2:$F$1000, $A49, MatchScoutingData!$X$2:$X$1000, "s")</f>
        <v/>
      </c>
      <c r="AH49" s="81">
        <f>COUNTIFS(MatchScoutingData!$F$2:$F$1000, $A49, MatchScoutingData!$X$2:$X$1000, "d")</f>
        <v/>
      </c>
      <c r="AI49" s="81">
        <f>AF49 * 2</f>
        <v/>
      </c>
      <c r="AJ49" s="81">
        <f>AG49 * 6</f>
        <v/>
      </c>
      <c r="AK49" s="81">
        <f>AH49 * 12</f>
        <v/>
      </c>
      <c r="AL49" s="84">
        <f>SUM(AI49:AK49)</f>
        <v/>
      </c>
      <c r="AM49" s="84">
        <f>IF(AD49 &gt; 0, AL49/B49, 0)</f>
        <v/>
      </c>
      <c r="AN49" s="85">
        <f>SUM(P49, AD49, AL49)</f>
        <v/>
      </c>
      <c r="AO49" s="85">
        <f>IF(AN49 &gt; 0, AN49/B49, 0)</f>
        <v/>
      </c>
      <c r="AP49" s="81">
        <f>SUMIF(MatchScoutingData!$F$2:$F$1000, $A49, MatchScoutingData!Z$2:Z$1000)</f>
        <v/>
      </c>
      <c r="AQ49" s="81">
        <f>SUMIF(MatchScoutingData!$F$2:$F$1000, $A49, MatchScoutingData!AA$2:AA$1000)</f>
        <v/>
      </c>
      <c r="AR49" s="81">
        <f>SUMIF(MatchScoutingData!$F$2:$F$1000, $A49, MatchScoutingData!AB$2:AB$1000)</f>
        <v/>
      </c>
      <c r="AS49" s="81">
        <f>SUM(AP49, AQ49, AR49)</f>
        <v/>
      </c>
    </row>
    <row r="50">
      <c r="A50" s="80" t="n">
        <v>7165</v>
      </c>
      <c r="B50" s="81">
        <f>COUNTIF(MatchScoutingData!F$2:F$1000, $A50)</f>
        <v/>
      </c>
      <c r="C50" s="81">
        <f>SUMIF(MatchScoutingData!$F$2:$F$1000, $A50, MatchScoutingData!I$2:I$1000)</f>
        <v/>
      </c>
      <c r="D50" s="81">
        <f>SUMIF(MatchScoutingData!$F$2:$F$1000, $A50, MatchScoutingData!J$2:J$1000)</f>
        <v/>
      </c>
      <c r="E50" s="81">
        <f>SUMIF(MatchScoutingData!$F$2:$F$1000, $A50, MatchScoutingData!K$2:K$1000)</f>
        <v/>
      </c>
      <c r="F50" s="81">
        <f>SUMIF(MatchScoutingData!$F$2:$F$1000, $A50, MatchScoutingData!L$2:L$1000)</f>
        <v/>
      </c>
      <c r="G50" s="81">
        <f>SUMIF(MatchScoutingData!$F$2:$F$1000, $A50, MatchScoutingData!M$2:M$1000)</f>
        <v/>
      </c>
      <c r="H50" s="81">
        <f>SUMIF(MatchScoutingData!$F$2:$F$1000, $A50, MatchScoutingData!N$2:N$1000)</f>
        <v/>
      </c>
      <c r="I50" s="81">
        <f>C50 * 7</f>
        <v/>
      </c>
      <c r="J50" s="81">
        <f>D50 * 6</f>
        <v/>
      </c>
      <c r="K50" s="81">
        <f>E50 * 4</f>
        <v/>
      </c>
      <c r="L50" s="81">
        <f>F50 * 3</f>
        <v/>
      </c>
      <c r="M50" s="81">
        <f>G50 * 6</f>
        <v/>
      </c>
      <c r="N50" s="81">
        <f>H50 * 4</f>
        <v/>
      </c>
      <c r="O50" s="81">
        <f>SUMIF(MatchScoutingData!$F$2:$F$1000, $A50, MatchScoutingData!H$2:H$1000) * 3</f>
        <v/>
      </c>
      <c r="P50" s="82">
        <f>SUM(I50:O50)</f>
        <v/>
      </c>
      <c r="Q50" s="82">
        <f>IF(P50 &gt; 0, P50/B50, 0)</f>
        <v/>
      </c>
      <c r="R50" s="81">
        <f>SUMIF(MatchScoutingData!$F$2:$F$1000, $A50, MatchScoutingData!P$2:P$1000)</f>
        <v/>
      </c>
      <c r="S50" s="81">
        <f>SUMIF(MatchScoutingData!$F$2:$F$1000, $A50, MatchScoutingData!Q$2:Q$1000)</f>
        <v/>
      </c>
      <c r="T50" s="81">
        <f>SUMIF(MatchScoutingData!$F$2:$F$1000, $A50, MatchScoutingData!R$2:R$1000)</f>
        <v/>
      </c>
      <c r="U50" s="81">
        <f>SUMIF(MatchScoutingData!$F$2:$F$1000, $A50, MatchScoutingData!S$2:S$1000)</f>
        <v/>
      </c>
      <c r="V50" s="81">
        <f>SUMIF(MatchScoutingData!$F$2:$F$1000, $A50, MatchScoutingData!T$2:T$1000)</f>
        <v/>
      </c>
      <c r="W50" s="81">
        <f>SUMIF(MatchScoutingData!$F$2:$F$1000, $A50, MatchScoutingData!U$2:U$1000)</f>
        <v/>
      </c>
      <c r="X50" s="81">
        <f>R50 * 5</f>
        <v/>
      </c>
      <c r="Y50" s="81">
        <f>S50 * 4</f>
        <v/>
      </c>
      <c r="Z50" s="81">
        <f>T50 * 3</f>
        <v/>
      </c>
      <c r="AA50" s="81">
        <f>U50 * 2</f>
        <v/>
      </c>
      <c r="AB50" s="81">
        <f>V50 * 6</f>
        <v/>
      </c>
      <c r="AC50" s="81">
        <f>W50 * 4</f>
        <v/>
      </c>
      <c r="AD50" s="83">
        <f>SUM(X50:AC50)</f>
        <v/>
      </c>
      <c r="AE50" s="83">
        <f>IF(AD50 &gt; 0, AD50/B50, 0)</f>
        <v/>
      </c>
      <c r="AF50" s="81">
        <f>COUNTIFS(MatchScoutingData!$F$2:$F$1000, $A50, MatchScoutingData!$X$2:$X$1000, "p")</f>
        <v/>
      </c>
      <c r="AG50" s="81">
        <f>COUNTIFS(MatchScoutingData!$F$2:$F$1000, $A50, MatchScoutingData!$X$2:$X$1000, "s")</f>
        <v/>
      </c>
      <c r="AH50" s="81">
        <f>COUNTIFS(MatchScoutingData!$F$2:$F$1000, $A50, MatchScoutingData!$X$2:$X$1000, "d")</f>
        <v/>
      </c>
      <c r="AI50" s="81">
        <f>AF50 * 2</f>
        <v/>
      </c>
      <c r="AJ50" s="81">
        <f>AG50 * 6</f>
        <v/>
      </c>
      <c r="AK50" s="81">
        <f>AH50 * 12</f>
        <v/>
      </c>
      <c r="AL50" s="84">
        <f>SUM(AI50:AK50)</f>
        <v/>
      </c>
      <c r="AM50" s="84">
        <f>IF(AD50 &gt; 0, AL50/B50, 0)</f>
        <v/>
      </c>
      <c r="AN50" s="85">
        <f>SUM(P50, AD50, AL50)</f>
        <v/>
      </c>
      <c r="AO50" s="85">
        <f>IF(AN50 &gt; 0, AN50/B50, 0)</f>
        <v/>
      </c>
      <c r="AP50" s="81">
        <f>SUMIF(MatchScoutingData!$F$2:$F$1000, $A50, MatchScoutingData!Z$2:Z$1000)</f>
        <v/>
      </c>
      <c r="AQ50" s="81">
        <f>SUMIF(MatchScoutingData!$F$2:$F$1000, $A50, MatchScoutingData!AA$2:AA$1000)</f>
        <v/>
      </c>
      <c r="AR50" s="81">
        <f>SUMIF(MatchScoutingData!$F$2:$F$1000, $A50, MatchScoutingData!AB$2:AB$1000)</f>
        <v/>
      </c>
      <c r="AS50" s="81">
        <f>SUM(AP50, AQ50, AR50)</f>
        <v/>
      </c>
    </row>
    <row r="51">
      <c r="A51" s="80" t="n">
        <v>7903</v>
      </c>
      <c r="B51" s="81">
        <f>COUNTIF(MatchScoutingData!F$2:F$1000, $A51)</f>
        <v/>
      </c>
      <c r="C51" s="81">
        <f>SUMIF(MatchScoutingData!$F$2:$F$1000, $A51, MatchScoutingData!I$2:I$1000)</f>
        <v/>
      </c>
      <c r="D51" s="81">
        <f>SUMIF(MatchScoutingData!$F$2:$F$1000, $A51, MatchScoutingData!J$2:J$1000)</f>
        <v/>
      </c>
      <c r="E51" s="81">
        <f>SUMIF(MatchScoutingData!$F$2:$F$1000, $A51, MatchScoutingData!K$2:K$1000)</f>
        <v/>
      </c>
      <c r="F51" s="81">
        <f>SUMIF(MatchScoutingData!$F$2:$F$1000, $A51, MatchScoutingData!L$2:L$1000)</f>
        <v/>
      </c>
      <c r="G51" s="81">
        <f>SUMIF(MatchScoutingData!$F$2:$F$1000, $A51, MatchScoutingData!M$2:M$1000)</f>
        <v/>
      </c>
      <c r="H51" s="81">
        <f>SUMIF(MatchScoutingData!$F$2:$F$1000, $A51, MatchScoutingData!N$2:N$1000)</f>
        <v/>
      </c>
      <c r="I51" s="81">
        <f>C51 * 7</f>
        <v/>
      </c>
      <c r="J51" s="81">
        <f>D51 * 6</f>
        <v/>
      </c>
      <c r="K51" s="81">
        <f>E51 * 4</f>
        <v/>
      </c>
      <c r="L51" s="81">
        <f>F51 * 3</f>
        <v/>
      </c>
      <c r="M51" s="81">
        <f>G51 * 6</f>
        <v/>
      </c>
      <c r="N51" s="81">
        <f>H51 * 4</f>
        <v/>
      </c>
      <c r="O51" s="81">
        <f>SUMIF(MatchScoutingData!$F$2:$F$1000, $A51, MatchScoutingData!H$2:H$1000) * 3</f>
        <v/>
      </c>
      <c r="P51" s="82">
        <f>SUM(I51:O51)</f>
        <v/>
      </c>
      <c r="Q51" s="82">
        <f>IF(P51 &gt; 0, P51/B51, 0)</f>
        <v/>
      </c>
      <c r="R51" s="81">
        <f>SUMIF(MatchScoutingData!$F$2:$F$1000, $A51, MatchScoutingData!P$2:P$1000)</f>
        <v/>
      </c>
      <c r="S51" s="81">
        <f>SUMIF(MatchScoutingData!$F$2:$F$1000, $A51, MatchScoutingData!Q$2:Q$1000)</f>
        <v/>
      </c>
      <c r="T51" s="81">
        <f>SUMIF(MatchScoutingData!$F$2:$F$1000, $A51, MatchScoutingData!R$2:R$1000)</f>
        <v/>
      </c>
      <c r="U51" s="81">
        <f>SUMIF(MatchScoutingData!$F$2:$F$1000, $A51, MatchScoutingData!S$2:S$1000)</f>
        <v/>
      </c>
      <c r="V51" s="81">
        <f>SUMIF(MatchScoutingData!$F$2:$F$1000, $A51, MatchScoutingData!T$2:T$1000)</f>
        <v/>
      </c>
      <c r="W51" s="81">
        <f>SUMIF(MatchScoutingData!$F$2:$F$1000, $A51, MatchScoutingData!U$2:U$1000)</f>
        <v/>
      </c>
      <c r="X51" s="81">
        <f>R51 * 5</f>
        <v/>
      </c>
      <c r="Y51" s="81">
        <f>S51 * 4</f>
        <v/>
      </c>
      <c r="Z51" s="81">
        <f>T51 * 3</f>
        <v/>
      </c>
      <c r="AA51" s="81">
        <f>U51 * 2</f>
        <v/>
      </c>
      <c r="AB51" s="81">
        <f>V51 * 6</f>
        <v/>
      </c>
      <c r="AC51" s="81">
        <f>W51 * 4</f>
        <v/>
      </c>
      <c r="AD51" s="83">
        <f>SUM(X51:AC51)</f>
        <v/>
      </c>
      <c r="AE51" s="83">
        <f>IF(AD51 &gt; 0, AD51/B51, 0)</f>
        <v/>
      </c>
      <c r="AF51" s="81">
        <f>COUNTIFS(MatchScoutingData!$F$2:$F$1000, $A51, MatchScoutingData!$X$2:$X$1000, "p")</f>
        <v/>
      </c>
      <c r="AG51" s="81">
        <f>COUNTIFS(MatchScoutingData!$F$2:$F$1000, $A51, MatchScoutingData!$X$2:$X$1000, "s")</f>
        <v/>
      </c>
      <c r="AH51" s="81">
        <f>COUNTIFS(MatchScoutingData!$F$2:$F$1000, $A51, MatchScoutingData!$X$2:$X$1000, "d")</f>
        <v/>
      </c>
      <c r="AI51" s="81">
        <f>AF51 * 2</f>
        <v/>
      </c>
      <c r="AJ51" s="81">
        <f>AG51 * 6</f>
        <v/>
      </c>
      <c r="AK51" s="81">
        <f>AH51 * 12</f>
        <v/>
      </c>
      <c r="AL51" s="84">
        <f>SUM(AI51:AK51)</f>
        <v/>
      </c>
      <c r="AM51" s="84">
        <f>IF(AD51 &gt; 0, AL51/B51, 0)</f>
        <v/>
      </c>
      <c r="AN51" s="85">
        <f>SUM(P51, AD51, AL51)</f>
        <v/>
      </c>
      <c r="AO51" s="85">
        <f>IF(AN51 &gt; 0, AN51/B51, 0)</f>
        <v/>
      </c>
      <c r="AP51" s="81">
        <f>SUMIF(MatchScoutingData!$F$2:$F$1000, $A51, MatchScoutingData!Z$2:Z$1000)</f>
        <v/>
      </c>
      <c r="AQ51" s="81">
        <f>SUMIF(MatchScoutingData!$F$2:$F$1000, $A51, MatchScoutingData!AA$2:AA$1000)</f>
        <v/>
      </c>
      <c r="AR51" s="81">
        <f>SUMIF(MatchScoutingData!$F$2:$F$1000, $A51, MatchScoutingData!AB$2:AB$1000)</f>
        <v/>
      </c>
      <c r="AS51" s="81">
        <f>SUM(AP51, AQ51, AR51)</f>
        <v/>
      </c>
    </row>
    <row r="52">
      <c r="A52" s="80" t="n">
        <v>8140</v>
      </c>
      <c r="B52" s="81">
        <f>COUNTIF(MatchScoutingData!F$2:F$1000, $A52)</f>
        <v/>
      </c>
      <c r="C52" s="81">
        <f>SUMIF(MatchScoutingData!$F$2:$F$1000, $A52, MatchScoutingData!I$2:I$1000)</f>
        <v/>
      </c>
      <c r="D52" s="81">
        <f>SUMIF(MatchScoutingData!$F$2:$F$1000, $A52, MatchScoutingData!J$2:J$1000)</f>
        <v/>
      </c>
      <c r="E52" s="81">
        <f>SUMIF(MatchScoutingData!$F$2:$F$1000, $A52, MatchScoutingData!K$2:K$1000)</f>
        <v/>
      </c>
      <c r="F52" s="81">
        <f>SUMIF(MatchScoutingData!$F$2:$F$1000, $A52, MatchScoutingData!L$2:L$1000)</f>
        <v/>
      </c>
      <c r="G52" s="81">
        <f>SUMIF(MatchScoutingData!$F$2:$F$1000, $A52, MatchScoutingData!M$2:M$1000)</f>
        <v/>
      </c>
      <c r="H52" s="81">
        <f>SUMIF(MatchScoutingData!$F$2:$F$1000, $A52, MatchScoutingData!N$2:N$1000)</f>
        <v/>
      </c>
      <c r="I52" s="81">
        <f>C52 * 7</f>
        <v/>
      </c>
      <c r="J52" s="81">
        <f>D52 * 6</f>
        <v/>
      </c>
      <c r="K52" s="81">
        <f>E52 * 4</f>
        <v/>
      </c>
      <c r="L52" s="81">
        <f>F52 * 3</f>
        <v/>
      </c>
      <c r="M52" s="81">
        <f>G52 * 6</f>
        <v/>
      </c>
      <c r="N52" s="81">
        <f>H52 * 4</f>
        <v/>
      </c>
      <c r="O52" s="81">
        <f>SUMIF(MatchScoutingData!$F$2:$F$1000, $A52, MatchScoutingData!H$2:H$1000) * 3</f>
        <v/>
      </c>
      <c r="P52" s="82">
        <f>SUM(I52:O52)</f>
        <v/>
      </c>
      <c r="Q52" s="82">
        <f>IF(P52 &gt; 0, P52/B52, 0)</f>
        <v/>
      </c>
      <c r="R52" s="81">
        <f>SUMIF(MatchScoutingData!$F$2:$F$1000, $A52, MatchScoutingData!P$2:P$1000)</f>
        <v/>
      </c>
      <c r="S52" s="81">
        <f>SUMIF(MatchScoutingData!$F$2:$F$1000, $A52, MatchScoutingData!Q$2:Q$1000)</f>
        <v/>
      </c>
      <c r="T52" s="81">
        <f>SUMIF(MatchScoutingData!$F$2:$F$1000, $A52, MatchScoutingData!R$2:R$1000)</f>
        <v/>
      </c>
      <c r="U52" s="81">
        <f>SUMIF(MatchScoutingData!$F$2:$F$1000, $A52, MatchScoutingData!S$2:S$1000)</f>
        <v/>
      </c>
      <c r="V52" s="81">
        <f>SUMIF(MatchScoutingData!$F$2:$F$1000, $A52, MatchScoutingData!T$2:T$1000)</f>
        <v/>
      </c>
      <c r="W52" s="81">
        <f>SUMIF(MatchScoutingData!$F$2:$F$1000, $A52, MatchScoutingData!U$2:U$1000)</f>
        <v/>
      </c>
      <c r="X52" s="81">
        <f>R52 * 5</f>
        <v/>
      </c>
      <c r="Y52" s="81">
        <f>S52 * 4</f>
        <v/>
      </c>
      <c r="Z52" s="81">
        <f>T52 * 3</f>
        <v/>
      </c>
      <c r="AA52" s="81">
        <f>U52 * 2</f>
        <v/>
      </c>
      <c r="AB52" s="81">
        <f>V52 * 6</f>
        <v/>
      </c>
      <c r="AC52" s="81">
        <f>W52 * 4</f>
        <v/>
      </c>
      <c r="AD52" s="83">
        <f>SUM(X52:AC52)</f>
        <v/>
      </c>
      <c r="AE52" s="83">
        <f>IF(AD52 &gt; 0, AD52/B52, 0)</f>
        <v/>
      </c>
      <c r="AF52" s="81">
        <f>COUNTIFS(MatchScoutingData!$F$2:$F$1000, $A52, MatchScoutingData!$X$2:$X$1000, "p")</f>
        <v/>
      </c>
      <c r="AG52" s="81">
        <f>COUNTIFS(MatchScoutingData!$F$2:$F$1000, $A52, MatchScoutingData!$X$2:$X$1000, "s")</f>
        <v/>
      </c>
      <c r="AH52" s="81">
        <f>COUNTIFS(MatchScoutingData!$F$2:$F$1000, $A52, MatchScoutingData!$X$2:$X$1000, "d")</f>
        <v/>
      </c>
      <c r="AI52" s="81">
        <f>AF52 * 2</f>
        <v/>
      </c>
      <c r="AJ52" s="81">
        <f>AG52 * 6</f>
        <v/>
      </c>
      <c r="AK52" s="81">
        <f>AH52 * 12</f>
        <v/>
      </c>
      <c r="AL52" s="84">
        <f>SUM(AI52:AK52)</f>
        <v/>
      </c>
      <c r="AM52" s="84">
        <f>IF(AD52 &gt; 0, AL52/B52, 0)</f>
        <v/>
      </c>
      <c r="AN52" s="85">
        <f>SUM(P52, AD52, AL52)</f>
        <v/>
      </c>
      <c r="AO52" s="85">
        <f>IF(AN52 &gt; 0, AN52/B52, 0)</f>
        <v/>
      </c>
      <c r="AP52" s="81">
        <f>SUMIF(MatchScoutingData!$F$2:$F$1000, $A52, MatchScoutingData!Z$2:Z$1000)</f>
        <v/>
      </c>
      <c r="AQ52" s="81">
        <f>SUMIF(MatchScoutingData!$F$2:$F$1000, $A52, MatchScoutingData!AA$2:AA$1000)</f>
        <v/>
      </c>
      <c r="AR52" s="81">
        <f>SUMIF(MatchScoutingData!$F$2:$F$1000, $A52, MatchScoutingData!AB$2:AB$1000)</f>
        <v/>
      </c>
      <c r="AS52" s="81">
        <f>SUM(AP52, AQ52, AR52)</f>
        <v/>
      </c>
    </row>
    <row r="53">
      <c r="A53" s="80" t="n">
        <v>8243</v>
      </c>
      <c r="B53" s="81">
        <f>COUNTIF(MatchScoutingData!F$2:F$1000, $A53)</f>
        <v/>
      </c>
      <c r="C53" s="81">
        <f>SUMIF(MatchScoutingData!$F$2:$F$1000, $A53, MatchScoutingData!I$2:I$1000)</f>
        <v/>
      </c>
      <c r="D53" s="81">
        <f>SUMIF(MatchScoutingData!$F$2:$F$1000, $A53, MatchScoutingData!J$2:J$1000)</f>
        <v/>
      </c>
      <c r="E53" s="81">
        <f>SUMIF(MatchScoutingData!$F$2:$F$1000, $A53, MatchScoutingData!K$2:K$1000)</f>
        <v/>
      </c>
      <c r="F53" s="81">
        <f>SUMIF(MatchScoutingData!$F$2:$F$1000, $A53, MatchScoutingData!L$2:L$1000)</f>
        <v/>
      </c>
      <c r="G53" s="81">
        <f>SUMIF(MatchScoutingData!$F$2:$F$1000, $A53, MatchScoutingData!M$2:M$1000)</f>
        <v/>
      </c>
      <c r="H53" s="81">
        <f>SUMIF(MatchScoutingData!$F$2:$F$1000, $A53, MatchScoutingData!N$2:N$1000)</f>
        <v/>
      </c>
      <c r="I53" s="81">
        <f>C53 * 7</f>
        <v/>
      </c>
      <c r="J53" s="81">
        <f>D53 * 6</f>
        <v/>
      </c>
      <c r="K53" s="81">
        <f>E53 * 4</f>
        <v/>
      </c>
      <c r="L53" s="81">
        <f>F53 * 3</f>
        <v/>
      </c>
      <c r="M53" s="81">
        <f>G53 * 6</f>
        <v/>
      </c>
      <c r="N53" s="81">
        <f>H53 * 4</f>
        <v/>
      </c>
      <c r="O53" s="81">
        <f>SUMIF(MatchScoutingData!$F$2:$F$1000, $A53, MatchScoutingData!H$2:H$1000) * 3</f>
        <v/>
      </c>
      <c r="P53" s="82">
        <f>SUM(I53:O53)</f>
        <v/>
      </c>
      <c r="Q53" s="82">
        <f>IF(P53 &gt; 0, P53/B53, 0)</f>
        <v/>
      </c>
      <c r="R53" s="81">
        <f>SUMIF(MatchScoutingData!$F$2:$F$1000, $A53, MatchScoutingData!P$2:P$1000)</f>
        <v/>
      </c>
      <c r="S53" s="81">
        <f>SUMIF(MatchScoutingData!$F$2:$F$1000, $A53, MatchScoutingData!Q$2:Q$1000)</f>
        <v/>
      </c>
      <c r="T53" s="81">
        <f>SUMIF(MatchScoutingData!$F$2:$F$1000, $A53, MatchScoutingData!R$2:R$1000)</f>
        <v/>
      </c>
      <c r="U53" s="81">
        <f>SUMIF(MatchScoutingData!$F$2:$F$1000, $A53, MatchScoutingData!S$2:S$1000)</f>
        <v/>
      </c>
      <c r="V53" s="81">
        <f>SUMIF(MatchScoutingData!$F$2:$F$1000, $A53, MatchScoutingData!T$2:T$1000)</f>
        <v/>
      </c>
      <c r="W53" s="81">
        <f>SUMIF(MatchScoutingData!$F$2:$F$1000, $A53, MatchScoutingData!U$2:U$1000)</f>
        <v/>
      </c>
      <c r="X53" s="81">
        <f>R53 * 5</f>
        <v/>
      </c>
      <c r="Y53" s="81">
        <f>S53 * 4</f>
        <v/>
      </c>
      <c r="Z53" s="81">
        <f>T53 * 3</f>
        <v/>
      </c>
      <c r="AA53" s="81">
        <f>U53 * 2</f>
        <v/>
      </c>
      <c r="AB53" s="81">
        <f>V53 * 6</f>
        <v/>
      </c>
      <c r="AC53" s="81">
        <f>W53 * 4</f>
        <v/>
      </c>
      <c r="AD53" s="83">
        <f>SUM(X53:AC53)</f>
        <v/>
      </c>
      <c r="AE53" s="83">
        <f>IF(AD53 &gt; 0, AD53/B53, 0)</f>
        <v/>
      </c>
      <c r="AF53" s="81">
        <f>COUNTIFS(MatchScoutingData!$F$2:$F$1000, $A53, MatchScoutingData!$X$2:$X$1000, "p")</f>
        <v/>
      </c>
      <c r="AG53" s="81">
        <f>COUNTIFS(MatchScoutingData!$F$2:$F$1000, $A53, MatchScoutingData!$X$2:$X$1000, "s")</f>
        <v/>
      </c>
      <c r="AH53" s="81">
        <f>COUNTIFS(MatchScoutingData!$F$2:$F$1000, $A53, MatchScoutingData!$X$2:$X$1000, "d")</f>
        <v/>
      </c>
      <c r="AI53" s="81">
        <f>AF53 * 2</f>
        <v/>
      </c>
      <c r="AJ53" s="81">
        <f>AG53 * 6</f>
        <v/>
      </c>
      <c r="AK53" s="81">
        <f>AH53 * 12</f>
        <v/>
      </c>
      <c r="AL53" s="84">
        <f>SUM(AI53:AK53)</f>
        <v/>
      </c>
      <c r="AM53" s="84">
        <f>IF(AD53 &gt; 0, AL53/B53, 0)</f>
        <v/>
      </c>
      <c r="AN53" s="85">
        <f>SUM(P53, AD53, AL53)</f>
        <v/>
      </c>
      <c r="AO53" s="85">
        <f>IF(AN53 &gt; 0, AN53/B53, 0)</f>
        <v/>
      </c>
      <c r="AP53" s="81">
        <f>SUMIF(MatchScoutingData!$F$2:$F$1000, $A53, MatchScoutingData!Z$2:Z$1000)</f>
        <v/>
      </c>
      <c r="AQ53" s="81">
        <f>SUMIF(MatchScoutingData!$F$2:$F$1000, $A53, MatchScoutingData!AA$2:AA$1000)</f>
        <v/>
      </c>
      <c r="AR53" s="81">
        <f>SUMIF(MatchScoutingData!$F$2:$F$1000, $A53, MatchScoutingData!AB$2:AB$1000)</f>
        <v/>
      </c>
      <c r="AS53" s="81">
        <f>SUM(AP53, AQ53, AR53)</f>
        <v/>
      </c>
    </row>
    <row r="54">
      <c r="A54" s="80" t="n">
        <v>8393</v>
      </c>
      <c r="B54" s="81">
        <f>COUNTIF(MatchScoutingData!F$2:F$1000, $A54)</f>
        <v/>
      </c>
      <c r="C54" s="81">
        <f>SUMIF(MatchScoutingData!$F$2:$F$1000, $A54, MatchScoutingData!I$2:I$1000)</f>
        <v/>
      </c>
      <c r="D54" s="81">
        <f>SUMIF(MatchScoutingData!$F$2:$F$1000, $A54, MatchScoutingData!J$2:J$1000)</f>
        <v/>
      </c>
      <c r="E54" s="81">
        <f>SUMIF(MatchScoutingData!$F$2:$F$1000, $A54, MatchScoutingData!K$2:K$1000)</f>
        <v/>
      </c>
      <c r="F54" s="81">
        <f>SUMIF(MatchScoutingData!$F$2:$F$1000, $A54, MatchScoutingData!L$2:L$1000)</f>
        <v/>
      </c>
      <c r="G54" s="81">
        <f>SUMIF(MatchScoutingData!$F$2:$F$1000, $A54, MatchScoutingData!M$2:M$1000)</f>
        <v/>
      </c>
      <c r="H54" s="81">
        <f>SUMIF(MatchScoutingData!$F$2:$F$1000, $A54, MatchScoutingData!N$2:N$1000)</f>
        <v/>
      </c>
      <c r="I54" s="81">
        <f>C54 * 7</f>
        <v/>
      </c>
      <c r="J54" s="81">
        <f>D54 * 6</f>
        <v/>
      </c>
      <c r="K54" s="81">
        <f>E54 * 4</f>
        <v/>
      </c>
      <c r="L54" s="81">
        <f>F54 * 3</f>
        <v/>
      </c>
      <c r="M54" s="81">
        <f>G54 * 6</f>
        <v/>
      </c>
      <c r="N54" s="81">
        <f>H54 * 4</f>
        <v/>
      </c>
      <c r="O54" s="81">
        <f>SUMIF(MatchScoutingData!$F$2:$F$1000, $A54, MatchScoutingData!H$2:H$1000) * 3</f>
        <v/>
      </c>
      <c r="P54" s="82">
        <f>SUM(I54:O54)</f>
        <v/>
      </c>
      <c r="Q54" s="82">
        <f>IF(P54 &gt; 0, P54/B54, 0)</f>
        <v/>
      </c>
      <c r="R54" s="81">
        <f>SUMIF(MatchScoutingData!$F$2:$F$1000, $A54, MatchScoutingData!P$2:P$1000)</f>
        <v/>
      </c>
      <c r="S54" s="81">
        <f>SUMIF(MatchScoutingData!$F$2:$F$1000, $A54, MatchScoutingData!Q$2:Q$1000)</f>
        <v/>
      </c>
      <c r="T54" s="81">
        <f>SUMIF(MatchScoutingData!$F$2:$F$1000, $A54, MatchScoutingData!R$2:R$1000)</f>
        <v/>
      </c>
      <c r="U54" s="81">
        <f>SUMIF(MatchScoutingData!$F$2:$F$1000, $A54, MatchScoutingData!S$2:S$1000)</f>
        <v/>
      </c>
      <c r="V54" s="81">
        <f>SUMIF(MatchScoutingData!$F$2:$F$1000, $A54, MatchScoutingData!T$2:T$1000)</f>
        <v/>
      </c>
      <c r="W54" s="81">
        <f>SUMIF(MatchScoutingData!$F$2:$F$1000, $A54, MatchScoutingData!U$2:U$1000)</f>
        <v/>
      </c>
      <c r="X54" s="81">
        <f>R54 * 5</f>
        <v/>
      </c>
      <c r="Y54" s="81">
        <f>S54 * 4</f>
        <v/>
      </c>
      <c r="Z54" s="81">
        <f>T54 * 3</f>
        <v/>
      </c>
      <c r="AA54" s="81">
        <f>U54 * 2</f>
        <v/>
      </c>
      <c r="AB54" s="81">
        <f>V54 * 6</f>
        <v/>
      </c>
      <c r="AC54" s="81">
        <f>W54 * 4</f>
        <v/>
      </c>
      <c r="AD54" s="83">
        <f>SUM(X54:AC54)</f>
        <v/>
      </c>
      <c r="AE54" s="83">
        <f>IF(AD54 &gt; 0, AD54/B54, 0)</f>
        <v/>
      </c>
      <c r="AF54" s="81">
        <f>COUNTIFS(MatchScoutingData!$F$2:$F$1000, $A54, MatchScoutingData!$X$2:$X$1000, "p")</f>
        <v/>
      </c>
      <c r="AG54" s="81">
        <f>COUNTIFS(MatchScoutingData!$F$2:$F$1000, $A54, MatchScoutingData!$X$2:$X$1000, "s")</f>
        <v/>
      </c>
      <c r="AH54" s="81">
        <f>COUNTIFS(MatchScoutingData!$F$2:$F$1000, $A54, MatchScoutingData!$X$2:$X$1000, "d")</f>
        <v/>
      </c>
      <c r="AI54" s="81">
        <f>AF54 * 2</f>
        <v/>
      </c>
      <c r="AJ54" s="81">
        <f>AG54 * 6</f>
        <v/>
      </c>
      <c r="AK54" s="81">
        <f>AH54 * 12</f>
        <v/>
      </c>
      <c r="AL54" s="84">
        <f>SUM(AI54:AK54)</f>
        <v/>
      </c>
      <c r="AM54" s="84">
        <f>IF(AD54 &gt; 0, AL54/B54, 0)</f>
        <v/>
      </c>
      <c r="AN54" s="85">
        <f>SUM(P54, AD54, AL54)</f>
        <v/>
      </c>
      <c r="AO54" s="85">
        <f>IF(AN54 &gt; 0, AN54/B54, 0)</f>
        <v/>
      </c>
      <c r="AP54" s="81">
        <f>SUMIF(MatchScoutingData!$F$2:$F$1000, $A54, MatchScoutingData!Z$2:Z$1000)</f>
        <v/>
      </c>
      <c r="AQ54" s="81">
        <f>SUMIF(MatchScoutingData!$F$2:$F$1000, $A54, MatchScoutingData!AA$2:AA$1000)</f>
        <v/>
      </c>
      <c r="AR54" s="81">
        <f>SUMIF(MatchScoutingData!$F$2:$F$1000, $A54, MatchScoutingData!AB$2:AB$1000)</f>
        <v/>
      </c>
      <c r="AS54" s="81">
        <f>SUM(AP54, AQ54, AR54)</f>
        <v/>
      </c>
    </row>
    <row r="55">
      <c r="A55" s="80" t="n">
        <v>9622</v>
      </c>
      <c r="B55" s="81">
        <f>COUNTIF(MatchScoutingData!F$2:F$1000, $A55)</f>
        <v/>
      </c>
      <c r="C55" s="81">
        <f>SUMIF(MatchScoutingData!$F$2:$F$1000, $A55, MatchScoutingData!I$2:I$1000)</f>
        <v/>
      </c>
      <c r="D55" s="81">
        <f>SUMIF(MatchScoutingData!$F$2:$F$1000, $A55, MatchScoutingData!J$2:J$1000)</f>
        <v/>
      </c>
      <c r="E55" s="81">
        <f>SUMIF(MatchScoutingData!$F$2:$F$1000, $A55, MatchScoutingData!K$2:K$1000)</f>
        <v/>
      </c>
      <c r="F55" s="81">
        <f>SUMIF(MatchScoutingData!$F$2:$F$1000, $A55, MatchScoutingData!L$2:L$1000)</f>
        <v/>
      </c>
      <c r="G55" s="81">
        <f>SUMIF(MatchScoutingData!$F$2:$F$1000, $A55, MatchScoutingData!M$2:M$1000)</f>
        <v/>
      </c>
      <c r="H55" s="81">
        <f>SUMIF(MatchScoutingData!$F$2:$F$1000, $A55, MatchScoutingData!N$2:N$1000)</f>
        <v/>
      </c>
      <c r="I55" s="81">
        <f>C55 * 7</f>
        <v/>
      </c>
      <c r="J55" s="81">
        <f>D55 * 6</f>
        <v/>
      </c>
      <c r="K55" s="81">
        <f>E55 * 4</f>
        <v/>
      </c>
      <c r="L55" s="81">
        <f>F55 * 3</f>
        <v/>
      </c>
      <c r="M55" s="81">
        <f>G55 * 6</f>
        <v/>
      </c>
      <c r="N55" s="81">
        <f>H55 * 4</f>
        <v/>
      </c>
      <c r="O55" s="81">
        <f>SUMIF(MatchScoutingData!$F$2:$F$1000, $A55, MatchScoutingData!H$2:H$1000) * 3</f>
        <v/>
      </c>
      <c r="P55" s="82">
        <f>SUM(I55:O55)</f>
        <v/>
      </c>
      <c r="Q55" s="82">
        <f>IF(P55 &gt; 0, P55/B55, 0)</f>
        <v/>
      </c>
      <c r="R55" s="81">
        <f>SUMIF(MatchScoutingData!$F$2:$F$1000, $A55, MatchScoutingData!P$2:P$1000)</f>
        <v/>
      </c>
      <c r="S55" s="81">
        <f>SUMIF(MatchScoutingData!$F$2:$F$1000, $A55, MatchScoutingData!Q$2:Q$1000)</f>
        <v/>
      </c>
      <c r="T55" s="81">
        <f>SUMIF(MatchScoutingData!$F$2:$F$1000, $A55, MatchScoutingData!R$2:R$1000)</f>
        <v/>
      </c>
      <c r="U55" s="81">
        <f>SUMIF(MatchScoutingData!$F$2:$F$1000, $A55, MatchScoutingData!S$2:S$1000)</f>
        <v/>
      </c>
      <c r="V55" s="81">
        <f>SUMIF(MatchScoutingData!$F$2:$F$1000, $A55, MatchScoutingData!T$2:T$1000)</f>
        <v/>
      </c>
      <c r="W55" s="81">
        <f>SUMIF(MatchScoutingData!$F$2:$F$1000, $A55, MatchScoutingData!U$2:U$1000)</f>
        <v/>
      </c>
      <c r="X55" s="81">
        <f>R55 * 5</f>
        <v/>
      </c>
      <c r="Y55" s="81">
        <f>S55 * 4</f>
        <v/>
      </c>
      <c r="Z55" s="81">
        <f>T55 * 3</f>
        <v/>
      </c>
      <c r="AA55" s="81">
        <f>U55 * 2</f>
        <v/>
      </c>
      <c r="AB55" s="81">
        <f>V55 * 6</f>
        <v/>
      </c>
      <c r="AC55" s="81">
        <f>W55 * 4</f>
        <v/>
      </c>
      <c r="AD55" s="83">
        <f>SUM(X55:AC55)</f>
        <v/>
      </c>
      <c r="AE55" s="83">
        <f>IF(AD55 &gt; 0, AD55/B55, 0)</f>
        <v/>
      </c>
      <c r="AF55" s="81">
        <f>COUNTIFS(MatchScoutingData!$F$2:$F$1000, $A55, MatchScoutingData!$X$2:$X$1000, "p")</f>
        <v/>
      </c>
      <c r="AG55" s="81">
        <f>COUNTIFS(MatchScoutingData!$F$2:$F$1000, $A55, MatchScoutingData!$X$2:$X$1000, "s")</f>
        <v/>
      </c>
      <c r="AH55" s="81">
        <f>COUNTIFS(MatchScoutingData!$F$2:$F$1000, $A55, MatchScoutingData!$X$2:$X$1000, "d")</f>
        <v/>
      </c>
      <c r="AI55" s="81">
        <f>AF55 * 2</f>
        <v/>
      </c>
      <c r="AJ55" s="81">
        <f>AG55 * 6</f>
        <v/>
      </c>
      <c r="AK55" s="81">
        <f>AH55 * 12</f>
        <v/>
      </c>
      <c r="AL55" s="84">
        <f>SUM(AI55:AK55)</f>
        <v/>
      </c>
      <c r="AM55" s="84">
        <f>IF(AD55 &gt; 0, AL55/B55, 0)</f>
        <v/>
      </c>
      <c r="AN55" s="85">
        <f>SUM(P55, AD55, AL55)</f>
        <v/>
      </c>
      <c r="AO55" s="85">
        <f>IF(AN55 &gt; 0, AN55/B55, 0)</f>
        <v/>
      </c>
      <c r="AP55" s="81">
        <f>SUMIF(MatchScoutingData!$F$2:$F$1000, $A55, MatchScoutingData!Z$2:Z$1000)</f>
        <v/>
      </c>
      <c r="AQ55" s="81">
        <f>SUMIF(MatchScoutingData!$F$2:$F$1000, $A55, MatchScoutingData!AA$2:AA$1000)</f>
        <v/>
      </c>
      <c r="AR55" s="81">
        <f>SUMIF(MatchScoutingData!$F$2:$F$1000, $A55, MatchScoutingData!AB$2:AB$1000)</f>
        <v/>
      </c>
      <c r="AS55" s="81">
        <f>SUM(AP55, AQ55, AR55)</f>
        <v/>
      </c>
    </row>
    <row r="56">
      <c r="A56" s="80" t="n">
        <v>9643</v>
      </c>
      <c r="B56" s="81">
        <f>COUNTIF(MatchScoutingData!F$2:F$1000, $A56)</f>
        <v/>
      </c>
      <c r="C56" s="81">
        <f>SUMIF(MatchScoutingData!$F$2:$F$1000, $A56, MatchScoutingData!I$2:I$1000)</f>
        <v/>
      </c>
      <c r="D56" s="81">
        <f>SUMIF(MatchScoutingData!$F$2:$F$1000, $A56, MatchScoutingData!J$2:J$1000)</f>
        <v/>
      </c>
      <c r="E56" s="81">
        <f>SUMIF(MatchScoutingData!$F$2:$F$1000, $A56, MatchScoutingData!K$2:K$1000)</f>
        <v/>
      </c>
      <c r="F56" s="81">
        <f>SUMIF(MatchScoutingData!$F$2:$F$1000, $A56, MatchScoutingData!L$2:L$1000)</f>
        <v/>
      </c>
      <c r="G56" s="81">
        <f>SUMIF(MatchScoutingData!$F$2:$F$1000, $A56, MatchScoutingData!M$2:M$1000)</f>
        <v/>
      </c>
      <c r="H56" s="81">
        <f>SUMIF(MatchScoutingData!$F$2:$F$1000, $A56, MatchScoutingData!N$2:N$1000)</f>
        <v/>
      </c>
      <c r="I56" s="81">
        <f>C56 * 7</f>
        <v/>
      </c>
      <c r="J56" s="81">
        <f>D56 * 6</f>
        <v/>
      </c>
      <c r="K56" s="81">
        <f>E56 * 4</f>
        <v/>
      </c>
      <c r="L56" s="81">
        <f>F56 * 3</f>
        <v/>
      </c>
      <c r="M56" s="81">
        <f>G56 * 6</f>
        <v/>
      </c>
      <c r="N56" s="81">
        <f>H56 * 4</f>
        <v/>
      </c>
      <c r="O56" s="81">
        <f>SUMIF(MatchScoutingData!$F$2:$F$1000, $A56, MatchScoutingData!H$2:H$1000) * 3</f>
        <v/>
      </c>
      <c r="P56" s="82">
        <f>SUM(I56:O56)</f>
        <v/>
      </c>
      <c r="Q56" s="82">
        <f>IF(P56 &gt; 0, P56/B56, 0)</f>
        <v/>
      </c>
      <c r="R56" s="81">
        <f>SUMIF(MatchScoutingData!$F$2:$F$1000, $A56, MatchScoutingData!P$2:P$1000)</f>
        <v/>
      </c>
      <c r="S56" s="81">
        <f>SUMIF(MatchScoutingData!$F$2:$F$1000, $A56, MatchScoutingData!Q$2:Q$1000)</f>
        <v/>
      </c>
      <c r="T56" s="81">
        <f>SUMIF(MatchScoutingData!$F$2:$F$1000, $A56, MatchScoutingData!R$2:R$1000)</f>
        <v/>
      </c>
      <c r="U56" s="81">
        <f>SUMIF(MatchScoutingData!$F$2:$F$1000, $A56, MatchScoutingData!S$2:S$1000)</f>
        <v/>
      </c>
      <c r="V56" s="81">
        <f>SUMIF(MatchScoutingData!$F$2:$F$1000, $A56, MatchScoutingData!T$2:T$1000)</f>
        <v/>
      </c>
      <c r="W56" s="81">
        <f>SUMIF(MatchScoutingData!$F$2:$F$1000, $A56, MatchScoutingData!U$2:U$1000)</f>
        <v/>
      </c>
      <c r="X56" s="81">
        <f>R56 * 5</f>
        <v/>
      </c>
      <c r="Y56" s="81">
        <f>S56 * 4</f>
        <v/>
      </c>
      <c r="Z56" s="81">
        <f>T56 * 3</f>
        <v/>
      </c>
      <c r="AA56" s="81">
        <f>U56 * 2</f>
        <v/>
      </c>
      <c r="AB56" s="81">
        <f>V56 * 6</f>
        <v/>
      </c>
      <c r="AC56" s="81">
        <f>W56 * 4</f>
        <v/>
      </c>
      <c r="AD56" s="83">
        <f>SUM(X56:AC56)</f>
        <v/>
      </c>
      <c r="AE56" s="83">
        <f>IF(AD56 &gt; 0, AD56/B56, 0)</f>
        <v/>
      </c>
      <c r="AF56" s="81">
        <f>COUNTIFS(MatchScoutingData!$F$2:$F$1000, $A56, MatchScoutingData!$X$2:$X$1000, "p")</f>
        <v/>
      </c>
      <c r="AG56" s="81">
        <f>COUNTIFS(MatchScoutingData!$F$2:$F$1000, $A56, MatchScoutingData!$X$2:$X$1000, "s")</f>
        <v/>
      </c>
      <c r="AH56" s="81">
        <f>COUNTIFS(MatchScoutingData!$F$2:$F$1000, $A56, MatchScoutingData!$X$2:$X$1000, "d")</f>
        <v/>
      </c>
      <c r="AI56" s="81">
        <f>AF56 * 2</f>
        <v/>
      </c>
      <c r="AJ56" s="81">
        <f>AG56 * 6</f>
        <v/>
      </c>
      <c r="AK56" s="81">
        <f>AH56 * 12</f>
        <v/>
      </c>
      <c r="AL56" s="84">
        <f>SUM(AI56:AK56)</f>
        <v/>
      </c>
      <c r="AM56" s="84">
        <f>IF(AD56 &gt; 0, AL56/B56, 0)</f>
        <v/>
      </c>
      <c r="AN56" s="85">
        <f>SUM(P56, AD56, AL56)</f>
        <v/>
      </c>
      <c r="AO56" s="85">
        <f>IF(AN56 &gt; 0, AN56/B56, 0)</f>
        <v/>
      </c>
      <c r="AP56" s="81">
        <f>SUMIF(MatchScoutingData!$F$2:$F$1000, $A56, MatchScoutingData!Z$2:Z$1000)</f>
        <v/>
      </c>
      <c r="AQ56" s="81">
        <f>SUMIF(MatchScoutingData!$F$2:$F$1000, $A56, MatchScoutingData!AA$2:AA$1000)</f>
        <v/>
      </c>
      <c r="AR56" s="81">
        <f>SUMIF(MatchScoutingData!$F$2:$F$1000, $A56, MatchScoutingData!AB$2:AB$1000)</f>
        <v/>
      </c>
      <c r="AS56" s="81">
        <f>SUM(AP56, AQ56, AR56)</f>
        <v/>
      </c>
    </row>
    <row r="57">
      <c r="A57" s="80" t="n">
        <v>10223</v>
      </c>
      <c r="B57" s="81">
        <f>COUNTIF(MatchScoutingData!F$2:F$1000, $A57)</f>
        <v/>
      </c>
      <c r="C57" s="81">
        <f>SUMIF(MatchScoutingData!$F$2:$F$1000, $A57, MatchScoutingData!I$2:I$1000)</f>
        <v/>
      </c>
      <c r="D57" s="81">
        <f>SUMIF(MatchScoutingData!$F$2:$F$1000, $A57, MatchScoutingData!J$2:J$1000)</f>
        <v/>
      </c>
      <c r="E57" s="81">
        <f>SUMIF(MatchScoutingData!$F$2:$F$1000, $A57, MatchScoutingData!K$2:K$1000)</f>
        <v/>
      </c>
      <c r="F57" s="81">
        <f>SUMIF(MatchScoutingData!$F$2:$F$1000, $A57, MatchScoutingData!L$2:L$1000)</f>
        <v/>
      </c>
      <c r="G57" s="81">
        <f>SUMIF(MatchScoutingData!$F$2:$F$1000, $A57, MatchScoutingData!M$2:M$1000)</f>
        <v/>
      </c>
      <c r="H57" s="81">
        <f>SUMIF(MatchScoutingData!$F$2:$F$1000, $A57, MatchScoutingData!N$2:N$1000)</f>
        <v/>
      </c>
      <c r="I57" s="81">
        <f>C57 * 7</f>
        <v/>
      </c>
      <c r="J57" s="81">
        <f>D57 * 6</f>
        <v/>
      </c>
      <c r="K57" s="81">
        <f>E57 * 4</f>
        <v/>
      </c>
      <c r="L57" s="81">
        <f>F57 * 3</f>
        <v/>
      </c>
      <c r="M57" s="81">
        <f>G57 * 6</f>
        <v/>
      </c>
      <c r="N57" s="81">
        <f>H57 * 4</f>
        <v/>
      </c>
      <c r="O57" s="81">
        <f>SUMIF(MatchScoutingData!$F$2:$F$1000, $A57, MatchScoutingData!H$2:H$1000) * 3</f>
        <v/>
      </c>
      <c r="P57" s="82">
        <f>SUM(I57:O57)</f>
        <v/>
      </c>
      <c r="Q57" s="82">
        <f>IF(P57 &gt; 0, P57/B57, 0)</f>
        <v/>
      </c>
      <c r="R57" s="81">
        <f>SUMIF(MatchScoutingData!$F$2:$F$1000, $A57, MatchScoutingData!P$2:P$1000)</f>
        <v/>
      </c>
      <c r="S57" s="81">
        <f>SUMIF(MatchScoutingData!$F$2:$F$1000, $A57, MatchScoutingData!Q$2:Q$1000)</f>
        <v/>
      </c>
      <c r="T57" s="81">
        <f>SUMIF(MatchScoutingData!$F$2:$F$1000, $A57, MatchScoutingData!R$2:R$1000)</f>
        <v/>
      </c>
      <c r="U57" s="81">
        <f>SUMIF(MatchScoutingData!$F$2:$F$1000, $A57, MatchScoutingData!S$2:S$1000)</f>
        <v/>
      </c>
      <c r="V57" s="81">
        <f>SUMIF(MatchScoutingData!$F$2:$F$1000, $A57, MatchScoutingData!T$2:T$1000)</f>
        <v/>
      </c>
      <c r="W57" s="81">
        <f>SUMIF(MatchScoutingData!$F$2:$F$1000, $A57, MatchScoutingData!U$2:U$1000)</f>
        <v/>
      </c>
      <c r="X57" s="81">
        <f>R57 * 5</f>
        <v/>
      </c>
      <c r="Y57" s="81">
        <f>S57 * 4</f>
        <v/>
      </c>
      <c r="Z57" s="81">
        <f>T57 * 3</f>
        <v/>
      </c>
      <c r="AA57" s="81">
        <f>U57 * 2</f>
        <v/>
      </c>
      <c r="AB57" s="81">
        <f>V57 * 6</f>
        <v/>
      </c>
      <c r="AC57" s="81">
        <f>W57 * 4</f>
        <v/>
      </c>
      <c r="AD57" s="83">
        <f>SUM(X57:AC57)</f>
        <v/>
      </c>
      <c r="AE57" s="83">
        <f>IF(AD57 &gt; 0, AD57/B57, 0)</f>
        <v/>
      </c>
      <c r="AF57" s="81">
        <f>COUNTIFS(MatchScoutingData!$F$2:$F$1000, $A57, MatchScoutingData!$X$2:$X$1000, "p")</f>
        <v/>
      </c>
      <c r="AG57" s="81">
        <f>COUNTIFS(MatchScoutingData!$F$2:$F$1000, $A57, MatchScoutingData!$X$2:$X$1000, "s")</f>
        <v/>
      </c>
      <c r="AH57" s="81">
        <f>COUNTIFS(MatchScoutingData!$F$2:$F$1000, $A57, MatchScoutingData!$X$2:$X$1000, "d")</f>
        <v/>
      </c>
      <c r="AI57" s="81">
        <f>AF57 * 2</f>
        <v/>
      </c>
      <c r="AJ57" s="81">
        <f>AG57 * 6</f>
        <v/>
      </c>
      <c r="AK57" s="81">
        <f>AH57 * 12</f>
        <v/>
      </c>
      <c r="AL57" s="84">
        <f>SUM(AI57:AK57)</f>
        <v/>
      </c>
      <c r="AM57" s="84">
        <f>IF(AD57 &gt; 0, AL57/B57, 0)</f>
        <v/>
      </c>
      <c r="AN57" s="85">
        <f>SUM(P57, AD57, AL57)</f>
        <v/>
      </c>
      <c r="AO57" s="85">
        <f>IF(AN57 &gt; 0, AN57/B57, 0)</f>
        <v/>
      </c>
      <c r="AP57" s="81">
        <f>SUMIF(MatchScoutingData!$F$2:$F$1000, $A57, MatchScoutingData!Z$2:Z$1000)</f>
        <v/>
      </c>
      <c r="AQ57" s="81">
        <f>SUMIF(MatchScoutingData!$F$2:$F$1000, $A57, MatchScoutingData!AA$2:AA$1000)</f>
        <v/>
      </c>
      <c r="AR57" s="81">
        <f>SUMIF(MatchScoutingData!$F$2:$F$1000, $A57, MatchScoutingData!AB$2:AB$1000)</f>
        <v/>
      </c>
      <c r="AS57" s="81">
        <f>SUM(AP57, AQ57, AR57)</f>
        <v/>
      </c>
    </row>
  </sheetData>
  <autoFilter ref="A3:AR3"/>
  <mergeCells count="11">
    <mergeCell ref="AP1:AS2"/>
    <mergeCell ref="C2:H2"/>
    <mergeCell ref="C1:Q1"/>
    <mergeCell ref="I2:Q2"/>
    <mergeCell ref="R1:AE1"/>
    <mergeCell ref="R2:W2"/>
    <mergeCell ref="AF2:AH2"/>
    <mergeCell ref="AF1:AM1"/>
    <mergeCell ref="X2:AE2"/>
    <mergeCell ref="AN1:AO2"/>
    <mergeCell ref="AI2:A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zoomScale="150" zoomScaleNormal="150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5" outlineLevelCol="0"/>
  <cols>
    <col width="7.83203125" customWidth="1" min="2" max="21"/>
  </cols>
  <sheetData>
    <row r="1" ht="17" customHeight="1" thickBot="1">
      <c r="A1" s="16" t="n"/>
      <c r="B1" s="72" t="inlineStr">
        <is>
          <t>Points Scored</t>
        </is>
      </c>
      <c r="C1" s="55" t="n"/>
      <c r="D1" s="55" t="n"/>
      <c r="E1" s="55" t="n"/>
      <c r="F1" s="55" t="n"/>
      <c r="G1" s="55" t="n"/>
      <c r="H1" s="55" t="n"/>
      <c r="I1" s="64" t="n"/>
      <c r="J1" s="54" t="inlineStr">
        <is>
          <t>Percentile</t>
        </is>
      </c>
      <c r="K1" s="55" t="n"/>
      <c r="L1" s="55" t="n"/>
      <c r="M1" s="55" t="n"/>
      <c r="N1" s="54" t="inlineStr">
        <is>
          <t>Ranking Points Scored</t>
        </is>
      </c>
      <c r="O1" s="55" t="n"/>
      <c r="P1" s="55" t="n"/>
      <c r="Q1" s="55" t="n"/>
      <c r="R1" s="54" t="inlineStr">
        <is>
          <t>Ranking Points Percentile</t>
        </is>
      </c>
      <c r="S1" s="55" t="n"/>
      <c r="T1" s="55" t="n"/>
      <c r="U1" s="55" t="n"/>
    </row>
    <row r="2" ht="17" customHeight="1" thickBot="1">
      <c r="A2" s="16" t="n"/>
      <c r="B2" s="73" t="inlineStr">
        <is>
          <t>Auto</t>
        </is>
      </c>
      <c r="C2" s="70" t="n"/>
      <c r="D2" s="60" t="inlineStr">
        <is>
          <t>Teleop</t>
        </is>
      </c>
      <c r="F2" s="66" t="inlineStr">
        <is>
          <t>Endgame</t>
        </is>
      </c>
      <c r="G2" s="64" t="n"/>
      <c r="H2" s="74" t="inlineStr">
        <is>
          <t>Overall</t>
        </is>
      </c>
      <c r="I2" s="64" t="n"/>
      <c r="J2" s="17" t="n"/>
      <c r="K2" s="18" t="n"/>
      <c r="L2" s="19" t="n"/>
      <c r="M2" s="20" t="n"/>
      <c r="N2" s="28" t="n"/>
      <c r="O2" s="28" t="n"/>
      <c r="P2" s="28" t="n"/>
      <c r="Q2" s="28" t="n"/>
      <c r="R2" s="28" t="n"/>
      <c r="S2" s="28" t="n"/>
      <c r="T2" s="28" t="n"/>
      <c r="U2" s="28" t="n"/>
    </row>
    <row r="3" ht="110" customHeight="1" thickBot="1">
      <c r="A3" s="16" t="inlineStr">
        <is>
          <t>Team</t>
        </is>
      </c>
      <c r="B3" s="13" t="inlineStr">
        <is>
          <t>Total</t>
        </is>
      </c>
      <c r="C3" s="13" t="inlineStr">
        <is>
          <t>Average</t>
        </is>
      </c>
      <c r="D3" s="21" t="inlineStr">
        <is>
          <t>Total</t>
        </is>
      </c>
      <c r="E3" s="21" t="inlineStr">
        <is>
          <t>Average</t>
        </is>
      </c>
      <c r="F3" s="15" t="inlineStr">
        <is>
          <t>Total</t>
        </is>
      </c>
      <c r="G3" s="15" t="inlineStr">
        <is>
          <t>Average</t>
        </is>
      </c>
      <c r="H3" s="22" t="inlineStr">
        <is>
          <t>Total</t>
        </is>
      </c>
      <c r="I3" s="22" t="inlineStr">
        <is>
          <t>Average</t>
        </is>
      </c>
      <c r="J3" s="14" t="inlineStr">
        <is>
          <t>Auto</t>
        </is>
      </c>
      <c r="K3" s="23" t="inlineStr">
        <is>
          <t>Teleop</t>
        </is>
      </c>
      <c r="L3" s="24" t="inlineStr">
        <is>
          <t>Endgame</t>
        </is>
      </c>
      <c r="M3" s="25" t="inlineStr">
        <is>
          <t>Total</t>
        </is>
      </c>
      <c r="N3" s="29" t="inlineStr">
        <is>
          <t>Auto</t>
        </is>
      </c>
      <c r="O3" s="29" t="inlineStr">
        <is>
          <t>Coral</t>
        </is>
      </c>
      <c r="P3" s="29" t="inlineStr">
        <is>
          <t>Barge</t>
        </is>
      </c>
      <c r="Q3" s="29" t="inlineStr">
        <is>
          <t>Total</t>
        </is>
      </c>
      <c r="R3" s="29" t="inlineStr">
        <is>
          <t>Auto</t>
        </is>
      </c>
      <c r="S3" s="29" t="inlineStr">
        <is>
          <t>Coral</t>
        </is>
      </c>
      <c r="T3" s="29" t="inlineStr">
        <is>
          <t>Barge</t>
        </is>
      </c>
      <c r="U3" s="29" t="inlineStr">
        <is>
          <t>Total</t>
        </is>
      </c>
    </row>
    <row r="4">
      <c r="A4" s="80" t="n">
        <v>20</v>
      </c>
      <c r="B4" s="81">
        <f>INDEX('Team Scores'!P$4:P$57, MATCH(A4,'Team Scores'!A$4:A$57, 0))</f>
        <v/>
      </c>
      <c r="C4" s="81">
        <f>INDEX('Team Scores'!Q$4:Q$57, MATCH(A4,'Team Scores'!A$4:A$57, 0))</f>
        <v/>
      </c>
      <c r="D4" s="81">
        <f>INDEX('Team Scores'!AD$4:AD$57, MATCH(A4,'Team Scores'!A$4:A$57, 0))</f>
        <v/>
      </c>
      <c r="E4" s="81">
        <f>INDEX('Team Scores'!AE$4:AE$57, MATCH(A4,'Team Scores'!A$4:A$57, 0))</f>
        <v/>
      </c>
      <c r="F4" s="81">
        <f>INDEX('Team Scores'!AL$4:AL$57, MATCH(A4,'Team Scores'!A$4:A$57, 0))</f>
        <v/>
      </c>
      <c r="G4" s="81">
        <f>INDEX('Team Scores'!AM$4:AM$57, MATCH(A4,'Team Scores'!A$4:A$57, 0))</f>
        <v/>
      </c>
      <c r="H4" s="81">
        <f>INDEX('Team Scores'!AN$4:AN$57, MATCH(A4,'Team Scores'!A$4:A$57, 0))</f>
        <v/>
      </c>
      <c r="I4" s="81">
        <f>INDEX('Team Scores'!AO$4:AO$57, MATCH(A4,'Team Scores'!A$4:A$57, 0))</f>
        <v/>
      </c>
      <c r="J4" s="86">
        <f>PERCENTRANK(B$4:B$57, B4, 3)</f>
        <v/>
      </c>
      <c r="K4" s="86">
        <f>PERCENTRANK(D$4:D$57, D4, 3)</f>
        <v/>
      </c>
      <c r="L4" s="86">
        <f>PERCENTRANK(F$4:F$57, F4, 3)</f>
        <v/>
      </c>
      <c r="M4" s="86">
        <f>PERCENTRANK(H$4:H$57, H4, 3)</f>
        <v/>
      </c>
      <c r="N4" s="81">
        <f>INDEX('Team Scores'!AP$4:AP$57, MATCH(A4,'Team Scores'!A$4:A$57, 0))</f>
        <v/>
      </c>
      <c r="O4" s="81">
        <f>INDEX('Team Scores'!AQ$4:AQ$57, MATCH(A4,'Team Scores'!A$4:A$57, 0))</f>
        <v/>
      </c>
      <c r="P4" s="81">
        <f>INDEX('Team Scores'!AR$4:AR$57, MATCH(A4,'Team Scores'!A$4:A$57, 0))</f>
        <v/>
      </c>
      <c r="Q4" s="81">
        <f>INDEX('Team Scores'!AS$4:AS$57, MATCH(A4,'Team Scores'!A$4:A$57, 0))</f>
        <v/>
      </c>
      <c r="R4" s="86">
        <f>PERCENTRANK(N$4:N$57, N4, 3)</f>
        <v/>
      </c>
      <c r="S4" s="86">
        <f>PERCENTRANK(O$4:O$57, O4, 3)</f>
        <v/>
      </c>
      <c r="T4" s="86">
        <f>PERCENTRANK(P$4:P$57, P4, 3)</f>
        <v/>
      </c>
      <c r="U4" s="86">
        <f>PERCENTRANK(Q$4:Q$57, Q4, 3)</f>
        <v/>
      </c>
    </row>
    <row r="5">
      <c r="A5" s="80" t="n">
        <v>191</v>
      </c>
      <c r="B5" s="81">
        <f>INDEX('Team Scores'!P$4:P$57, MATCH(A5,'Team Scores'!A$4:A$57, 0))</f>
        <v/>
      </c>
      <c r="C5" s="81">
        <f>INDEX('Team Scores'!Q$4:Q$57, MATCH(A5,'Team Scores'!A$4:A$57, 0))</f>
        <v/>
      </c>
      <c r="D5" s="81">
        <f>INDEX('Team Scores'!AD$4:AD$57, MATCH(A5,'Team Scores'!A$4:A$57, 0))</f>
        <v/>
      </c>
      <c r="E5" s="81">
        <f>INDEX('Team Scores'!AE$4:AE$57, MATCH(A5,'Team Scores'!A$4:A$57, 0))</f>
        <v/>
      </c>
      <c r="F5" s="81">
        <f>INDEX('Team Scores'!AL$4:AL$57, MATCH(A5,'Team Scores'!A$4:A$57, 0))</f>
        <v/>
      </c>
      <c r="G5" s="81">
        <f>INDEX('Team Scores'!AM$4:AM$57, MATCH(A5,'Team Scores'!A$4:A$57, 0))</f>
        <v/>
      </c>
      <c r="H5" s="81">
        <f>INDEX('Team Scores'!AN$4:AN$57, MATCH(A5,'Team Scores'!A$4:A$57, 0))</f>
        <v/>
      </c>
      <c r="I5" s="81">
        <f>INDEX('Team Scores'!AO$4:AO$57, MATCH(A5,'Team Scores'!A$4:A$57, 0))</f>
        <v/>
      </c>
      <c r="J5" s="86">
        <f>PERCENTRANK(B$4:B$57, B5, 3)</f>
        <v/>
      </c>
      <c r="K5" s="86">
        <f>PERCENTRANK(D$4:D$57, D5, 3)</f>
        <v/>
      </c>
      <c r="L5" s="86">
        <f>PERCENTRANK(F$4:F$57, F5, 3)</f>
        <v/>
      </c>
      <c r="M5" s="86">
        <f>PERCENTRANK(H$4:H$57, H5, 3)</f>
        <v/>
      </c>
      <c r="N5" s="81">
        <f>INDEX('Team Scores'!AP$4:AP$57, MATCH(A5,'Team Scores'!A$4:A$57, 0))</f>
        <v/>
      </c>
      <c r="O5" s="81">
        <f>INDEX('Team Scores'!AQ$4:AQ$57, MATCH(A5,'Team Scores'!A$4:A$57, 0))</f>
        <v/>
      </c>
      <c r="P5" s="81">
        <f>INDEX('Team Scores'!AR$4:AR$57, MATCH(A5,'Team Scores'!A$4:A$57, 0))</f>
        <v/>
      </c>
      <c r="Q5" s="81">
        <f>INDEX('Team Scores'!AS$4:AS$57, MATCH(A5,'Team Scores'!A$4:A$57, 0))</f>
        <v/>
      </c>
      <c r="R5" s="86">
        <f>PERCENTRANK(N$4:N$57, N5, 3)</f>
        <v/>
      </c>
      <c r="S5" s="86">
        <f>PERCENTRANK(O$4:O$57, O5, 3)</f>
        <v/>
      </c>
      <c r="T5" s="86">
        <f>PERCENTRANK(P$4:P$57, P5, 3)</f>
        <v/>
      </c>
      <c r="U5" s="86">
        <f>PERCENTRANK(Q$4:Q$57, Q5, 3)</f>
        <v/>
      </c>
    </row>
    <row r="6">
      <c r="A6" s="80" t="n">
        <v>229</v>
      </c>
      <c r="B6" s="81">
        <f>INDEX('Team Scores'!P$4:P$57, MATCH(A6,'Team Scores'!A$4:A$57, 0))</f>
        <v/>
      </c>
      <c r="C6" s="81">
        <f>INDEX('Team Scores'!Q$4:Q$57, MATCH(A6,'Team Scores'!A$4:A$57, 0))</f>
        <v/>
      </c>
      <c r="D6" s="81">
        <f>INDEX('Team Scores'!AD$4:AD$57, MATCH(A6,'Team Scores'!A$4:A$57, 0))</f>
        <v/>
      </c>
      <c r="E6" s="81">
        <f>INDEX('Team Scores'!AE$4:AE$57, MATCH(A6,'Team Scores'!A$4:A$57, 0))</f>
        <v/>
      </c>
      <c r="F6" s="81">
        <f>INDEX('Team Scores'!AL$4:AL$57, MATCH(A6,'Team Scores'!A$4:A$57, 0))</f>
        <v/>
      </c>
      <c r="G6" s="81">
        <f>INDEX('Team Scores'!AM$4:AM$57, MATCH(A6,'Team Scores'!A$4:A$57, 0))</f>
        <v/>
      </c>
      <c r="H6" s="81">
        <f>INDEX('Team Scores'!AN$4:AN$57, MATCH(A6,'Team Scores'!A$4:A$57, 0))</f>
        <v/>
      </c>
      <c r="I6" s="81">
        <f>INDEX('Team Scores'!AO$4:AO$57, MATCH(A6,'Team Scores'!A$4:A$57, 0))</f>
        <v/>
      </c>
      <c r="J6" s="86">
        <f>PERCENTRANK(B$4:B$57, B6, 3)</f>
        <v/>
      </c>
      <c r="K6" s="86">
        <f>PERCENTRANK(D$4:D$57, D6, 3)</f>
        <v/>
      </c>
      <c r="L6" s="86">
        <f>PERCENTRANK(F$4:F$57, F6, 3)</f>
        <v/>
      </c>
      <c r="M6" s="86">
        <f>PERCENTRANK(H$4:H$57, H6, 3)</f>
        <v/>
      </c>
      <c r="N6" s="81">
        <f>INDEX('Team Scores'!AP$4:AP$57, MATCH(A6,'Team Scores'!A$4:A$57, 0))</f>
        <v/>
      </c>
      <c r="O6" s="81">
        <f>INDEX('Team Scores'!AQ$4:AQ$57, MATCH(A6,'Team Scores'!A$4:A$57, 0))</f>
        <v/>
      </c>
      <c r="P6" s="81">
        <f>INDEX('Team Scores'!AR$4:AR$57, MATCH(A6,'Team Scores'!A$4:A$57, 0))</f>
        <v/>
      </c>
      <c r="Q6" s="81">
        <f>INDEX('Team Scores'!AS$4:AS$57, MATCH(A6,'Team Scores'!A$4:A$57, 0))</f>
        <v/>
      </c>
      <c r="R6" s="86">
        <f>PERCENTRANK(N$4:N$57, N6, 3)</f>
        <v/>
      </c>
      <c r="S6" s="86">
        <f>PERCENTRANK(O$4:O$57, O6, 3)</f>
        <v/>
      </c>
      <c r="T6" s="86">
        <f>PERCENTRANK(P$4:P$57, P6, 3)</f>
        <v/>
      </c>
      <c r="U6" s="86">
        <f>PERCENTRANK(Q$4:Q$57, Q6, 3)</f>
        <v/>
      </c>
    </row>
    <row r="7">
      <c r="A7" s="80" t="n">
        <v>250</v>
      </c>
      <c r="B7" s="81">
        <f>INDEX('Team Scores'!P$4:P$57, MATCH(A7,'Team Scores'!A$4:A$57, 0))</f>
        <v/>
      </c>
      <c r="C7" s="81">
        <f>INDEX('Team Scores'!Q$4:Q$57, MATCH(A7,'Team Scores'!A$4:A$57, 0))</f>
        <v/>
      </c>
      <c r="D7" s="81">
        <f>INDEX('Team Scores'!AD$4:AD$57, MATCH(A7,'Team Scores'!A$4:A$57, 0))</f>
        <v/>
      </c>
      <c r="E7" s="81">
        <f>INDEX('Team Scores'!AE$4:AE$57, MATCH(A7,'Team Scores'!A$4:A$57, 0))</f>
        <v/>
      </c>
      <c r="F7" s="81">
        <f>INDEX('Team Scores'!AL$4:AL$57, MATCH(A7,'Team Scores'!A$4:A$57, 0))</f>
        <v/>
      </c>
      <c r="G7" s="81">
        <f>INDEX('Team Scores'!AM$4:AM$57, MATCH(A7,'Team Scores'!A$4:A$57, 0))</f>
        <v/>
      </c>
      <c r="H7" s="81">
        <f>INDEX('Team Scores'!AN$4:AN$57, MATCH(A7,'Team Scores'!A$4:A$57, 0))</f>
        <v/>
      </c>
      <c r="I7" s="81">
        <f>INDEX('Team Scores'!AO$4:AO$57, MATCH(A7,'Team Scores'!A$4:A$57, 0))</f>
        <v/>
      </c>
      <c r="J7" s="86">
        <f>PERCENTRANK(B$4:B$57, B7, 3)</f>
        <v/>
      </c>
      <c r="K7" s="86">
        <f>PERCENTRANK(D$4:D$57, D7, 3)</f>
        <v/>
      </c>
      <c r="L7" s="86">
        <f>PERCENTRANK(F$4:F$57, F7, 3)</f>
        <v/>
      </c>
      <c r="M7" s="86">
        <f>PERCENTRANK(H$4:H$57, H7, 3)</f>
        <v/>
      </c>
      <c r="N7" s="81">
        <f>INDEX('Team Scores'!AP$4:AP$57, MATCH(A7,'Team Scores'!A$4:A$57, 0))</f>
        <v/>
      </c>
      <c r="O7" s="81">
        <f>INDEX('Team Scores'!AQ$4:AQ$57, MATCH(A7,'Team Scores'!A$4:A$57, 0))</f>
        <v/>
      </c>
      <c r="P7" s="81">
        <f>INDEX('Team Scores'!AR$4:AR$57, MATCH(A7,'Team Scores'!A$4:A$57, 0))</f>
        <v/>
      </c>
      <c r="Q7" s="81">
        <f>INDEX('Team Scores'!AS$4:AS$57, MATCH(A7,'Team Scores'!A$4:A$57, 0))</f>
        <v/>
      </c>
      <c r="R7" s="86">
        <f>PERCENTRANK(N$4:N$57, N7, 3)</f>
        <v/>
      </c>
      <c r="S7" s="86">
        <f>PERCENTRANK(O$4:O$57, O7, 3)</f>
        <v/>
      </c>
      <c r="T7" s="86">
        <f>PERCENTRANK(P$4:P$57, P7, 3)</f>
        <v/>
      </c>
      <c r="U7" s="86">
        <f>PERCENTRANK(Q$4:Q$57, Q7, 3)</f>
        <v/>
      </c>
    </row>
    <row r="8">
      <c r="A8" s="80" t="n">
        <v>271</v>
      </c>
      <c r="B8" s="81">
        <f>INDEX('Team Scores'!P$4:P$57, MATCH(A8,'Team Scores'!A$4:A$57, 0))</f>
        <v/>
      </c>
      <c r="C8" s="81">
        <f>INDEX('Team Scores'!Q$4:Q$57, MATCH(A8,'Team Scores'!A$4:A$57, 0))</f>
        <v/>
      </c>
      <c r="D8" s="81">
        <f>INDEX('Team Scores'!AD$4:AD$57, MATCH(A8,'Team Scores'!A$4:A$57, 0))</f>
        <v/>
      </c>
      <c r="E8" s="81">
        <f>INDEX('Team Scores'!AE$4:AE$57, MATCH(A8,'Team Scores'!A$4:A$57, 0))</f>
        <v/>
      </c>
      <c r="F8" s="81">
        <f>INDEX('Team Scores'!AL$4:AL$57, MATCH(A8,'Team Scores'!A$4:A$57, 0))</f>
        <v/>
      </c>
      <c r="G8" s="81">
        <f>INDEX('Team Scores'!AM$4:AM$57, MATCH(A8,'Team Scores'!A$4:A$57, 0))</f>
        <v/>
      </c>
      <c r="H8" s="81">
        <f>INDEX('Team Scores'!AN$4:AN$57, MATCH(A8,'Team Scores'!A$4:A$57, 0))</f>
        <v/>
      </c>
      <c r="I8" s="81">
        <f>INDEX('Team Scores'!AO$4:AO$57, MATCH(A8,'Team Scores'!A$4:A$57, 0))</f>
        <v/>
      </c>
      <c r="J8" s="86">
        <f>PERCENTRANK(B$4:B$57, B8, 3)</f>
        <v/>
      </c>
      <c r="K8" s="86">
        <f>PERCENTRANK(D$4:D$57, D8, 3)</f>
        <v/>
      </c>
      <c r="L8" s="86">
        <f>PERCENTRANK(F$4:F$57, F8, 3)</f>
        <v/>
      </c>
      <c r="M8" s="86">
        <f>PERCENTRANK(H$4:H$57, H8, 3)</f>
        <v/>
      </c>
      <c r="N8" s="81">
        <f>INDEX('Team Scores'!AP$4:AP$57, MATCH(A8,'Team Scores'!A$4:A$57, 0))</f>
        <v/>
      </c>
      <c r="O8" s="81">
        <f>INDEX('Team Scores'!AQ$4:AQ$57, MATCH(A8,'Team Scores'!A$4:A$57, 0))</f>
        <v/>
      </c>
      <c r="P8" s="81">
        <f>INDEX('Team Scores'!AR$4:AR$57, MATCH(A8,'Team Scores'!A$4:A$57, 0))</f>
        <v/>
      </c>
      <c r="Q8" s="81">
        <f>INDEX('Team Scores'!AS$4:AS$57, MATCH(A8,'Team Scores'!A$4:A$57, 0))</f>
        <v/>
      </c>
      <c r="R8" s="86">
        <f>PERCENTRANK(N$4:N$57, N8, 3)</f>
        <v/>
      </c>
      <c r="S8" s="86">
        <f>PERCENTRANK(O$4:O$57, O8, 3)</f>
        <v/>
      </c>
      <c r="T8" s="86">
        <f>PERCENTRANK(P$4:P$57, P8, 3)</f>
        <v/>
      </c>
      <c r="U8" s="86">
        <f>PERCENTRANK(Q$4:Q$57, Q8, 3)</f>
        <v/>
      </c>
    </row>
    <row r="9">
      <c r="A9" s="80" t="n">
        <v>340</v>
      </c>
      <c r="B9" s="81">
        <f>INDEX('Team Scores'!P$4:P$57, MATCH(A9,'Team Scores'!A$4:A$57, 0))</f>
        <v/>
      </c>
      <c r="C9" s="81">
        <f>INDEX('Team Scores'!Q$4:Q$57, MATCH(A9,'Team Scores'!A$4:A$57, 0))</f>
        <v/>
      </c>
      <c r="D9" s="81">
        <f>INDEX('Team Scores'!AD$4:AD$57, MATCH(A9,'Team Scores'!A$4:A$57, 0))</f>
        <v/>
      </c>
      <c r="E9" s="81">
        <f>INDEX('Team Scores'!AE$4:AE$57, MATCH(A9,'Team Scores'!A$4:A$57, 0))</f>
        <v/>
      </c>
      <c r="F9" s="81">
        <f>INDEX('Team Scores'!AL$4:AL$57, MATCH(A9,'Team Scores'!A$4:A$57, 0))</f>
        <v/>
      </c>
      <c r="G9" s="81">
        <f>INDEX('Team Scores'!AM$4:AM$57, MATCH(A9,'Team Scores'!A$4:A$57, 0))</f>
        <v/>
      </c>
      <c r="H9" s="81">
        <f>INDEX('Team Scores'!AN$4:AN$57, MATCH(A9,'Team Scores'!A$4:A$57, 0))</f>
        <v/>
      </c>
      <c r="I9" s="81">
        <f>INDEX('Team Scores'!AO$4:AO$57, MATCH(A9,'Team Scores'!A$4:A$57, 0))</f>
        <v/>
      </c>
      <c r="J9" s="86">
        <f>PERCENTRANK(B$4:B$57, B9, 3)</f>
        <v/>
      </c>
      <c r="K9" s="86">
        <f>PERCENTRANK(D$4:D$57, D9, 3)</f>
        <v/>
      </c>
      <c r="L9" s="86">
        <f>PERCENTRANK(F$4:F$57, F9, 3)</f>
        <v/>
      </c>
      <c r="M9" s="86">
        <f>PERCENTRANK(H$4:H$57, H9, 3)</f>
        <v/>
      </c>
      <c r="N9" s="81">
        <f>INDEX('Team Scores'!AP$4:AP$57, MATCH(A9,'Team Scores'!A$4:A$57, 0))</f>
        <v/>
      </c>
      <c r="O9" s="81">
        <f>INDEX('Team Scores'!AQ$4:AQ$57, MATCH(A9,'Team Scores'!A$4:A$57, 0))</f>
        <v/>
      </c>
      <c r="P9" s="81">
        <f>INDEX('Team Scores'!AR$4:AR$57, MATCH(A9,'Team Scores'!A$4:A$57, 0))</f>
        <v/>
      </c>
      <c r="Q9" s="81">
        <f>INDEX('Team Scores'!AS$4:AS$57, MATCH(A9,'Team Scores'!A$4:A$57, 0))</f>
        <v/>
      </c>
      <c r="R9" s="86">
        <f>PERCENTRANK(N$4:N$57, N9, 3)</f>
        <v/>
      </c>
      <c r="S9" s="86">
        <f>PERCENTRANK(O$4:O$57, O9, 3)</f>
        <v/>
      </c>
      <c r="T9" s="86">
        <f>PERCENTRANK(P$4:P$57, P9, 3)</f>
        <v/>
      </c>
      <c r="U9" s="86">
        <f>PERCENTRANK(Q$4:Q$57, Q9, 3)</f>
        <v/>
      </c>
    </row>
    <row r="10">
      <c r="A10" s="80" t="n">
        <v>378</v>
      </c>
      <c r="B10" s="81">
        <f>INDEX('Team Scores'!P$4:P$57, MATCH(A10,'Team Scores'!A$4:A$57, 0))</f>
        <v/>
      </c>
      <c r="C10" s="81">
        <f>INDEX('Team Scores'!Q$4:Q$57, MATCH(A10,'Team Scores'!A$4:A$57, 0))</f>
        <v/>
      </c>
      <c r="D10" s="81">
        <f>INDEX('Team Scores'!AD$4:AD$57, MATCH(A10,'Team Scores'!A$4:A$57, 0))</f>
        <v/>
      </c>
      <c r="E10" s="81">
        <f>INDEX('Team Scores'!AE$4:AE$57, MATCH(A10,'Team Scores'!A$4:A$57, 0))</f>
        <v/>
      </c>
      <c r="F10" s="81">
        <f>INDEX('Team Scores'!AL$4:AL$57, MATCH(A10,'Team Scores'!A$4:A$57, 0))</f>
        <v/>
      </c>
      <c r="G10" s="81">
        <f>INDEX('Team Scores'!AM$4:AM$57, MATCH(A10,'Team Scores'!A$4:A$57, 0))</f>
        <v/>
      </c>
      <c r="H10" s="81">
        <f>INDEX('Team Scores'!AN$4:AN$57, MATCH(A10,'Team Scores'!A$4:A$57, 0))</f>
        <v/>
      </c>
      <c r="I10" s="81">
        <f>INDEX('Team Scores'!AO$4:AO$57, MATCH(A10,'Team Scores'!A$4:A$57, 0))</f>
        <v/>
      </c>
      <c r="J10" s="86">
        <f>PERCENTRANK(B$4:B$57, B10, 3)</f>
        <v/>
      </c>
      <c r="K10" s="86">
        <f>PERCENTRANK(D$4:D$57, D10, 3)</f>
        <v/>
      </c>
      <c r="L10" s="86">
        <f>PERCENTRANK(F$4:F$57, F10, 3)</f>
        <v/>
      </c>
      <c r="M10" s="86">
        <f>PERCENTRANK(H$4:H$57, H10, 3)</f>
        <v/>
      </c>
      <c r="N10" s="81">
        <f>INDEX('Team Scores'!AP$4:AP$57, MATCH(A10,'Team Scores'!A$4:A$57, 0))</f>
        <v/>
      </c>
      <c r="O10" s="81">
        <f>INDEX('Team Scores'!AQ$4:AQ$57, MATCH(A10,'Team Scores'!A$4:A$57, 0))</f>
        <v/>
      </c>
      <c r="P10" s="81">
        <f>INDEX('Team Scores'!AR$4:AR$57, MATCH(A10,'Team Scores'!A$4:A$57, 0))</f>
        <v/>
      </c>
      <c r="Q10" s="81">
        <f>INDEX('Team Scores'!AS$4:AS$57, MATCH(A10,'Team Scores'!A$4:A$57, 0))</f>
        <v/>
      </c>
      <c r="R10" s="86">
        <f>PERCENTRANK(N$4:N$57, N10, 3)</f>
        <v/>
      </c>
      <c r="S10" s="86">
        <f>PERCENTRANK(O$4:O$57, O10, 3)</f>
        <v/>
      </c>
      <c r="T10" s="86">
        <f>PERCENTRANK(P$4:P$57, P10, 3)</f>
        <v/>
      </c>
      <c r="U10" s="86">
        <f>PERCENTRANK(Q$4:Q$57, Q10, 3)</f>
        <v/>
      </c>
    </row>
    <row r="11">
      <c r="A11" s="80" t="n">
        <v>424</v>
      </c>
      <c r="B11" s="81">
        <f>INDEX('Team Scores'!P$4:P$57, MATCH(A11,'Team Scores'!A$4:A$57, 0))</f>
        <v/>
      </c>
      <c r="C11" s="81">
        <f>INDEX('Team Scores'!Q$4:Q$57, MATCH(A11,'Team Scores'!A$4:A$57, 0))</f>
        <v/>
      </c>
      <c r="D11" s="81">
        <f>INDEX('Team Scores'!AD$4:AD$57, MATCH(A11,'Team Scores'!A$4:A$57, 0))</f>
        <v/>
      </c>
      <c r="E11" s="81">
        <f>INDEX('Team Scores'!AE$4:AE$57, MATCH(A11,'Team Scores'!A$4:A$57, 0))</f>
        <v/>
      </c>
      <c r="F11" s="81">
        <f>INDEX('Team Scores'!AL$4:AL$57, MATCH(A11,'Team Scores'!A$4:A$57, 0))</f>
        <v/>
      </c>
      <c r="G11" s="81">
        <f>INDEX('Team Scores'!AM$4:AM$57, MATCH(A11,'Team Scores'!A$4:A$57, 0))</f>
        <v/>
      </c>
      <c r="H11" s="81">
        <f>INDEX('Team Scores'!AN$4:AN$57, MATCH(A11,'Team Scores'!A$4:A$57, 0))</f>
        <v/>
      </c>
      <c r="I11" s="81">
        <f>INDEX('Team Scores'!AO$4:AO$57, MATCH(A11,'Team Scores'!A$4:A$57, 0))</f>
        <v/>
      </c>
      <c r="J11" s="86">
        <f>PERCENTRANK(B$4:B$57, B11, 3)</f>
        <v/>
      </c>
      <c r="K11" s="86">
        <f>PERCENTRANK(D$4:D$57, D11, 3)</f>
        <v/>
      </c>
      <c r="L11" s="86">
        <f>PERCENTRANK(F$4:F$57, F11, 3)</f>
        <v/>
      </c>
      <c r="M11" s="86">
        <f>PERCENTRANK(H$4:H$57, H11, 3)</f>
        <v/>
      </c>
      <c r="N11" s="81">
        <f>INDEX('Team Scores'!AP$4:AP$57, MATCH(A11,'Team Scores'!A$4:A$57, 0))</f>
        <v/>
      </c>
      <c r="O11" s="81">
        <f>INDEX('Team Scores'!AQ$4:AQ$57, MATCH(A11,'Team Scores'!A$4:A$57, 0))</f>
        <v/>
      </c>
      <c r="P11" s="81">
        <f>INDEX('Team Scores'!AR$4:AR$57, MATCH(A11,'Team Scores'!A$4:A$57, 0))</f>
        <v/>
      </c>
      <c r="Q11" s="81">
        <f>INDEX('Team Scores'!AS$4:AS$57, MATCH(A11,'Team Scores'!A$4:A$57, 0))</f>
        <v/>
      </c>
      <c r="R11" s="86">
        <f>PERCENTRANK(N$4:N$57, N11, 3)</f>
        <v/>
      </c>
      <c r="S11" s="86">
        <f>PERCENTRANK(O$4:O$57, O11, 3)</f>
        <v/>
      </c>
      <c r="T11" s="86">
        <f>PERCENTRANK(P$4:P$57, P11, 3)</f>
        <v/>
      </c>
      <c r="U11" s="86">
        <f>PERCENTRANK(Q$4:Q$57, Q11, 3)</f>
        <v/>
      </c>
    </row>
    <row r="12">
      <c r="A12" s="80" t="n">
        <v>533</v>
      </c>
      <c r="B12" s="81">
        <f>INDEX('Team Scores'!P$4:P$57, MATCH(A12,'Team Scores'!A$4:A$57, 0))</f>
        <v/>
      </c>
      <c r="C12" s="81">
        <f>INDEX('Team Scores'!Q$4:Q$57, MATCH(A12,'Team Scores'!A$4:A$57, 0))</f>
        <v/>
      </c>
      <c r="D12" s="81">
        <f>INDEX('Team Scores'!AD$4:AD$57, MATCH(A12,'Team Scores'!A$4:A$57, 0))</f>
        <v/>
      </c>
      <c r="E12" s="81">
        <f>INDEX('Team Scores'!AE$4:AE$57, MATCH(A12,'Team Scores'!A$4:A$57, 0))</f>
        <v/>
      </c>
      <c r="F12" s="81">
        <f>INDEX('Team Scores'!AL$4:AL$57, MATCH(A12,'Team Scores'!A$4:A$57, 0))</f>
        <v/>
      </c>
      <c r="G12" s="81">
        <f>INDEX('Team Scores'!AM$4:AM$57, MATCH(A12,'Team Scores'!A$4:A$57, 0))</f>
        <v/>
      </c>
      <c r="H12" s="81">
        <f>INDEX('Team Scores'!AN$4:AN$57, MATCH(A12,'Team Scores'!A$4:A$57, 0))</f>
        <v/>
      </c>
      <c r="I12" s="81">
        <f>INDEX('Team Scores'!AO$4:AO$57, MATCH(A12,'Team Scores'!A$4:A$57, 0))</f>
        <v/>
      </c>
      <c r="J12" s="86">
        <f>PERCENTRANK(B$4:B$57, B12, 3)</f>
        <v/>
      </c>
      <c r="K12" s="86">
        <f>PERCENTRANK(D$4:D$57, D12, 3)</f>
        <v/>
      </c>
      <c r="L12" s="86">
        <f>PERCENTRANK(F$4:F$57, F12, 3)</f>
        <v/>
      </c>
      <c r="M12" s="86">
        <f>PERCENTRANK(H$4:H$57, H12, 3)</f>
        <v/>
      </c>
      <c r="N12" s="81">
        <f>INDEX('Team Scores'!AP$4:AP$57, MATCH(A12,'Team Scores'!A$4:A$57, 0))</f>
        <v/>
      </c>
      <c r="O12" s="81">
        <f>INDEX('Team Scores'!AQ$4:AQ$57, MATCH(A12,'Team Scores'!A$4:A$57, 0))</f>
        <v/>
      </c>
      <c r="P12" s="81">
        <f>INDEX('Team Scores'!AR$4:AR$57, MATCH(A12,'Team Scores'!A$4:A$57, 0))</f>
        <v/>
      </c>
      <c r="Q12" s="81">
        <f>INDEX('Team Scores'!AS$4:AS$57, MATCH(A12,'Team Scores'!A$4:A$57, 0))</f>
        <v/>
      </c>
      <c r="R12" s="86">
        <f>PERCENTRANK(N$4:N$57, N12, 3)</f>
        <v/>
      </c>
      <c r="S12" s="86">
        <f>PERCENTRANK(O$4:O$57, O12, 3)</f>
        <v/>
      </c>
      <c r="T12" s="86">
        <f>PERCENTRANK(P$4:P$57, P12, 3)</f>
        <v/>
      </c>
      <c r="U12" s="86">
        <f>PERCENTRANK(Q$4:Q$57, Q12, 3)</f>
        <v/>
      </c>
    </row>
    <row r="13">
      <c r="A13" s="80" t="n">
        <v>564</v>
      </c>
      <c r="B13" s="81">
        <f>INDEX('Team Scores'!P$4:P$57, MATCH(A13,'Team Scores'!A$4:A$57, 0))</f>
        <v/>
      </c>
      <c r="C13" s="81">
        <f>INDEX('Team Scores'!Q$4:Q$57, MATCH(A13,'Team Scores'!A$4:A$57, 0))</f>
        <v/>
      </c>
      <c r="D13" s="81">
        <f>INDEX('Team Scores'!AD$4:AD$57, MATCH(A13,'Team Scores'!A$4:A$57, 0))</f>
        <v/>
      </c>
      <c r="E13" s="81">
        <f>INDEX('Team Scores'!AE$4:AE$57, MATCH(A13,'Team Scores'!A$4:A$57, 0))</f>
        <v/>
      </c>
      <c r="F13" s="81">
        <f>INDEX('Team Scores'!AL$4:AL$57, MATCH(A13,'Team Scores'!A$4:A$57, 0))</f>
        <v/>
      </c>
      <c r="G13" s="81">
        <f>INDEX('Team Scores'!AM$4:AM$57, MATCH(A13,'Team Scores'!A$4:A$57, 0))</f>
        <v/>
      </c>
      <c r="H13" s="81">
        <f>INDEX('Team Scores'!AN$4:AN$57, MATCH(A13,'Team Scores'!A$4:A$57, 0))</f>
        <v/>
      </c>
      <c r="I13" s="81">
        <f>INDEX('Team Scores'!AO$4:AO$57, MATCH(A13,'Team Scores'!A$4:A$57, 0))</f>
        <v/>
      </c>
      <c r="J13" s="86">
        <f>PERCENTRANK(B$4:B$57, B13, 3)</f>
        <v/>
      </c>
      <c r="K13" s="86">
        <f>PERCENTRANK(D$4:D$57, D13, 3)</f>
        <v/>
      </c>
      <c r="L13" s="86">
        <f>PERCENTRANK(F$4:F$57, F13, 3)</f>
        <v/>
      </c>
      <c r="M13" s="86">
        <f>PERCENTRANK(H$4:H$57, H13, 3)</f>
        <v/>
      </c>
      <c r="N13" s="81">
        <f>INDEX('Team Scores'!AP$4:AP$57, MATCH(A13,'Team Scores'!A$4:A$57, 0))</f>
        <v/>
      </c>
      <c r="O13" s="81">
        <f>INDEX('Team Scores'!AQ$4:AQ$57, MATCH(A13,'Team Scores'!A$4:A$57, 0))</f>
        <v/>
      </c>
      <c r="P13" s="81">
        <f>INDEX('Team Scores'!AR$4:AR$57, MATCH(A13,'Team Scores'!A$4:A$57, 0))</f>
        <v/>
      </c>
      <c r="Q13" s="81">
        <f>INDEX('Team Scores'!AS$4:AS$57, MATCH(A13,'Team Scores'!A$4:A$57, 0))</f>
        <v/>
      </c>
      <c r="R13" s="86">
        <f>PERCENTRANK(N$4:N$57, N13, 3)</f>
        <v/>
      </c>
      <c r="S13" s="86">
        <f>PERCENTRANK(O$4:O$57, O13, 3)</f>
        <v/>
      </c>
      <c r="T13" s="86">
        <f>PERCENTRANK(P$4:P$57, P13, 3)</f>
        <v/>
      </c>
      <c r="U13" s="86">
        <f>PERCENTRANK(Q$4:Q$57, Q13, 3)</f>
        <v/>
      </c>
    </row>
    <row r="14">
      <c r="A14" s="80" t="n">
        <v>578</v>
      </c>
      <c r="B14" s="81">
        <f>INDEX('Team Scores'!P$4:P$57, MATCH(A14,'Team Scores'!A$4:A$57, 0))</f>
        <v/>
      </c>
      <c r="C14" s="81">
        <f>INDEX('Team Scores'!Q$4:Q$57, MATCH(A14,'Team Scores'!A$4:A$57, 0))</f>
        <v/>
      </c>
      <c r="D14" s="81">
        <f>INDEX('Team Scores'!AD$4:AD$57, MATCH(A14,'Team Scores'!A$4:A$57, 0))</f>
        <v/>
      </c>
      <c r="E14" s="81">
        <f>INDEX('Team Scores'!AE$4:AE$57, MATCH(A14,'Team Scores'!A$4:A$57, 0))</f>
        <v/>
      </c>
      <c r="F14" s="81">
        <f>INDEX('Team Scores'!AL$4:AL$57, MATCH(A14,'Team Scores'!A$4:A$57, 0))</f>
        <v/>
      </c>
      <c r="G14" s="81">
        <f>INDEX('Team Scores'!AM$4:AM$57, MATCH(A14,'Team Scores'!A$4:A$57, 0))</f>
        <v/>
      </c>
      <c r="H14" s="81">
        <f>INDEX('Team Scores'!AN$4:AN$57, MATCH(A14,'Team Scores'!A$4:A$57, 0))</f>
        <v/>
      </c>
      <c r="I14" s="81">
        <f>INDEX('Team Scores'!AO$4:AO$57, MATCH(A14,'Team Scores'!A$4:A$57, 0))</f>
        <v/>
      </c>
      <c r="J14" s="86">
        <f>PERCENTRANK(B$4:B$57, B14, 3)</f>
        <v/>
      </c>
      <c r="K14" s="86">
        <f>PERCENTRANK(D$4:D$57, D14, 3)</f>
        <v/>
      </c>
      <c r="L14" s="86">
        <f>PERCENTRANK(F$4:F$57, F14, 3)</f>
        <v/>
      </c>
      <c r="M14" s="86">
        <f>PERCENTRANK(H$4:H$57, H14, 3)</f>
        <v/>
      </c>
      <c r="N14" s="81">
        <f>INDEX('Team Scores'!AP$4:AP$57, MATCH(A14,'Team Scores'!A$4:A$57, 0))</f>
        <v/>
      </c>
      <c r="O14" s="81">
        <f>INDEX('Team Scores'!AQ$4:AQ$57, MATCH(A14,'Team Scores'!A$4:A$57, 0))</f>
        <v/>
      </c>
      <c r="P14" s="81">
        <f>INDEX('Team Scores'!AR$4:AR$57, MATCH(A14,'Team Scores'!A$4:A$57, 0))</f>
        <v/>
      </c>
      <c r="Q14" s="81">
        <f>INDEX('Team Scores'!AS$4:AS$57, MATCH(A14,'Team Scores'!A$4:A$57, 0))</f>
        <v/>
      </c>
      <c r="R14" s="86">
        <f>PERCENTRANK(N$4:N$57, N14, 3)</f>
        <v/>
      </c>
      <c r="S14" s="86">
        <f>PERCENTRANK(O$4:O$57, O14, 3)</f>
        <v/>
      </c>
      <c r="T14" s="86">
        <f>PERCENTRANK(P$4:P$57, P14, 3)</f>
        <v/>
      </c>
      <c r="U14" s="86">
        <f>PERCENTRANK(Q$4:Q$57, Q14, 3)</f>
        <v/>
      </c>
    </row>
    <row r="15">
      <c r="A15" s="80" t="n">
        <v>639</v>
      </c>
      <c r="B15" s="81">
        <f>INDEX('Team Scores'!P$4:P$57, MATCH(A15,'Team Scores'!A$4:A$57, 0))</f>
        <v/>
      </c>
      <c r="C15" s="81">
        <f>INDEX('Team Scores'!Q$4:Q$57, MATCH(A15,'Team Scores'!A$4:A$57, 0))</f>
        <v/>
      </c>
      <c r="D15" s="81">
        <f>INDEX('Team Scores'!AD$4:AD$57, MATCH(A15,'Team Scores'!A$4:A$57, 0))</f>
        <v/>
      </c>
      <c r="E15" s="81">
        <f>INDEX('Team Scores'!AE$4:AE$57, MATCH(A15,'Team Scores'!A$4:A$57, 0))</f>
        <v/>
      </c>
      <c r="F15" s="81">
        <f>INDEX('Team Scores'!AL$4:AL$57, MATCH(A15,'Team Scores'!A$4:A$57, 0))</f>
        <v/>
      </c>
      <c r="G15" s="81">
        <f>INDEX('Team Scores'!AM$4:AM$57, MATCH(A15,'Team Scores'!A$4:A$57, 0))</f>
        <v/>
      </c>
      <c r="H15" s="81">
        <f>INDEX('Team Scores'!AN$4:AN$57, MATCH(A15,'Team Scores'!A$4:A$57, 0))</f>
        <v/>
      </c>
      <c r="I15" s="81">
        <f>INDEX('Team Scores'!AO$4:AO$57, MATCH(A15,'Team Scores'!A$4:A$57, 0))</f>
        <v/>
      </c>
      <c r="J15" s="86">
        <f>PERCENTRANK(B$4:B$57, B15, 3)</f>
        <v/>
      </c>
      <c r="K15" s="86">
        <f>PERCENTRANK(D$4:D$57, D15, 3)</f>
        <v/>
      </c>
      <c r="L15" s="86">
        <f>PERCENTRANK(F$4:F$57, F15, 3)</f>
        <v/>
      </c>
      <c r="M15" s="86">
        <f>PERCENTRANK(H$4:H$57, H15, 3)</f>
        <v/>
      </c>
      <c r="N15" s="81">
        <f>INDEX('Team Scores'!AP$4:AP$57, MATCH(A15,'Team Scores'!A$4:A$57, 0))</f>
        <v/>
      </c>
      <c r="O15" s="81">
        <f>INDEX('Team Scores'!AQ$4:AQ$57, MATCH(A15,'Team Scores'!A$4:A$57, 0))</f>
        <v/>
      </c>
      <c r="P15" s="81">
        <f>INDEX('Team Scores'!AR$4:AR$57, MATCH(A15,'Team Scores'!A$4:A$57, 0))</f>
        <v/>
      </c>
      <c r="Q15" s="81">
        <f>INDEX('Team Scores'!AS$4:AS$57, MATCH(A15,'Team Scores'!A$4:A$57, 0))</f>
        <v/>
      </c>
      <c r="R15" s="86">
        <f>PERCENTRANK(N$4:N$57, N15, 3)</f>
        <v/>
      </c>
      <c r="S15" s="86">
        <f>PERCENTRANK(O$4:O$57, O15, 3)</f>
        <v/>
      </c>
      <c r="T15" s="86">
        <f>PERCENTRANK(P$4:P$57, P15, 3)</f>
        <v/>
      </c>
      <c r="U15" s="86">
        <f>PERCENTRANK(Q$4:Q$57, Q15, 3)</f>
        <v/>
      </c>
    </row>
    <row r="16">
      <c r="A16" s="80" t="n">
        <v>695</v>
      </c>
      <c r="B16" s="81">
        <f>INDEX('Team Scores'!P$4:P$57, MATCH(A16,'Team Scores'!A$4:A$57, 0))</f>
        <v/>
      </c>
      <c r="C16" s="81">
        <f>INDEX('Team Scores'!Q$4:Q$57, MATCH(A16,'Team Scores'!A$4:A$57, 0))</f>
        <v/>
      </c>
      <c r="D16" s="81">
        <f>INDEX('Team Scores'!AD$4:AD$57, MATCH(A16,'Team Scores'!A$4:A$57, 0))</f>
        <v/>
      </c>
      <c r="E16" s="81">
        <f>INDEX('Team Scores'!AE$4:AE$57, MATCH(A16,'Team Scores'!A$4:A$57, 0))</f>
        <v/>
      </c>
      <c r="F16" s="81">
        <f>INDEX('Team Scores'!AL$4:AL$57, MATCH(A16,'Team Scores'!A$4:A$57, 0))</f>
        <v/>
      </c>
      <c r="G16" s="81">
        <f>INDEX('Team Scores'!AM$4:AM$57, MATCH(A16,'Team Scores'!A$4:A$57, 0))</f>
        <v/>
      </c>
      <c r="H16" s="81">
        <f>INDEX('Team Scores'!AN$4:AN$57, MATCH(A16,'Team Scores'!A$4:A$57, 0))</f>
        <v/>
      </c>
      <c r="I16" s="81">
        <f>INDEX('Team Scores'!AO$4:AO$57, MATCH(A16,'Team Scores'!A$4:A$57, 0))</f>
        <v/>
      </c>
      <c r="J16" s="86">
        <f>PERCENTRANK(B$4:B$57, B16, 3)</f>
        <v/>
      </c>
      <c r="K16" s="86">
        <f>PERCENTRANK(D$4:D$57, D16, 3)</f>
        <v/>
      </c>
      <c r="L16" s="86">
        <f>PERCENTRANK(F$4:F$57, F16, 3)</f>
        <v/>
      </c>
      <c r="M16" s="86">
        <f>PERCENTRANK(H$4:H$57, H16, 3)</f>
        <v/>
      </c>
      <c r="N16" s="81">
        <f>INDEX('Team Scores'!AP$4:AP$57, MATCH(A16,'Team Scores'!A$4:A$57, 0))</f>
        <v/>
      </c>
      <c r="O16" s="81">
        <f>INDEX('Team Scores'!AQ$4:AQ$57, MATCH(A16,'Team Scores'!A$4:A$57, 0))</f>
        <v/>
      </c>
      <c r="P16" s="81">
        <f>INDEX('Team Scores'!AR$4:AR$57, MATCH(A16,'Team Scores'!A$4:A$57, 0))</f>
        <v/>
      </c>
      <c r="Q16" s="81">
        <f>INDEX('Team Scores'!AS$4:AS$57, MATCH(A16,'Team Scores'!A$4:A$57, 0))</f>
        <v/>
      </c>
      <c r="R16" s="86">
        <f>PERCENTRANK(N$4:N$57, N16, 3)</f>
        <v/>
      </c>
      <c r="S16" s="86">
        <f>PERCENTRANK(O$4:O$57, O16, 3)</f>
        <v/>
      </c>
      <c r="T16" s="86">
        <f>PERCENTRANK(P$4:P$57, P16, 3)</f>
        <v/>
      </c>
      <c r="U16" s="86">
        <f>PERCENTRANK(Q$4:Q$57, Q16, 3)</f>
        <v/>
      </c>
    </row>
    <row r="17">
      <c r="A17" s="80" t="n">
        <v>1126</v>
      </c>
      <c r="B17" s="81">
        <f>INDEX('Team Scores'!P$4:P$57, MATCH(A17,'Team Scores'!A$4:A$57, 0))</f>
        <v/>
      </c>
      <c r="C17" s="81">
        <f>INDEX('Team Scores'!Q$4:Q$57, MATCH(A17,'Team Scores'!A$4:A$57, 0))</f>
        <v/>
      </c>
      <c r="D17" s="81">
        <f>INDEX('Team Scores'!AD$4:AD$57, MATCH(A17,'Team Scores'!A$4:A$57, 0))</f>
        <v/>
      </c>
      <c r="E17" s="81">
        <f>INDEX('Team Scores'!AE$4:AE$57, MATCH(A17,'Team Scores'!A$4:A$57, 0))</f>
        <v/>
      </c>
      <c r="F17" s="81">
        <f>INDEX('Team Scores'!AL$4:AL$57, MATCH(A17,'Team Scores'!A$4:A$57, 0))</f>
        <v/>
      </c>
      <c r="G17" s="81">
        <f>INDEX('Team Scores'!AM$4:AM$57, MATCH(A17,'Team Scores'!A$4:A$57, 0))</f>
        <v/>
      </c>
      <c r="H17" s="81">
        <f>INDEX('Team Scores'!AN$4:AN$57, MATCH(A17,'Team Scores'!A$4:A$57, 0))</f>
        <v/>
      </c>
      <c r="I17" s="81">
        <f>INDEX('Team Scores'!AO$4:AO$57, MATCH(A17,'Team Scores'!A$4:A$57, 0))</f>
        <v/>
      </c>
      <c r="J17" s="86">
        <f>PERCENTRANK(B$4:B$57, B17, 3)</f>
        <v/>
      </c>
      <c r="K17" s="86">
        <f>PERCENTRANK(D$4:D$57, D17, 3)</f>
        <v/>
      </c>
      <c r="L17" s="86">
        <f>PERCENTRANK(F$4:F$57, F17, 3)</f>
        <v/>
      </c>
      <c r="M17" s="86">
        <f>PERCENTRANK(H$4:H$57, H17, 3)</f>
        <v/>
      </c>
      <c r="N17" s="81">
        <f>INDEX('Team Scores'!AP$4:AP$57, MATCH(A17,'Team Scores'!A$4:A$57, 0))</f>
        <v/>
      </c>
      <c r="O17" s="81">
        <f>INDEX('Team Scores'!AQ$4:AQ$57, MATCH(A17,'Team Scores'!A$4:A$57, 0))</f>
        <v/>
      </c>
      <c r="P17" s="81">
        <f>INDEX('Team Scores'!AR$4:AR$57, MATCH(A17,'Team Scores'!A$4:A$57, 0))</f>
        <v/>
      </c>
      <c r="Q17" s="81">
        <f>INDEX('Team Scores'!AS$4:AS$57, MATCH(A17,'Team Scores'!A$4:A$57, 0))</f>
        <v/>
      </c>
      <c r="R17" s="86">
        <f>PERCENTRANK(N$4:N$57, N17, 3)</f>
        <v/>
      </c>
      <c r="S17" s="86">
        <f>PERCENTRANK(O$4:O$57, O17, 3)</f>
        <v/>
      </c>
      <c r="T17" s="86">
        <f>PERCENTRANK(P$4:P$57, P17, 3)</f>
        <v/>
      </c>
      <c r="U17" s="86">
        <f>PERCENTRANK(Q$4:Q$57, Q17, 3)</f>
        <v/>
      </c>
    </row>
    <row r="18">
      <c r="A18" s="80" t="n">
        <v>1308</v>
      </c>
      <c r="B18" s="81">
        <f>INDEX('Team Scores'!P$4:P$57, MATCH(A18,'Team Scores'!A$4:A$57, 0))</f>
        <v/>
      </c>
      <c r="C18" s="81">
        <f>INDEX('Team Scores'!Q$4:Q$57, MATCH(A18,'Team Scores'!A$4:A$57, 0))</f>
        <v/>
      </c>
      <c r="D18" s="81">
        <f>INDEX('Team Scores'!AD$4:AD$57, MATCH(A18,'Team Scores'!A$4:A$57, 0))</f>
        <v/>
      </c>
      <c r="E18" s="81">
        <f>INDEX('Team Scores'!AE$4:AE$57, MATCH(A18,'Team Scores'!A$4:A$57, 0))</f>
        <v/>
      </c>
      <c r="F18" s="81">
        <f>INDEX('Team Scores'!AL$4:AL$57, MATCH(A18,'Team Scores'!A$4:A$57, 0))</f>
        <v/>
      </c>
      <c r="G18" s="81">
        <f>INDEX('Team Scores'!AM$4:AM$57, MATCH(A18,'Team Scores'!A$4:A$57, 0))</f>
        <v/>
      </c>
      <c r="H18" s="81">
        <f>INDEX('Team Scores'!AN$4:AN$57, MATCH(A18,'Team Scores'!A$4:A$57, 0))</f>
        <v/>
      </c>
      <c r="I18" s="81">
        <f>INDEX('Team Scores'!AO$4:AO$57, MATCH(A18,'Team Scores'!A$4:A$57, 0))</f>
        <v/>
      </c>
      <c r="J18" s="86">
        <f>PERCENTRANK(B$4:B$57, B18, 3)</f>
        <v/>
      </c>
      <c r="K18" s="86">
        <f>PERCENTRANK(D$4:D$57, D18, 3)</f>
        <v/>
      </c>
      <c r="L18" s="86">
        <f>PERCENTRANK(F$4:F$57, F18, 3)</f>
        <v/>
      </c>
      <c r="M18" s="86">
        <f>PERCENTRANK(H$4:H$57, H18, 3)</f>
        <v/>
      </c>
      <c r="N18" s="81">
        <f>INDEX('Team Scores'!AP$4:AP$57, MATCH(A18,'Team Scores'!A$4:A$57, 0))</f>
        <v/>
      </c>
      <c r="O18" s="81">
        <f>INDEX('Team Scores'!AQ$4:AQ$57, MATCH(A18,'Team Scores'!A$4:A$57, 0))</f>
        <v/>
      </c>
      <c r="P18" s="81">
        <f>INDEX('Team Scores'!AR$4:AR$57, MATCH(A18,'Team Scores'!A$4:A$57, 0))</f>
        <v/>
      </c>
      <c r="Q18" s="81">
        <f>INDEX('Team Scores'!AS$4:AS$57, MATCH(A18,'Team Scores'!A$4:A$57, 0))</f>
        <v/>
      </c>
      <c r="R18" s="86">
        <f>PERCENTRANK(N$4:N$57, N18, 3)</f>
        <v/>
      </c>
      <c r="S18" s="86">
        <f>PERCENTRANK(O$4:O$57, O18, 3)</f>
        <v/>
      </c>
      <c r="T18" s="86">
        <f>PERCENTRANK(P$4:P$57, P18, 3)</f>
        <v/>
      </c>
      <c r="U18" s="86">
        <f>PERCENTRANK(Q$4:Q$57, Q18, 3)</f>
        <v/>
      </c>
    </row>
    <row r="19">
      <c r="A19" s="80" t="n">
        <v>1405</v>
      </c>
      <c r="B19" s="81">
        <f>INDEX('Team Scores'!P$4:P$57, MATCH(A19,'Team Scores'!A$4:A$57, 0))</f>
        <v/>
      </c>
      <c r="C19" s="81">
        <f>INDEX('Team Scores'!Q$4:Q$57, MATCH(A19,'Team Scores'!A$4:A$57, 0))</f>
        <v/>
      </c>
      <c r="D19" s="81">
        <f>INDEX('Team Scores'!AD$4:AD$57, MATCH(A19,'Team Scores'!A$4:A$57, 0))</f>
        <v/>
      </c>
      <c r="E19" s="81">
        <f>INDEX('Team Scores'!AE$4:AE$57, MATCH(A19,'Team Scores'!A$4:A$57, 0))</f>
        <v/>
      </c>
      <c r="F19" s="81">
        <f>INDEX('Team Scores'!AL$4:AL$57, MATCH(A19,'Team Scores'!A$4:A$57, 0))</f>
        <v/>
      </c>
      <c r="G19" s="81">
        <f>INDEX('Team Scores'!AM$4:AM$57, MATCH(A19,'Team Scores'!A$4:A$57, 0))</f>
        <v/>
      </c>
      <c r="H19" s="81">
        <f>INDEX('Team Scores'!AN$4:AN$57, MATCH(A19,'Team Scores'!A$4:A$57, 0))</f>
        <v/>
      </c>
      <c r="I19" s="81">
        <f>INDEX('Team Scores'!AO$4:AO$57, MATCH(A19,'Team Scores'!A$4:A$57, 0))</f>
        <v/>
      </c>
      <c r="J19" s="86">
        <f>PERCENTRANK(B$4:B$57, B19, 3)</f>
        <v/>
      </c>
      <c r="K19" s="86">
        <f>PERCENTRANK(D$4:D$57, D19, 3)</f>
        <v/>
      </c>
      <c r="L19" s="86">
        <f>PERCENTRANK(F$4:F$57, F19, 3)</f>
        <v/>
      </c>
      <c r="M19" s="86">
        <f>PERCENTRANK(H$4:H$57, H19, 3)</f>
        <v/>
      </c>
      <c r="N19" s="81">
        <f>INDEX('Team Scores'!AP$4:AP$57, MATCH(A19,'Team Scores'!A$4:A$57, 0))</f>
        <v/>
      </c>
      <c r="O19" s="81">
        <f>INDEX('Team Scores'!AQ$4:AQ$57, MATCH(A19,'Team Scores'!A$4:A$57, 0))</f>
        <v/>
      </c>
      <c r="P19" s="81">
        <f>INDEX('Team Scores'!AR$4:AR$57, MATCH(A19,'Team Scores'!A$4:A$57, 0))</f>
        <v/>
      </c>
      <c r="Q19" s="81">
        <f>INDEX('Team Scores'!AS$4:AS$57, MATCH(A19,'Team Scores'!A$4:A$57, 0))</f>
        <v/>
      </c>
      <c r="R19" s="86">
        <f>PERCENTRANK(N$4:N$57, N19, 3)</f>
        <v/>
      </c>
      <c r="S19" s="86">
        <f>PERCENTRANK(O$4:O$57, O19, 3)</f>
        <v/>
      </c>
      <c r="T19" s="86">
        <f>PERCENTRANK(P$4:P$57, P19, 3)</f>
        <v/>
      </c>
      <c r="U19" s="86">
        <f>PERCENTRANK(Q$4:Q$57, Q19, 3)</f>
        <v/>
      </c>
    </row>
    <row r="20">
      <c r="A20" s="80" t="n">
        <v>1507</v>
      </c>
      <c r="B20" s="81">
        <f>INDEX('Team Scores'!P$4:P$57, MATCH(A20,'Team Scores'!A$4:A$57, 0))</f>
        <v/>
      </c>
      <c r="C20" s="81">
        <f>INDEX('Team Scores'!Q$4:Q$57, MATCH(A20,'Team Scores'!A$4:A$57, 0))</f>
        <v/>
      </c>
      <c r="D20" s="81">
        <f>INDEX('Team Scores'!AD$4:AD$57, MATCH(A20,'Team Scores'!A$4:A$57, 0))</f>
        <v/>
      </c>
      <c r="E20" s="81">
        <f>INDEX('Team Scores'!AE$4:AE$57, MATCH(A20,'Team Scores'!A$4:A$57, 0))</f>
        <v/>
      </c>
      <c r="F20" s="81">
        <f>INDEX('Team Scores'!AL$4:AL$57, MATCH(A20,'Team Scores'!A$4:A$57, 0))</f>
        <v/>
      </c>
      <c r="G20" s="81">
        <f>INDEX('Team Scores'!AM$4:AM$57, MATCH(A20,'Team Scores'!A$4:A$57, 0))</f>
        <v/>
      </c>
      <c r="H20" s="81">
        <f>INDEX('Team Scores'!AN$4:AN$57, MATCH(A20,'Team Scores'!A$4:A$57, 0))</f>
        <v/>
      </c>
      <c r="I20" s="81">
        <f>INDEX('Team Scores'!AO$4:AO$57, MATCH(A20,'Team Scores'!A$4:A$57, 0))</f>
        <v/>
      </c>
      <c r="J20" s="86">
        <f>PERCENTRANK(B$4:B$57, B20, 3)</f>
        <v/>
      </c>
      <c r="K20" s="86">
        <f>PERCENTRANK(D$4:D$57, D20, 3)</f>
        <v/>
      </c>
      <c r="L20" s="86">
        <f>PERCENTRANK(F$4:F$57, F20, 3)</f>
        <v/>
      </c>
      <c r="M20" s="86">
        <f>PERCENTRANK(H$4:H$57, H20, 3)</f>
        <v/>
      </c>
      <c r="N20" s="81">
        <f>INDEX('Team Scores'!AP$4:AP$57, MATCH(A20,'Team Scores'!A$4:A$57, 0))</f>
        <v/>
      </c>
      <c r="O20" s="81">
        <f>INDEX('Team Scores'!AQ$4:AQ$57, MATCH(A20,'Team Scores'!A$4:A$57, 0))</f>
        <v/>
      </c>
      <c r="P20" s="81">
        <f>INDEX('Team Scores'!AR$4:AR$57, MATCH(A20,'Team Scores'!A$4:A$57, 0))</f>
        <v/>
      </c>
      <c r="Q20" s="81">
        <f>INDEX('Team Scores'!AS$4:AS$57, MATCH(A20,'Team Scores'!A$4:A$57, 0))</f>
        <v/>
      </c>
      <c r="R20" s="86">
        <f>PERCENTRANK(N$4:N$57, N20, 3)</f>
        <v/>
      </c>
      <c r="S20" s="86">
        <f>PERCENTRANK(O$4:O$57, O20, 3)</f>
        <v/>
      </c>
      <c r="T20" s="86">
        <f>PERCENTRANK(P$4:P$57, P20, 3)</f>
        <v/>
      </c>
      <c r="U20" s="86">
        <f>PERCENTRANK(Q$4:Q$57, Q20, 3)</f>
        <v/>
      </c>
    </row>
    <row r="21">
      <c r="A21" s="80" t="n">
        <v>1511</v>
      </c>
      <c r="B21" s="81">
        <f>INDEX('Team Scores'!P$4:P$57, MATCH(A21,'Team Scores'!A$4:A$57, 0))</f>
        <v/>
      </c>
      <c r="C21" s="81">
        <f>INDEX('Team Scores'!Q$4:Q$57, MATCH(A21,'Team Scores'!A$4:A$57, 0))</f>
        <v/>
      </c>
      <c r="D21" s="81">
        <f>INDEX('Team Scores'!AD$4:AD$57, MATCH(A21,'Team Scores'!A$4:A$57, 0))</f>
        <v/>
      </c>
      <c r="E21" s="81">
        <f>INDEX('Team Scores'!AE$4:AE$57, MATCH(A21,'Team Scores'!A$4:A$57, 0))</f>
        <v/>
      </c>
      <c r="F21" s="81">
        <f>INDEX('Team Scores'!AL$4:AL$57, MATCH(A21,'Team Scores'!A$4:A$57, 0))</f>
        <v/>
      </c>
      <c r="G21" s="81">
        <f>INDEX('Team Scores'!AM$4:AM$57, MATCH(A21,'Team Scores'!A$4:A$57, 0))</f>
        <v/>
      </c>
      <c r="H21" s="81">
        <f>INDEX('Team Scores'!AN$4:AN$57, MATCH(A21,'Team Scores'!A$4:A$57, 0))</f>
        <v/>
      </c>
      <c r="I21" s="81">
        <f>INDEX('Team Scores'!AO$4:AO$57, MATCH(A21,'Team Scores'!A$4:A$57, 0))</f>
        <v/>
      </c>
      <c r="J21" s="86">
        <f>PERCENTRANK(B$4:B$57, B21, 3)</f>
        <v/>
      </c>
      <c r="K21" s="86">
        <f>PERCENTRANK(D$4:D$57, D21, 3)</f>
        <v/>
      </c>
      <c r="L21" s="86">
        <f>PERCENTRANK(F$4:F$57, F21, 3)</f>
        <v/>
      </c>
      <c r="M21" s="86">
        <f>PERCENTRANK(H$4:H$57, H21, 3)</f>
        <v/>
      </c>
      <c r="N21" s="81">
        <f>INDEX('Team Scores'!AP$4:AP$57, MATCH(A21,'Team Scores'!A$4:A$57, 0))</f>
        <v/>
      </c>
      <c r="O21" s="81">
        <f>INDEX('Team Scores'!AQ$4:AQ$57, MATCH(A21,'Team Scores'!A$4:A$57, 0))</f>
        <v/>
      </c>
      <c r="P21" s="81">
        <f>INDEX('Team Scores'!AR$4:AR$57, MATCH(A21,'Team Scores'!A$4:A$57, 0))</f>
        <v/>
      </c>
      <c r="Q21" s="81">
        <f>INDEX('Team Scores'!AS$4:AS$57, MATCH(A21,'Team Scores'!A$4:A$57, 0))</f>
        <v/>
      </c>
      <c r="R21" s="86">
        <f>PERCENTRANK(N$4:N$57, N21, 3)</f>
        <v/>
      </c>
      <c r="S21" s="86">
        <f>PERCENTRANK(O$4:O$57, O21, 3)</f>
        <v/>
      </c>
      <c r="T21" s="86">
        <f>PERCENTRANK(P$4:P$57, P21, 3)</f>
        <v/>
      </c>
      <c r="U21" s="86">
        <f>PERCENTRANK(Q$4:Q$57, Q21, 3)</f>
        <v/>
      </c>
    </row>
    <row r="22">
      <c r="A22" s="80" t="n">
        <v>1518</v>
      </c>
      <c r="B22" s="81">
        <f>INDEX('Team Scores'!P$4:P$57, MATCH(A22,'Team Scores'!A$4:A$57, 0))</f>
        <v/>
      </c>
      <c r="C22" s="81">
        <f>INDEX('Team Scores'!Q$4:Q$57, MATCH(A22,'Team Scores'!A$4:A$57, 0))</f>
        <v/>
      </c>
      <c r="D22" s="81">
        <f>INDEX('Team Scores'!AD$4:AD$57, MATCH(A22,'Team Scores'!A$4:A$57, 0))</f>
        <v/>
      </c>
      <c r="E22" s="81">
        <f>INDEX('Team Scores'!AE$4:AE$57, MATCH(A22,'Team Scores'!A$4:A$57, 0))</f>
        <v/>
      </c>
      <c r="F22" s="81">
        <f>INDEX('Team Scores'!AL$4:AL$57, MATCH(A22,'Team Scores'!A$4:A$57, 0))</f>
        <v/>
      </c>
      <c r="G22" s="81">
        <f>INDEX('Team Scores'!AM$4:AM$57, MATCH(A22,'Team Scores'!A$4:A$57, 0))</f>
        <v/>
      </c>
      <c r="H22" s="81">
        <f>INDEX('Team Scores'!AN$4:AN$57, MATCH(A22,'Team Scores'!A$4:A$57, 0))</f>
        <v/>
      </c>
      <c r="I22" s="81">
        <f>INDEX('Team Scores'!AO$4:AO$57, MATCH(A22,'Team Scores'!A$4:A$57, 0))</f>
        <v/>
      </c>
      <c r="J22" s="86">
        <f>PERCENTRANK(B$4:B$57, B22, 3)</f>
        <v/>
      </c>
      <c r="K22" s="86">
        <f>PERCENTRANK(D$4:D$57, D22, 3)</f>
        <v/>
      </c>
      <c r="L22" s="86">
        <f>PERCENTRANK(F$4:F$57, F22, 3)</f>
        <v/>
      </c>
      <c r="M22" s="86">
        <f>PERCENTRANK(H$4:H$57, H22, 3)</f>
        <v/>
      </c>
      <c r="N22" s="81">
        <f>INDEX('Team Scores'!AP$4:AP$57, MATCH(A22,'Team Scores'!A$4:A$57, 0))</f>
        <v/>
      </c>
      <c r="O22" s="81">
        <f>INDEX('Team Scores'!AQ$4:AQ$57, MATCH(A22,'Team Scores'!A$4:A$57, 0))</f>
        <v/>
      </c>
      <c r="P22" s="81">
        <f>INDEX('Team Scores'!AR$4:AR$57, MATCH(A22,'Team Scores'!A$4:A$57, 0))</f>
        <v/>
      </c>
      <c r="Q22" s="81">
        <f>INDEX('Team Scores'!AS$4:AS$57, MATCH(A22,'Team Scores'!A$4:A$57, 0))</f>
        <v/>
      </c>
      <c r="R22" s="86">
        <f>PERCENTRANK(N$4:N$57, N22, 3)</f>
        <v/>
      </c>
      <c r="S22" s="86">
        <f>PERCENTRANK(O$4:O$57, O22, 3)</f>
        <v/>
      </c>
      <c r="T22" s="86">
        <f>PERCENTRANK(P$4:P$57, P22, 3)</f>
        <v/>
      </c>
      <c r="U22" s="86">
        <f>PERCENTRANK(Q$4:Q$57, Q22, 3)</f>
        <v/>
      </c>
    </row>
    <row r="23">
      <c r="A23" s="80" t="n">
        <v>1559</v>
      </c>
      <c r="B23" s="81">
        <f>INDEX('Team Scores'!P$4:P$57, MATCH(A23,'Team Scores'!A$4:A$57, 0))</f>
        <v/>
      </c>
      <c r="C23" s="81">
        <f>INDEX('Team Scores'!Q$4:Q$57, MATCH(A23,'Team Scores'!A$4:A$57, 0))</f>
        <v/>
      </c>
      <c r="D23" s="81">
        <f>INDEX('Team Scores'!AD$4:AD$57, MATCH(A23,'Team Scores'!A$4:A$57, 0))</f>
        <v/>
      </c>
      <c r="E23" s="81">
        <f>INDEX('Team Scores'!AE$4:AE$57, MATCH(A23,'Team Scores'!A$4:A$57, 0))</f>
        <v/>
      </c>
      <c r="F23" s="81">
        <f>INDEX('Team Scores'!AL$4:AL$57, MATCH(A23,'Team Scores'!A$4:A$57, 0))</f>
        <v/>
      </c>
      <c r="G23" s="81">
        <f>INDEX('Team Scores'!AM$4:AM$57, MATCH(A23,'Team Scores'!A$4:A$57, 0))</f>
        <v/>
      </c>
      <c r="H23" s="81">
        <f>INDEX('Team Scores'!AN$4:AN$57, MATCH(A23,'Team Scores'!A$4:A$57, 0))</f>
        <v/>
      </c>
      <c r="I23" s="81">
        <f>INDEX('Team Scores'!AO$4:AO$57, MATCH(A23,'Team Scores'!A$4:A$57, 0))</f>
        <v/>
      </c>
      <c r="J23" s="86">
        <f>PERCENTRANK(B$4:B$57, B23, 3)</f>
        <v/>
      </c>
      <c r="K23" s="86">
        <f>PERCENTRANK(D$4:D$57, D23, 3)</f>
        <v/>
      </c>
      <c r="L23" s="86">
        <f>PERCENTRANK(F$4:F$57, F23, 3)</f>
        <v/>
      </c>
      <c r="M23" s="86">
        <f>PERCENTRANK(H$4:H$57, H23, 3)</f>
        <v/>
      </c>
      <c r="N23" s="81">
        <f>INDEX('Team Scores'!AP$4:AP$57, MATCH(A23,'Team Scores'!A$4:A$57, 0))</f>
        <v/>
      </c>
      <c r="O23" s="81">
        <f>INDEX('Team Scores'!AQ$4:AQ$57, MATCH(A23,'Team Scores'!A$4:A$57, 0))</f>
        <v/>
      </c>
      <c r="P23" s="81">
        <f>INDEX('Team Scores'!AR$4:AR$57, MATCH(A23,'Team Scores'!A$4:A$57, 0))</f>
        <v/>
      </c>
      <c r="Q23" s="81">
        <f>INDEX('Team Scores'!AS$4:AS$57, MATCH(A23,'Team Scores'!A$4:A$57, 0))</f>
        <v/>
      </c>
      <c r="R23" s="86">
        <f>PERCENTRANK(N$4:N$57, N23, 3)</f>
        <v/>
      </c>
      <c r="S23" s="86">
        <f>PERCENTRANK(O$4:O$57, O23, 3)</f>
        <v/>
      </c>
      <c r="T23" s="86">
        <f>PERCENTRANK(P$4:P$57, P23, 3)</f>
        <v/>
      </c>
      <c r="U23" s="86">
        <f>PERCENTRANK(Q$4:Q$57, Q23, 3)</f>
        <v/>
      </c>
    </row>
    <row r="24">
      <c r="A24" s="80" t="n">
        <v>1585</v>
      </c>
      <c r="B24" s="81">
        <f>INDEX('Team Scores'!P$4:P$57, MATCH(A24,'Team Scores'!A$4:A$57, 0))</f>
        <v/>
      </c>
      <c r="C24" s="81">
        <f>INDEX('Team Scores'!Q$4:Q$57, MATCH(A24,'Team Scores'!A$4:A$57, 0))</f>
        <v/>
      </c>
      <c r="D24" s="81">
        <f>INDEX('Team Scores'!AD$4:AD$57, MATCH(A24,'Team Scores'!A$4:A$57, 0))</f>
        <v/>
      </c>
      <c r="E24" s="81">
        <f>INDEX('Team Scores'!AE$4:AE$57, MATCH(A24,'Team Scores'!A$4:A$57, 0))</f>
        <v/>
      </c>
      <c r="F24" s="81">
        <f>INDEX('Team Scores'!AL$4:AL$57, MATCH(A24,'Team Scores'!A$4:A$57, 0))</f>
        <v/>
      </c>
      <c r="G24" s="81">
        <f>INDEX('Team Scores'!AM$4:AM$57, MATCH(A24,'Team Scores'!A$4:A$57, 0))</f>
        <v/>
      </c>
      <c r="H24" s="81">
        <f>INDEX('Team Scores'!AN$4:AN$57, MATCH(A24,'Team Scores'!A$4:A$57, 0))</f>
        <v/>
      </c>
      <c r="I24" s="81">
        <f>INDEX('Team Scores'!AO$4:AO$57, MATCH(A24,'Team Scores'!A$4:A$57, 0))</f>
        <v/>
      </c>
      <c r="J24" s="86">
        <f>PERCENTRANK(B$4:B$57, B24, 3)</f>
        <v/>
      </c>
      <c r="K24" s="86">
        <f>PERCENTRANK(D$4:D$57, D24, 3)</f>
        <v/>
      </c>
      <c r="L24" s="86">
        <f>PERCENTRANK(F$4:F$57, F24, 3)</f>
        <v/>
      </c>
      <c r="M24" s="86">
        <f>PERCENTRANK(H$4:H$57, H24, 3)</f>
        <v/>
      </c>
      <c r="N24" s="81">
        <f>INDEX('Team Scores'!AP$4:AP$57, MATCH(A24,'Team Scores'!A$4:A$57, 0))</f>
        <v/>
      </c>
      <c r="O24" s="81">
        <f>INDEX('Team Scores'!AQ$4:AQ$57, MATCH(A24,'Team Scores'!A$4:A$57, 0))</f>
        <v/>
      </c>
      <c r="P24" s="81">
        <f>INDEX('Team Scores'!AR$4:AR$57, MATCH(A24,'Team Scores'!A$4:A$57, 0))</f>
        <v/>
      </c>
      <c r="Q24" s="81">
        <f>INDEX('Team Scores'!AS$4:AS$57, MATCH(A24,'Team Scores'!A$4:A$57, 0))</f>
        <v/>
      </c>
      <c r="R24" s="86">
        <f>PERCENTRANK(N$4:N$57, N24, 3)</f>
        <v/>
      </c>
      <c r="S24" s="86">
        <f>PERCENTRANK(O$4:O$57, O24, 3)</f>
        <v/>
      </c>
      <c r="T24" s="86">
        <f>PERCENTRANK(P$4:P$57, P24, 3)</f>
        <v/>
      </c>
      <c r="U24" s="86">
        <f>PERCENTRANK(Q$4:Q$57, Q24, 3)</f>
        <v/>
      </c>
    </row>
    <row r="25">
      <c r="A25" s="80" t="n">
        <v>1591</v>
      </c>
      <c r="B25" s="81">
        <f>INDEX('Team Scores'!P$4:P$57, MATCH(A25,'Team Scores'!A$4:A$57, 0))</f>
        <v/>
      </c>
      <c r="C25" s="81">
        <f>INDEX('Team Scores'!Q$4:Q$57, MATCH(A25,'Team Scores'!A$4:A$57, 0))</f>
        <v/>
      </c>
      <c r="D25" s="81">
        <f>INDEX('Team Scores'!AD$4:AD$57, MATCH(A25,'Team Scores'!A$4:A$57, 0))</f>
        <v/>
      </c>
      <c r="E25" s="81">
        <f>INDEX('Team Scores'!AE$4:AE$57, MATCH(A25,'Team Scores'!A$4:A$57, 0))</f>
        <v/>
      </c>
      <c r="F25" s="81">
        <f>INDEX('Team Scores'!AL$4:AL$57, MATCH(A25,'Team Scores'!A$4:A$57, 0))</f>
        <v/>
      </c>
      <c r="G25" s="81">
        <f>INDEX('Team Scores'!AM$4:AM$57, MATCH(A25,'Team Scores'!A$4:A$57, 0))</f>
        <v/>
      </c>
      <c r="H25" s="81">
        <f>INDEX('Team Scores'!AN$4:AN$57, MATCH(A25,'Team Scores'!A$4:A$57, 0))</f>
        <v/>
      </c>
      <c r="I25" s="81">
        <f>INDEX('Team Scores'!AO$4:AO$57, MATCH(A25,'Team Scores'!A$4:A$57, 0))</f>
        <v/>
      </c>
      <c r="J25" s="86">
        <f>PERCENTRANK(B$4:B$57, B25, 3)</f>
        <v/>
      </c>
      <c r="K25" s="86">
        <f>PERCENTRANK(D$4:D$57, D25, 3)</f>
        <v/>
      </c>
      <c r="L25" s="86">
        <f>PERCENTRANK(F$4:F$57, F25, 3)</f>
        <v/>
      </c>
      <c r="M25" s="86">
        <f>PERCENTRANK(H$4:H$57, H25, 3)</f>
        <v/>
      </c>
      <c r="N25" s="81">
        <f>INDEX('Team Scores'!AP$4:AP$57, MATCH(A25,'Team Scores'!A$4:A$57, 0))</f>
        <v/>
      </c>
      <c r="O25" s="81">
        <f>INDEX('Team Scores'!AQ$4:AQ$57, MATCH(A25,'Team Scores'!A$4:A$57, 0))</f>
        <v/>
      </c>
      <c r="P25" s="81">
        <f>INDEX('Team Scores'!AR$4:AR$57, MATCH(A25,'Team Scores'!A$4:A$57, 0))</f>
        <v/>
      </c>
      <c r="Q25" s="81">
        <f>INDEX('Team Scores'!AS$4:AS$57, MATCH(A25,'Team Scores'!A$4:A$57, 0))</f>
        <v/>
      </c>
      <c r="R25" s="86">
        <f>PERCENTRANK(N$4:N$57, N25, 3)</f>
        <v/>
      </c>
      <c r="S25" s="86">
        <f>PERCENTRANK(O$4:O$57, O25, 3)</f>
        <v/>
      </c>
      <c r="T25" s="86">
        <f>PERCENTRANK(P$4:P$57, P25, 3)</f>
        <v/>
      </c>
      <c r="U25" s="86">
        <f>PERCENTRANK(Q$4:Q$57, Q25, 3)</f>
        <v/>
      </c>
    </row>
    <row r="26">
      <c r="A26" s="80" t="n">
        <v>1787</v>
      </c>
      <c r="B26" s="81">
        <f>INDEX('Team Scores'!P$4:P$57, MATCH(A26,'Team Scores'!A$4:A$57, 0))</f>
        <v/>
      </c>
      <c r="C26" s="81">
        <f>INDEX('Team Scores'!Q$4:Q$57, MATCH(A26,'Team Scores'!A$4:A$57, 0))</f>
        <v/>
      </c>
      <c r="D26" s="81">
        <f>INDEX('Team Scores'!AD$4:AD$57, MATCH(A26,'Team Scores'!A$4:A$57, 0))</f>
        <v/>
      </c>
      <c r="E26" s="81">
        <f>INDEX('Team Scores'!AE$4:AE$57, MATCH(A26,'Team Scores'!A$4:A$57, 0))</f>
        <v/>
      </c>
      <c r="F26" s="81">
        <f>INDEX('Team Scores'!AL$4:AL$57, MATCH(A26,'Team Scores'!A$4:A$57, 0))</f>
        <v/>
      </c>
      <c r="G26" s="81">
        <f>INDEX('Team Scores'!AM$4:AM$57, MATCH(A26,'Team Scores'!A$4:A$57, 0))</f>
        <v/>
      </c>
      <c r="H26" s="81">
        <f>INDEX('Team Scores'!AN$4:AN$57, MATCH(A26,'Team Scores'!A$4:A$57, 0))</f>
        <v/>
      </c>
      <c r="I26" s="81">
        <f>INDEX('Team Scores'!AO$4:AO$57, MATCH(A26,'Team Scores'!A$4:A$57, 0))</f>
        <v/>
      </c>
      <c r="J26" s="86">
        <f>PERCENTRANK(B$4:B$57, B26, 3)</f>
        <v/>
      </c>
      <c r="K26" s="86">
        <f>PERCENTRANK(D$4:D$57, D26, 3)</f>
        <v/>
      </c>
      <c r="L26" s="86">
        <f>PERCENTRANK(F$4:F$57, F26, 3)</f>
        <v/>
      </c>
      <c r="M26" s="86">
        <f>PERCENTRANK(H$4:H$57, H26, 3)</f>
        <v/>
      </c>
      <c r="N26" s="81">
        <f>INDEX('Team Scores'!AP$4:AP$57, MATCH(A26,'Team Scores'!A$4:A$57, 0))</f>
        <v/>
      </c>
      <c r="O26" s="81">
        <f>INDEX('Team Scores'!AQ$4:AQ$57, MATCH(A26,'Team Scores'!A$4:A$57, 0))</f>
        <v/>
      </c>
      <c r="P26" s="81">
        <f>INDEX('Team Scores'!AR$4:AR$57, MATCH(A26,'Team Scores'!A$4:A$57, 0))</f>
        <v/>
      </c>
      <c r="Q26" s="81">
        <f>INDEX('Team Scores'!AS$4:AS$57, MATCH(A26,'Team Scores'!A$4:A$57, 0))</f>
        <v/>
      </c>
      <c r="R26" s="86">
        <f>PERCENTRANK(N$4:N$57, N26, 3)</f>
        <v/>
      </c>
      <c r="S26" s="86">
        <f>PERCENTRANK(O$4:O$57, O26, 3)</f>
        <v/>
      </c>
      <c r="T26" s="86">
        <f>PERCENTRANK(P$4:P$57, P26, 3)</f>
        <v/>
      </c>
      <c r="U26" s="86">
        <f>PERCENTRANK(Q$4:Q$57, Q26, 3)</f>
        <v/>
      </c>
    </row>
    <row r="27">
      <c r="A27" s="80" t="n">
        <v>2010</v>
      </c>
      <c r="B27" s="81">
        <f>INDEX('Team Scores'!P$4:P$57, MATCH(A27,'Team Scores'!A$4:A$57, 0))</f>
        <v/>
      </c>
      <c r="C27" s="81">
        <f>INDEX('Team Scores'!Q$4:Q$57, MATCH(A27,'Team Scores'!A$4:A$57, 0))</f>
        <v/>
      </c>
      <c r="D27" s="81">
        <f>INDEX('Team Scores'!AD$4:AD$57, MATCH(A27,'Team Scores'!A$4:A$57, 0))</f>
        <v/>
      </c>
      <c r="E27" s="81">
        <f>INDEX('Team Scores'!AE$4:AE$57, MATCH(A27,'Team Scores'!A$4:A$57, 0))</f>
        <v/>
      </c>
      <c r="F27" s="81">
        <f>INDEX('Team Scores'!AL$4:AL$57, MATCH(A27,'Team Scores'!A$4:A$57, 0))</f>
        <v/>
      </c>
      <c r="G27" s="81">
        <f>INDEX('Team Scores'!AM$4:AM$57, MATCH(A27,'Team Scores'!A$4:A$57, 0))</f>
        <v/>
      </c>
      <c r="H27" s="81">
        <f>INDEX('Team Scores'!AN$4:AN$57, MATCH(A27,'Team Scores'!A$4:A$57, 0))</f>
        <v/>
      </c>
      <c r="I27" s="81">
        <f>INDEX('Team Scores'!AO$4:AO$57, MATCH(A27,'Team Scores'!A$4:A$57, 0))</f>
        <v/>
      </c>
      <c r="J27" s="86">
        <f>PERCENTRANK(B$4:B$57, B27, 3)</f>
        <v/>
      </c>
      <c r="K27" s="86">
        <f>PERCENTRANK(D$4:D$57, D27, 3)</f>
        <v/>
      </c>
      <c r="L27" s="86">
        <f>PERCENTRANK(F$4:F$57, F27, 3)</f>
        <v/>
      </c>
      <c r="M27" s="86">
        <f>PERCENTRANK(H$4:H$57, H27, 3)</f>
        <v/>
      </c>
      <c r="N27" s="81">
        <f>INDEX('Team Scores'!AP$4:AP$57, MATCH(A27,'Team Scores'!A$4:A$57, 0))</f>
        <v/>
      </c>
      <c r="O27" s="81">
        <f>INDEX('Team Scores'!AQ$4:AQ$57, MATCH(A27,'Team Scores'!A$4:A$57, 0))</f>
        <v/>
      </c>
      <c r="P27" s="81">
        <f>INDEX('Team Scores'!AR$4:AR$57, MATCH(A27,'Team Scores'!A$4:A$57, 0))</f>
        <v/>
      </c>
      <c r="Q27" s="81">
        <f>INDEX('Team Scores'!AS$4:AS$57, MATCH(A27,'Team Scores'!A$4:A$57, 0))</f>
        <v/>
      </c>
      <c r="R27" s="86">
        <f>PERCENTRANK(N$4:N$57, N27, 3)</f>
        <v/>
      </c>
      <c r="S27" s="86">
        <f>PERCENTRANK(O$4:O$57, O27, 3)</f>
        <v/>
      </c>
      <c r="T27" s="86">
        <f>PERCENTRANK(P$4:P$57, P27, 3)</f>
        <v/>
      </c>
      <c r="U27" s="86">
        <f>PERCENTRANK(Q$4:Q$57, Q27, 3)</f>
        <v/>
      </c>
    </row>
    <row r="28">
      <c r="A28" s="80" t="n">
        <v>2228</v>
      </c>
      <c r="B28" s="81">
        <f>INDEX('Team Scores'!P$4:P$57, MATCH(A28,'Team Scores'!A$4:A$57, 0))</f>
        <v/>
      </c>
      <c r="C28" s="81">
        <f>INDEX('Team Scores'!Q$4:Q$57, MATCH(A28,'Team Scores'!A$4:A$57, 0))</f>
        <v/>
      </c>
      <c r="D28" s="81">
        <f>INDEX('Team Scores'!AD$4:AD$57, MATCH(A28,'Team Scores'!A$4:A$57, 0))</f>
        <v/>
      </c>
      <c r="E28" s="81">
        <f>INDEX('Team Scores'!AE$4:AE$57, MATCH(A28,'Team Scores'!A$4:A$57, 0))</f>
        <v/>
      </c>
      <c r="F28" s="81">
        <f>INDEX('Team Scores'!AL$4:AL$57, MATCH(A28,'Team Scores'!A$4:A$57, 0))</f>
        <v/>
      </c>
      <c r="G28" s="81">
        <f>INDEX('Team Scores'!AM$4:AM$57, MATCH(A28,'Team Scores'!A$4:A$57, 0))</f>
        <v/>
      </c>
      <c r="H28" s="81">
        <f>INDEX('Team Scores'!AN$4:AN$57, MATCH(A28,'Team Scores'!A$4:A$57, 0))</f>
        <v/>
      </c>
      <c r="I28" s="81">
        <f>INDEX('Team Scores'!AO$4:AO$57, MATCH(A28,'Team Scores'!A$4:A$57, 0))</f>
        <v/>
      </c>
      <c r="J28" s="86">
        <f>PERCENTRANK(B$4:B$57, B28, 3)</f>
        <v/>
      </c>
      <c r="K28" s="86">
        <f>PERCENTRANK(D$4:D$57, D28, 3)</f>
        <v/>
      </c>
      <c r="L28" s="86">
        <f>PERCENTRANK(F$4:F$57, F28, 3)</f>
        <v/>
      </c>
      <c r="M28" s="86">
        <f>PERCENTRANK(H$4:H$57, H28, 3)</f>
        <v/>
      </c>
      <c r="N28" s="81">
        <f>INDEX('Team Scores'!AP$4:AP$57, MATCH(A28,'Team Scores'!A$4:A$57, 0))</f>
        <v/>
      </c>
      <c r="O28" s="81">
        <f>INDEX('Team Scores'!AQ$4:AQ$57, MATCH(A28,'Team Scores'!A$4:A$57, 0))</f>
        <v/>
      </c>
      <c r="P28" s="81">
        <f>INDEX('Team Scores'!AR$4:AR$57, MATCH(A28,'Team Scores'!A$4:A$57, 0))</f>
        <v/>
      </c>
      <c r="Q28" s="81">
        <f>INDEX('Team Scores'!AS$4:AS$57, MATCH(A28,'Team Scores'!A$4:A$57, 0))</f>
        <v/>
      </c>
      <c r="R28" s="86">
        <f>PERCENTRANK(N$4:N$57, N28, 3)</f>
        <v/>
      </c>
      <c r="S28" s="86">
        <f>PERCENTRANK(O$4:O$57, O28, 3)</f>
        <v/>
      </c>
      <c r="T28" s="86">
        <f>PERCENTRANK(P$4:P$57, P28, 3)</f>
        <v/>
      </c>
      <c r="U28" s="86">
        <f>PERCENTRANK(Q$4:Q$57, Q28, 3)</f>
        <v/>
      </c>
    </row>
    <row r="29">
      <c r="A29" s="80" t="n">
        <v>2252</v>
      </c>
      <c r="B29" s="81">
        <f>INDEX('Team Scores'!P$4:P$57, MATCH(A29,'Team Scores'!A$4:A$57, 0))</f>
        <v/>
      </c>
      <c r="C29" s="81">
        <f>INDEX('Team Scores'!Q$4:Q$57, MATCH(A29,'Team Scores'!A$4:A$57, 0))</f>
        <v/>
      </c>
      <c r="D29" s="81">
        <f>INDEX('Team Scores'!AD$4:AD$57, MATCH(A29,'Team Scores'!A$4:A$57, 0))</f>
        <v/>
      </c>
      <c r="E29" s="81">
        <f>INDEX('Team Scores'!AE$4:AE$57, MATCH(A29,'Team Scores'!A$4:A$57, 0))</f>
        <v/>
      </c>
      <c r="F29" s="81">
        <f>INDEX('Team Scores'!AL$4:AL$57, MATCH(A29,'Team Scores'!A$4:A$57, 0))</f>
        <v/>
      </c>
      <c r="G29" s="81">
        <f>INDEX('Team Scores'!AM$4:AM$57, MATCH(A29,'Team Scores'!A$4:A$57, 0))</f>
        <v/>
      </c>
      <c r="H29" s="81">
        <f>INDEX('Team Scores'!AN$4:AN$57, MATCH(A29,'Team Scores'!A$4:A$57, 0))</f>
        <v/>
      </c>
      <c r="I29" s="81">
        <f>INDEX('Team Scores'!AO$4:AO$57, MATCH(A29,'Team Scores'!A$4:A$57, 0))</f>
        <v/>
      </c>
      <c r="J29" s="86">
        <f>PERCENTRANK(B$4:B$57, B29, 3)</f>
        <v/>
      </c>
      <c r="K29" s="86">
        <f>PERCENTRANK(D$4:D$57, D29, 3)</f>
        <v/>
      </c>
      <c r="L29" s="86">
        <f>PERCENTRANK(F$4:F$57, F29, 3)</f>
        <v/>
      </c>
      <c r="M29" s="86">
        <f>PERCENTRANK(H$4:H$57, H29, 3)</f>
        <v/>
      </c>
      <c r="N29" s="81">
        <f>INDEX('Team Scores'!AP$4:AP$57, MATCH(A29,'Team Scores'!A$4:A$57, 0))</f>
        <v/>
      </c>
      <c r="O29" s="81">
        <f>INDEX('Team Scores'!AQ$4:AQ$57, MATCH(A29,'Team Scores'!A$4:A$57, 0))</f>
        <v/>
      </c>
      <c r="P29" s="81">
        <f>INDEX('Team Scores'!AR$4:AR$57, MATCH(A29,'Team Scores'!A$4:A$57, 0))</f>
        <v/>
      </c>
      <c r="Q29" s="81">
        <f>INDEX('Team Scores'!AS$4:AS$57, MATCH(A29,'Team Scores'!A$4:A$57, 0))</f>
        <v/>
      </c>
      <c r="R29" s="86">
        <f>PERCENTRANK(N$4:N$57, N29, 3)</f>
        <v/>
      </c>
      <c r="S29" s="86">
        <f>PERCENTRANK(O$4:O$57, O29, 3)</f>
        <v/>
      </c>
      <c r="T29" s="86">
        <f>PERCENTRANK(P$4:P$57, P29, 3)</f>
        <v/>
      </c>
      <c r="U29" s="86">
        <f>PERCENTRANK(Q$4:Q$57, Q29, 3)</f>
        <v/>
      </c>
    </row>
    <row r="30">
      <c r="A30" s="80" t="n">
        <v>2340</v>
      </c>
      <c r="B30" s="81">
        <f>INDEX('Team Scores'!P$4:P$57, MATCH(A30,'Team Scores'!A$4:A$57, 0))</f>
        <v/>
      </c>
      <c r="C30" s="81">
        <f>INDEX('Team Scores'!Q$4:Q$57, MATCH(A30,'Team Scores'!A$4:A$57, 0))</f>
        <v/>
      </c>
      <c r="D30" s="81">
        <f>INDEX('Team Scores'!AD$4:AD$57, MATCH(A30,'Team Scores'!A$4:A$57, 0))</f>
        <v/>
      </c>
      <c r="E30" s="81">
        <f>INDEX('Team Scores'!AE$4:AE$57, MATCH(A30,'Team Scores'!A$4:A$57, 0))</f>
        <v/>
      </c>
      <c r="F30" s="81">
        <f>INDEX('Team Scores'!AL$4:AL$57, MATCH(A30,'Team Scores'!A$4:A$57, 0))</f>
        <v/>
      </c>
      <c r="G30" s="81">
        <f>INDEX('Team Scores'!AM$4:AM$57, MATCH(A30,'Team Scores'!A$4:A$57, 0))</f>
        <v/>
      </c>
      <c r="H30" s="81">
        <f>INDEX('Team Scores'!AN$4:AN$57, MATCH(A30,'Team Scores'!A$4:A$57, 0))</f>
        <v/>
      </c>
      <c r="I30" s="81">
        <f>INDEX('Team Scores'!AO$4:AO$57, MATCH(A30,'Team Scores'!A$4:A$57, 0))</f>
        <v/>
      </c>
      <c r="J30" s="86">
        <f>PERCENTRANK(B$4:B$57, B30, 3)</f>
        <v/>
      </c>
      <c r="K30" s="86">
        <f>PERCENTRANK(D$4:D$57, D30, 3)</f>
        <v/>
      </c>
      <c r="L30" s="86">
        <f>PERCENTRANK(F$4:F$57, F30, 3)</f>
        <v/>
      </c>
      <c r="M30" s="86">
        <f>PERCENTRANK(H$4:H$57, H30, 3)</f>
        <v/>
      </c>
      <c r="N30" s="81">
        <f>INDEX('Team Scores'!AP$4:AP$57, MATCH(A30,'Team Scores'!A$4:A$57, 0))</f>
        <v/>
      </c>
      <c r="O30" s="81">
        <f>INDEX('Team Scores'!AQ$4:AQ$57, MATCH(A30,'Team Scores'!A$4:A$57, 0))</f>
        <v/>
      </c>
      <c r="P30" s="81">
        <f>INDEX('Team Scores'!AR$4:AR$57, MATCH(A30,'Team Scores'!A$4:A$57, 0))</f>
        <v/>
      </c>
      <c r="Q30" s="81">
        <f>INDEX('Team Scores'!AS$4:AS$57, MATCH(A30,'Team Scores'!A$4:A$57, 0))</f>
        <v/>
      </c>
      <c r="R30" s="86">
        <f>PERCENTRANK(N$4:N$57, N30, 3)</f>
        <v/>
      </c>
      <c r="S30" s="86">
        <f>PERCENTRANK(O$4:O$57, O30, 3)</f>
        <v/>
      </c>
      <c r="T30" s="86">
        <f>PERCENTRANK(P$4:P$57, P30, 3)</f>
        <v/>
      </c>
      <c r="U30" s="86">
        <f>PERCENTRANK(Q$4:Q$57, Q30, 3)</f>
        <v/>
      </c>
    </row>
    <row r="31">
      <c r="A31" s="80" t="n">
        <v>2614</v>
      </c>
      <c r="B31" s="81">
        <f>INDEX('Team Scores'!P$4:P$57, MATCH(A31,'Team Scores'!A$4:A$57, 0))</f>
        <v/>
      </c>
      <c r="C31" s="81">
        <f>INDEX('Team Scores'!Q$4:Q$57, MATCH(A31,'Team Scores'!A$4:A$57, 0))</f>
        <v/>
      </c>
      <c r="D31" s="81">
        <f>INDEX('Team Scores'!AD$4:AD$57, MATCH(A31,'Team Scores'!A$4:A$57, 0))</f>
        <v/>
      </c>
      <c r="E31" s="81">
        <f>INDEX('Team Scores'!AE$4:AE$57, MATCH(A31,'Team Scores'!A$4:A$57, 0))</f>
        <v/>
      </c>
      <c r="F31" s="81">
        <f>INDEX('Team Scores'!AL$4:AL$57, MATCH(A31,'Team Scores'!A$4:A$57, 0))</f>
        <v/>
      </c>
      <c r="G31" s="81">
        <f>INDEX('Team Scores'!AM$4:AM$57, MATCH(A31,'Team Scores'!A$4:A$57, 0))</f>
        <v/>
      </c>
      <c r="H31" s="81">
        <f>INDEX('Team Scores'!AN$4:AN$57, MATCH(A31,'Team Scores'!A$4:A$57, 0))</f>
        <v/>
      </c>
      <c r="I31" s="81">
        <f>INDEX('Team Scores'!AO$4:AO$57, MATCH(A31,'Team Scores'!A$4:A$57, 0))</f>
        <v/>
      </c>
      <c r="J31" s="86">
        <f>PERCENTRANK(B$4:B$57, B31, 3)</f>
        <v/>
      </c>
      <c r="K31" s="86">
        <f>PERCENTRANK(D$4:D$57, D31, 3)</f>
        <v/>
      </c>
      <c r="L31" s="86">
        <f>PERCENTRANK(F$4:F$57, F31, 3)</f>
        <v/>
      </c>
      <c r="M31" s="86">
        <f>PERCENTRANK(H$4:H$57, H31, 3)</f>
        <v/>
      </c>
      <c r="N31" s="81">
        <f>INDEX('Team Scores'!AP$4:AP$57, MATCH(A31,'Team Scores'!A$4:A$57, 0))</f>
        <v/>
      </c>
      <c r="O31" s="81">
        <f>INDEX('Team Scores'!AQ$4:AQ$57, MATCH(A31,'Team Scores'!A$4:A$57, 0))</f>
        <v/>
      </c>
      <c r="P31" s="81">
        <f>INDEX('Team Scores'!AR$4:AR$57, MATCH(A31,'Team Scores'!A$4:A$57, 0))</f>
        <v/>
      </c>
      <c r="Q31" s="81">
        <f>INDEX('Team Scores'!AS$4:AS$57, MATCH(A31,'Team Scores'!A$4:A$57, 0))</f>
        <v/>
      </c>
      <c r="R31" s="86">
        <f>PERCENTRANK(N$4:N$57, N31, 3)</f>
        <v/>
      </c>
      <c r="S31" s="86">
        <f>PERCENTRANK(O$4:O$57, O31, 3)</f>
        <v/>
      </c>
      <c r="T31" s="86">
        <f>PERCENTRANK(P$4:P$57, P31, 3)</f>
        <v/>
      </c>
      <c r="U31" s="86">
        <f>PERCENTRANK(Q$4:Q$57, Q31, 3)</f>
        <v/>
      </c>
    </row>
    <row r="32">
      <c r="A32" s="80" t="n">
        <v>2791</v>
      </c>
      <c r="B32" s="81">
        <f>INDEX('Team Scores'!P$4:P$57, MATCH(A32,'Team Scores'!A$4:A$57, 0))</f>
        <v/>
      </c>
      <c r="C32" s="81">
        <f>INDEX('Team Scores'!Q$4:Q$57, MATCH(A32,'Team Scores'!A$4:A$57, 0))</f>
        <v/>
      </c>
      <c r="D32" s="81">
        <f>INDEX('Team Scores'!AD$4:AD$57, MATCH(A32,'Team Scores'!A$4:A$57, 0))</f>
        <v/>
      </c>
      <c r="E32" s="81">
        <f>INDEX('Team Scores'!AE$4:AE$57, MATCH(A32,'Team Scores'!A$4:A$57, 0))</f>
        <v/>
      </c>
      <c r="F32" s="81">
        <f>INDEX('Team Scores'!AL$4:AL$57, MATCH(A32,'Team Scores'!A$4:A$57, 0))</f>
        <v/>
      </c>
      <c r="G32" s="81">
        <f>INDEX('Team Scores'!AM$4:AM$57, MATCH(A32,'Team Scores'!A$4:A$57, 0))</f>
        <v/>
      </c>
      <c r="H32" s="81">
        <f>INDEX('Team Scores'!AN$4:AN$57, MATCH(A32,'Team Scores'!A$4:A$57, 0))</f>
        <v/>
      </c>
      <c r="I32" s="81">
        <f>INDEX('Team Scores'!AO$4:AO$57, MATCH(A32,'Team Scores'!A$4:A$57, 0))</f>
        <v/>
      </c>
      <c r="J32" s="86">
        <f>PERCENTRANK(B$4:B$57, B32, 3)</f>
        <v/>
      </c>
      <c r="K32" s="86">
        <f>PERCENTRANK(D$4:D$57, D32, 3)</f>
        <v/>
      </c>
      <c r="L32" s="86">
        <f>PERCENTRANK(F$4:F$57, F32, 3)</f>
        <v/>
      </c>
      <c r="M32" s="86">
        <f>PERCENTRANK(H$4:H$57, H32, 3)</f>
        <v/>
      </c>
      <c r="N32" s="81">
        <f>INDEX('Team Scores'!AP$4:AP$57, MATCH(A32,'Team Scores'!A$4:A$57, 0))</f>
        <v/>
      </c>
      <c r="O32" s="81">
        <f>INDEX('Team Scores'!AQ$4:AQ$57, MATCH(A32,'Team Scores'!A$4:A$57, 0))</f>
        <v/>
      </c>
      <c r="P32" s="81">
        <f>INDEX('Team Scores'!AR$4:AR$57, MATCH(A32,'Team Scores'!A$4:A$57, 0))</f>
        <v/>
      </c>
      <c r="Q32" s="81">
        <f>INDEX('Team Scores'!AS$4:AS$57, MATCH(A32,'Team Scores'!A$4:A$57, 0))</f>
        <v/>
      </c>
      <c r="R32" s="86">
        <f>PERCENTRANK(N$4:N$57, N32, 3)</f>
        <v/>
      </c>
      <c r="S32" s="86">
        <f>PERCENTRANK(O$4:O$57, O32, 3)</f>
        <v/>
      </c>
      <c r="T32" s="86">
        <f>PERCENTRANK(P$4:P$57, P32, 3)</f>
        <v/>
      </c>
      <c r="U32" s="86">
        <f>PERCENTRANK(Q$4:Q$57, Q32, 3)</f>
        <v/>
      </c>
    </row>
    <row r="33">
      <c r="A33" s="80" t="n">
        <v>3003</v>
      </c>
      <c r="B33" s="81">
        <f>INDEX('Team Scores'!P$4:P$57, MATCH(A33,'Team Scores'!A$4:A$57, 0))</f>
        <v/>
      </c>
      <c r="C33" s="81">
        <f>INDEX('Team Scores'!Q$4:Q$57, MATCH(A33,'Team Scores'!A$4:A$57, 0))</f>
        <v/>
      </c>
      <c r="D33" s="81">
        <f>INDEX('Team Scores'!AD$4:AD$57, MATCH(A33,'Team Scores'!A$4:A$57, 0))</f>
        <v/>
      </c>
      <c r="E33" s="81">
        <f>INDEX('Team Scores'!AE$4:AE$57, MATCH(A33,'Team Scores'!A$4:A$57, 0))</f>
        <v/>
      </c>
      <c r="F33" s="81">
        <f>INDEX('Team Scores'!AL$4:AL$57, MATCH(A33,'Team Scores'!A$4:A$57, 0))</f>
        <v/>
      </c>
      <c r="G33" s="81">
        <f>INDEX('Team Scores'!AM$4:AM$57, MATCH(A33,'Team Scores'!A$4:A$57, 0))</f>
        <v/>
      </c>
      <c r="H33" s="81">
        <f>INDEX('Team Scores'!AN$4:AN$57, MATCH(A33,'Team Scores'!A$4:A$57, 0))</f>
        <v/>
      </c>
      <c r="I33" s="81">
        <f>INDEX('Team Scores'!AO$4:AO$57, MATCH(A33,'Team Scores'!A$4:A$57, 0))</f>
        <v/>
      </c>
      <c r="J33" s="86">
        <f>PERCENTRANK(B$4:B$57, B33, 3)</f>
        <v/>
      </c>
      <c r="K33" s="86">
        <f>PERCENTRANK(D$4:D$57, D33, 3)</f>
        <v/>
      </c>
      <c r="L33" s="86">
        <f>PERCENTRANK(F$4:F$57, F33, 3)</f>
        <v/>
      </c>
      <c r="M33" s="86">
        <f>PERCENTRANK(H$4:H$57, H33, 3)</f>
        <v/>
      </c>
      <c r="N33" s="81">
        <f>INDEX('Team Scores'!AP$4:AP$57, MATCH(A33,'Team Scores'!A$4:A$57, 0))</f>
        <v/>
      </c>
      <c r="O33" s="81">
        <f>INDEX('Team Scores'!AQ$4:AQ$57, MATCH(A33,'Team Scores'!A$4:A$57, 0))</f>
        <v/>
      </c>
      <c r="P33" s="81">
        <f>INDEX('Team Scores'!AR$4:AR$57, MATCH(A33,'Team Scores'!A$4:A$57, 0))</f>
        <v/>
      </c>
      <c r="Q33" s="81">
        <f>INDEX('Team Scores'!AS$4:AS$57, MATCH(A33,'Team Scores'!A$4:A$57, 0))</f>
        <v/>
      </c>
      <c r="R33" s="86">
        <f>PERCENTRANK(N$4:N$57, N33, 3)</f>
        <v/>
      </c>
      <c r="S33" s="86">
        <f>PERCENTRANK(O$4:O$57, O33, 3)</f>
        <v/>
      </c>
      <c r="T33" s="86">
        <f>PERCENTRANK(P$4:P$57, P33, 3)</f>
        <v/>
      </c>
      <c r="U33" s="86">
        <f>PERCENTRANK(Q$4:Q$57, Q33, 3)</f>
        <v/>
      </c>
    </row>
    <row r="34">
      <c r="A34" s="80" t="n">
        <v>3004</v>
      </c>
      <c r="B34" s="81">
        <f>INDEX('Team Scores'!P$4:P$57, MATCH(A34,'Team Scores'!A$4:A$57, 0))</f>
        <v/>
      </c>
      <c r="C34" s="81">
        <f>INDEX('Team Scores'!Q$4:Q$57, MATCH(A34,'Team Scores'!A$4:A$57, 0))</f>
        <v/>
      </c>
      <c r="D34" s="81">
        <f>INDEX('Team Scores'!AD$4:AD$57, MATCH(A34,'Team Scores'!A$4:A$57, 0))</f>
        <v/>
      </c>
      <c r="E34" s="81">
        <f>INDEX('Team Scores'!AE$4:AE$57, MATCH(A34,'Team Scores'!A$4:A$57, 0))</f>
        <v/>
      </c>
      <c r="F34" s="81">
        <f>INDEX('Team Scores'!AL$4:AL$57, MATCH(A34,'Team Scores'!A$4:A$57, 0))</f>
        <v/>
      </c>
      <c r="G34" s="81">
        <f>INDEX('Team Scores'!AM$4:AM$57, MATCH(A34,'Team Scores'!A$4:A$57, 0))</f>
        <v/>
      </c>
      <c r="H34" s="81">
        <f>INDEX('Team Scores'!AN$4:AN$57, MATCH(A34,'Team Scores'!A$4:A$57, 0))</f>
        <v/>
      </c>
      <c r="I34" s="81">
        <f>INDEX('Team Scores'!AO$4:AO$57, MATCH(A34,'Team Scores'!A$4:A$57, 0))</f>
        <v/>
      </c>
      <c r="J34" s="86">
        <f>PERCENTRANK(B$4:B$57, B34, 3)</f>
        <v/>
      </c>
      <c r="K34" s="86">
        <f>PERCENTRANK(D$4:D$57, D34, 3)</f>
        <v/>
      </c>
      <c r="L34" s="86">
        <f>PERCENTRANK(F$4:F$57, F34, 3)</f>
        <v/>
      </c>
      <c r="M34" s="86">
        <f>PERCENTRANK(H$4:H$57, H34, 3)</f>
        <v/>
      </c>
      <c r="N34" s="81">
        <f>INDEX('Team Scores'!AP$4:AP$57, MATCH(A34,'Team Scores'!A$4:A$57, 0))</f>
        <v/>
      </c>
      <c r="O34" s="81">
        <f>INDEX('Team Scores'!AQ$4:AQ$57, MATCH(A34,'Team Scores'!A$4:A$57, 0))</f>
        <v/>
      </c>
      <c r="P34" s="81">
        <f>INDEX('Team Scores'!AR$4:AR$57, MATCH(A34,'Team Scores'!A$4:A$57, 0))</f>
        <v/>
      </c>
      <c r="Q34" s="81">
        <f>INDEX('Team Scores'!AS$4:AS$57, MATCH(A34,'Team Scores'!A$4:A$57, 0))</f>
        <v/>
      </c>
      <c r="R34" s="86">
        <f>PERCENTRANK(N$4:N$57, N34, 3)</f>
        <v/>
      </c>
      <c r="S34" s="86">
        <f>PERCENTRANK(O$4:O$57, O34, 3)</f>
        <v/>
      </c>
      <c r="T34" s="86">
        <f>PERCENTRANK(P$4:P$57, P34, 3)</f>
        <v/>
      </c>
      <c r="U34" s="86">
        <f>PERCENTRANK(Q$4:Q$57, Q34, 3)</f>
        <v/>
      </c>
    </row>
    <row r="35">
      <c r="A35" s="80" t="n">
        <v>3015</v>
      </c>
      <c r="B35" s="81">
        <f>INDEX('Team Scores'!P$4:P$57, MATCH(A35,'Team Scores'!A$4:A$57, 0))</f>
        <v/>
      </c>
      <c r="C35" s="81">
        <f>INDEX('Team Scores'!Q$4:Q$57, MATCH(A35,'Team Scores'!A$4:A$57, 0))</f>
        <v/>
      </c>
      <c r="D35" s="81">
        <f>INDEX('Team Scores'!AD$4:AD$57, MATCH(A35,'Team Scores'!A$4:A$57, 0))</f>
        <v/>
      </c>
      <c r="E35" s="81">
        <f>INDEX('Team Scores'!AE$4:AE$57, MATCH(A35,'Team Scores'!A$4:A$57, 0))</f>
        <v/>
      </c>
      <c r="F35" s="81">
        <f>INDEX('Team Scores'!AL$4:AL$57, MATCH(A35,'Team Scores'!A$4:A$57, 0))</f>
        <v/>
      </c>
      <c r="G35" s="81">
        <f>INDEX('Team Scores'!AM$4:AM$57, MATCH(A35,'Team Scores'!A$4:A$57, 0))</f>
        <v/>
      </c>
      <c r="H35" s="81">
        <f>INDEX('Team Scores'!AN$4:AN$57, MATCH(A35,'Team Scores'!A$4:A$57, 0))</f>
        <v/>
      </c>
      <c r="I35" s="81">
        <f>INDEX('Team Scores'!AO$4:AO$57, MATCH(A35,'Team Scores'!A$4:A$57, 0))</f>
        <v/>
      </c>
      <c r="J35" s="86">
        <f>PERCENTRANK(B$4:B$57, B35, 3)</f>
        <v/>
      </c>
      <c r="K35" s="86">
        <f>PERCENTRANK(D$4:D$57, D35, 3)</f>
        <v/>
      </c>
      <c r="L35" s="86">
        <f>PERCENTRANK(F$4:F$57, F35, 3)</f>
        <v/>
      </c>
      <c r="M35" s="86">
        <f>PERCENTRANK(H$4:H$57, H35, 3)</f>
        <v/>
      </c>
      <c r="N35" s="81">
        <f>INDEX('Team Scores'!AP$4:AP$57, MATCH(A35,'Team Scores'!A$4:A$57, 0))</f>
        <v/>
      </c>
      <c r="O35" s="81">
        <f>INDEX('Team Scores'!AQ$4:AQ$57, MATCH(A35,'Team Scores'!A$4:A$57, 0))</f>
        <v/>
      </c>
      <c r="P35" s="81">
        <f>INDEX('Team Scores'!AR$4:AR$57, MATCH(A35,'Team Scores'!A$4:A$57, 0))</f>
        <v/>
      </c>
      <c r="Q35" s="81">
        <f>INDEX('Team Scores'!AS$4:AS$57, MATCH(A35,'Team Scores'!A$4:A$57, 0))</f>
        <v/>
      </c>
      <c r="R35" s="86">
        <f>PERCENTRANK(N$4:N$57, N35, 3)</f>
        <v/>
      </c>
      <c r="S35" s="86">
        <f>PERCENTRANK(O$4:O$57, O35, 3)</f>
        <v/>
      </c>
      <c r="T35" s="86">
        <f>PERCENTRANK(P$4:P$57, P35, 3)</f>
        <v/>
      </c>
      <c r="U35" s="86">
        <f>PERCENTRANK(Q$4:Q$57, Q35, 3)</f>
        <v/>
      </c>
    </row>
    <row r="36">
      <c r="A36" s="80" t="n">
        <v>3044</v>
      </c>
      <c r="B36" s="81">
        <f>INDEX('Team Scores'!P$4:P$57, MATCH(A36,'Team Scores'!A$4:A$57, 0))</f>
        <v/>
      </c>
      <c r="C36" s="81">
        <f>INDEX('Team Scores'!Q$4:Q$57, MATCH(A36,'Team Scores'!A$4:A$57, 0))</f>
        <v/>
      </c>
      <c r="D36" s="81">
        <f>INDEX('Team Scores'!AD$4:AD$57, MATCH(A36,'Team Scores'!A$4:A$57, 0))</f>
        <v/>
      </c>
      <c r="E36" s="81">
        <f>INDEX('Team Scores'!AE$4:AE$57, MATCH(A36,'Team Scores'!A$4:A$57, 0))</f>
        <v/>
      </c>
      <c r="F36" s="81">
        <f>INDEX('Team Scores'!AL$4:AL$57, MATCH(A36,'Team Scores'!A$4:A$57, 0))</f>
        <v/>
      </c>
      <c r="G36" s="81">
        <f>INDEX('Team Scores'!AM$4:AM$57, MATCH(A36,'Team Scores'!A$4:A$57, 0))</f>
        <v/>
      </c>
      <c r="H36" s="81">
        <f>INDEX('Team Scores'!AN$4:AN$57, MATCH(A36,'Team Scores'!A$4:A$57, 0))</f>
        <v/>
      </c>
      <c r="I36" s="81">
        <f>INDEX('Team Scores'!AO$4:AO$57, MATCH(A36,'Team Scores'!A$4:A$57, 0))</f>
        <v/>
      </c>
      <c r="J36" s="86">
        <f>PERCENTRANK(B$4:B$57, B36, 3)</f>
        <v/>
      </c>
      <c r="K36" s="86">
        <f>PERCENTRANK(D$4:D$57, D36, 3)</f>
        <v/>
      </c>
      <c r="L36" s="86">
        <f>PERCENTRANK(F$4:F$57, F36, 3)</f>
        <v/>
      </c>
      <c r="M36" s="86">
        <f>PERCENTRANK(H$4:H$57, H36, 3)</f>
        <v/>
      </c>
      <c r="N36" s="81">
        <f>INDEX('Team Scores'!AP$4:AP$57, MATCH(A36,'Team Scores'!A$4:A$57, 0))</f>
        <v/>
      </c>
      <c r="O36" s="81">
        <f>INDEX('Team Scores'!AQ$4:AQ$57, MATCH(A36,'Team Scores'!A$4:A$57, 0))</f>
        <v/>
      </c>
      <c r="P36" s="81">
        <f>INDEX('Team Scores'!AR$4:AR$57, MATCH(A36,'Team Scores'!A$4:A$57, 0))</f>
        <v/>
      </c>
      <c r="Q36" s="81">
        <f>INDEX('Team Scores'!AS$4:AS$57, MATCH(A36,'Team Scores'!A$4:A$57, 0))</f>
        <v/>
      </c>
      <c r="R36" s="86">
        <f>PERCENTRANK(N$4:N$57, N36, 3)</f>
        <v/>
      </c>
      <c r="S36" s="86">
        <f>PERCENTRANK(O$4:O$57, O36, 3)</f>
        <v/>
      </c>
      <c r="T36" s="86">
        <f>PERCENTRANK(P$4:P$57, P36, 3)</f>
        <v/>
      </c>
      <c r="U36" s="86">
        <f>PERCENTRANK(Q$4:Q$57, Q36, 3)</f>
        <v/>
      </c>
    </row>
    <row r="37">
      <c r="A37" s="80" t="n">
        <v>3171</v>
      </c>
      <c r="B37" s="81">
        <f>INDEX('Team Scores'!P$4:P$57, MATCH(A37,'Team Scores'!A$4:A$57, 0))</f>
        <v/>
      </c>
      <c r="C37" s="81">
        <f>INDEX('Team Scores'!Q$4:Q$57, MATCH(A37,'Team Scores'!A$4:A$57, 0))</f>
        <v/>
      </c>
      <c r="D37" s="81">
        <f>INDEX('Team Scores'!AD$4:AD$57, MATCH(A37,'Team Scores'!A$4:A$57, 0))</f>
        <v/>
      </c>
      <c r="E37" s="81">
        <f>INDEX('Team Scores'!AE$4:AE$57, MATCH(A37,'Team Scores'!A$4:A$57, 0))</f>
        <v/>
      </c>
      <c r="F37" s="81">
        <f>INDEX('Team Scores'!AL$4:AL$57, MATCH(A37,'Team Scores'!A$4:A$57, 0))</f>
        <v/>
      </c>
      <c r="G37" s="81">
        <f>INDEX('Team Scores'!AM$4:AM$57, MATCH(A37,'Team Scores'!A$4:A$57, 0))</f>
        <v/>
      </c>
      <c r="H37" s="81">
        <f>INDEX('Team Scores'!AN$4:AN$57, MATCH(A37,'Team Scores'!A$4:A$57, 0))</f>
        <v/>
      </c>
      <c r="I37" s="81">
        <f>INDEX('Team Scores'!AO$4:AO$57, MATCH(A37,'Team Scores'!A$4:A$57, 0))</f>
        <v/>
      </c>
      <c r="J37" s="86">
        <f>PERCENTRANK(B$4:B$57, B37, 3)</f>
        <v/>
      </c>
      <c r="K37" s="86">
        <f>PERCENTRANK(D$4:D$57, D37, 3)</f>
        <v/>
      </c>
      <c r="L37" s="86">
        <f>PERCENTRANK(F$4:F$57, F37, 3)</f>
        <v/>
      </c>
      <c r="M37" s="86">
        <f>PERCENTRANK(H$4:H$57, H37, 3)</f>
        <v/>
      </c>
      <c r="N37" s="81">
        <f>INDEX('Team Scores'!AP$4:AP$57, MATCH(A37,'Team Scores'!A$4:A$57, 0))</f>
        <v/>
      </c>
      <c r="O37" s="81">
        <f>INDEX('Team Scores'!AQ$4:AQ$57, MATCH(A37,'Team Scores'!A$4:A$57, 0))</f>
        <v/>
      </c>
      <c r="P37" s="81">
        <f>INDEX('Team Scores'!AR$4:AR$57, MATCH(A37,'Team Scores'!A$4:A$57, 0))</f>
        <v/>
      </c>
      <c r="Q37" s="81">
        <f>INDEX('Team Scores'!AS$4:AS$57, MATCH(A37,'Team Scores'!A$4:A$57, 0))</f>
        <v/>
      </c>
      <c r="R37" s="86">
        <f>PERCENTRANK(N$4:N$57, N37, 3)</f>
        <v/>
      </c>
      <c r="S37" s="86">
        <f>PERCENTRANK(O$4:O$57, O37, 3)</f>
        <v/>
      </c>
      <c r="T37" s="86">
        <f>PERCENTRANK(P$4:P$57, P37, 3)</f>
        <v/>
      </c>
      <c r="U37" s="86">
        <f>PERCENTRANK(Q$4:Q$57, Q37, 3)</f>
        <v/>
      </c>
    </row>
    <row r="38">
      <c r="A38" s="80" t="n">
        <v>3173</v>
      </c>
      <c r="B38" s="81">
        <f>INDEX('Team Scores'!P$4:P$57, MATCH(A38,'Team Scores'!A$4:A$57, 0))</f>
        <v/>
      </c>
      <c r="C38" s="81">
        <f>INDEX('Team Scores'!Q$4:Q$57, MATCH(A38,'Team Scores'!A$4:A$57, 0))</f>
        <v/>
      </c>
      <c r="D38" s="81">
        <f>INDEX('Team Scores'!AD$4:AD$57, MATCH(A38,'Team Scores'!A$4:A$57, 0))</f>
        <v/>
      </c>
      <c r="E38" s="81">
        <f>INDEX('Team Scores'!AE$4:AE$57, MATCH(A38,'Team Scores'!A$4:A$57, 0))</f>
        <v/>
      </c>
      <c r="F38" s="81">
        <f>INDEX('Team Scores'!AL$4:AL$57, MATCH(A38,'Team Scores'!A$4:A$57, 0))</f>
        <v/>
      </c>
      <c r="G38" s="81">
        <f>INDEX('Team Scores'!AM$4:AM$57, MATCH(A38,'Team Scores'!A$4:A$57, 0))</f>
        <v/>
      </c>
      <c r="H38" s="81">
        <f>INDEX('Team Scores'!AN$4:AN$57, MATCH(A38,'Team Scores'!A$4:A$57, 0))</f>
        <v/>
      </c>
      <c r="I38" s="81">
        <f>INDEX('Team Scores'!AO$4:AO$57, MATCH(A38,'Team Scores'!A$4:A$57, 0))</f>
        <v/>
      </c>
      <c r="J38" s="86">
        <f>PERCENTRANK(B$4:B$57, B38, 3)</f>
        <v/>
      </c>
      <c r="K38" s="86">
        <f>PERCENTRANK(D$4:D$57, D38, 3)</f>
        <v/>
      </c>
      <c r="L38" s="86">
        <f>PERCENTRANK(F$4:F$57, F38, 3)</f>
        <v/>
      </c>
      <c r="M38" s="86">
        <f>PERCENTRANK(H$4:H$57, H38, 3)</f>
        <v/>
      </c>
      <c r="N38" s="81">
        <f>INDEX('Team Scores'!AP$4:AP$57, MATCH(A38,'Team Scores'!A$4:A$57, 0))</f>
        <v/>
      </c>
      <c r="O38" s="81">
        <f>INDEX('Team Scores'!AQ$4:AQ$57, MATCH(A38,'Team Scores'!A$4:A$57, 0))</f>
        <v/>
      </c>
      <c r="P38" s="81">
        <f>INDEX('Team Scores'!AR$4:AR$57, MATCH(A38,'Team Scores'!A$4:A$57, 0))</f>
        <v/>
      </c>
      <c r="Q38" s="81">
        <f>INDEX('Team Scores'!AS$4:AS$57, MATCH(A38,'Team Scores'!A$4:A$57, 0))</f>
        <v/>
      </c>
      <c r="R38" s="86">
        <f>PERCENTRANK(N$4:N$57, N38, 3)</f>
        <v/>
      </c>
      <c r="S38" s="86">
        <f>PERCENTRANK(O$4:O$57, O38, 3)</f>
        <v/>
      </c>
      <c r="T38" s="86">
        <f>PERCENTRANK(P$4:P$57, P38, 3)</f>
        <v/>
      </c>
      <c r="U38" s="86">
        <f>PERCENTRANK(Q$4:Q$57, Q38, 3)</f>
        <v/>
      </c>
    </row>
    <row r="39">
      <c r="A39" s="80" t="n">
        <v>3181</v>
      </c>
      <c r="B39" s="81">
        <f>INDEX('Team Scores'!P$4:P$57, MATCH(A39,'Team Scores'!A$4:A$57, 0))</f>
        <v/>
      </c>
      <c r="C39" s="81">
        <f>INDEX('Team Scores'!Q$4:Q$57, MATCH(A39,'Team Scores'!A$4:A$57, 0))</f>
        <v/>
      </c>
      <c r="D39" s="81">
        <f>INDEX('Team Scores'!AD$4:AD$57, MATCH(A39,'Team Scores'!A$4:A$57, 0))</f>
        <v/>
      </c>
      <c r="E39" s="81">
        <f>INDEX('Team Scores'!AE$4:AE$57, MATCH(A39,'Team Scores'!A$4:A$57, 0))</f>
        <v/>
      </c>
      <c r="F39" s="81">
        <f>INDEX('Team Scores'!AL$4:AL$57, MATCH(A39,'Team Scores'!A$4:A$57, 0))</f>
        <v/>
      </c>
      <c r="G39" s="81">
        <f>INDEX('Team Scores'!AM$4:AM$57, MATCH(A39,'Team Scores'!A$4:A$57, 0))</f>
        <v/>
      </c>
      <c r="H39" s="81">
        <f>INDEX('Team Scores'!AN$4:AN$57, MATCH(A39,'Team Scores'!A$4:A$57, 0))</f>
        <v/>
      </c>
      <c r="I39" s="81">
        <f>INDEX('Team Scores'!AO$4:AO$57, MATCH(A39,'Team Scores'!A$4:A$57, 0))</f>
        <v/>
      </c>
      <c r="J39" s="86">
        <f>PERCENTRANK(B$4:B$57, B39, 3)</f>
        <v/>
      </c>
      <c r="K39" s="86">
        <f>PERCENTRANK(D$4:D$57, D39, 3)</f>
        <v/>
      </c>
      <c r="L39" s="86">
        <f>PERCENTRANK(F$4:F$57, F39, 3)</f>
        <v/>
      </c>
      <c r="M39" s="86">
        <f>PERCENTRANK(H$4:H$57, H39, 3)</f>
        <v/>
      </c>
      <c r="N39" s="81">
        <f>INDEX('Team Scores'!AP$4:AP$57, MATCH(A39,'Team Scores'!A$4:A$57, 0))</f>
        <v/>
      </c>
      <c r="O39" s="81">
        <f>INDEX('Team Scores'!AQ$4:AQ$57, MATCH(A39,'Team Scores'!A$4:A$57, 0))</f>
        <v/>
      </c>
      <c r="P39" s="81">
        <f>INDEX('Team Scores'!AR$4:AR$57, MATCH(A39,'Team Scores'!A$4:A$57, 0))</f>
        <v/>
      </c>
      <c r="Q39" s="81">
        <f>INDEX('Team Scores'!AS$4:AS$57, MATCH(A39,'Team Scores'!A$4:A$57, 0))</f>
        <v/>
      </c>
      <c r="R39" s="86">
        <f>PERCENTRANK(N$4:N$57, N39, 3)</f>
        <v/>
      </c>
      <c r="S39" s="86">
        <f>PERCENTRANK(O$4:O$57, O39, 3)</f>
        <v/>
      </c>
      <c r="T39" s="86">
        <f>PERCENTRANK(P$4:P$57, P39, 3)</f>
        <v/>
      </c>
      <c r="U39" s="86">
        <f>PERCENTRANK(Q$4:Q$57, Q39, 3)</f>
        <v/>
      </c>
    </row>
    <row r="40">
      <c r="A40" s="80" t="n">
        <v>3799</v>
      </c>
      <c r="B40" s="81">
        <f>INDEX('Team Scores'!P$4:P$57, MATCH(A40,'Team Scores'!A$4:A$57, 0))</f>
        <v/>
      </c>
      <c r="C40" s="81">
        <f>INDEX('Team Scores'!Q$4:Q$57, MATCH(A40,'Team Scores'!A$4:A$57, 0))</f>
        <v/>
      </c>
      <c r="D40" s="81">
        <f>INDEX('Team Scores'!AD$4:AD$57, MATCH(A40,'Team Scores'!A$4:A$57, 0))</f>
        <v/>
      </c>
      <c r="E40" s="81">
        <f>INDEX('Team Scores'!AE$4:AE$57, MATCH(A40,'Team Scores'!A$4:A$57, 0))</f>
        <v/>
      </c>
      <c r="F40" s="81">
        <f>INDEX('Team Scores'!AL$4:AL$57, MATCH(A40,'Team Scores'!A$4:A$57, 0))</f>
        <v/>
      </c>
      <c r="G40" s="81">
        <f>INDEX('Team Scores'!AM$4:AM$57, MATCH(A40,'Team Scores'!A$4:A$57, 0))</f>
        <v/>
      </c>
      <c r="H40" s="81">
        <f>INDEX('Team Scores'!AN$4:AN$57, MATCH(A40,'Team Scores'!A$4:A$57, 0))</f>
        <v/>
      </c>
      <c r="I40" s="81">
        <f>INDEX('Team Scores'!AO$4:AO$57, MATCH(A40,'Team Scores'!A$4:A$57, 0))</f>
        <v/>
      </c>
      <c r="J40" s="86">
        <f>PERCENTRANK(B$4:B$57, B40, 3)</f>
        <v/>
      </c>
      <c r="K40" s="86">
        <f>PERCENTRANK(D$4:D$57, D40, 3)</f>
        <v/>
      </c>
      <c r="L40" s="86">
        <f>PERCENTRANK(F$4:F$57, F40, 3)</f>
        <v/>
      </c>
      <c r="M40" s="86">
        <f>PERCENTRANK(H$4:H$57, H40, 3)</f>
        <v/>
      </c>
      <c r="N40" s="81">
        <f>INDEX('Team Scores'!AP$4:AP$57, MATCH(A40,'Team Scores'!A$4:A$57, 0))</f>
        <v/>
      </c>
      <c r="O40" s="81">
        <f>INDEX('Team Scores'!AQ$4:AQ$57, MATCH(A40,'Team Scores'!A$4:A$57, 0))</f>
        <v/>
      </c>
      <c r="P40" s="81">
        <f>INDEX('Team Scores'!AR$4:AR$57, MATCH(A40,'Team Scores'!A$4:A$57, 0))</f>
        <v/>
      </c>
      <c r="Q40" s="81">
        <f>INDEX('Team Scores'!AS$4:AS$57, MATCH(A40,'Team Scores'!A$4:A$57, 0))</f>
        <v/>
      </c>
      <c r="R40" s="86">
        <f>PERCENTRANK(N$4:N$57, N40, 3)</f>
        <v/>
      </c>
      <c r="S40" s="86">
        <f>PERCENTRANK(O$4:O$57, O40, 3)</f>
        <v/>
      </c>
      <c r="T40" s="86">
        <f>PERCENTRANK(P$4:P$57, P40, 3)</f>
        <v/>
      </c>
      <c r="U40" s="86">
        <f>PERCENTRANK(Q$4:Q$57, Q40, 3)</f>
        <v/>
      </c>
    </row>
    <row r="41">
      <c r="A41" s="80" t="n">
        <v>3838</v>
      </c>
      <c r="B41" s="81">
        <f>INDEX('Team Scores'!P$4:P$57, MATCH(A41,'Team Scores'!A$4:A$57, 0))</f>
        <v/>
      </c>
      <c r="C41" s="81">
        <f>INDEX('Team Scores'!Q$4:Q$57, MATCH(A41,'Team Scores'!A$4:A$57, 0))</f>
        <v/>
      </c>
      <c r="D41" s="81">
        <f>INDEX('Team Scores'!AD$4:AD$57, MATCH(A41,'Team Scores'!A$4:A$57, 0))</f>
        <v/>
      </c>
      <c r="E41" s="81">
        <f>INDEX('Team Scores'!AE$4:AE$57, MATCH(A41,'Team Scores'!A$4:A$57, 0))</f>
        <v/>
      </c>
      <c r="F41" s="81">
        <f>INDEX('Team Scores'!AL$4:AL$57, MATCH(A41,'Team Scores'!A$4:A$57, 0))</f>
        <v/>
      </c>
      <c r="G41" s="81">
        <f>INDEX('Team Scores'!AM$4:AM$57, MATCH(A41,'Team Scores'!A$4:A$57, 0))</f>
        <v/>
      </c>
      <c r="H41" s="81">
        <f>INDEX('Team Scores'!AN$4:AN$57, MATCH(A41,'Team Scores'!A$4:A$57, 0))</f>
        <v/>
      </c>
      <c r="I41" s="81">
        <f>INDEX('Team Scores'!AO$4:AO$57, MATCH(A41,'Team Scores'!A$4:A$57, 0))</f>
        <v/>
      </c>
      <c r="J41" s="86">
        <f>PERCENTRANK(B$4:B$57, B41, 3)</f>
        <v/>
      </c>
      <c r="K41" s="86">
        <f>PERCENTRANK(D$4:D$57, D41, 3)</f>
        <v/>
      </c>
      <c r="L41" s="86">
        <f>PERCENTRANK(F$4:F$57, F41, 3)</f>
        <v/>
      </c>
      <c r="M41" s="86">
        <f>PERCENTRANK(H$4:H$57, H41, 3)</f>
        <v/>
      </c>
      <c r="N41" s="81">
        <f>INDEX('Team Scores'!AP$4:AP$57, MATCH(A41,'Team Scores'!A$4:A$57, 0))</f>
        <v/>
      </c>
      <c r="O41" s="81">
        <f>INDEX('Team Scores'!AQ$4:AQ$57, MATCH(A41,'Team Scores'!A$4:A$57, 0))</f>
        <v/>
      </c>
      <c r="P41" s="81">
        <f>INDEX('Team Scores'!AR$4:AR$57, MATCH(A41,'Team Scores'!A$4:A$57, 0))</f>
        <v/>
      </c>
      <c r="Q41" s="81">
        <f>INDEX('Team Scores'!AS$4:AS$57, MATCH(A41,'Team Scores'!A$4:A$57, 0))</f>
        <v/>
      </c>
      <c r="R41" s="86">
        <f>PERCENTRANK(N$4:N$57, N41, 3)</f>
        <v/>
      </c>
      <c r="S41" s="86">
        <f>PERCENTRANK(O$4:O$57, O41, 3)</f>
        <v/>
      </c>
      <c r="T41" s="86">
        <f>PERCENTRANK(P$4:P$57, P41, 3)</f>
        <v/>
      </c>
      <c r="U41" s="86">
        <f>PERCENTRANK(Q$4:Q$57, Q41, 3)</f>
        <v/>
      </c>
    </row>
    <row r="42">
      <c r="A42" s="80" t="n">
        <v>3951</v>
      </c>
      <c r="B42" s="81">
        <f>INDEX('Team Scores'!P$4:P$57, MATCH(A42,'Team Scores'!A$4:A$57, 0))</f>
        <v/>
      </c>
      <c r="C42" s="81">
        <f>INDEX('Team Scores'!Q$4:Q$57, MATCH(A42,'Team Scores'!A$4:A$57, 0))</f>
        <v/>
      </c>
      <c r="D42" s="81">
        <f>INDEX('Team Scores'!AD$4:AD$57, MATCH(A42,'Team Scores'!A$4:A$57, 0))</f>
        <v/>
      </c>
      <c r="E42" s="81">
        <f>INDEX('Team Scores'!AE$4:AE$57, MATCH(A42,'Team Scores'!A$4:A$57, 0))</f>
        <v/>
      </c>
      <c r="F42" s="81">
        <f>INDEX('Team Scores'!AL$4:AL$57, MATCH(A42,'Team Scores'!A$4:A$57, 0))</f>
        <v/>
      </c>
      <c r="G42" s="81">
        <f>INDEX('Team Scores'!AM$4:AM$57, MATCH(A42,'Team Scores'!A$4:A$57, 0))</f>
        <v/>
      </c>
      <c r="H42" s="81">
        <f>INDEX('Team Scores'!AN$4:AN$57, MATCH(A42,'Team Scores'!A$4:A$57, 0))</f>
        <v/>
      </c>
      <c r="I42" s="81">
        <f>INDEX('Team Scores'!AO$4:AO$57, MATCH(A42,'Team Scores'!A$4:A$57, 0))</f>
        <v/>
      </c>
      <c r="J42" s="86">
        <f>PERCENTRANK(B$4:B$57, B42, 3)</f>
        <v/>
      </c>
      <c r="K42" s="86">
        <f>PERCENTRANK(D$4:D$57, D42, 3)</f>
        <v/>
      </c>
      <c r="L42" s="86">
        <f>PERCENTRANK(F$4:F$57, F42, 3)</f>
        <v/>
      </c>
      <c r="M42" s="86">
        <f>PERCENTRANK(H$4:H$57, H42, 3)</f>
        <v/>
      </c>
      <c r="N42" s="81">
        <f>INDEX('Team Scores'!AP$4:AP$57, MATCH(A42,'Team Scores'!A$4:A$57, 0))</f>
        <v/>
      </c>
      <c r="O42" s="81">
        <f>INDEX('Team Scores'!AQ$4:AQ$57, MATCH(A42,'Team Scores'!A$4:A$57, 0))</f>
        <v/>
      </c>
      <c r="P42" s="81">
        <f>INDEX('Team Scores'!AR$4:AR$57, MATCH(A42,'Team Scores'!A$4:A$57, 0))</f>
        <v/>
      </c>
      <c r="Q42" s="81">
        <f>INDEX('Team Scores'!AS$4:AS$57, MATCH(A42,'Team Scores'!A$4:A$57, 0))</f>
        <v/>
      </c>
      <c r="R42" s="86">
        <f>PERCENTRANK(N$4:N$57, N42, 3)</f>
        <v/>
      </c>
      <c r="S42" s="86">
        <f>PERCENTRANK(O$4:O$57, O42, 3)</f>
        <v/>
      </c>
      <c r="T42" s="86">
        <f>PERCENTRANK(P$4:P$57, P42, 3)</f>
        <v/>
      </c>
      <c r="U42" s="86">
        <f>PERCENTRANK(Q$4:Q$57, Q42, 3)</f>
        <v/>
      </c>
    </row>
    <row r="43">
      <c r="A43" s="80" t="n">
        <v>4611</v>
      </c>
      <c r="B43" s="81">
        <f>INDEX('Team Scores'!P$4:P$57, MATCH(A43,'Team Scores'!A$4:A$57, 0))</f>
        <v/>
      </c>
      <c r="C43" s="81">
        <f>INDEX('Team Scores'!Q$4:Q$57, MATCH(A43,'Team Scores'!A$4:A$57, 0))</f>
        <v/>
      </c>
      <c r="D43" s="81">
        <f>INDEX('Team Scores'!AD$4:AD$57, MATCH(A43,'Team Scores'!A$4:A$57, 0))</f>
        <v/>
      </c>
      <c r="E43" s="81">
        <f>INDEX('Team Scores'!AE$4:AE$57, MATCH(A43,'Team Scores'!A$4:A$57, 0))</f>
        <v/>
      </c>
      <c r="F43" s="81">
        <f>INDEX('Team Scores'!AL$4:AL$57, MATCH(A43,'Team Scores'!A$4:A$57, 0))</f>
        <v/>
      </c>
      <c r="G43" s="81">
        <f>INDEX('Team Scores'!AM$4:AM$57, MATCH(A43,'Team Scores'!A$4:A$57, 0))</f>
        <v/>
      </c>
      <c r="H43" s="81">
        <f>INDEX('Team Scores'!AN$4:AN$57, MATCH(A43,'Team Scores'!A$4:A$57, 0))</f>
        <v/>
      </c>
      <c r="I43" s="81">
        <f>INDEX('Team Scores'!AO$4:AO$57, MATCH(A43,'Team Scores'!A$4:A$57, 0))</f>
        <v/>
      </c>
      <c r="J43" s="86">
        <f>PERCENTRANK(B$4:B$57, B43, 3)</f>
        <v/>
      </c>
      <c r="K43" s="86">
        <f>PERCENTRANK(D$4:D$57, D43, 3)</f>
        <v/>
      </c>
      <c r="L43" s="86">
        <f>PERCENTRANK(F$4:F$57, F43, 3)</f>
        <v/>
      </c>
      <c r="M43" s="86">
        <f>PERCENTRANK(H$4:H$57, H43, 3)</f>
        <v/>
      </c>
      <c r="N43" s="81">
        <f>INDEX('Team Scores'!AP$4:AP$57, MATCH(A43,'Team Scores'!A$4:A$57, 0))</f>
        <v/>
      </c>
      <c r="O43" s="81">
        <f>INDEX('Team Scores'!AQ$4:AQ$57, MATCH(A43,'Team Scores'!A$4:A$57, 0))</f>
        <v/>
      </c>
      <c r="P43" s="81">
        <f>INDEX('Team Scores'!AR$4:AR$57, MATCH(A43,'Team Scores'!A$4:A$57, 0))</f>
        <v/>
      </c>
      <c r="Q43" s="81">
        <f>INDEX('Team Scores'!AS$4:AS$57, MATCH(A43,'Team Scores'!A$4:A$57, 0))</f>
        <v/>
      </c>
      <c r="R43" s="86">
        <f>PERCENTRANK(N$4:N$57, N43, 3)</f>
        <v/>
      </c>
      <c r="S43" s="86">
        <f>PERCENTRANK(O$4:O$57, O43, 3)</f>
        <v/>
      </c>
      <c r="T43" s="86">
        <f>PERCENTRANK(P$4:P$57, P43, 3)</f>
        <v/>
      </c>
      <c r="U43" s="86">
        <f>PERCENTRANK(Q$4:Q$57, Q43, 3)</f>
        <v/>
      </c>
    </row>
    <row r="44">
      <c r="A44" s="80" t="n">
        <v>4930</v>
      </c>
      <c r="B44" s="81">
        <f>INDEX('Team Scores'!P$4:P$57, MATCH(A44,'Team Scores'!A$4:A$57, 0))</f>
        <v/>
      </c>
      <c r="C44" s="81">
        <f>INDEX('Team Scores'!Q$4:Q$57, MATCH(A44,'Team Scores'!A$4:A$57, 0))</f>
        <v/>
      </c>
      <c r="D44" s="81">
        <f>INDEX('Team Scores'!AD$4:AD$57, MATCH(A44,'Team Scores'!A$4:A$57, 0))</f>
        <v/>
      </c>
      <c r="E44" s="81">
        <f>INDEX('Team Scores'!AE$4:AE$57, MATCH(A44,'Team Scores'!A$4:A$57, 0))</f>
        <v/>
      </c>
      <c r="F44" s="81">
        <f>INDEX('Team Scores'!AL$4:AL$57, MATCH(A44,'Team Scores'!A$4:A$57, 0))</f>
        <v/>
      </c>
      <c r="G44" s="81">
        <f>INDEX('Team Scores'!AM$4:AM$57, MATCH(A44,'Team Scores'!A$4:A$57, 0))</f>
        <v/>
      </c>
      <c r="H44" s="81">
        <f>INDEX('Team Scores'!AN$4:AN$57, MATCH(A44,'Team Scores'!A$4:A$57, 0))</f>
        <v/>
      </c>
      <c r="I44" s="81">
        <f>INDEX('Team Scores'!AO$4:AO$57, MATCH(A44,'Team Scores'!A$4:A$57, 0))</f>
        <v/>
      </c>
      <c r="J44" s="86">
        <f>PERCENTRANK(B$4:B$57, B44, 3)</f>
        <v/>
      </c>
      <c r="K44" s="86">
        <f>PERCENTRANK(D$4:D$57, D44, 3)</f>
        <v/>
      </c>
      <c r="L44" s="86">
        <f>PERCENTRANK(F$4:F$57, F44, 3)</f>
        <v/>
      </c>
      <c r="M44" s="86">
        <f>PERCENTRANK(H$4:H$57, H44, 3)</f>
        <v/>
      </c>
      <c r="N44" s="81">
        <f>INDEX('Team Scores'!AP$4:AP$57, MATCH(A44,'Team Scores'!A$4:A$57, 0))</f>
        <v/>
      </c>
      <c r="O44" s="81">
        <f>INDEX('Team Scores'!AQ$4:AQ$57, MATCH(A44,'Team Scores'!A$4:A$57, 0))</f>
        <v/>
      </c>
      <c r="P44" s="81">
        <f>INDEX('Team Scores'!AR$4:AR$57, MATCH(A44,'Team Scores'!A$4:A$57, 0))</f>
        <v/>
      </c>
      <c r="Q44" s="81">
        <f>INDEX('Team Scores'!AS$4:AS$57, MATCH(A44,'Team Scores'!A$4:A$57, 0))</f>
        <v/>
      </c>
      <c r="R44" s="86">
        <f>PERCENTRANK(N$4:N$57, N44, 3)</f>
        <v/>
      </c>
      <c r="S44" s="86">
        <f>PERCENTRANK(O$4:O$57, O44, 3)</f>
        <v/>
      </c>
      <c r="T44" s="86">
        <f>PERCENTRANK(P$4:P$57, P44, 3)</f>
        <v/>
      </c>
      <c r="U44" s="86">
        <f>PERCENTRANK(Q$4:Q$57, Q44, 3)</f>
        <v/>
      </c>
    </row>
    <row r="45">
      <c r="A45" s="80" t="n">
        <v>5590</v>
      </c>
      <c r="B45" s="81">
        <f>INDEX('Team Scores'!P$4:P$57, MATCH(A45,'Team Scores'!A$4:A$57, 0))</f>
        <v/>
      </c>
      <c r="C45" s="81">
        <f>INDEX('Team Scores'!Q$4:Q$57, MATCH(A45,'Team Scores'!A$4:A$57, 0))</f>
        <v/>
      </c>
      <c r="D45" s="81">
        <f>INDEX('Team Scores'!AD$4:AD$57, MATCH(A45,'Team Scores'!A$4:A$57, 0))</f>
        <v/>
      </c>
      <c r="E45" s="81">
        <f>INDEX('Team Scores'!AE$4:AE$57, MATCH(A45,'Team Scores'!A$4:A$57, 0))</f>
        <v/>
      </c>
      <c r="F45" s="81">
        <f>INDEX('Team Scores'!AL$4:AL$57, MATCH(A45,'Team Scores'!A$4:A$57, 0))</f>
        <v/>
      </c>
      <c r="G45" s="81">
        <f>INDEX('Team Scores'!AM$4:AM$57, MATCH(A45,'Team Scores'!A$4:A$57, 0))</f>
        <v/>
      </c>
      <c r="H45" s="81">
        <f>INDEX('Team Scores'!AN$4:AN$57, MATCH(A45,'Team Scores'!A$4:A$57, 0))</f>
        <v/>
      </c>
      <c r="I45" s="81">
        <f>INDEX('Team Scores'!AO$4:AO$57, MATCH(A45,'Team Scores'!A$4:A$57, 0))</f>
        <v/>
      </c>
      <c r="J45" s="86">
        <f>PERCENTRANK(B$4:B$57, B45, 3)</f>
        <v/>
      </c>
      <c r="K45" s="86">
        <f>PERCENTRANK(D$4:D$57, D45, 3)</f>
        <v/>
      </c>
      <c r="L45" s="86">
        <f>PERCENTRANK(F$4:F$57, F45, 3)</f>
        <v/>
      </c>
      <c r="M45" s="86">
        <f>PERCENTRANK(H$4:H$57, H45, 3)</f>
        <v/>
      </c>
      <c r="N45" s="81">
        <f>INDEX('Team Scores'!AP$4:AP$57, MATCH(A45,'Team Scores'!A$4:A$57, 0))</f>
        <v/>
      </c>
      <c r="O45" s="81">
        <f>INDEX('Team Scores'!AQ$4:AQ$57, MATCH(A45,'Team Scores'!A$4:A$57, 0))</f>
        <v/>
      </c>
      <c r="P45" s="81">
        <f>INDEX('Team Scores'!AR$4:AR$57, MATCH(A45,'Team Scores'!A$4:A$57, 0))</f>
        <v/>
      </c>
      <c r="Q45" s="81">
        <f>INDEX('Team Scores'!AS$4:AS$57, MATCH(A45,'Team Scores'!A$4:A$57, 0))</f>
        <v/>
      </c>
      <c r="R45" s="86">
        <f>PERCENTRANK(N$4:N$57, N45, 3)</f>
        <v/>
      </c>
      <c r="S45" s="86">
        <f>PERCENTRANK(O$4:O$57, O45, 3)</f>
        <v/>
      </c>
      <c r="T45" s="86">
        <f>PERCENTRANK(P$4:P$57, P45, 3)</f>
        <v/>
      </c>
      <c r="U45" s="86">
        <f>PERCENTRANK(Q$4:Q$57, Q45, 3)</f>
        <v/>
      </c>
    </row>
    <row r="46">
      <c r="A46" s="80" t="n">
        <v>5881</v>
      </c>
      <c r="B46" s="81">
        <f>INDEX('Team Scores'!P$4:P$57, MATCH(A46,'Team Scores'!A$4:A$57, 0))</f>
        <v/>
      </c>
      <c r="C46" s="81">
        <f>INDEX('Team Scores'!Q$4:Q$57, MATCH(A46,'Team Scores'!A$4:A$57, 0))</f>
        <v/>
      </c>
      <c r="D46" s="81">
        <f>INDEX('Team Scores'!AD$4:AD$57, MATCH(A46,'Team Scores'!A$4:A$57, 0))</f>
        <v/>
      </c>
      <c r="E46" s="81">
        <f>INDEX('Team Scores'!AE$4:AE$57, MATCH(A46,'Team Scores'!A$4:A$57, 0))</f>
        <v/>
      </c>
      <c r="F46" s="81">
        <f>INDEX('Team Scores'!AL$4:AL$57, MATCH(A46,'Team Scores'!A$4:A$57, 0))</f>
        <v/>
      </c>
      <c r="G46" s="81">
        <f>INDEX('Team Scores'!AM$4:AM$57, MATCH(A46,'Team Scores'!A$4:A$57, 0))</f>
        <v/>
      </c>
      <c r="H46" s="81">
        <f>INDEX('Team Scores'!AN$4:AN$57, MATCH(A46,'Team Scores'!A$4:A$57, 0))</f>
        <v/>
      </c>
      <c r="I46" s="81">
        <f>INDEX('Team Scores'!AO$4:AO$57, MATCH(A46,'Team Scores'!A$4:A$57, 0))</f>
        <v/>
      </c>
      <c r="J46" s="86">
        <f>PERCENTRANK(B$4:B$57, B46, 3)</f>
        <v/>
      </c>
      <c r="K46" s="86">
        <f>PERCENTRANK(D$4:D$57, D46, 3)</f>
        <v/>
      </c>
      <c r="L46" s="86">
        <f>PERCENTRANK(F$4:F$57, F46, 3)</f>
        <v/>
      </c>
      <c r="M46" s="86">
        <f>PERCENTRANK(H$4:H$57, H46, 3)</f>
        <v/>
      </c>
      <c r="N46" s="81">
        <f>INDEX('Team Scores'!AP$4:AP$57, MATCH(A46,'Team Scores'!A$4:A$57, 0))</f>
        <v/>
      </c>
      <c r="O46" s="81">
        <f>INDEX('Team Scores'!AQ$4:AQ$57, MATCH(A46,'Team Scores'!A$4:A$57, 0))</f>
        <v/>
      </c>
      <c r="P46" s="81">
        <f>INDEX('Team Scores'!AR$4:AR$57, MATCH(A46,'Team Scores'!A$4:A$57, 0))</f>
        <v/>
      </c>
      <c r="Q46" s="81">
        <f>INDEX('Team Scores'!AS$4:AS$57, MATCH(A46,'Team Scores'!A$4:A$57, 0))</f>
        <v/>
      </c>
      <c r="R46" s="86">
        <f>PERCENTRANK(N$4:N$57, N46, 3)</f>
        <v/>
      </c>
      <c r="S46" s="86">
        <f>PERCENTRANK(O$4:O$57, O46, 3)</f>
        <v/>
      </c>
      <c r="T46" s="86">
        <f>PERCENTRANK(P$4:P$57, P46, 3)</f>
        <v/>
      </c>
      <c r="U46" s="86">
        <f>PERCENTRANK(Q$4:Q$57, Q46, 3)</f>
        <v/>
      </c>
    </row>
    <row r="47">
      <c r="A47" s="80" t="n">
        <v>6621</v>
      </c>
      <c r="B47" s="81">
        <f>INDEX('Team Scores'!P$4:P$57, MATCH(A47,'Team Scores'!A$4:A$57, 0))</f>
        <v/>
      </c>
      <c r="C47" s="81">
        <f>INDEX('Team Scores'!Q$4:Q$57, MATCH(A47,'Team Scores'!A$4:A$57, 0))</f>
        <v/>
      </c>
      <c r="D47" s="81">
        <f>INDEX('Team Scores'!AD$4:AD$57, MATCH(A47,'Team Scores'!A$4:A$57, 0))</f>
        <v/>
      </c>
      <c r="E47" s="81">
        <f>INDEX('Team Scores'!AE$4:AE$57, MATCH(A47,'Team Scores'!A$4:A$57, 0))</f>
        <v/>
      </c>
      <c r="F47" s="81">
        <f>INDEX('Team Scores'!AL$4:AL$57, MATCH(A47,'Team Scores'!A$4:A$57, 0))</f>
        <v/>
      </c>
      <c r="G47" s="81">
        <f>INDEX('Team Scores'!AM$4:AM$57, MATCH(A47,'Team Scores'!A$4:A$57, 0))</f>
        <v/>
      </c>
      <c r="H47" s="81">
        <f>INDEX('Team Scores'!AN$4:AN$57, MATCH(A47,'Team Scores'!A$4:A$57, 0))</f>
        <v/>
      </c>
      <c r="I47" s="81">
        <f>INDEX('Team Scores'!AO$4:AO$57, MATCH(A47,'Team Scores'!A$4:A$57, 0))</f>
        <v/>
      </c>
      <c r="J47" s="86">
        <f>PERCENTRANK(B$4:B$57, B47, 3)</f>
        <v/>
      </c>
      <c r="K47" s="86">
        <f>PERCENTRANK(D$4:D$57, D47, 3)</f>
        <v/>
      </c>
      <c r="L47" s="86">
        <f>PERCENTRANK(F$4:F$57, F47, 3)</f>
        <v/>
      </c>
      <c r="M47" s="86">
        <f>PERCENTRANK(H$4:H$57, H47, 3)</f>
        <v/>
      </c>
      <c r="N47" s="81">
        <f>INDEX('Team Scores'!AP$4:AP$57, MATCH(A47,'Team Scores'!A$4:A$57, 0))</f>
        <v/>
      </c>
      <c r="O47" s="81">
        <f>INDEX('Team Scores'!AQ$4:AQ$57, MATCH(A47,'Team Scores'!A$4:A$57, 0))</f>
        <v/>
      </c>
      <c r="P47" s="81">
        <f>INDEX('Team Scores'!AR$4:AR$57, MATCH(A47,'Team Scores'!A$4:A$57, 0))</f>
        <v/>
      </c>
      <c r="Q47" s="81">
        <f>INDEX('Team Scores'!AS$4:AS$57, MATCH(A47,'Team Scores'!A$4:A$57, 0))</f>
        <v/>
      </c>
      <c r="R47" s="86">
        <f>PERCENTRANK(N$4:N$57, N47, 3)</f>
        <v/>
      </c>
      <c r="S47" s="86">
        <f>PERCENTRANK(O$4:O$57, O47, 3)</f>
        <v/>
      </c>
      <c r="T47" s="86">
        <f>PERCENTRANK(P$4:P$57, P47, 3)</f>
        <v/>
      </c>
      <c r="U47" s="86">
        <f>PERCENTRANK(Q$4:Q$57, Q47, 3)</f>
        <v/>
      </c>
    </row>
    <row r="48">
      <c r="A48" s="80" t="n">
        <v>6868</v>
      </c>
      <c r="B48" s="81">
        <f>INDEX('Team Scores'!P$4:P$57, MATCH(A48,'Team Scores'!A$4:A$57, 0))</f>
        <v/>
      </c>
      <c r="C48" s="81">
        <f>INDEX('Team Scores'!Q$4:Q$57, MATCH(A48,'Team Scores'!A$4:A$57, 0))</f>
        <v/>
      </c>
      <c r="D48" s="81">
        <f>INDEX('Team Scores'!AD$4:AD$57, MATCH(A48,'Team Scores'!A$4:A$57, 0))</f>
        <v/>
      </c>
      <c r="E48" s="81">
        <f>INDEX('Team Scores'!AE$4:AE$57, MATCH(A48,'Team Scores'!A$4:A$57, 0))</f>
        <v/>
      </c>
      <c r="F48" s="81">
        <f>INDEX('Team Scores'!AL$4:AL$57, MATCH(A48,'Team Scores'!A$4:A$57, 0))</f>
        <v/>
      </c>
      <c r="G48" s="81">
        <f>INDEX('Team Scores'!AM$4:AM$57, MATCH(A48,'Team Scores'!A$4:A$57, 0))</f>
        <v/>
      </c>
      <c r="H48" s="81">
        <f>INDEX('Team Scores'!AN$4:AN$57, MATCH(A48,'Team Scores'!A$4:A$57, 0))</f>
        <v/>
      </c>
      <c r="I48" s="81">
        <f>INDEX('Team Scores'!AO$4:AO$57, MATCH(A48,'Team Scores'!A$4:A$57, 0))</f>
        <v/>
      </c>
      <c r="J48" s="86">
        <f>PERCENTRANK(B$4:B$57, B48, 3)</f>
        <v/>
      </c>
      <c r="K48" s="86">
        <f>PERCENTRANK(D$4:D$57, D48, 3)</f>
        <v/>
      </c>
      <c r="L48" s="86">
        <f>PERCENTRANK(F$4:F$57, F48, 3)</f>
        <v/>
      </c>
      <c r="M48" s="86">
        <f>PERCENTRANK(H$4:H$57, H48, 3)</f>
        <v/>
      </c>
      <c r="N48" s="81">
        <f>INDEX('Team Scores'!AP$4:AP$57, MATCH(A48,'Team Scores'!A$4:A$57, 0))</f>
        <v/>
      </c>
      <c r="O48" s="81">
        <f>INDEX('Team Scores'!AQ$4:AQ$57, MATCH(A48,'Team Scores'!A$4:A$57, 0))</f>
        <v/>
      </c>
      <c r="P48" s="81">
        <f>INDEX('Team Scores'!AR$4:AR$57, MATCH(A48,'Team Scores'!A$4:A$57, 0))</f>
        <v/>
      </c>
      <c r="Q48" s="81">
        <f>INDEX('Team Scores'!AS$4:AS$57, MATCH(A48,'Team Scores'!A$4:A$57, 0))</f>
        <v/>
      </c>
      <c r="R48" s="86">
        <f>PERCENTRANK(N$4:N$57, N48, 3)</f>
        <v/>
      </c>
      <c r="S48" s="86">
        <f>PERCENTRANK(O$4:O$57, O48, 3)</f>
        <v/>
      </c>
      <c r="T48" s="86">
        <f>PERCENTRANK(P$4:P$57, P48, 3)</f>
        <v/>
      </c>
      <c r="U48" s="86">
        <f>PERCENTRANK(Q$4:Q$57, Q48, 3)</f>
        <v/>
      </c>
    </row>
    <row r="49">
      <c r="A49" s="80" t="n">
        <v>6911</v>
      </c>
      <c r="B49" s="81">
        <f>INDEX('Team Scores'!P$4:P$57, MATCH(A49,'Team Scores'!A$4:A$57, 0))</f>
        <v/>
      </c>
      <c r="C49" s="81">
        <f>INDEX('Team Scores'!Q$4:Q$57, MATCH(A49,'Team Scores'!A$4:A$57, 0))</f>
        <v/>
      </c>
      <c r="D49" s="81">
        <f>INDEX('Team Scores'!AD$4:AD$57, MATCH(A49,'Team Scores'!A$4:A$57, 0))</f>
        <v/>
      </c>
      <c r="E49" s="81">
        <f>INDEX('Team Scores'!AE$4:AE$57, MATCH(A49,'Team Scores'!A$4:A$57, 0))</f>
        <v/>
      </c>
      <c r="F49" s="81">
        <f>INDEX('Team Scores'!AL$4:AL$57, MATCH(A49,'Team Scores'!A$4:A$57, 0))</f>
        <v/>
      </c>
      <c r="G49" s="81">
        <f>INDEX('Team Scores'!AM$4:AM$57, MATCH(A49,'Team Scores'!A$4:A$57, 0))</f>
        <v/>
      </c>
      <c r="H49" s="81">
        <f>INDEX('Team Scores'!AN$4:AN$57, MATCH(A49,'Team Scores'!A$4:A$57, 0))</f>
        <v/>
      </c>
      <c r="I49" s="81">
        <f>INDEX('Team Scores'!AO$4:AO$57, MATCH(A49,'Team Scores'!A$4:A$57, 0))</f>
        <v/>
      </c>
      <c r="J49" s="86">
        <f>PERCENTRANK(B$4:B$57, B49, 3)</f>
        <v/>
      </c>
      <c r="K49" s="86">
        <f>PERCENTRANK(D$4:D$57, D49, 3)</f>
        <v/>
      </c>
      <c r="L49" s="86">
        <f>PERCENTRANK(F$4:F$57, F49, 3)</f>
        <v/>
      </c>
      <c r="M49" s="86">
        <f>PERCENTRANK(H$4:H$57, H49, 3)</f>
        <v/>
      </c>
      <c r="N49" s="81">
        <f>INDEX('Team Scores'!AP$4:AP$57, MATCH(A49,'Team Scores'!A$4:A$57, 0))</f>
        <v/>
      </c>
      <c r="O49" s="81">
        <f>INDEX('Team Scores'!AQ$4:AQ$57, MATCH(A49,'Team Scores'!A$4:A$57, 0))</f>
        <v/>
      </c>
      <c r="P49" s="81">
        <f>INDEX('Team Scores'!AR$4:AR$57, MATCH(A49,'Team Scores'!A$4:A$57, 0))</f>
        <v/>
      </c>
      <c r="Q49" s="81">
        <f>INDEX('Team Scores'!AS$4:AS$57, MATCH(A49,'Team Scores'!A$4:A$57, 0))</f>
        <v/>
      </c>
      <c r="R49" s="86">
        <f>PERCENTRANK(N$4:N$57, N49, 3)</f>
        <v/>
      </c>
      <c r="S49" s="86">
        <f>PERCENTRANK(O$4:O$57, O49, 3)</f>
        <v/>
      </c>
      <c r="T49" s="86">
        <f>PERCENTRANK(P$4:P$57, P49, 3)</f>
        <v/>
      </c>
      <c r="U49" s="86">
        <f>PERCENTRANK(Q$4:Q$57, Q49, 3)</f>
        <v/>
      </c>
    </row>
    <row r="50">
      <c r="A50" s="80" t="n">
        <v>7165</v>
      </c>
      <c r="B50" s="81">
        <f>INDEX('Team Scores'!P$4:P$57, MATCH(A50,'Team Scores'!A$4:A$57, 0))</f>
        <v/>
      </c>
      <c r="C50" s="81">
        <f>INDEX('Team Scores'!Q$4:Q$57, MATCH(A50,'Team Scores'!A$4:A$57, 0))</f>
        <v/>
      </c>
      <c r="D50" s="81">
        <f>INDEX('Team Scores'!AD$4:AD$57, MATCH(A50,'Team Scores'!A$4:A$57, 0))</f>
        <v/>
      </c>
      <c r="E50" s="81">
        <f>INDEX('Team Scores'!AE$4:AE$57, MATCH(A50,'Team Scores'!A$4:A$57, 0))</f>
        <v/>
      </c>
      <c r="F50" s="81">
        <f>INDEX('Team Scores'!AL$4:AL$57, MATCH(A50,'Team Scores'!A$4:A$57, 0))</f>
        <v/>
      </c>
      <c r="G50" s="81">
        <f>INDEX('Team Scores'!AM$4:AM$57, MATCH(A50,'Team Scores'!A$4:A$57, 0))</f>
        <v/>
      </c>
      <c r="H50" s="81">
        <f>INDEX('Team Scores'!AN$4:AN$57, MATCH(A50,'Team Scores'!A$4:A$57, 0))</f>
        <v/>
      </c>
      <c r="I50" s="81">
        <f>INDEX('Team Scores'!AO$4:AO$57, MATCH(A50,'Team Scores'!A$4:A$57, 0))</f>
        <v/>
      </c>
      <c r="J50" s="86">
        <f>PERCENTRANK(B$4:B$57, B50, 3)</f>
        <v/>
      </c>
      <c r="K50" s="86">
        <f>PERCENTRANK(D$4:D$57, D50, 3)</f>
        <v/>
      </c>
      <c r="L50" s="86">
        <f>PERCENTRANK(F$4:F$57, F50, 3)</f>
        <v/>
      </c>
      <c r="M50" s="86">
        <f>PERCENTRANK(H$4:H$57, H50, 3)</f>
        <v/>
      </c>
      <c r="N50" s="81">
        <f>INDEX('Team Scores'!AP$4:AP$57, MATCH(A50,'Team Scores'!A$4:A$57, 0))</f>
        <v/>
      </c>
      <c r="O50" s="81">
        <f>INDEX('Team Scores'!AQ$4:AQ$57, MATCH(A50,'Team Scores'!A$4:A$57, 0))</f>
        <v/>
      </c>
      <c r="P50" s="81">
        <f>INDEX('Team Scores'!AR$4:AR$57, MATCH(A50,'Team Scores'!A$4:A$57, 0))</f>
        <v/>
      </c>
      <c r="Q50" s="81">
        <f>INDEX('Team Scores'!AS$4:AS$57, MATCH(A50,'Team Scores'!A$4:A$57, 0))</f>
        <v/>
      </c>
      <c r="R50" s="86">
        <f>PERCENTRANK(N$4:N$57, N50, 3)</f>
        <v/>
      </c>
      <c r="S50" s="86">
        <f>PERCENTRANK(O$4:O$57, O50, 3)</f>
        <v/>
      </c>
      <c r="T50" s="86">
        <f>PERCENTRANK(P$4:P$57, P50, 3)</f>
        <v/>
      </c>
      <c r="U50" s="86">
        <f>PERCENTRANK(Q$4:Q$57, Q50, 3)</f>
        <v/>
      </c>
    </row>
    <row r="51">
      <c r="A51" s="80" t="n">
        <v>7903</v>
      </c>
      <c r="B51" s="81">
        <f>INDEX('Team Scores'!P$4:P$57, MATCH(A51,'Team Scores'!A$4:A$57, 0))</f>
        <v/>
      </c>
      <c r="C51" s="81">
        <f>INDEX('Team Scores'!Q$4:Q$57, MATCH(A51,'Team Scores'!A$4:A$57, 0))</f>
        <v/>
      </c>
      <c r="D51" s="81">
        <f>INDEX('Team Scores'!AD$4:AD$57, MATCH(A51,'Team Scores'!A$4:A$57, 0))</f>
        <v/>
      </c>
      <c r="E51" s="81">
        <f>INDEX('Team Scores'!AE$4:AE$57, MATCH(A51,'Team Scores'!A$4:A$57, 0))</f>
        <v/>
      </c>
      <c r="F51" s="81">
        <f>INDEX('Team Scores'!AL$4:AL$57, MATCH(A51,'Team Scores'!A$4:A$57, 0))</f>
        <v/>
      </c>
      <c r="G51" s="81">
        <f>INDEX('Team Scores'!AM$4:AM$57, MATCH(A51,'Team Scores'!A$4:A$57, 0))</f>
        <v/>
      </c>
      <c r="H51" s="81">
        <f>INDEX('Team Scores'!AN$4:AN$57, MATCH(A51,'Team Scores'!A$4:A$57, 0))</f>
        <v/>
      </c>
      <c r="I51" s="81">
        <f>INDEX('Team Scores'!AO$4:AO$57, MATCH(A51,'Team Scores'!A$4:A$57, 0))</f>
        <v/>
      </c>
      <c r="J51" s="86">
        <f>PERCENTRANK(B$4:B$57, B51, 3)</f>
        <v/>
      </c>
      <c r="K51" s="86">
        <f>PERCENTRANK(D$4:D$57, D51, 3)</f>
        <v/>
      </c>
      <c r="L51" s="86">
        <f>PERCENTRANK(F$4:F$57, F51, 3)</f>
        <v/>
      </c>
      <c r="M51" s="86">
        <f>PERCENTRANK(H$4:H$57, H51, 3)</f>
        <v/>
      </c>
      <c r="N51" s="81">
        <f>INDEX('Team Scores'!AP$4:AP$57, MATCH(A51,'Team Scores'!A$4:A$57, 0))</f>
        <v/>
      </c>
      <c r="O51" s="81">
        <f>INDEX('Team Scores'!AQ$4:AQ$57, MATCH(A51,'Team Scores'!A$4:A$57, 0))</f>
        <v/>
      </c>
      <c r="P51" s="81">
        <f>INDEX('Team Scores'!AR$4:AR$57, MATCH(A51,'Team Scores'!A$4:A$57, 0))</f>
        <v/>
      </c>
      <c r="Q51" s="81">
        <f>INDEX('Team Scores'!AS$4:AS$57, MATCH(A51,'Team Scores'!A$4:A$57, 0))</f>
        <v/>
      </c>
      <c r="R51" s="86">
        <f>PERCENTRANK(N$4:N$57, N51, 3)</f>
        <v/>
      </c>
      <c r="S51" s="86">
        <f>PERCENTRANK(O$4:O$57, O51, 3)</f>
        <v/>
      </c>
      <c r="T51" s="86">
        <f>PERCENTRANK(P$4:P$57, P51, 3)</f>
        <v/>
      </c>
      <c r="U51" s="86">
        <f>PERCENTRANK(Q$4:Q$57, Q51, 3)</f>
        <v/>
      </c>
    </row>
    <row r="52">
      <c r="A52" s="80" t="n">
        <v>8140</v>
      </c>
      <c r="B52" s="81">
        <f>INDEX('Team Scores'!P$4:P$57, MATCH(A52,'Team Scores'!A$4:A$57, 0))</f>
        <v/>
      </c>
      <c r="C52" s="81">
        <f>INDEX('Team Scores'!Q$4:Q$57, MATCH(A52,'Team Scores'!A$4:A$57, 0))</f>
        <v/>
      </c>
      <c r="D52" s="81">
        <f>INDEX('Team Scores'!AD$4:AD$57, MATCH(A52,'Team Scores'!A$4:A$57, 0))</f>
        <v/>
      </c>
      <c r="E52" s="81">
        <f>INDEX('Team Scores'!AE$4:AE$57, MATCH(A52,'Team Scores'!A$4:A$57, 0))</f>
        <v/>
      </c>
      <c r="F52" s="81">
        <f>INDEX('Team Scores'!AL$4:AL$57, MATCH(A52,'Team Scores'!A$4:A$57, 0))</f>
        <v/>
      </c>
      <c r="G52" s="81">
        <f>INDEX('Team Scores'!AM$4:AM$57, MATCH(A52,'Team Scores'!A$4:A$57, 0))</f>
        <v/>
      </c>
      <c r="H52" s="81">
        <f>INDEX('Team Scores'!AN$4:AN$57, MATCH(A52,'Team Scores'!A$4:A$57, 0))</f>
        <v/>
      </c>
      <c r="I52" s="81">
        <f>INDEX('Team Scores'!AO$4:AO$57, MATCH(A52,'Team Scores'!A$4:A$57, 0))</f>
        <v/>
      </c>
      <c r="J52" s="86">
        <f>PERCENTRANK(B$4:B$57, B52, 3)</f>
        <v/>
      </c>
      <c r="K52" s="86">
        <f>PERCENTRANK(D$4:D$57, D52, 3)</f>
        <v/>
      </c>
      <c r="L52" s="86">
        <f>PERCENTRANK(F$4:F$57, F52, 3)</f>
        <v/>
      </c>
      <c r="M52" s="86">
        <f>PERCENTRANK(H$4:H$57, H52, 3)</f>
        <v/>
      </c>
      <c r="N52" s="81">
        <f>INDEX('Team Scores'!AP$4:AP$57, MATCH(A52,'Team Scores'!A$4:A$57, 0))</f>
        <v/>
      </c>
      <c r="O52" s="81">
        <f>INDEX('Team Scores'!AQ$4:AQ$57, MATCH(A52,'Team Scores'!A$4:A$57, 0))</f>
        <v/>
      </c>
      <c r="P52" s="81">
        <f>INDEX('Team Scores'!AR$4:AR$57, MATCH(A52,'Team Scores'!A$4:A$57, 0))</f>
        <v/>
      </c>
      <c r="Q52" s="81">
        <f>INDEX('Team Scores'!AS$4:AS$57, MATCH(A52,'Team Scores'!A$4:A$57, 0))</f>
        <v/>
      </c>
      <c r="R52" s="86">
        <f>PERCENTRANK(N$4:N$57, N52, 3)</f>
        <v/>
      </c>
      <c r="S52" s="86">
        <f>PERCENTRANK(O$4:O$57, O52, 3)</f>
        <v/>
      </c>
      <c r="T52" s="86">
        <f>PERCENTRANK(P$4:P$57, P52, 3)</f>
        <v/>
      </c>
      <c r="U52" s="86">
        <f>PERCENTRANK(Q$4:Q$57, Q52, 3)</f>
        <v/>
      </c>
    </row>
    <row r="53">
      <c r="A53" s="80" t="n">
        <v>8243</v>
      </c>
      <c r="B53" s="81">
        <f>INDEX('Team Scores'!P$4:P$57, MATCH(A53,'Team Scores'!A$4:A$57, 0))</f>
        <v/>
      </c>
      <c r="C53" s="81">
        <f>INDEX('Team Scores'!Q$4:Q$57, MATCH(A53,'Team Scores'!A$4:A$57, 0))</f>
        <v/>
      </c>
      <c r="D53" s="81">
        <f>INDEX('Team Scores'!AD$4:AD$57, MATCH(A53,'Team Scores'!A$4:A$57, 0))</f>
        <v/>
      </c>
      <c r="E53" s="81">
        <f>INDEX('Team Scores'!AE$4:AE$57, MATCH(A53,'Team Scores'!A$4:A$57, 0))</f>
        <v/>
      </c>
      <c r="F53" s="81">
        <f>INDEX('Team Scores'!AL$4:AL$57, MATCH(A53,'Team Scores'!A$4:A$57, 0))</f>
        <v/>
      </c>
      <c r="G53" s="81">
        <f>INDEX('Team Scores'!AM$4:AM$57, MATCH(A53,'Team Scores'!A$4:A$57, 0))</f>
        <v/>
      </c>
      <c r="H53" s="81">
        <f>INDEX('Team Scores'!AN$4:AN$57, MATCH(A53,'Team Scores'!A$4:A$57, 0))</f>
        <v/>
      </c>
      <c r="I53" s="81">
        <f>INDEX('Team Scores'!AO$4:AO$57, MATCH(A53,'Team Scores'!A$4:A$57, 0))</f>
        <v/>
      </c>
      <c r="J53" s="86">
        <f>PERCENTRANK(B$4:B$57, B53, 3)</f>
        <v/>
      </c>
      <c r="K53" s="86">
        <f>PERCENTRANK(D$4:D$57, D53, 3)</f>
        <v/>
      </c>
      <c r="L53" s="86">
        <f>PERCENTRANK(F$4:F$57, F53, 3)</f>
        <v/>
      </c>
      <c r="M53" s="86">
        <f>PERCENTRANK(H$4:H$57, H53, 3)</f>
        <v/>
      </c>
      <c r="N53" s="81">
        <f>INDEX('Team Scores'!AP$4:AP$57, MATCH(A53,'Team Scores'!A$4:A$57, 0))</f>
        <v/>
      </c>
      <c r="O53" s="81">
        <f>INDEX('Team Scores'!AQ$4:AQ$57, MATCH(A53,'Team Scores'!A$4:A$57, 0))</f>
        <v/>
      </c>
      <c r="P53" s="81">
        <f>INDEX('Team Scores'!AR$4:AR$57, MATCH(A53,'Team Scores'!A$4:A$57, 0))</f>
        <v/>
      </c>
      <c r="Q53" s="81">
        <f>INDEX('Team Scores'!AS$4:AS$57, MATCH(A53,'Team Scores'!A$4:A$57, 0))</f>
        <v/>
      </c>
      <c r="R53" s="86">
        <f>PERCENTRANK(N$4:N$57, N53, 3)</f>
        <v/>
      </c>
      <c r="S53" s="86">
        <f>PERCENTRANK(O$4:O$57, O53, 3)</f>
        <v/>
      </c>
      <c r="T53" s="86">
        <f>PERCENTRANK(P$4:P$57, P53, 3)</f>
        <v/>
      </c>
      <c r="U53" s="86">
        <f>PERCENTRANK(Q$4:Q$57, Q53, 3)</f>
        <v/>
      </c>
    </row>
    <row r="54">
      <c r="A54" s="80" t="n">
        <v>8393</v>
      </c>
      <c r="B54" s="81">
        <f>INDEX('Team Scores'!P$4:P$57, MATCH(A54,'Team Scores'!A$4:A$57, 0))</f>
        <v/>
      </c>
      <c r="C54" s="81">
        <f>INDEX('Team Scores'!Q$4:Q$57, MATCH(A54,'Team Scores'!A$4:A$57, 0))</f>
        <v/>
      </c>
      <c r="D54" s="81">
        <f>INDEX('Team Scores'!AD$4:AD$57, MATCH(A54,'Team Scores'!A$4:A$57, 0))</f>
        <v/>
      </c>
      <c r="E54" s="81">
        <f>INDEX('Team Scores'!AE$4:AE$57, MATCH(A54,'Team Scores'!A$4:A$57, 0))</f>
        <v/>
      </c>
      <c r="F54" s="81">
        <f>INDEX('Team Scores'!AL$4:AL$57, MATCH(A54,'Team Scores'!A$4:A$57, 0))</f>
        <v/>
      </c>
      <c r="G54" s="81">
        <f>INDEX('Team Scores'!AM$4:AM$57, MATCH(A54,'Team Scores'!A$4:A$57, 0))</f>
        <v/>
      </c>
      <c r="H54" s="81">
        <f>INDEX('Team Scores'!AN$4:AN$57, MATCH(A54,'Team Scores'!A$4:A$57, 0))</f>
        <v/>
      </c>
      <c r="I54" s="81">
        <f>INDEX('Team Scores'!AO$4:AO$57, MATCH(A54,'Team Scores'!A$4:A$57, 0))</f>
        <v/>
      </c>
      <c r="J54" s="86">
        <f>PERCENTRANK(B$4:B$57, B54, 3)</f>
        <v/>
      </c>
      <c r="K54" s="86">
        <f>PERCENTRANK(D$4:D$57, D54, 3)</f>
        <v/>
      </c>
      <c r="L54" s="86">
        <f>PERCENTRANK(F$4:F$57, F54, 3)</f>
        <v/>
      </c>
      <c r="M54" s="86">
        <f>PERCENTRANK(H$4:H$57, H54, 3)</f>
        <v/>
      </c>
      <c r="N54" s="81">
        <f>INDEX('Team Scores'!AP$4:AP$57, MATCH(A54,'Team Scores'!A$4:A$57, 0))</f>
        <v/>
      </c>
      <c r="O54" s="81">
        <f>INDEX('Team Scores'!AQ$4:AQ$57, MATCH(A54,'Team Scores'!A$4:A$57, 0))</f>
        <v/>
      </c>
      <c r="P54" s="81">
        <f>INDEX('Team Scores'!AR$4:AR$57, MATCH(A54,'Team Scores'!A$4:A$57, 0))</f>
        <v/>
      </c>
      <c r="Q54" s="81">
        <f>INDEX('Team Scores'!AS$4:AS$57, MATCH(A54,'Team Scores'!A$4:A$57, 0))</f>
        <v/>
      </c>
      <c r="R54" s="86">
        <f>PERCENTRANK(N$4:N$57, N54, 3)</f>
        <v/>
      </c>
      <c r="S54" s="86">
        <f>PERCENTRANK(O$4:O$57, O54, 3)</f>
        <v/>
      </c>
      <c r="T54" s="86">
        <f>PERCENTRANK(P$4:P$57, P54, 3)</f>
        <v/>
      </c>
      <c r="U54" s="86">
        <f>PERCENTRANK(Q$4:Q$57, Q54, 3)</f>
        <v/>
      </c>
    </row>
    <row r="55">
      <c r="A55" s="80" t="n">
        <v>9622</v>
      </c>
      <c r="B55" s="81">
        <f>INDEX('Team Scores'!P$4:P$57, MATCH(A55,'Team Scores'!A$4:A$57, 0))</f>
        <v/>
      </c>
      <c r="C55" s="81">
        <f>INDEX('Team Scores'!Q$4:Q$57, MATCH(A55,'Team Scores'!A$4:A$57, 0))</f>
        <v/>
      </c>
      <c r="D55" s="81">
        <f>INDEX('Team Scores'!AD$4:AD$57, MATCH(A55,'Team Scores'!A$4:A$57, 0))</f>
        <v/>
      </c>
      <c r="E55" s="81">
        <f>INDEX('Team Scores'!AE$4:AE$57, MATCH(A55,'Team Scores'!A$4:A$57, 0))</f>
        <v/>
      </c>
      <c r="F55" s="81">
        <f>INDEX('Team Scores'!AL$4:AL$57, MATCH(A55,'Team Scores'!A$4:A$57, 0))</f>
        <v/>
      </c>
      <c r="G55" s="81">
        <f>INDEX('Team Scores'!AM$4:AM$57, MATCH(A55,'Team Scores'!A$4:A$57, 0))</f>
        <v/>
      </c>
      <c r="H55" s="81">
        <f>INDEX('Team Scores'!AN$4:AN$57, MATCH(A55,'Team Scores'!A$4:A$57, 0))</f>
        <v/>
      </c>
      <c r="I55" s="81">
        <f>INDEX('Team Scores'!AO$4:AO$57, MATCH(A55,'Team Scores'!A$4:A$57, 0))</f>
        <v/>
      </c>
      <c r="J55" s="86">
        <f>PERCENTRANK(B$4:B$57, B55, 3)</f>
        <v/>
      </c>
      <c r="K55" s="86">
        <f>PERCENTRANK(D$4:D$57, D55, 3)</f>
        <v/>
      </c>
      <c r="L55" s="86">
        <f>PERCENTRANK(F$4:F$57, F55, 3)</f>
        <v/>
      </c>
      <c r="M55" s="86">
        <f>PERCENTRANK(H$4:H$57, H55, 3)</f>
        <v/>
      </c>
      <c r="N55" s="81">
        <f>INDEX('Team Scores'!AP$4:AP$57, MATCH(A55,'Team Scores'!A$4:A$57, 0))</f>
        <v/>
      </c>
      <c r="O55" s="81">
        <f>INDEX('Team Scores'!AQ$4:AQ$57, MATCH(A55,'Team Scores'!A$4:A$57, 0))</f>
        <v/>
      </c>
      <c r="P55" s="81">
        <f>INDEX('Team Scores'!AR$4:AR$57, MATCH(A55,'Team Scores'!A$4:A$57, 0))</f>
        <v/>
      </c>
      <c r="Q55" s="81">
        <f>INDEX('Team Scores'!AS$4:AS$57, MATCH(A55,'Team Scores'!A$4:A$57, 0))</f>
        <v/>
      </c>
      <c r="R55" s="86">
        <f>PERCENTRANK(N$4:N$57, N55, 3)</f>
        <v/>
      </c>
      <c r="S55" s="86">
        <f>PERCENTRANK(O$4:O$57, O55, 3)</f>
        <v/>
      </c>
      <c r="T55" s="86">
        <f>PERCENTRANK(P$4:P$57, P55, 3)</f>
        <v/>
      </c>
      <c r="U55" s="86">
        <f>PERCENTRANK(Q$4:Q$57, Q55, 3)</f>
        <v/>
      </c>
    </row>
    <row r="56">
      <c r="A56" s="80" t="n">
        <v>9643</v>
      </c>
      <c r="B56" s="81">
        <f>INDEX('Team Scores'!P$4:P$57, MATCH(A56,'Team Scores'!A$4:A$57, 0))</f>
        <v/>
      </c>
      <c r="C56" s="81">
        <f>INDEX('Team Scores'!Q$4:Q$57, MATCH(A56,'Team Scores'!A$4:A$57, 0))</f>
        <v/>
      </c>
      <c r="D56" s="81">
        <f>INDEX('Team Scores'!AD$4:AD$57, MATCH(A56,'Team Scores'!A$4:A$57, 0))</f>
        <v/>
      </c>
      <c r="E56" s="81">
        <f>INDEX('Team Scores'!AE$4:AE$57, MATCH(A56,'Team Scores'!A$4:A$57, 0))</f>
        <v/>
      </c>
      <c r="F56" s="81">
        <f>INDEX('Team Scores'!AL$4:AL$57, MATCH(A56,'Team Scores'!A$4:A$57, 0))</f>
        <v/>
      </c>
      <c r="G56" s="81">
        <f>INDEX('Team Scores'!AM$4:AM$57, MATCH(A56,'Team Scores'!A$4:A$57, 0))</f>
        <v/>
      </c>
      <c r="H56" s="81">
        <f>INDEX('Team Scores'!AN$4:AN$57, MATCH(A56,'Team Scores'!A$4:A$57, 0))</f>
        <v/>
      </c>
      <c r="I56" s="81">
        <f>INDEX('Team Scores'!AO$4:AO$57, MATCH(A56,'Team Scores'!A$4:A$57, 0))</f>
        <v/>
      </c>
      <c r="J56" s="86">
        <f>PERCENTRANK(B$4:B$57, B56, 3)</f>
        <v/>
      </c>
      <c r="K56" s="86">
        <f>PERCENTRANK(D$4:D$57, D56, 3)</f>
        <v/>
      </c>
      <c r="L56" s="86">
        <f>PERCENTRANK(F$4:F$57, F56, 3)</f>
        <v/>
      </c>
      <c r="M56" s="86">
        <f>PERCENTRANK(H$4:H$57, H56, 3)</f>
        <v/>
      </c>
      <c r="N56" s="81">
        <f>INDEX('Team Scores'!AP$4:AP$57, MATCH(A56,'Team Scores'!A$4:A$57, 0))</f>
        <v/>
      </c>
      <c r="O56" s="81">
        <f>INDEX('Team Scores'!AQ$4:AQ$57, MATCH(A56,'Team Scores'!A$4:A$57, 0))</f>
        <v/>
      </c>
      <c r="P56" s="81">
        <f>INDEX('Team Scores'!AR$4:AR$57, MATCH(A56,'Team Scores'!A$4:A$57, 0))</f>
        <v/>
      </c>
      <c r="Q56" s="81">
        <f>INDEX('Team Scores'!AS$4:AS$57, MATCH(A56,'Team Scores'!A$4:A$57, 0))</f>
        <v/>
      </c>
      <c r="R56" s="86">
        <f>PERCENTRANK(N$4:N$57, N56, 3)</f>
        <v/>
      </c>
      <c r="S56" s="86">
        <f>PERCENTRANK(O$4:O$57, O56, 3)</f>
        <v/>
      </c>
      <c r="T56" s="86">
        <f>PERCENTRANK(P$4:P$57, P56, 3)</f>
        <v/>
      </c>
      <c r="U56" s="86">
        <f>PERCENTRANK(Q$4:Q$57, Q56, 3)</f>
        <v/>
      </c>
    </row>
    <row r="57">
      <c r="A57" s="80" t="n">
        <v>10223</v>
      </c>
      <c r="B57" s="81">
        <f>INDEX('Team Scores'!P$4:P$57, MATCH(A57,'Team Scores'!A$4:A$57, 0))</f>
        <v/>
      </c>
      <c r="C57" s="81">
        <f>INDEX('Team Scores'!Q$4:Q$57, MATCH(A57,'Team Scores'!A$4:A$57, 0))</f>
        <v/>
      </c>
      <c r="D57" s="81">
        <f>INDEX('Team Scores'!AD$4:AD$57, MATCH(A57,'Team Scores'!A$4:A$57, 0))</f>
        <v/>
      </c>
      <c r="E57" s="81">
        <f>INDEX('Team Scores'!AE$4:AE$57, MATCH(A57,'Team Scores'!A$4:A$57, 0))</f>
        <v/>
      </c>
      <c r="F57" s="81">
        <f>INDEX('Team Scores'!AL$4:AL$57, MATCH(A57,'Team Scores'!A$4:A$57, 0))</f>
        <v/>
      </c>
      <c r="G57" s="81">
        <f>INDEX('Team Scores'!AM$4:AM$57, MATCH(A57,'Team Scores'!A$4:A$57, 0))</f>
        <v/>
      </c>
      <c r="H57" s="81">
        <f>INDEX('Team Scores'!AN$4:AN$57, MATCH(A57,'Team Scores'!A$4:A$57, 0))</f>
        <v/>
      </c>
      <c r="I57" s="81">
        <f>INDEX('Team Scores'!AO$4:AO$57, MATCH(A57,'Team Scores'!A$4:A$57, 0))</f>
        <v/>
      </c>
      <c r="J57" s="86">
        <f>PERCENTRANK(B$4:B$57, B57, 3)</f>
        <v/>
      </c>
      <c r="K57" s="86">
        <f>PERCENTRANK(D$4:D$57, D57, 3)</f>
        <v/>
      </c>
      <c r="L57" s="86">
        <f>PERCENTRANK(F$4:F$57, F57, 3)</f>
        <v/>
      </c>
      <c r="M57" s="86">
        <f>PERCENTRANK(H$4:H$57, H57, 3)</f>
        <v/>
      </c>
      <c r="N57" s="81">
        <f>INDEX('Team Scores'!AP$4:AP$57, MATCH(A57,'Team Scores'!A$4:A$57, 0))</f>
        <v/>
      </c>
      <c r="O57" s="81">
        <f>INDEX('Team Scores'!AQ$4:AQ$57, MATCH(A57,'Team Scores'!A$4:A$57, 0))</f>
        <v/>
      </c>
      <c r="P57" s="81">
        <f>INDEX('Team Scores'!AR$4:AR$57, MATCH(A57,'Team Scores'!A$4:A$57, 0))</f>
        <v/>
      </c>
      <c r="Q57" s="81">
        <f>INDEX('Team Scores'!AS$4:AS$57, MATCH(A57,'Team Scores'!A$4:A$57, 0))</f>
        <v/>
      </c>
      <c r="R57" s="86">
        <f>PERCENTRANK(N$4:N$57, N57, 3)</f>
        <v/>
      </c>
      <c r="S57" s="86">
        <f>PERCENTRANK(O$4:O$57, O57, 3)</f>
        <v/>
      </c>
      <c r="T57" s="86">
        <f>PERCENTRANK(P$4:P$57, P57, 3)</f>
        <v/>
      </c>
      <c r="U57" s="86">
        <f>PERCENTRANK(Q$4:Q$57, Q57, 3)</f>
        <v/>
      </c>
    </row>
  </sheetData>
  <autoFilter ref="A3:U3"/>
  <mergeCells count="8">
    <mergeCell ref="F2:G2"/>
    <mergeCell ref="B2:C2"/>
    <mergeCell ref="H2:I2"/>
    <mergeCell ref="D2:E2"/>
    <mergeCell ref="R1:U1"/>
    <mergeCell ref="N1:Q1"/>
    <mergeCell ref="B1:I1"/>
    <mergeCell ref="J1:M1"/>
  </mergeCells>
  <conditionalFormatting sqref="J4:M57">
    <cfRule type="colorScale" priority="1">
      <colorScale>
        <cfvo type="min"/>
        <cfvo type="percentile" val="50"/>
        <cfvo type="max"/>
        <color rgb="00cb4335"/>
        <color rgb="00D68910"/>
        <color rgb="00229954"/>
      </colorScale>
    </cfRule>
  </conditionalFormatting>
  <conditionalFormatting sqref="R4:U57">
    <cfRule type="colorScale" priority="1">
      <colorScale>
        <cfvo type="min"/>
        <cfvo type="percentile" val="50"/>
        <cfvo type="max"/>
        <color rgb="00cb4335"/>
        <color rgb="00D68910"/>
        <color rgb="00229954"/>
      </colorScale>
    </cfRule>
  </conditionalFormatting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zoomScale="150" zoomScaleNormal="150" workbookViewId="0">
      <selection activeCell="A2" sqref="A2"/>
    </sheetView>
  </sheetViews>
  <sheetFormatPr baseColWidth="10" defaultRowHeight="15" outlineLevelCol="0"/>
  <cols>
    <col width="25.83203125" customWidth="1" min="1" max="2"/>
  </cols>
  <sheetData>
    <row r="1" ht="16" customHeight="1">
      <c r="A1" s="6" t="inlineStr">
        <is>
          <t>Scouter Name</t>
        </is>
      </c>
      <c r="B1" s="6" t="inlineStr">
        <is>
          <t>Match Count</t>
        </is>
      </c>
    </row>
    <row r="2">
      <c r="A2" s="27">
        <f t="array" ref="A2:A3">_xlfn._xlws.SORT(_xlfn.UNIQUE(MatchScoutingData!B2:B9997))</f>
        <v/>
      </c>
      <c r="B2" s="27">
        <f>COUNTIF(MatchScoutingData!B$2:B$9997, $A2)</f>
        <v/>
      </c>
    </row>
    <row r="3">
      <c r="A3" s="27" t="n">
        <v>0</v>
      </c>
      <c r="B3" s="27">
        <f>COUNTIF(MatchScoutingData!B$2:B$9997, $A3)</f>
        <v/>
      </c>
    </row>
    <row r="4">
      <c r="A4" s="27" t="n"/>
      <c r="B4" s="27">
        <f>COUNTIF(MatchScoutingData!B$2:B$9997, $A4)</f>
        <v/>
      </c>
    </row>
    <row r="5">
      <c r="A5" s="27" t="n"/>
      <c r="B5" s="27">
        <f>COUNTIF(MatchScoutingData!B$2:B$9997, $A5)</f>
        <v/>
      </c>
    </row>
    <row r="6">
      <c r="A6" s="27" t="n"/>
      <c r="B6" s="27">
        <f>COUNTIF(MatchScoutingData!B$2:B$9997, $A6)</f>
        <v/>
      </c>
    </row>
    <row r="7">
      <c r="A7" s="27" t="n"/>
      <c r="B7" s="27">
        <f>COUNTIF(MatchScoutingData!B$2:B$9997, $A7)</f>
        <v/>
      </c>
    </row>
    <row r="8">
      <c r="A8" s="27" t="n"/>
      <c r="B8" s="27">
        <f>COUNTIF(MatchScoutingData!B$2:B$9997, $A8)</f>
        <v/>
      </c>
    </row>
    <row r="9">
      <c r="A9" s="27" t="n"/>
      <c r="B9" s="27">
        <f>COUNTIF(MatchScoutingData!B$2:B$9997, $A9)</f>
        <v/>
      </c>
    </row>
    <row r="10">
      <c r="A10" s="27" t="n"/>
      <c r="B10" s="27">
        <f>COUNTIF(MatchScoutingData!B$2:B$9997, $A10)</f>
        <v/>
      </c>
    </row>
    <row r="11">
      <c r="A11" s="27" t="n"/>
      <c r="B11" s="27">
        <f>COUNTIF(MatchScoutingData!B$2:B$9997, $A11)</f>
        <v/>
      </c>
    </row>
    <row r="12">
      <c r="A12" s="27" t="n"/>
      <c r="B12" s="27">
        <f>COUNTIF(MatchScoutingData!B$2:B$9997, $A12)</f>
        <v/>
      </c>
    </row>
    <row r="13">
      <c r="A13" s="27" t="n"/>
      <c r="B13" s="27">
        <f>COUNTIF(MatchScoutingData!B$2:B$9997, $A13)</f>
        <v/>
      </c>
    </row>
    <row r="14">
      <c r="A14" s="27" t="n"/>
      <c r="B14" s="27">
        <f>COUNTIF(MatchScoutingData!B$2:B$9997, $A14)</f>
        <v/>
      </c>
    </row>
    <row r="15">
      <c r="A15" s="27" t="n"/>
      <c r="B15" s="27">
        <f>COUNTIF(MatchScoutingData!B$2:B$9997, $A15)</f>
        <v/>
      </c>
    </row>
    <row r="16">
      <c r="A16" s="27" t="n"/>
      <c r="B16" s="27">
        <f>COUNTIF(MatchScoutingData!B$2:B$9997, $A16)</f>
        <v/>
      </c>
    </row>
    <row r="17">
      <c r="A17" s="27" t="n"/>
      <c r="B17" s="27">
        <f>COUNTIF(MatchScoutingData!B$2:B$9997, $A17)</f>
        <v/>
      </c>
    </row>
    <row r="18">
      <c r="A18" s="27" t="n"/>
      <c r="B18" s="27">
        <f>COUNTIF(MatchScoutingData!B$2:B$9997, $A18)</f>
        <v/>
      </c>
    </row>
    <row r="19">
      <c r="A19" s="27" t="n"/>
      <c r="B19" s="27">
        <f>COUNTIF(MatchScoutingData!B$2:B$9997, $A19)</f>
        <v/>
      </c>
    </row>
    <row r="20">
      <c r="A20" s="27" t="n"/>
      <c r="B20" s="27">
        <f>COUNTIF(MatchScoutingData!B$2:B$9997, $A20)</f>
        <v/>
      </c>
    </row>
    <row r="21">
      <c r="A21" s="27" t="n"/>
      <c r="B21" s="27">
        <f>COUNTIF(MatchScoutingData!B$2:B$9997, $A21)</f>
        <v/>
      </c>
    </row>
    <row r="22">
      <c r="A22" s="27" t="n"/>
      <c r="B22" s="27">
        <f>COUNTIF(MatchScoutingData!B$2:B$9997, $A22)</f>
        <v/>
      </c>
    </row>
    <row r="23">
      <c r="A23" s="27" t="n"/>
      <c r="B23" s="27">
        <f>COUNTIF(MatchScoutingData!B$2:B$9997, $A23)</f>
        <v/>
      </c>
    </row>
    <row r="24">
      <c r="A24" s="27" t="n"/>
      <c r="B24" s="27">
        <f>COUNTIF(MatchScoutingData!B$2:B$9997, $A24)</f>
        <v/>
      </c>
    </row>
    <row r="25">
      <c r="A25" s="27" t="n"/>
      <c r="B25" s="27">
        <f>COUNTIF(MatchScoutingData!B$2:B$9997, $A25)</f>
        <v/>
      </c>
    </row>
    <row r="26">
      <c r="A26" s="27" t="n"/>
      <c r="B26" s="27">
        <f>COUNTIF(MatchScoutingData!B$2:B$9997, $A26)</f>
        <v/>
      </c>
    </row>
    <row r="27">
      <c r="A27" s="27" t="n"/>
      <c r="B27" s="27">
        <f>COUNTIF(MatchScoutingData!B$2:B$9997, $A27)</f>
        <v/>
      </c>
    </row>
    <row r="28">
      <c r="A28" s="27" t="n"/>
      <c r="B28" s="27">
        <f>COUNTIF(MatchScoutingData!B$2:B$9997, $A28)</f>
        <v/>
      </c>
    </row>
    <row r="29">
      <c r="A29" s="27" t="n"/>
      <c r="B29" s="27">
        <f>COUNTIF(MatchScoutingData!B$2:B$9997, $A29)</f>
        <v/>
      </c>
    </row>
    <row r="30">
      <c r="A30" s="27" t="n"/>
      <c r="B30" s="27">
        <f>COUNTIF(MatchScoutingData!B$2:B$9997, $A30)</f>
        <v/>
      </c>
    </row>
    <row r="31">
      <c r="A31" s="27" t="n"/>
      <c r="B31" s="27">
        <f>COUNTIF(MatchScoutingData!B$2:B$9997, $A31)</f>
        <v/>
      </c>
    </row>
    <row r="32">
      <c r="A32" s="27" t="n"/>
      <c r="B32" s="27">
        <f>COUNTIF(MatchScoutingData!B$2:B$9997, $A32)</f>
        <v/>
      </c>
    </row>
    <row r="33">
      <c r="A33" s="27" t="n"/>
      <c r="B33" s="27">
        <f>COUNTIF(MatchScoutingData!B$2:B$9997, $A33)</f>
        <v/>
      </c>
    </row>
    <row r="34">
      <c r="A34" s="27" t="n"/>
      <c r="B34" s="27">
        <f>COUNTIF(MatchScoutingData!B$2:B$9997, $A34)</f>
        <v/>
      </c>
    </row>
    <row r="35">
      <c r="A35" s="27" t="n"/>
      <c r="B35" s="27">
        <f>COUNTIF(MatchScoutingData!B$2:B$9997, $A35)</f>
        <v/>
      </c>
    </row>
    <row r="36">
      <c r="A36" s="27" t="n"/>
      <c r="B36" s="27">
        <f>COUNTIF(MatchScoutingData!B$2:B$9997, $A36)</f>
        <v/>
      </c>
    </row>
    <row r="37">
      <c r="A37" s="27" t="n"/>
      <c r="B37" s="27">
        <f>COUNTIF(MatchScoutingData!B$2:B$9997, $A37)</f>
        <v/>
      </c>
    </row>
    <row r="38">
      <c r="A38" s="27" t="n"/>
      <c r="B38" s="27">
        <f>COUNTIF(MatchScoutingData!B$2:B$9997, $A38)</f>
        <v/>
      </c>
    </row>
    <row r="39">
      <c r="A39" s="27" t="n"/>
      <c r="B39" s="27">
        <f>COUNTIF(MatchScoutingData!B$2:B$9997, $A39)</f>
        <v/>
      </c>
    </row>
    <row r="40">
      <c r="A40" s="27" t="n"/>
      <c r="B40" s="27">
        <f>COUNTIF(MatchScoutingData!B$2:B$9997, $A40)</f>
        <v/>
      </c>
    </row>
    <row r="41">
      <c r="A41" s="27" t="n"/>
      <c r="B41" s="27">
        <f>COUNTIF(MatchScoutingData!B$2:B$9997, $A41)</f>
        <v/>
      </c>
    </row>
    <row r="42">
      <c r="A42" s="27" t="n"/>
      <c r="B42" s="27">
        <f>COUNTIF(MatchScoutingData!B$2:B$9997, $A42)</f>
        <v/>
      </c>
    </row>
    <row r="43">
      <c r="A43" s="27" t="n"/>
      <c r="B43" s="27">
        <f>COUNTIF(MatchScoutingData!B$2:B$9997, $A43)</f>
        <v/>
      </c>
    </row>
    <row r="44">
      <c r="A44" s="27" t="n"/>
      <c r="B44" s="27">
        <f>COUNTIF(MatchScoutingData!B$2:B$9997, $A44)</f>
        <v/>
      </c>
    </row>
    <row r="45">
      <c r="A45" s="27" t="n"/>
      <c r="B45" s="27">
        <f>COUNTIF(MatchScoutingData!B$2:B$9997, $A45)</f>
        <v/>
      </c>
    </row>
    <row r="46">
      <c r="A46" s="27" t="n"/>
      <c r="B46" s="27">
        <f>COUNTIF(MatchScoutingData!B$2:B$9997, $A46)</f>
        <v/>
      </c>
    </row>
    <row r="47">
      <c r="A47" s="27" t="n"/>
      <c r="B47" s="27">
        <f>COUNTIF(MatchScoutingData!B$2:B$9997, $A47)</f>
        <v/>
      </c>
    </row>
    <row r="48">
      <c r="A48" s="27" t="n"/>
      <c r="B48" s="27">
        <f>COUNTIF(MatchScoutingData!B$2:B$9997, $A48)</f>
        <v/>
      </c>
    </row>
    <row r="49">
      <c r="A49" s="27" t="n"/>
      <c r="B49" s="27">
        <f>COUNTIF(MatchScoutingData!B$2:B$9997, $A49)</f>
        <v/>
      </c>
    </row>
    <row r="50">
      <c r="A50" s="27" t="n"/>
      <c r="B50" s="27">
        <f>COUNTIF(MatchScoutingData!B$2:B$9997, $A50)</f>
        <v/>
      </c>
    </row>
    <row r="51">
      <c r="A51" s="27" t="n"/>
      <c r="B51" s="27">
        <f>COUNTIF(MatchScoutingData!B$2:B$9997, $A51)</f>
        <v/>
      </c>
    </row>
    <row r="52">
      <c r="A52" s="27" t="n"/>
      <c r="B52" s="27">
        <f>COUNTIF(MatchScoutingData!B$2:B$9997, $A52)</f>
        <v/>
      </c>
    </row>
    <row r="53">
      <c r="A53" s="27" t="n"/>
      <c r="B53" s="27">
        <f>COUNTIF(MatchScoutingData!B$2:B$9997, $A53)</f>
        <v/>
      </c>
    </row>
    <row r="54">
      <c r="A54" s="27" t="n"/>
      <c r="B54" s="27">
        <f>COUNTIF(MatchScoutingData!B$2:B$9997, $A54)</f>
        <v/>
      </c>
    </row>
    <row r="55">
      <c r="A55" s="27" t="n"/>
      <c r="B55" s="27">
        <f>COUNTIF(MatchScoutingData!B$2:B$9997, $A55)</f>
        <v/>
      </c>
    </row>
    <row r="56">
      <c r="A56" s="27" t="n"/>
      <c r="B56" s="27">
        <f>COUNTIF(MatchScoutingData!B$2:B$9997, $A56)</f>
        <v/>
      </c>
    </row>
    <row r="57">
      <c r="A57" s="27" t="n"/>
      <c r="B57" s="27">
        <f>COUNTIF(MatchScoutingData!B$2:B$9997, $A57)</f>
        <v/>
      </c>
    </row>
    <row r="58">
      <c r="A58" s="27" t="n"/>
      <c r="B58" s="27">
        <f>COUNTIF(MatchScoutingData!B$2:B$9997, $A58)</f>
        <v/>
      </c>
    </row>
    <row r="59">
      <c r="A59" s="27" t="n"/>
      <c r="B59" s="27">
        <f>COUNTIF(MatchScoutingData!B$2:B$9997, $A59)</f>
        <v/>
      </c>
    </row>
    <row r="60">
      <c r="A60" s="27" t="n"/>
      <c r="B60" s="27">
        <f>COUNTIF(MatchScoutingData!B$2:B$9997, $A60)</f>
        <v/>
      </c>
    </row>
    <row r="61">
      <c r="A61" s="27" t="n"/>
      <c r="B61" s="27">
        <f>COUNTIF(MatchScoutingData!B$2:B$9997, $A61)</f>
        <v/>
      </c>
    </row>
    <row r="62">
      <c r="A62" s="27" t="n"/>
      <c r="B62" s="27">
        <f>COUNTIF(MatchScoutingData!B$2:B$9997, $A62)</f>
        <v/>
      </c>
    </row>
    <row r="63">
      <c r="A63" s="27" t="n"/>
      <c r="B63" s="27">
        <f>COUNTIF(MatchScoutingData!B$2:B$9997, $A63)</f>
        <v/>
      </c>
    </row>
    <row r="64">
      <c r="A64" s="27" t="n"/>
      <c r="B64" s="27">
        <f>COUNTIF(MatchScoutingData!B$2:B$9997, $A64)</f>
        <v/>
      </c>
    </row>
    <row r="65">
      <c r="A65" s="27" t="n"/>
      <c r="B65" s="27">
        <f>COUNTIF(MatchScoutingData!B$2:B$9997, $A65)</f>
        <v/>
      </c>
    </row>
    <row r="66">
      <c r="A66" s="27" t="n"/>
      <c r="B66" s="27">
        <f>COUNTIF(MatchScoutingData!B$2:B$9997, $A66)</f>
        <v/>
      </c>
    </row>
    <row r="67">
      <c r="A67" s="27" t="n"/>
      <c r="B67" s="27">
        <f>COUNTIF(MatchScoutingData!B$2:B$9997, $A67)</f>
        <v/>
      </c>
    </row>
    <row r="68">
      <c r="A68" s="27" t="n"/>
      <c r="B68" s="27">
        <f>COUNTIF(MatchScoutingData!B$2:B$9997, $A68)</f>
        <v/>
      </c>
    </row>
    <row r="69">
      <c r="A69" s="27" t="n"/>
      <c r="B69" s="27">
        <f>COUNTIF(MatchScoutingData!B$2:B$9997, $A69)</f>
        <v/>
      </c>
    </row>
    <row r="70">
      <c r="A70" s="27" t="n"/>
      <c r="B70" s="27">
        <f>COUNTIF(MatchScoutingData!B$2:B$9997, $A70)</f>
        <v/>
      </c>
    </row>
    <row r="71">
      <c r="A71" s="27" t="n"/>
      <c r="B71" s="27">
        <f>COUNTIF(MatchScoutingData!B$2:B$9997, $A71)</f>
        <v/>
      </c>
    </row>
    <row r="72">
      <c r="A72" s="27" t="n"/>
      <c r="B72" s="27">
        <f>COUNTIF(MatchScoutingData!B$2:B$9997, $A72)</f>
        <v/>
      </c>
    </row>
    <row r="73">
      <c r="A73" s="27" t="n"/>
      <c r="B73" s="27">
        <f>COUNTIF(MatchScoutingData!B$2:B$9997, $A73)</f>
        <v/>
      </c>
    </row>
    <row r="74">
      <c r="A74" s="27" t="n"/>
      <c r="B74" s="27">
        <f>COUNTIF(MatchScoutingData!B$2:B$9997, $A74)</f>
        <v/>
      </c>
    </row>
    <row r="75">
      <c r="A75" s="27" t="n"/>
      <c r="B75" s="27">
        <f>COUNTIF(MatchScoutingData!B$2:B$9997, $A75)</f>
        <v/>
      </c>
    </row>
    <row r="76">
      <c r="A76" s="27" t="n"/>
      <c r="B76" s="27">
        <f>COUNTIF(MatchScoutingData!B$2:B$9997, $A76)</f>
        <v/>
      </c>
    </row>
    <row r="77">
      <c r="A77" s="27" t="n"/>
      <c r="B77" s="27">
        <f>COUNTIF(MatchScoutingData!B$2:B$9997, $A77)</f>
        <v/>
      </c>
    </row>
    <row r="78">
      <c r="A78" s="27" t="n"/>
      <c r="B78" s="27">
        <f>COUNTIF(MatchScoutingData!B$2:B$9997, $A78)</f>
        <v/>
      </c>
    </row>
    <row r="79">
      <c r="A79" s="27" t="n"/>
      <c r="B79" s="27">
        <f>COUNTIF(MatchScoutingData!B$2:B$9997, $A79)</f>
        <v/>
      </c>
    </row>
    <row r="80">
      <c r="A80" s="27" t="n"/>
      <c r="B80" s="27">
        <f>COUNTIF(MatchScoutingData!B$2:B$9997, $A80)</f>
        <v/>
      </c>
    </row>
    <row r="81">
      <c r="A81" s="27" t="n"/>
      <c r="B81" s="27">
        <f>COUNTIF(MatchScoutingData!B$2:B$9997, $A81)</f>
        <v/>
      </c>
    </row>
    <row r="82">
      <c r="A82" s="27" t="n"/>
      <c r="B82" s="27">
        <f>COUNTIF(MatchScoutingData!B$2:B$9997, $A82)</f>
        <v/>
      </c>
    </row>
    <row r="83">
      <c r="A83" s="27" t="n"/>
      <c r="B83" s="27">
        <f>COUNTIF(MatchScoutingData!B$2:B$9997, $A83)</f>
        <v/>
      </c>
    </row>
    <row r="84">
      <c r="A84" s="27" t="n"/>
      <c r="B84" s="27">
        <f>COUNTIF(MatchScoutingData!B$2:B$9997, $A84)</f>
        <v/>
      </c>
    </row>
    <row r="85">
      <c r="A85" s="27" t="n"/>
      <c r="B85" s="27">
        <f>COUNTIF(MatchScoutingData!B$2:B$9997, $A85)</f>
        <v/>
      </c>
    </row>
    <row r="86">
      <c r="A86" s="27" t="n"/>
      <c r="B86" s="27">
        <f>COUNTIF(MatchScoutingData!B$2:B$9997, $A86)</f>
        <v/>
      </c>
    </row>
    <row r="87">
      <c r="A87" s="27" t="n"/>
      <c r="B87" s="27">
        <f>COUNTIF(MatchScoutingData!B$2:B$9997, $A87)</f>
        <v/>
      </c>
    </row>
    <row r="88">
      <c r="A88" s="27" t="n"/>
      <c r="B88" s="27">
        <f>COUNTIF(MatchScoutingData!B$2:B$9997, $A88)</f>
        <v/>
      </c>
    </row>
    <row r="89">
      <c r="A89" s="27" t="n"/>
      <c r="B89" s="27">
        <f>COUNTIF(MatchScoutingData!B$2:B$9997, $A89)</f>
        <v/>
      </c>
    </row>
    <row r="90">
      <c r="A90" s="27" t="n"/>
      <c r="B90" s="27">
        <f>COUNTIF(MatchScoutingData!B$2:B$9997, $A90)</f>
        <v/>
      </c>
    </row>
    <row r="91">
      <c r="A91" s="27" t="n"/>
      <c r="B91" s="27">
        <f>COUNTIF(MatchScoutingData!B$2:B$9997, $A91)</f>
        <v/>
      </c>
    </row>
    <row r="92">
      <c r="A92" s="27" t="n"/>
      <c r="B92" s="27">
        <f>COUNTIF(MatchScoutingData!B$2:B$9997, $A92)</f>
        <v/>
      </c>
    </row>
    <row r="93">
      <c r="A93" s="27" t="n"/>
      <c r="B93" s="27">
        <f>COUNTIF(MatchScoutingData!B$2:B$9997, $A93)</f>
        <v/>
      </c>
    </row>
    <row r="94">
      <c r="A94" s="27" t="n"/>
      <c r="B94" s="27">
        <f>COUNTIF(MatchScoutingData!B$2:B$9997, $A94)</f>
        <v/>
      </c>
    </row>
    <row r="95">
      <c r="A95" s="27" t="n"/>
      <c r="B95" s="27">
        <f>COUNTIF(MatchScoutingData!B$2:B$9997, $A95)</f>
        <v/>
      </c>
    </row>
    <row r="96">
      <c r="A96" s="27" t="n"/>
      <c r="B96" s="27">
        <f>COUNTIF(MatchScoutingData!B$2:B$9997, $A96)</f>
        <v/>
      </c>
    </row>
    <row r="97">
      <c r="A97" s="27" t="n"/>
      <c r="B97" s="27">
        <f>COUNTIF(MatchScoutingData!B$2:B$9997, $A97)</f>
        <v/>
      </c>
    </row>
    <row r="98">
      <c r="A98" s="27" t="n"/>
      <c r="B98" s="27">
        <f>COUNTIF(MatchScoutingData!B$2:B$9997, $A98)</f>
        <v/>
      </c>
    </row>
    <row r="99">
      <c r="A99" s="27" t="n"/>
      <c r="B99" s="27">
        <f>COUNTIF(MatchScoutingData!B$2:B$9997, $A99)</f>
        <v/>
      </c>
    </row>
    <row r="100">
      <c r="A100" s="27" t="n"/>
      <c r="B100" s="27">
        <f>COUNTIF(MatchScoutingData!B$2:B$9997, $A100)</f>
        <v/>
      </c>
    </row>
    <row r="101">
      <c r="A101" s="27" t="n"/>
      <c r="B101" s="27">
        <f>COUNTIF(MatchScoutingData!B$2:B$9997, $A101)</f>
        <v/>
      </c>
    </row>
  </sheetData>
  <autoFilter ref="A1:B10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zoomScale="150" zoomScaleNormal="150" workbookViewId="0">
      <selection activeCell="A2" sqref="A2"/>
    </sheetView>
  </sheetViews>
  <sheetFormatPr baseColWidth="10" defaultRowHeight="15" outlineLevelCol="0"/>
  <cols>
    <col width="18.83203125" customWidth="1" min="1" max="7"/>
  </cols>
  <sheetData>
    <row r="1" ht="16" customFormat="1" customHeight="1" s="26">
      <c r="A1" s="6" t="inlineStr">
        <is>
          <t>Team</t>
        </is>
      </c>
      <c r="B1" s="6" t="inlineStr">
        <is>
          <t>Auto Total</t>
        </is>
      </c>
      <c r="C1" s="6" t="inlineStr">
        <is>
          <t>Auto Average</t>
        </is>
      </c>
      <c r="D1" s="6" t="inlineStr">
        <is>
          <t>Teleop Total</t>
        </is>
      </c>
      <c r="E1" s="6" t="inlineStr">
        <is>
          <t>Teleop Average</t>
        </is>
      </c>
      <c r="F1" s="6" t="inlineStr">
        <is>
          <t>Endgame Total</t>
        </is>
      </c>
      <c r="G1" s="6" t="inlineStr">
        <is>
          <t>Endgame Average</t>
        </is>
      </c>
    </row>
    <row r="2">
      <c r="A2">
        <f>'Team Summary'!A4</f>
        <v/>
      </c>
      <c r="B2">
        <f>'Team Summary'!B4</f>
        <v/>
      </c>
      <c r="C2">
        <f>'Team Summary'!C4</f>
        <v/>
      </c>
      <c r="D2">
        <f>'Team Summary'!D4</f>
        <v/>
      </c>
      <c r="E2">
        <f>'Team Summary'!E4</f>
        <v/>
      </c>
      <c r="F2">
        <f>'Team Summary'!F4</f>
        <v/>
      </c>
      <c r="G2">
        <f>'Team Summary'!G4</f>
        <v/>
      </c>
    </row>
    <row r="3">
      <c r="A3">
        <f>'Team Summary'!A5</f>
        <v/>
      </c>
      <c r="B3">
        <f>'Team Summary'!B5</f>
        <v/>
      </c>
      <c r="C3">
        <f>'Team Summary'!C5</f>
        <v/>
      </c>
      <c r="D3">
        <f>'Team Summary'!D5</f>
        <v/>
      </c>
      <c r="E3">
        <f>'Team Summary'!E5</f>
        <v/>
      </c>
      <c r="F3">
        <f>'Team Summary'!F5</f>
        <v/>
      </c>
      <c r="G3">
        <f>'Team Summary'!G5</f>
        <v/>
      </c>
    </row>
    <row r="4">
      <c r="A4">
        <f>'Team Summary'!A6</f>
        <v/>
      </c>
      <c r="B4">
        <f>'Team Summary'!B6</f>
        <v/>
      </c>
      <c r="C4">
        <f>'Team Summary'!C6</f>
        <v/>
      </c>
      <c r="D4">
        <f>'Team Summary'!D6</f>
        <v/>
      </c>
      <c r="E4">
        <f>'Team Summary'!E6</f>
        <v/>
      </c>
      <c r="F4">
        <f>'Team Summary'!F6</f>
        <v/>
      </c>
      <c r="G4">
        <f>'Team Summary'!G6</f>
        <v/>
      </c>
    </row>
    <row r="5">
      <c r="A5">
        <f>'Team Summary'!A7</f>
        <v/>
      </c>
      <c r="B5">
        <f>'Team Summary'!B7</f>
        <v/>
      </c>
      <c r="C5">
        <f>'Team Summary'!C7</f>
        <v/>
      </c>
      <c r="D5">
        <f>'Team Summary'!D7</f>
        <v/>
      </c>
      <c r="E5">
        <f>'Team Summary'!E7</f>
        <v/>
      </c>
      <c r="F5">
        <f>'Team Summary'!F7</f>
        <v/>
      </c>
      <c r="G5">
        <f>'Team Summary'!G7</f>
        <v/>
      </c>
    </row>
    <row r="6">
      <c r="A6">
        <f>'Team Summary'!A8</f>
        <v/>
      </c>
      <c r="B6">
        <f>'Team Summary'!B8</f>
        <v/>
      </c>
      <c r="C6">
        <f>'Team Summary'!C8</f>
        <v/>
      </c>
      <c r="D6">
        <f>'Team Summary'!D8</f>
        <v/>
      </c>
      <c r="E6">
        <f>'Team Summary'!E8</f>
        <v/>
      </c>
      <c r="F6">
        <f>'Team Summary'!F8</f>
        <v/>
      </c>
      <c r="G6">
        <f>'Team Summary'!G8</f>
        <v/>
      </c>
    </row>
    <row r="7">
      <c r="A7">
        <f>'Team Summary'!A9</f>
        <v/>
      </c>
      <c r="B7">
        <f>'Team Summary'!B9</f>
        <v/>
      </c>
      <c r="C7">
        <f>'Team Summary'!C9</f>
        <v/>
      </c>
      <c r="D7">
        <f>'Team Summary'!D9</f>
        <v/>
      </c>
      <c r="E7">
        <f>'Team Summary'!E9</f>
        <v/>
      </c>
      <c r="F7">
        <f>'Team Summary'!F9</f>
        <v/>
      </c>
      <c r="G7">
        <f>'Team Summary'!G9</f>
        <v/>
      </c>
    </row>
    <row r="8">
      <c r="A8">
        <f>'Team Summary'!A10</f>
        <v/>
      </c>
      <c r="B8">
        <f>'Team Summary'!B10</f>
        <v/>
      </c>
      <c r="C8">
        <f>'Team Summary'!C10</f>
        <v/>
      </c>
      <c r="D8">
        <f>'Team Summary'!D10</f>
        <v/>
      </c>
      <c r="E8">
        <f>'Team Summary'!E10</f>
        <v/>
      </c>
      <c r="F8">
        <f>'Team Summary'!F10</f>
        <v/>
      </c>
      <c r="G8">
        <f>'Team Summary'!G10</f>
        <v/>
      </c>
    </row>
    <row r="9">
      <c r="A9">
        <f>'Team Summary'!A11</f>
        <v/>
      </c>
      <c r="B9">
        <f>'Team Summary'!B11</f>
        <v/>
      </c>
      <c r="C9">
        <f>'Team Summary'!C11</f>
        <v/>
      </c>
      <c r="D9">
        <f>'Team Summary'!D11</f>
        <v/>
      </c>
      <c r="E9">
        <f>'Team Summary'!E11</f>
        <v/>
      </c>
      <c r="F9">
        <f>'Team Summary'!F11</f>
        <v/>
      </c>
      <c r="G9">
        <f>'Team Summary'!G11</f>
        <v/>
      </c>
    </row>
    <row r="10">
      <c r="A10">
        <f>'Team Summary'!A12</f>
        <v/>
      </c>
      <c r="B10">
        <f>'Team Summary'!B12</f>
        <v/>
      </c>
      <c r="C10">
        <f>'Team Summary'!C12</f>
        <v/>
      </c>
      <c r="D10">
        <f>'Team Summary'!D12</f>
        <v/>
      </c>
      <c r="E10">
        <f>'Team Summary'!E12</f>
        <v/>
      </c>
      <c r="F10">
        <f>'Team Summary'!F12</f>
        <v/>
      </c>
      <c r="G10">
        <f>'Team Summary'!G12</f>
        <v/>
      </c>
    </row>
    <row r="11">
      <c r="A11">
        <f>'Team Summary'!A13</f>
        <v/>
      </c>
      <c r="B11">
        <f>'Team Summary'!B13</f>
        <v/>
      </c>
      <c r="C11">
        <f>'Team Summary'!C13</f>
        <v/>
      </c>
      <c r="D11">
        <f>'Team Summary'!D13</f>
        <v/>
      </c>
      <c r="E11">
        <f>'Team Summary'!E13</f>
        <v/>
      </c>
      <c r="F11">
        <f>'Team Summary'!F13</f>
        <v/>
      </c>
      <c r="G11">
        <f>'Team Summary'!G13</f>
        <v/>
      </c>
    </row>
    <row r="12">
      <c r="A12">
        <f>'Team Summary'!A14</f>
        <v/>
      </c>
      <c r="B12">
        <f>'Team Summary'!B14</f>
        <v/>
      </c>
      <c r="C12">
        <f>'Team Summary'!C14</f>
        <v/>
      </c>
      <c r="D12">
        <f>'Team Summary'!D14</f>
        <v/>
      </c>
      <c r="E12">
        <f>'Team Summary'!E14</f>
        <v/>
      </c>
      <c r="F12">
        <f>'Team Summary'!F14</f>
        <v/>
      </c>
      <c r="G12">
        <f>'Team Summary'!G14</f>
        <v/>
      </c>
    </row>
    <row r="13">
      <c r="A13">
        <f>'Team Summary'!A15</f>
        <v/>
      </c>
      <c r="B13">
        <f>'Team Summary'!B15</f>
        <v/>
      </c>
      <c r="C13">
        <f>'Team Summary'!C15</f>
        <v/>
      </c>
      <c r="D13">
        <f>'Team Summary'!D15</f>
        <v/>
      </c>
      <c r="E13">
        <f>'Team Summary'!E15</f>
        <v/>
      </c>
      <c r="F13">
        <f>'Team Summary'!F15</f>
        <v/>
      </c>
      <c r="G13">
        <f>'Team Summary'!G15</f>
        <v/>
      </c>
    </row>
    <row r="14">
      <c r="A14">
        <f>'Team Summary'!A16</f>
        <v/>
      </c>
      <c r="B14">
        <f>'Team Summary'!B16</f>
        <v/>
      </c>
      <c r="C14">
        <f>'Team Summary'!C16</f>
        <v/>
      </c>
      <c r="D14">
        <f>'Team Summary'!D16</f>
        <v/>
      </c>
      <c r="E14">
        <f>'Team Summary'!E16</f>
        <v/>
      </c>
      <c r="F14">
        <f>'Team Summary'!F16</f>
        <v/>
      </c>
      <c r="G14">
        <f>'Team Summary'!G16</f>
        <v/>
      </c>
    </row>
    <row r="15">
      <c r="A15">
        <f>'Team Summary'!A17</f>
        <v/>
      </c>
      <c r="B15">
        <f>'Team Summary'!B17</f>
        <v/>
      </c>
      <c r="C15">
        <f>'Team Summary'!C17</f>
        <v/>
      </c>
      <c r="D15">
        <f>'Team Summary'!D17</f>
        <v/>
      </c>
      <c r="E15">
        <f>'Team Summary'!E17</f>
        <v/>
      </c>
      <c r="F15">
        <f>'Team Summary'!F17</f>
        <v/>
      </c>
      <c r="G15">
        <f>'Team Summary'!G17</f>
        <v/>
      </c>
    </row>
    <row r="16">
      <c r="A16">
        <f>'Team Summary'!A18</f>
        <v/>
      </c>
      <c r="B16">
        <f>'Team Summary'!B18</f>
        <v/>
      </c>
      <c r="C16">
        <f>'Team Summary'!C18</f>
        <v/>
      </c>
      <c r="D16">
        <f>'Team Summary'!D18</f>
        <v/>
      </c>
      <c r="E16">
        <f>'Team Summary'!E18</f>
        <v/>
      </c>
      <c r="F16">
        <f>'Team Summary'!F18</f>
        <v/>
      </c>
      <c r="G16">
        <f>'Team Summary'!G18</f>
        <v/>
      </c>
    </row>
    <row r="17">
      <c r="A17">
        <f>'Team Summary'!A19</f>
        <v/>
      </c>
      <c r="B17">
        <f>'Team Summary'!B19</f>
        <v/>
      </c>
      <c r="C17">
        <f>'Team Summary'!C19</f>
        <v/>
      </c>
      <c r="D17">
        <f>'Team Summary'!D19</f>
        <v/>
      </c>
      <c r="E17">
        <f>'Team Summary'!E19</f>
        <v/>
      </c>
      <c r="F17">
        <f>'Team Summary'!F19</f>
        <v/>
      </c>
      <c r="G17">
        <f>'Team Summary'!G19</f>
        <v/>
      </c>
    </row>
    <row r="18">
      <c r="A18">
        <f>'Team Summary'!A20</f>
        <v/>
      </c>
      <c r="B18">
        <f>'Team Summary'!B20</f>
        <v/>
      </c>
      <c r="C18">
        <f>'Team Summary'!C20</f>
        <v/>
      </c>
      <c r="D18">
        <f>'Team Summary'!D20</f>
        <v/>
      </c>
      <c r="E18">
        <f>'Team Summary'!E20</f>
        <v/>
      </c>
      <c r="F18">
        <f>'Team Summary'!F20</f>
        <v/>
      </c>
      <c r="G18">
        <f>'Team Summary'!G20</f>
        <v/>
      </c>
    </row>
    <row r="19">
      <c r="A19">
        <f>'Team Summary'!A21</f>
        <v/>
      </c>
      <c r="B19">
        <f>'Team Summary'!B21</f>
        <v/>
      </c>
      <c r="C19">
        <f>'Team Summary'!C21</f>
        <v/>
      </c>
      <c r="D19">
        <f>'Team Summary'!D21</f>
        <v/>
      </c>
      <c r="E19">
        <f>'Team Summary'!E21</f>
        <v/>
      </c>
      <c r="F19">
        <f>'Team Summary'!F21</f>
        <v/>
      </c>
      <c r="G19">
        <f>'Team Summary'!G21</f>
        <v/>
      </c>
    </row>
    <row r="20">
      <c r="A20">
        <f>'Team Summary'!A22</f>
        <v/>
      </c>
      <c r="B20">
        <f>'Team Summary'!B22</f>
        <v/>
      </c>
      <c r="C20">
        <f>'Team Summary'!C22</f>
        <v/>
      </c>
      <c r="D20">
        <f>'Team Summary'!D22</f>
        <v/>
      </c>
      <c r="E20">
        <f>'Team Summary'!E22</f>
        <v/>
      </c>
      <c r="F20">
        <f>'Team Summary'!F22</f>
        <v/>
      </c>
      <c r="G20">
        <f>'Team Summary'!G22</f>
        <v/>
      </c>
    </row>
    <row r="21">
      <c r="A21">
        <f>'Team Summary'!A23</f>
        <v/>
      </c>
      <c r="B21">
        <f>'Team Summary'!B23</f>
        <v/>
      </c>
      <c r="C21">
        <f>'Team Summary'!C23</f>
        <v/>
      </c>
      <c r="D21">
        <f>'Team Summary'!D23</f>
        <v/>
      </c>
      <c r="E21">
        <f>'Team Summary'!E23</f>
        <v/>
      </c>
      <c r="F21">
        <f>'Team Summary'!F23</f>
        <v/>
      </c>
      <c r="G21">
        <f>'Team Summary'!G23</f>
        <v/>
      </c>
    </row>
    <row r="22">
      <c r="A22">
        <f>'Team Summary'!A24</f>
        <v/>
      </c>
      <c r="B22">
        <f>'Team Summary'!B24</f>
        <v/>
      </c>
      <c r="C22">
        <f>'Team Summary'!C24</f>
        <v/>
      </c>
      <c r="D22">
        <f>'Team Summary'!D24</f>
        <v/>
      </c>
      <c r="E22">
        <f>'Team Summary'!E24</f>
        <v/>
      </c>
      <c r="F22">
        <f>'Team Summary'!F24</f>
        <v/>
      </c>
      <c r="G22">
        <f>'Team Summary'!G24</f>
        <v/>
      </c>
    </row>
    <row r="23">
      <c r="A23">
        <f>'Team Summary'!A25</f>
        <v/>
      </c>
      <c r="B23">
        <f>'Team Summary'!B25</f>
        <v/>
      </c>
      <c r="C23">
        <f>'Team Summary'!C25</f>
        <v/>
      </c>
      <c r="D23">
        <f>'Team Summary'!D25</f>
        <v/>
      </c>
      <c r="E23">
        <f>'Team Summary'!E25</f>
        <v/>
      </c>
      <c r="F23">
        <f>'Team Summary'!F25</f>
        <v/>
      </c>
      <c r="G23">
        <f>'Team Summary'!G25</f>
        <v/>
      </c>
    </row>
    <row r="24">
      <c r="A24">
        <f>'Team Summary'!A26</f>
        <v/>
      </c>
      <c r="B24">
        <f>'Team Summary'!B26</f>
        <v/>
      </c>
      <c r="C24">
        <f>'Team Summary'!C26</f>
        <v/>
      </c>
      <c r="D24">
        <f>'Team Summary'!D26</f>
        <v/>
      </c>
      <c r="E24">
        <f>'Team Summary'!E26</f>
        <v/>
      </c>
      <c r="F24">
        <f>'Team Summary'!F26</f>
        <v/>
      </c>
      <c r="G24">
        <f>'Team Summary'!G26</f>
        <v/>
      </c>
    </row>
    <row r="25">
      <c r="A25">
        <f>'Team Summary'!A27</f>
        <v/>
      </c>
      <c r="B25">
        <f>'Team Summary'!B27</f>
        <v/>
      </c>
      <c r="C25">
        <f>'Team Summary'!C27</f>
        <v/>
      </c>
      <c r="D25">
        <f>'Team Summary'!D27</f>
        <v/>
      </c>
      <c r="E25">
        <f>'Team Summary'!E27</f>
        <v/>
      </c>
      <c r="F25">
        <f>'Team Summary'!F27</f>
        <v/>
      </c>
      <c r="G25">
        <f>'Team Summary'!G27</f>
        <v/>
      </c>
    </row>
    <row r="26">
      <c r="A26">
        <f>'Team Summary'!A28</f>
        <v/>
      </c>
      <c r="B26">
        <f>'Team Summary'!B28</f>
        <v/>
      </c>
      <c r="C26">
        <f>'Team Summary'!C28</f>
        <v/>
      </c>
      <c r="D26">
        <f>'Team Summary'!D28</f>
        <v/>
      </c>
      <c r="E26">
        <f>'Team Summary'!E28</f>
        <v/>
      </c>
      <c r="F26">
        <f>'Team Summary'!F28</f>
        <v/>
      </c>
      <c r="G26">
        <f>'Team Summary'!G28</f>
        <v/>
      </c>
    </row>
    <row r="27">
      <c r="A27">
        <f>'Team Summary'!A29</f>
        <v/>
      </c>
      <c r="B27">
        <f>'Team Summary'!B29</f>
        <v/>
      </c>
      <c r="C27">
        <f>'Team Summary'!C29</f>
        <v/>
      </c>
      <c r="D27">
        <f>'Team Summary'!D29</f>
        <v/>
      </c>
      <c r="E27">
        <f>'Team Summary'!E29</f>
        <v/>
      </c>
      <c r="F27">
        <f>'Team Summary'!F29</f>
        <v/>
      </c>
      <c r="G27">
        <f>'Team Summary'!G29</f>
        <v/>
      </c>
    </row>
    <row r="28">
      <c r="A28">
        <f>'Team Summary'!A30</f>
        <v/>
      </c>
      <c r="B28">
        <f>'Team Summary'!B30</f>
        <v/>
      </c>
      <c r="C28">
        <f>'Team Summary'!C30</f>
        <v/>
      </c>
      <c r="D28">
        <f>'Team Summary'!D30</f>
        <v/>
      </c>
      <c r="E28">
        <f>'Team Summary'!E30</f>
        <v/>
      </c>
      <c r="F28">
        <f>'Team Summary'!F30</f>
        <v/>
      </c>
      <c r="G28">
        <f>'Team Summary'!G30</f>
        <v/>
      </c>
    </row>
    <row r="29">
      <c r="A29">
        <f>'Team Summary'!A31</f>
        <v/>
      </c>
      <c r="B29">
        <f>'Team Summary'!B31</f>
        <v/>
      </c>
      <c r="C29">
        <f>'Team Summary'!C31</f>
        <v/>
      </c>
      <c r="D29">
        <f>'Team Summary'!D31</f>
        <v/>
      </c>
      <c r="E29">
        <f>'Team Summary'!E31</f>
        <v/>
      </c>
      <c r="F29">
        <f>'Team Summary'!F31</f>
        <v/>
      </c>
      <c r="G29">
        <f>'Team Summary'!G31</f>
        <v/>
      </c>
    </row>
    <row r="30">
      <c r="A30">
        <f>'Team Summary'!A32</f>
        <v/>
      </c>
      <c r="B30">
        <f>'Team Summary'!B32</f>
        <v/>
      </c>
      <c r="C30">
        <f>'Team Summary'!C32</f>
        <v/>
      </c>
      <c r="D30">
        <f>'Team Summary'!D32</f>
        <v/>
      </c>
      <c r="E30">
        <f>'Team Summary'!E32</f>
        <v/>
      </c>
      <c r="F30">
        <f>'Team Summary'!F32</f>
        <v/>
      </c>
      <c r="G30">
        <f>'Team Summary'!G32</f>
        <v/>
      </c>
    </row>
    <row r="31">
      <c r="A31">
        <f>'Team Summary'!A33</f>
        <v/>
      </c>
      <c r="B31">
        <f>'Team Summary'!B33</f>
        <v/>
      </c>
      <c r="C31">
        <f>'Team Summary'!C33</f>
        <v/>
      </c>
      <c r="D31">
        <f>'Team Summary'!D33</f>
        <v/>
      </c>
      <c r="E31">
        <f>'Team Summary'!E33</f>
        <v/>
      </c>
      <c r="F31">
        <f>'Team Summary'!F33</f>
        <v/>
      </c>
      <c r="G31">
        <f>'Team Summary'!G33</f>
        <v/>
      </c>
    </row>
    <row r="32">
      <c r="A32">
        <f>'Team Summary'!A34</f>
        <v/>
      </c>
      <c r="B32">
        <f>'Team Summary'!B34</f>
        <v/>
      </c>
      <c r="C32">
        <f>'Team Summary'!C34</f>
        <v/>
      </c>
      <c r="D32">
        <f>'Team Summary'!D34</f>
        <v/>
      </c>
      <c r="E32">
        <f>'Team Summary'!E34</f>
        <v/>
      </c>
      <c r="F32">
        <f>'Team Summary'!F34</f>
        <v/>
      </c>
      <c r="G32">
        <f>'Team Summary'!G34</f>
        <v/>
      </c>
    </row>
    <row r="33">
      <c r="A33">
        <f>'Team Summary'!A35</f>
        <v/>
      </c>
      <c r="B33">
        <f>'Team Summary'!B35</f>
        <v/>
      </c>
      <c r="C33">
        <f>'Team Summary'!C35</f>
        <v/>
      </c>
      <c r="D33">
        <f>'Team Summary'!D35</f>
        <v/>
      </c>
      <c r="E33">
        <f>'Team Summary'!E35</f>
        <v/>
      </c>
      <c r="F33">
        <f>'Team Summary'!F35</f>
        <v/>
      </c>
      <c r="G33">
        <f>'Team Summary'!G35</f>
        <v/>
      </c>
    </row>
    <row r="34">
      <c r="A34">
        <f>'Team Summary'!A36</f>
        <v/>
      </c>
      <c r="B34">
        <f>'Team Summary'!B36</f>
        <v/>
      </c>
      <c r="C34">
        <f>'Team Summary'!C36</f>
        <v/>
      </c>
      <c r="D34">
        <f>'Team Summary'!D36</f>
        <v/>
      </c>
      <c r="E34">
        <f>'Team Summary'!E36</f>
        <v/>
      </c>
      <c r="F34">
        <f>'Team Summary'!F36</f>
        <v/>
      </c>
      <c r="G34">
        <f>'Team Summary'!G36</f>
        <v/>
      </c>
    </row>
    <row r="35">
      <c r="A35">
        <f>'Team Summary'!A37</f>
        <v/>
      </c>
      <c r="B35">
        <f>'Team Summary'!B37</f>
        <v/>
      </c>
      <c r="C35">
        <f>'Team Summary'!C37</f>
        <v/>
      </c>
      <c r="D35">
        <f>'Team Summary'!D37</f>
        <v/>
      </c>
      <c r="E35">
        <f>'Team Summary'!E37</f>
        <v/>
      </c>
      <c r="F35">
        <f>'Team Summary'!F37</f>
        <v/>
      </c>
      <c r="G35">
        <f>'Team Summary'!G37</f>
        <v/>
      </c>
    </row>
    <row r="36">
      <c r="A36">
        <f>'Team Summary'!A38</f>
        <v/>
      </c>
      <c r="B36">
        <f>'Team Summary'!B38</f>
        <v/>
      </c>
      <c r="C36">
        <f>'Team Summary'!C38</f>
        <v/>
      </c>
      <c r="D36">
        <f>'Team Summary'!D38</f>
        <v/>
      </c>
      <c r="E36">
        <f>'Team Summary'!E38</f>
        <v/>
      </c>
      <c r="F36">
        <f>'Team Summary'!F38</f>
        <v/>
      </c>
      <c r="G36">
        <f>'Team Summary'!G38</f>
        <v/>
      </c>
    </row>
    <row r="37">
      <c r="A37">
        <f>'Team Summary'!A39</f>
        <v/>
      </c>
      <c r="B37">
        <f>'Team Summary'!B39</f>
        <v/>
      </c>
      <c r="C37">
        <f>'Team Summary'!C39</f>
        <v/>
      </c>
      <c r="D37">
        <f>'Team Summary'!D39</f>
        <v/>
      </c>
      <c r="E37">
        <f>'Team Summary'!E39</f>
        <v/>
      </c>
      <c r="F37">
        <f>'Team Summary'!F39</f>
        <v/>
      </c>
      <c r="G37">
        <f>'Team Summary'!G39</f>
        <v/>
      </c>
    </row>
    <row r="38">
      <c r="A38">
        <f>'Team Summary'!A40</f>
        <v/>
      </c>
      <c r="B38">
        <f>'Team Summary'!B40</f>
        <v/>
      </c>
      <c r="C38">
        <f>'Team Summary'!C40</f>
        <v/>
      </c>
      <c r="D38">
        <f>'Team Summary'!D40</f>
        <v/>
      </c>
      <c r="E38">
        <f>'Team Summary'!E40</f>
        <v/>
      </c>
      <c r="F38">
        <f>'Team Summary'!F40</f>
        <v/>
      </c>
      <c r="G38">
        <f>'Team Summary'!G40</f>
        <v/>
      </c>
    </row>
    <row r="39">
      <c r="A39">
        <f>'Team Summary'!A41</f>
        <v/>
      </c>
      <c r="B39">
        <f>'Team Summary'!B41</f>
        <v/>
      </c>
      <c r="C39">
        <f>'Team Summary'!C41</f>
        <v/>
      </c>
      <c r="D39">
        <f>'Team Summary'!D41</f>
        <v/>
      </c>
      <c r="E39">
        <f>'Team Summary'!E41</f>
        <v/>
      </c>
      <c r="F39">
        <f>'Team Summary'!F41</f>
        <v/>
      </c>
      <c r="G39">
        <f>'Team Summary'!G41</f>
        <v/>
      </c>
    </row>
    <row r="40">
      <c r="A40">
        <f>'Team Summary'!A42</f>
        <v/>
      </c>
      <c r="B40">
        <f>'Team Summary'!B42</f>
        <v/>
      </c>
      <c r="C40">
        <f>'Team Summary'!C42</f>
        <v/>
      </c>
      <c r="D40">
        <f>'Team Summary'!D42</f>
        <v/>
      </c>
      <c r="E40">
        <f>'Team Summary'!E42</f>
        <v/>
      </c>
      <c r="F40">
        <f>'Team Summary'!F42</f>
        <v/>
      </c>
      <c r="G40">
        <f>'Team Summary'!G42</f>
        <v/>
      </c>
    </row>
    <row r="41">
      <c r="A41">
        <f>'Team Summary'!A43</f>
        <v/>
      </c>
      <c r="B41">
        <f>'Team Summary'!B43</f>
        <v/>
      </c>
      <c r="C41">
        <f>'Team Summary'!C43</f>
        <v/>
      </c>
      <c r="D41">
        <f>'Team Summary'!D43</f>
        <v/>
      </c>
      <c r="E41">
        <f>'Team Summary'!E43</f>
        <v/>
      </c>
      <c r="F41">
        <f>'Team Summary'!F43</f>
        <v/>
      </c>
      <c r="G41">
        <f>'Team Summary'!G43</f>
        <v/>
      </c>
    </row>
    <row r="42">
      <c r="A42">
        <f>'Team Summary'!A44</f>
        <v/>
      </c>
      <c r="B42">
        <f>'Team Summary'!B44</f>
        <v/>
      </c>
      <c r="C42">
        <f>'Team Summary'!C44</f>
        <v/>
      </c>
      <c r="D42">
        <f>'Team Summary'!D44</f>
        <v/>
      </c>
      <c r="E42">
        <f>'Team Summary'!E44</f>
        <v/>
      </c>
      <c r="F42">
        <f>'Team Summary'!F44</f>
        <v/>
      </c>
      <c r="G42">
        <f>'Team Summary'!G44</f>
        <v/>
      </c>
    </row>
    <row r="43">
      <c r="A43">
        <f>'Team Summary'!A45</f>
        <v/>
      </c>
      <c r="B43">
        <f>'Team Summary'!B45</f>
        <v/>
      </c>
      <c r="C43">
        <f>'Team Summary'!C45</f>
        <v/>
      </c>
      <c r="D43">
        <f>'Team Summary'!D45</f>
        <v/>
      </c>
      <c r="E43">
        <f>'Team Summary'!E45</f>
        <v/>
      </c>
      <c r="F43">
        <f>'Team Summary'!F45</f>
        <v/>
      </c>
      <c r="G43">
        <f>'Team Summary'!G45</f>
        <v/>
      </c>
    </row>
    <row r="44">
      <c r="A44">
        <f>'Team Summary'!A46</f>
        <v/>
      </c>
      <c r="B44">
        <f>'Team Summary'!B46</f>
        <v/>
      </c>
      <c r="C44">
        <f>'Team Summary'!C46</f>
        <v/>
      </c>
      <c r="D44">
        <f>'Team Summary'!D46</f>
        <v/>
      </c>
      <c r="E44">
        <f>'Team Summary'!E46</f>
        <v/>
      </c>
      <c r="F44">
        <f>'Team Summary'!F46</f>
        <v/>
      </c>
      <c r="G44">
        <f>'Team Summary'!G46</f>
        <v/>
      </c>
    </row>
    <row r="45">
      <c r="A45">
        <f>'Team Summary'!A47</f>
        <v/>
      </c>
      <c r="B45">
        <f>'Team Summary'!B47</f>
        <v/>
      </c>
      <c r="C45">
        <f>'Team Summary'!C47</f>
        <v/>
      </c>
      <c r="D45">
        <f>'Team Summary'!D47</f>
        <v/>
      </c>
      <c r="E45">
        <f>'Team Summary'!E47</f>
        <v/>
      </c>
      <c r="F45">
        <f>'Team Summary'!F47</f>
        <v/>
      </c>
      <c r="G45">
        <f>'Team Summary'!G47</f>
        <v/>
      </c>
    </row>
    <row r="46">
      <c r="A46">
        <f>'Team Summary'!A48</f>
        <v/>
      </c>
      <c r="B46">
        <f>'Team Summary'!B48</f>
        <v/>
      </c>
      <c r="C46">
        <f>'Team Summary'!C48</f>
        <v/>
      </c>
      <c r="D46">
        <f>'Team Summary'!D48</f>
        <v/>
      </c>
      <c r="E46">
        <f>'Team Summary'!E48</f>
        <v/>
      </c>
      <c r="F46">
        <f>'Team Summary'!F48</f>
        <v/>
      </c>
      <c r="G46">
        <f>'Team Summary'!G48</f>
        <v/>
      </c>
    </row>
    <row r="47">
      <c r="A47">
        <f>'Team Summary'!A49</f>
        <v/>
      </c>
      <c r="B47">
        <f>'Team Summary'!B49</f>
        <v/>
      </c>
      <c r="C47">
        <f>'Team Summary'!C49</f>
        <v/>
      </c>
      <c r="D47">
        <f>'Team Summary'!D49</f>
        <v/>
      </c>
      <c r="E47">
        <f>'Team Summary'!E49</f>
        <v/>
      </c>
      <c r="F47">
        <f>'Team Summary'!F49</f>
        <v/>
      </c>
      <c r="G47">
        <f>'Team Summary'!G49</f>
        <v/>
      </c>
    </row>
    <row r="48">
      <c r="A48">
        <f>'Team Summary'!A50</f>
        <v/>
      </c>
      <c r="B48">
        <f>'Team Summary'!B50</f>
        <v/>
      </c>
      <c r="C48">
        <f>'Team Summary'!C50</f>
        <v/>
      </c>
      <c r="D48">
        <f>'Team Summary'!D50</f>
        <v/>
      </c>
      <c r="E48">
        <f>'Team Summary'!E50</f>
        <v/>
      </c>
      <c r="F48">
        <f>'Team Summary'!F50</f>
        <v/>
      </c>
      <c r="G48">
        <f>'Team Summary'!G50</f>
        <v/>
      </c>
    </row>
    <row r="49">
      <c r="A49">
        <f>'Team Summary'!A51</f>
        <v/>
      </c>
      <c r="B49">
        <f>'Team Summary'!B51</f>
        <v/>
      </c>
      <c r="C49">
        <f>'Team Summary'!C51</f>
        <v/>
      </c>
      <c r="D49">
        <f>'Team Summary'!D51</f>
        <v/>
      </c>
      <c r="E49">
        <f>'Team Summary'!E51</f>
        <v/>
      </c>
      <c r="F49">
        <f>'Team Summary'!F51</f>
        <v/>
      </c>
      <c r="G49">
        <f>'Team Summary'!G51</f>
        <v/>
      </c>
    </row>
    <row r="50">
      <c r="A50">
        <f>'Team Summary'!A52</f>
        <v/>
      </c>
      <c r="B50">
        <f>'Team Summary'!B52</f>
        <v/>
      </c>
      <c r="C50">
        <f>'Team Summary'!C52</f>
        <v/>
      </c>
      <c r="D50">
        <f>'Team Summary'!D52</f>
        <v/>
      </c>
      <c r="E50">
        <f>'Team Summary'!E52</f>
        <v/>
      </c>
      <c r="F50">
        <f>'Team Summary'!F52</f>
        <v/>
      </c>
      <c r="G50">
        <f>'Team Summary'!G52</f>
        <v/>
      </c>
    </row>
    <row r="51">
      <c r="A51">
        <f>'Team Summary'!A53</f>
        <v/>
      </c>
      <c r="B51">
        <f>'Team Summary'!B53</f>
        <v/>
      </c>
      <c r="C51">
        <f>'Team Summary'!C53</f>
        <v/>
      </c>
      <c r="D51">
        <f>'Team Summary'!D53</f>
        <v/>
      </c>
      <c r="E51">
        <f>'Team Summary'!E53</f>
        <v/>
      </c>
      <c r="F51">
        <f>'Team Summary'!F53</f>
        <v/>
      </c>
      <c r="G51">
        <f>'Team Summary'!G53</f>
        <v/>
      </c>
    </row>
    <row r="52">
      <c r="A52">
        <f>'Team Summary'!A54</f>
        <v/>
      </c>
      <c r="B52">
        <f>'Team Summary'!B54</f>
        <v/>
      </c>
      <c r="C52">
        <f>'Team Summary'!C54</f>
        <v/>
      </c>
      <c r="D52">
        <f>'Team Summary'!D54</f>
        <v/>
      </c>
      <c r="E52">
        <f>'Team Summary'!E54</f>
        <v/>
      </c>
      <c r="F52">
        <f>'Team Summary'!F54</f>
        <v/>
      </c>
      <c r="G52">
        <f>'Team Summary'!G54</f>
        <v/>
      </c>
    </row>
    <row r="53">
      <c r="A53">
        <f>'Team Summary'!A55</f>
        <v/>
      </c>
      <c r="B53">
        <f>'Team Summary'!B55</f>
        <v/>
      </c>
      <c r="C53">
        <f>'Team Summary'!C55</f>
        <v/>
      </c>
      <c r="D53">
        <f>'Team Summary'!D55</f>
        <v/>
      </c>
      <c r="E53">
        <f>'Team Summary'!E55</f>
        <v/>
      </c>
      <c r="F53">
        <f>'Team Summary'!F55</f>
        <v/>
      </c>
      <c r="G53">
        <f>'Team Summary'!G55</f>
        <v/>
      </c>
    </row>
    <row r="54">
      <c r="A54">
        <f>'Team Summary'!A56</f>
        <v/>
      </c>
      <c r="B54">
        <f>'Team Summary'!B56</f>
        <v/>
      </c>
      <c r="C54">
        <f>'Team Summary'!C56</f>
        <v/>
      </c>
      <c r="D54">
        <f>'Team Summary'!D56</f>
        <v/>
      </c>
      <c r="E54">
        <f>'Team Summary'!E56</f>
        <v/>
      </c>
      <c r="F54">
        <f>'Team Summary'!F56</f>
        <v/>
      </c>
      <c r="G54">
        <f>'Team Summary'!G56</f>
        <v/>
      </c>
    </row>
    <row r="55">
      <c r="A55">
        <f>'Team Summary'!A57</f>
        <v/>
      </c>
      <c r="B55">
        <f>'Team Summary'!B57</f>
        <v/>
      </c>
      <c r="C55">
        <f>'Team Summary'!C57</f>
        <v/>
      </c>
      <c r="D55">
        <f>'Team Summary'!D57</f>
        <v/>
      </c>
      <c r="E55">
        <f>'Team Summary'!E57</f>
        <v/>
      </c>
      <c r="F55">
        <f>'Team Summary'!F57</f>
        <v/>
      </c>
      <c r="G55">
        <f>'Team Summary'!G57</f>
        <v/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2025-01-14T14:14:10Z</dcterms:created>
  <dcterms:modified xsi:type="dcterms:W3CDTF">2025-09-25T18:48:18Z</dcterms:modified>
  <cp:lastModifiedBy>John Hurrell</cp:lastModifiedBy>
</cp:coreProperties>
</file>