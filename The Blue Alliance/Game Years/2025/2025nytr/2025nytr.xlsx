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johnhurrell/Development/fairport-robotics/ScoutingPASSSync/tba/data/2025/2025nytr/"/>
    </mc:Choice>
  </mc:AlternateContent>
  <xr:revisionPtr revIDLastSave="0" documentId="13_ncr:1_{ECE7633F-967A-4E4A-91D7-B142820FE3C6}" xr6:coauthVersionLast="47" xr6:coauthVersionMax="47" xr10:uidLastSave="{00000000-0000-0000-0000-000000000000}"/>
  <bookViews>
    <workbookView xWindow="34560" yWindow="500" windowWidth="51200" windowHeight="28300" xr2:uid="{00000000-000D-0000-FFFF-FFFF00000000}"/>
  </bookViews>
  <sheets>
    <sheet name="MatchScoutingData" sheetId="1" r:id="rId1"/>
    <sheet name="Event" sheetId="2" r:id="rId2"/>
    <sheet name="Teams" sheetId="3" r:id="rId3"/>
    <sheet name="Matches" sheetId="4" r:id="rId4"/>
    <sheet name="Team Scores" sheetId="5" r:id="rId5"/>
    <sheet name="Team Summary" sheetId="6" r:id="rId6"/>
    <sheet name="PB Scouter Summary" sheetId="7" r:id="rId7"/>
    <sheet name="PB Team Summary" sheetId="8" r:id="rId8"/>
  </sheets>
  <definedNames>
    <definedName name="_xlnm._FilterDatabase" localSheetId="3" hidden="1">Matches!$A$1:$H$1</definedName>
    <definedName name="_xlnm._FilterDatabase" localSheetId="0" hidden="1">MatchScoutingData!$A$1:$AE$1</definedName>
    <definedName name="_xlnm._FilterDatabase" localSheetId="6" hidden="1">'PB Scouter Summary'!$A$1:$B$101</definedName>
    <definedName name="_xlnm._FilterDatabase" localSheetId="7" hidden="1">'PB Team Summary'!$A$1:$G$1</definedName>
    <definedName name="_xlnm._FilterDatabase" localSheetId="4" hidden="1">'Team Scores'!$A$3:$AR$3</definedName>
    <definedName name="_xlnm._FilterDatabase" localSheetId="5" hidden="1">'Team Summary'!$A$3:$U$3</definedName>
    <definedName name="_xlnm._FilterDatabase" localSheetId="2" hidden="1">Teams!$A$1:$E$1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7" i="8" l="1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A3" i="8"/>
  <c r="A2" i="8"/>
  <c r="B101" i="7"/>
  <c r="B100" i="7"/>
  <c r="B99" i="7"/>
  <c r="B98" i="7"/>
  <c r="B97" i="7"/>
  <c r="B96" i="7"/>
  <c r="B95" i="7"/>
  <c r="B94" i="7"/>
  <c r="B93" i="7"/>
  <c r="B92" i="7"/>
  <c r="B91" i="7"/>
  <c r="B90" i="7"/>
  <c r="B89" i="7"/>
  <c r="B88" i="7"/>
  <c r="B87" i="7"/>
  <c r="B86" i="7"/>
  <c r="B85" i="7"/>
  <c r="B84" i="7"/>
  <c r="B83" i="7"/>
  <c r="B82" i="7"/>
  <c r="B81" i="7"/>
  <c r="B80" i="7"/>
  <c r="B79" i="7"/>
  <c r="B78" i="7"/>
  <c r="B77" i="7"/>
  <c r="B76" i="7"/>
  <c r="B75" i="7"/>
  <c r="B74" i="7"/>
  <c r="B73" i="7"/>
  <c r="B72" i="7"/>
  <c r="B71" i="7"/>
  <c r="B70" i="7"/>
  <c r="B69" i="7"/>
  <c r="B68" i="7"/>
  <c r="B67" i="7"/>
  <c r="B66" i="7"/>
  <c r="B65" i="7"/>
  <c r="B64" i="7"/>
  <c r="B63" i="7"/>
  <c r="B62" i="7"/>
  <c r="B61" i="7"/>
  <c r="B60" i="7"/>
  <c r="B59" i="7"/>
  <c r="B58" i="7"/>
  <c r="B57" i="7"/>
  <c r="B56" i="7"/>
  <c r="B55" i="7"/>
  <c r="B54" i="7"/>
  <c r="B53" i="7"/>
  <c r="B52" i="7"/>
  <c r="B51" i="7"/>
  <c r="B50" i="7"/>
  <c r="B49" i="7"/>
  <c r="B48" i="7"/>
  <c r="B47" i="7"/>
  <c r="B46" i="7"/>
  <c r="B45" i="7"/>
  <c r="B44" i="7"/>
  <c r="B43" i="7"/>
  <c r="B42" i="7"/>
  <c r="B41" i="7"/>
  <c r="B40" i="7"/>
  <c r="B39" i="7"/>
  <c r="B38" i="7"/>
  <c r="B37" i="7"/>
  <c r="B36" i="7"/>
  <c r="B35" i="7"/>
  <c r="B34" i="7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A2" i="7" a="1"/>
  <c r="A3" i="7" s="1"/>
  <c r="B3" i="7" s="1"/>
  <c r="AR59" i="5"/>
  <c r="P59" i="6" s="1"/>
  <c r="AQ59" i="5"/>
  <c r="O59" i="6" s="1"/>
  <c r="AP59" i="5"/>
  <c r="N59" i="6" s="1"/>
  <c r="AH59" i="5"/>
  <c r="AK59" i="5" s="1"/>
  <c r="AG59" i="5"/>
  <c r="AJ59" i="5" s="1"/>
  <c r="AF59" i="5"/>
  <c r="AI59" i="5" s="1"/>
  <c r="W59" i="5"/>
  <c r="AC59" i="5" s="1"/>
  <c r="V59" i="5"/>
  <c r="AB59" i="5" s="1"/>
  <c r="U59" i="5"/>
  <c r="AA59" i="5" s="1"/>
  <c r="T59" i="5"/>
  <c r="Z59" i="5" s="1"/>
  <c r="S59" i="5"/>
  <c r="Y59" i="5" s="1"/>
  <c r="R59" i="5"/>
  <c r="X59" i="5" s="1"/>
  <c r="O59" i="5"/>
  <c r="H59" i="5"/>
  <c r="N59" i="5" s="1"/>
  <c r="G59" i="5"/>
  <c r="M59" i="5" s="1"/>
  <c r="F59" i="5"/>
  <c r="L59" i="5" s="1"/>
  <c r="E59" i="5"/>
  <c r="K59" i="5" s="1"/>
  <c r="D59" i="5"/>
  <c r="J59" i="5" s="1"/>
  <c r="C59" i="5"/>
  <c r="I59" i="5" s="1"/>
  <c r="B59" i="5"/>
  <c r="AR58" i="5"/>
  <c r="P58" i="6" s="1"/>
  <c r="AQ58" i="5"/>
  <c r="O58" i="6" s="1"/>
  <c r="AP58" i="5"/>
  <c r="N58" i="6" s="1"/>
  <c r="AH58" i="5"/>
  <c r="AK58" i="5" s="1"/>
  <c r="AG58" i="5"/>
  <c r="AJ58" i="5" s="1"/>
  <c r="AF58" i="5"/>
  <c r="AI58" i="5" s="1"/>
  <c r="W58" i="5"/>
  <c r="AC58" i="5" s="1"/>
  <c r="V58" i="5"/>
  <c r="AB58" i="5" s="1"/>
  <c r="U58" i="5"/>
  <c r="AA58" i="5" s="1"/>
  <c r="T58" i="5"/>
  <c r="Z58" i="5" s="1"/>
  <c r="S58" i="5"/>
  <c r="Y58" i="5" s="1"/>
  <c r="R58" i="5"/>
  <c r="X58" i="5" s="1"/>
  <c r="O58" i="5"/>
  <c r="H58" i="5"/>
  <c r="N58" i="5" s="1"/>
  <c r="G58" i="5"/>
  <c r="M58" i="5" s="1"/>
  <c r="F58" i="5"/>
  <c r="L58" i="5" s="1"/>
  <c r="E58" i="5"/>
  <c r="K58" i="5" s="1"/>
  <c r="D58" i="5"/>
  <c r="J58" i="5" s="1"/>
  <c r="C58" i="5"/>
  <c r="I58" i="5" s="1"/>
  <c r="B58" i="5"/>
  <c r="AR57" i="5"/>
  <c r="P57" i="6" s="1"/>
  <c r="AQ57" i="5"/>
  <c r="O57" i="6" s="1"/>
  <c r="AP57" i="5"/>
  <c r="AH57" i="5"/>
  <c r="AK57" i="5" s="1"/>
  <c r="AG57" i="5"/>
  <c r="AJ57" i="5" s="1"/>
  <c r="AF57" i="5"/>
  <c r="AI57" i="5" s="1"/>
  <c r="W57" i="5"/>
  <c r="AC57" i="5" s="1"/>
  <c r="V57" i="5"/>
  <c r="AB57" i="5" s="1"/>
  <c r="U57" i="5"/>
  <c r="AA57" i="5" s="1"/>
  <c r="T57" i="5"/>
  <c r="Z57" i="5" s="1"/>
  <c r="S57" i="5"/>
  <c r="Y57" i="5" s="1"/>
  <c r="R57" i="5"/>
  <c r="X57" i="5" s="1"/>
  <c r="O57" i="5"/>
  <c r="H57" i="5"/>
  <c r="N57" i="5" s="1"/>
  <c r="G57" i="5"/>
  <c r="M57" i="5" s="1"/>
  <c r="F57" i="5"/>
  <c r="L57" i="5" s="1"/>
  <c r="E57" i="5"/>
  <c r="K57" i="5" s="1"/>
  <c r="D57" i="5"/>
  <c r="J57" i="5" s="1"/>
  <c r="C57" i="5"/>
  <c r="I57" i="5" s="1"/>
  <c r="B57" i="5"/>
  <c r="AR56" i="5"/>
  <c r="P56" i="6" s="1"/>
  <c r="AQ56" i="5"/>
  <c r="O56" i="6" s="1"/>
  <c r="AP56" i="5"/>
  <c r="N56" i="6" s="1"/>
  <c r="AH56" i="5"/>
  <c r="AK56" i="5" s="1"/>
  <c r="AG56" i="5"/>
  <c r="AJ56" i="5" s="1"/>
  <c r="AF56" i="5"/>
  <c r="AI56" i="5" s="1"/>
  <c r="W56" i="5"/>
  <c r="AC56" i="5" s="1"/>
  <c r="V56" i="5"/>
  <c r="AB56" i="5" s="1"/>
  <c r="U56" i="5"/>
  <c r="AA56" i="5" s="1"/>
  <c r="T56" i="5"/>
  <c r="Z56" i="5" s="1"/>
  <c r="S56" i="5"/>
  <c r="Y56" i="5" s="1"/>
  <c r="R56" i="5"/>
  <c r="X56" i="5" s="1"/>
  <c r="O56" i="5"/>
  <c r="H56" i="5"/>
  <c r="N56" i="5" s="1"/>
  <c r="G56" i="5"/>
  <c r="M56" i="5" s="1"/>
  <c r="F56" i="5"/>
  <c r="L56" i="5" s="1"/>
  <c r="E56" i="5"/>
  <c r="K56" i="5" s="1"/>
  <c r="D56" i="5"/>
  <c r="J56" i="5" s="1"/>
  <c r="C56" i="5"/>
  <c r="I56" i="5" s="1"/>
  <c r="B56" i="5"/>
  <c r="AR55" i="5"/>
  <c r="P55" i="6" s="1"/>
  <c r="AQ55" i="5"/>
  <c r="O55" i="6" s="1"/>
  <c r="AP55" i="5"/>
  <c r="N55" i="6" s="1"/>
  <c r="AH55" i="5"/>
  <c r="AK55" i="5" s="1"/>
  <c r="AG55" i="5"/>
  <c r="AJ55" i="5" s="1"/>
  <c r="AF55" i="5"/>
  <c r="AI55" i="5" s="1"/>
  <c r="W55" i="5"/>
  <c r="AC55" i="5" s="1"/>
  <c r="V55" i="5"/>
  <c r="AB55" i="5" s="1"/>
  <c r="U55" i="5"/>
  <c r="AA55" i="5" s="1"/>
  <c r="T55" i="5"/>
  <c r="Z55" i="5" s="1"/>
  <c r="S55" i="5"/>
  <c r="Y55" i="5" s="1"/>
  <c r="R55" i="5"/>
  <c r="X55" i="5" s="1"/>
  <c r="O55" i="5"/>
  <c r="H55" i="5"/>
  <c r="N55" i="5" s="1"/>
  <c r="G55" i="5"/>
  <c r="M55" i="5" s="1"/>
  <c r="F55" i="5"/>
  <c r="L55" i="5" s="1"/>
  <c r="E55" i="5"/>
  <c r="K55" i="5" s="1"/>
  <c r="D55" i="5"/>
  <c r="J55" i="5" s="1"/>
  <c r="C55" i="5"/>
  <c r="I55" i="5" s="1"/>
  <c r="B55" i="5"/>
  <c r="AR54" i="5"/>
  <c r="P54" i="6" s="1"/>
  <c r="AQ54" i="5"/>
  <c r="O54" i="6" s="1"/>
  <c r="AP54" i="5"/>
  <c r="N54" i="6" s="1"/>
  <c r="AH54" i="5"/>
  <c r="AK54" i="5" s="1"/>
  <c r="AG54" i="5"/>
  <c r="AJ54" i="5" s="1"/>
  <c r="AF54" i="5"/>
  <c r="AI54" i="5" s="1"/>
  <c r="W54" i="5"/>
  <c r="AC54" i="5" s="1"/>
  <c r="V54" i="5"/>
  <c r="AB54" i="5" s="1"/>
  <c r="U54" i="5"/>
  <c r="AA54" i="5" s="1"/>
  <c r="T54" i="5"/>
  <c r="Z54" i="5" s="1"/>
  <c r="S54" i="5"/>
  <c r="Y54" i="5" s="1"/>
  <c r="R54" i="5"/>
  <c r="X54" i="5" s="1"/>
  <c r="O54" i="5"/>
  <c r="H54" i="5"/>
  <c r="N54" i="5" s="1"/>
  <c r="G54" i="5"/>
  <c r="M54" i="5" s="1"/>
  <c r="F54" i="5"/>
  <c r="L54" i="5" s="1"/>
  <c r="E54" i="5"/>
  <c r="K54" i="5" s="1"/>
  <c r="D54" i="5"/>
  <c r="J54" i="5" s="1"/>
  <c r="C54" i="5"/>
  <c r="I54" i="5" s="1"/>
  <c r="B54" i="5"/>
  <c r="AR53" i="5"/>
  <c r="P53" i="6" s="1"/>
  <c r="AQ53" i="5"/>
  <c r="O53" i="6" s="1"/>
  <c r="AP53" i="5"/>
  <c r="AH53" i="5"/>
  <c r="AK53" i="5" s="1"/>
  <c r="AG53" i="5"/>
  <c r="AJ53" i="5" s="1"/>
  <c r="AF53" i="5"/>
  <c r="AI53" i="5" s="1"/>
  <c r="W53" i="5"/>
  <c r="AC53" i="5" s="1"/>
  <c r="V53" i="5"/>
  <c r="AB53" i="5" s="1"/>
  <c r="U53" i="5"/>
  <c r="AA53" i="5" s="1"/>
  <c r="T53" i="5"/>
  <c r="Z53" i="5" s="1"/>
  <c r="S53" i="5"/>
  <c r="Y53" i="5" s="1"/>
  <c r="R53" i="5"/>
  <c r="X53" i="5" s="1"/>
  <c r="O53" i="5"/>
  <c r="H53" i="5"/>
  <c r="N53" i="5" s="1"/>
  <c r="G53" i="5"/>
  <c r="M53" i="5" s="1"/>
  <c r="F53" i="5"/>
  <c r="L53" i="5" s="1"/>
  <c r="E53" i="5"/>
  <c r="K53" i="5" s="1"/>
  <c r="D53" i="5"/>
  <c r="J53" i="5" s="1"/>
  <c r="C53" i="5"/>
  <c r="I53" i="5" s="1"/>
  <c r="B53" i="5"/>
  <c r="AR52" i="5"/>
  <c r="P52" i="6" s="1"/>
  <c r="AQ52" i="5"/>
  <c r="O52" i="6" s="1"/>
  <c r="AP52" i="5"/>
  <c r="N52" i="6" s="1"/>
  <c r="AH52" i="5"/>
  <c r="AK52" i="5" s="1"/>
  <c r="AG52" i="5"/>
  <c r="AJ52" i="5" s="1"/>
  <c r="AF52" i="5"/>
  <c r="AI52" i="5" s="1"/>
  <c r="W52" i="5"/>
  <c r="AC52" i="5" s="1"/>
  <c r="V52" i="5"/>
  <c r="AB52" i="5" s="1"/>
  <c r="U52" i="5"/>
  <c r="AA52" i="5" s="1"/>
  <c r="T52" i="5"/>
  <c r="Z52" i="5" s="1"/>
  <c r="S52" i="5"/>
  <c r="Y52" i="5" s="1"/>
  <c r="R52" i="5"/>
  <c r="X52" i="5" s="1"/>
  <c r="O52" i="5"/>
  <c r="H52" i="5"/>
  <c r="N52" i="5" s="1"/>
  <c r="G52" i="5"/>
  <c r="M52" i="5" s="1"/>
  <c r="F52" i="5"/>
  <c r="L52" i="5" s="1"/>
  <c r="E52" i="5"/>
  <c r="K52" i="5" s="1"/>
  <c r="D52" i="5"/>
  <c r="J52" i="5" s="1"/>
  <c r="C52" i="5"/>
  <c r="I52" i="5" s="1"/>
  <c r="B52" i="5"/>
  <c r="AR51" i="5"/>
  <c r="P51" i="6" s="1"/>
  <c r="AQ51" i="5"/>
  <c r="O51" i="6" s="1"/>
  <c r="AP51" i="5"/>
  <c r="N51" i="6" s="1"/>
  <c r="AH51" i="5"/>
  <c r="AK51" i="5" s="1"/>
  <c r="AG51" i="5"/>
  <c r="AJ51" i="5" s="1"/>
  <c r="AF51" i="5"/>
  <c r="AI51" i="5" s="1"/>
  <c r="W51" i="5"/>
  <c r="AC51" i="5" s="1"/>
  <c r="V51" i="5"/>
  <c r="AB51" i="5" s="1"/>
  <c r="U51" i="5"/>
  <c r="AA51" i="5" s="1"/>
  <c r="T51" i="5"/>
  <c r="Z51" i="5" s="1"/>
  <c r="S51" i="5"/>
  <c r="Y51" i="5" s="1"/>
  <c r="R51" i="5"/>
  <c r="X51" i="5" s="1"/>
  <c r="O51" i="5"/>
  <c r="H51" i="5"/>
  <c r="N51" i="5" s="1"/>
  <c r="G51" i="5"/>
  <c r="M51" i="5" s="1"/>
  <c r="F51" i="5"/>
  <c r="L51" i="5" s="1"/>
  <c r="E51" i="5"/>
  <c r="K51" i="5" s="1"/>
  <c r="D51" i="5"/>
  <c r="J51" i="5" s="1"/>
  <c r="C51" i="5"/>
  <c r="I51" i="5" s="1"/>
  <c r="B51" i="5"/>
  <c r="AR50" i="5"/>
  <c r="P50" i="6" s="1"/>
  <c r="AQ50" i="5"/>
  <c r="O50" i="6" s="1"/>
  <c r="AP50" i="5"/>
  <c r="N50" i="6" s="1"/>
  <c r="AH50" i="5"/>
  <c r="AK50" i="5" s="1"/>
  <c r="AG50" i="5"/>
  <c r="AJ50" i="5" s="1"/>
  <c r="AF50" i="5"/>
  <c r="AI50" i="5" s="1"/>
  <c r="W50" i="5"/>
  <c r="AC50" i="5" s="1"/>
  <c r="V50" i="5"/>
  <c r="AB50" i="5" s="1"/>
  <c r="U50" i="5"/>
  <c r="AA50" i="5" s="1"/>
  <c r="T50" i="5"/>
  <c r="Z50" i="5" s="1"/>
  <c r="S50" i="5"/>
  <c r="Y50" i="5" s="1"/>
  <c r="R50" i="5"/>
  <c r="X50" i="5" s="1"/>
  <c r="O50" i="5"/>
  <c r="H50" i="5"/>
  <c r="N50" i="5" s="1"/>
  <c r="G50" i="5"/>
  <c r="M50" i="5" s="1"/>
  <c r="F50" i="5"/>
  <c r="L50" i="5" s="1"/>
  <c r="E50" i="5"/>
  <c r="K50" i="5" s="1"/>
  <c r="D50" i="5"/>
  <c r="J50" i="5" s="1"/>
  <c r="C50" i="5"/>
  <c r="I50" i="5" s="1"/>
  <c r="B50" i="5"/>
  <c r="AR49" i="5"/>
  <c r="P49" i="6" s="1"/>
  <c r="AQ49" i="5"/>
  <c r="O49" i="6" s="1"/>
  <c r="AP49" i="5"/>
  <c r="AH49" i="5"/>
  <c r="AK49" i="5" s="1"/>
  <c r="AG49" i="5"/>
  <c r="AJ49" i="5" s="1"/>
  <c r="AF49" i="5"/>
  <c r="AI49" i="5" s="1"/>
  <c r="W49" i="5"/>
  <c r="AC49" i="5" s="1"/>
  <c r="V49" i="5"/>
  <c r="AB49" i="5" s="1"/>
  <c r="U49" i="5"/>
  <c r="AA49" i="5" s="1"/>
  <c r="T49" i="5"/>
  <c r="Z49" i="5" s="1"/>
  <c r="S49" i="5"/>
  <c r="Y49" i="5" s="1"/>
  <c r="R49" i="5"/>
  <c r="X49" i="5" s="1"/>
  <c r="O49" i="5"/>
  <c r="H49" i="5"/>
  <c r="N49" i="5" s="1"/>
  <c r="G49" i="5"/>
  <c r="M49" i="5" s="1"/>
  <c r="F49" i="5"/>
  <c r="L49" i="5" s="1"/>
  <c r="E49" i="5"/>
  <c r="K49" i="5" s="1"/>
  <c r="D49" i="5"/>
  <c r="J49" i="5" s="1"/>
  <c r="C49" i="5"/>
  <c r="I49" i="5" s="1"/>
  <c r="B49" i="5"/>
  <c r="AR48" i="5"/>
  <c r="P48" i="6" s="1"/>
  <c r="AQ48" i="5"/>
  <c r="O48" i="6" s="1"/>
  <c r="AP48" i="5"/>
  <c r="N48" i="6" s="1"/>
  <c r="AH48" i="5"/>
  <c r="AK48" i="5" s="1"/>
  <c r="AG48" i="5"/>
  <c r="AJ48" i="5" s="1"/>
  <c r="AF48" i="5"/>
  <c r="AI48" i="5" s="1"/>
  <c r="W48" i="5"/>
  <c r="AC48" i="5" s="1"/>
  <c r="V48" i="5"/>
  <c r="AB48" i="5" s="1"/>
  <c r="U48" i="5"/>
  <c r="AA48" i="5" s="1"/>
  <c r="T48" i="5"/>
  <c r="Z48" i="5" s="1"/>
  <c r="S48" i="5"/>
  <c r="Y48" i="5" s="1"/>
  <c r="R48" i="5"/>
  <c r="X48" i="5" s="1"/>
  <c r="O48" i="5"/>
  <c r="H48" i="5"/>
  <c r="N48" i="5" s="1"/>
  <c r="G48" i="5"/>
  <c r="M48" i="5" s="1"/>
  <c r="F48" i="5"/>
  <c r="L48" i="5" s="1"/>
  <c r="E48" i="5"/>
  <c r="K48" i="5" s="1"/>
  <c r="D48" i="5"/>
  <c r="J48" i="5" s="1"/>
  <c r="C48" i="5"/>
  <c r="I48" i="5" s="1"/>
  <c r="B48" i="5"/>
  <c r="AR47" i="5"/>
  <c r="P47" i="6" s="1"/>
  <c r="AQ47" i="5"/>
  <c r="O47" i="6" s="1"/>
  <c r="AP47" i="5"/>
  <c r="N47" i="6" s="1"/>
  <c r="AH47" i="5"/>
  <c r="AK47" i="5" s="1"/>
  <c r="AG47" i="5"/>
  <c r="AJ47" i="5" s="1"/>
  <c r="AF47" i="5"/>
  <c r="AI47" i="5" s="1"/>
  <c r="W47" i="5"/>
  <c r="AC47" i="5" s="1"/>
  <c r="V47" i="5"/>
  <c r="AB47" i="5" s="1"/>
  <c r="U47" i="5"/>
  <c r="AA47" i="5" s="1"/>
  <c r="T47" i="5"/>
  <c r="Z47" i="5" s="1"/>
  <c r="S47" i="5"/>
  <c r="Y47" i="5" s="1"/>
  <c r="R47" i="5"/>
  <c r="X47" i="5" s="1"/>
  <c r="O47" i="5"/>
  <c r="H47" i="5"/>
  <c r="N47" i="5" s="1"/>
  <c r="G47" i="5"/>
  <c r="M47" i="5" s="1"/>
  <c r="F47" i="5"/>
  <c r="L47" i="5" s="1"/>
  <c r="E47" i="5"/>
  <c r="K47" i="5" s="1"/>
  <c r="D47" i="5"/>
  <c r="J47" i="5" s="1"/>
  <c r="C47" i="5"/>
  <c r="I47" i="5" s="1"/>
  <c r="B47" i="5"/>
  <c r="AR46" i="5"/>
  <c r="P46" i="6" s="1"/>
  <c r="AQ46" i="5"/>
  <c r="O46" i="6" s="1"/>
  <c r="AP46" i="5"/>
  <c r="N46" i="6" s="1"/>
  <c r="AH46" i="5"/>
  <c r="AK46" i="5" s="1"/>
  <c r="AG46" i="5"/>
  <c r="AJ46" i="5" s="1"/>
  <c r="AF46" i="5"/>
  <c r="AI46" i="5" s="1"/>
  <c r="W46" i="5"/>
  <c r="AC46" i="5" s="1"/>
  <c r="V46" i="5"/>
  <c r="AB46" i="5" s="1"/>
  <c r="U46" i="5"/>
  <c r="AA46" i="5" s="1"/>
  <c r="T46" i="5"/>
  <c r="Z46" i="5" s="1"/>
  <c r="S46" i="5"/>
  <c r="Y46" i="5" s="1"/>
  <c r="R46" i="5"/>
  <c r="X46" i="5" s="1"/>
  <c r="O46" i="5"/>
  <c r="H46" i="5"/>
  <c r="N46" i="5" s="1"/>
  <c r="G46" i="5"/>
  <c r="M46" i="5" s="1"/>
  <c r="F46" i="5"/>
  <c r="L46" i="5" s="1"/>
  <c r="E46" i="5"/>
  <c r="K46" i="5" s="1"/>
  <c r="D46" i="5"/>
  <c r="J46" i="5" s="1"/>
  <c r="C46" i="5"/>
  <c r="I46" i="5" s="1"/>
  <c r="B46" i="5"/>
  <c r="AR45" i="5"/>
  <c r="P45" i="6" s="1"/>
  <c r="AQ45" i="5"/>
  <c r="O45" i="6" s="1"/>
  <c r="AP45" i="5"/>
  <c r="N45" i="6" s="1"/>
  <c r="AH45" i="5"/>
  <c r="AK45" i="5" s="1"/>
  <c r="AG45" i="5"/>
  <c r="AJ45" i="5" s="1"/>
  <c r="AF45" i="5"/>
  <c r="AI45" i="5" s="1"/>
  <c r="W45" i="5"/>
  <c r="AC45" i="5" s="1"/>
  <c r="V45" i="5"/>
  <c r="AB45" i="5" s="1"/>
  <c r="U45" i="5"/>
  <c r="AA45" i="5" s="1"/>
  <c r="T45" i="5"/>
  <c r="Z45" i="5" s="1"/>
  <c r="S45" i="5"/>
  <c r="Y45" i="5" s="1"/>
  <c r="R45" i="5"/>
  <c r="X45" i="5" s="1"/>
  <c r="O45" i="5"/>
  <c r="H45" i="5"/>
  <c r="N45" i="5" s="1"/>
  <c r="G45" i="5"/>
  <c r="M45" i="5" s="1"/>
  <c r="F45" i="5"/>
  <c r="L45" i="5" s="1"/>
  <c r="E45" i="5"/>
  <c r="K45" i="5" s="1"/>
  <c r="D45" i="5"/>
  <c r="J45" i="5" s="1"/>
  <c r="C45" i="5"/>
  <c r="I45" i="5" s="1"/>
  <c r="B45" i="5"/>
  <c r="AR44" i="5"/>
  <c r="P44" i="6" s="1"/>
  <c r="AQ44" i="5"/>
  <c r="O44" i="6" s="1"/>
  <c r="AP44" i="5"/>
  <c r="N44" i="6" s="1"/>
  <c r="AH44" i="5"/>
  <c r="AK44" i="5" s="1"/>
  <c r="AG44" i="5"/>
  <c r="AJ44" i="5" s="1"/>
  <c r="AF44" i="5"/>
  <c r="AI44" i="5" s="1"/>
  <c r="W44" i="5"/>
  <c r="AC44" i="5" s="1"/>
  <c r="V44" i="5"/>
  <c r="AB44" i="5" s="1"/>
  <c r="U44" i="5"/>
  <c r="AA44" i="5" s="1"/>
  <c r="T44" i="5"/>
  <c r="Z44" i="5" s="1"/>
  <c r="S44" i="5"/>
  <c r="Y44" i="5" s="1"/>
  <c r="R44" i="5"/>
  <c r="X44" i="5" s="1"/>
  <c r="O44" i="5"/>
  <c r="H44" i="5"/>
  <c r="N44" i="5" s="1"/>
  <c r="G44" i="5"/>
  <c r="M44" i="5" s="1"/>
  <c r="F44" i="5"/>
  <c r="L44" i="5" s="1"/>
  <c r="E44" i="5"/>
  <c r="K44" i="5" s="1"/>
  <c r="D44" i="5"/>
  <c r="J44" i="5" s="1"/>
  <c r="C44" i="5"/>
  <c r="I44" i="5" s="1"/>
  <c r="B44" i="5"/>
  <c r="AR43" i="5"/>
  <c r="P43" i="6" s="1"/>
  <c r="AQ43" i="5"/>
  <c r="O43" i="6" s="1"/>
  <c r="AP43" i="5"/>
  <c r="N43" i="6" s="1"/>
  <c r="AH43" i="5"/>
  <c r="AK43" i="5" s="1"/>
  <c r="AG43" i="5"/>
  <c r="AJ43" i="5" s="1"/>
  <c r="AF43" i="5"/>
  <c r="AI43" i="5" s="1"/>
  <c r="W43" i="5"/>
  <c r="AC43" i="5" s="1"/>
  <c r="V43" i="5"/>
  <c r="AB43" i="5" s="1"/>
  <c r="U43" i="5"/>
  <c r="AA43" i="5" s="1"/>
  <c r="T43" i="5"/>
  <c r="Z43" i="5" s="1"/>
  <c r="S43" i="5"/>
  <c r="Y43" i="5" s="1"/>
  <c r="R43" i="5"/>
  <c r="X43" i="5" s="1"/>
  <c r="O43" i="5"/>
  <c r="H43" i="5"/>
  <c r="N43" i="5" s="1"/>
  <c r="G43" i="5"/>
  <c r="M43" i="5" s="1"/>
  <c r="F43" i="5"/>
  <c r="L43" i="5" s="1"/>
  <c r="E43" i="5"/>
  <c r="K43" i="5" s="1"/>
  <c r="D43" i="5"/>
  <c r="J43" i="5" s="1"/>
  <c r="C43" i="5"/>
  <c r="I43" i="5" s="1"/>
  <c r="B43" i="5"/>
  <c r="AR42" i="5"/>
  <c r="P42" i="6" s="1"/>
  <c r="AQ42" i="5"/>
  <c r="O42" i="6" s="1"/>
  <c r="AP42" i="5"/>
  <c r="AH42" i="5"/>
  <c r="AK42" i="5" s="1"/>
  <c r="AG42" i="5"/>
  <c r="AJ42" i="5" s="1"/>
  <c r="AF42" i="5"/>
  <c r="AI42" i="5" s="1"/>
  <c r="W42" i="5"/>
  <c r="AC42" i="5" s="1"/>
  <c r="V42" i="5"/>
  <c r="AB42" i="5" s="1"/>
  <c r="U42" i="5"/>
  <c r="AA42" i="5" s="1"/>
  <c r="T42" i="5"/>
  <c r="Z42" i="5" s="1"/>
  <c r="S42" i="5"/>
  <c r="Y42" i="5" s="1"/>
  <c r="R42" i="5"/>
  <c r="X42" i="5" s="1"/>
  <c r="O42" i="5"/>
  <c r="H42" i="5"/>
  <c r="N42" i="5" s="1"/>
  <c r="G42" i="5"/>
  <c r="M42" i="5" s="1"/>
  <c r="F42" i="5"/>
  <c r="L42" i="5" s="1"/>
  <c r="E42" i="5"/>
  <c r="K42" i="5" s="1"/>
  <c r="D42" i="5"/>
  <c r="J42" i="5" s="1"/>
  <c r="C42" i="5"/>
  <c r="I42" i="5" s="1"/>
  <c r="B42" i="5"/>
  <c r="AR41" i="5"/>
  <c r="P41" i="6" s="1"/>
  <c r="AQ41" i="5"/>
  <c r="O41" i="6" s="1"/>
  <c r="AP41" i="5"/>
  <c r="AH41" i="5"/>
  <c r="AK41" i="5" s="1"/>
  <c r="AG41" i="5"/>
  <c r="AJ41" i="5" s="1"/>
  <c r="AF41" i="5"/>
  <c r="AI41" i="5" s="1"/>
  <c r="W41" i="5"/>
  <c r="AC41" i="5" s="1"/>
  <c r="V41" i="5"/>
  <c r="AB41" i="5" s="1"/>
  <c r="U41" i="5"/>
  <c r="AA41" i="5" s="1"/>
  <c r="T41" i="5"/>
  <c r="Z41" i="5" s="1"/>
  <c r="S41" i="5"/>
  <c r="Y41" i="5" s="1"/>
  <c r="R41" i="5"/>
  <c r="X41" i="5" s="1"/>
  <c r="O41" i="5"/>
  <c r="H41" i="5"/>
  <c r="N41" i="5" s="1"/>
  <c r="G41" i="5"/>
  <c r="M41" i="5" s="1"/>
  <c r="F41" i="5"/>
  <c r="L41" i="5" s="1"/>
  <c r="E41" i="5"/>
  <c r="K41" i="5" s="1"/>
  <c r="D41" i="5"/>
  <c r="J41" i="5" s="1"/>
  <c r="C41" i="5"/>
  <c r="I41" i="5" s="1"/>
  <c r="B41" i="5"/>
  <c r="AR40" i="5"/>
  <c r="P40" i="6" s="1"/>
  <c r="AQ40" i="5"/>
  <c r="AP40" i="5"/>
  <c r="N40" i="6" s="1"/>
  <c r="AH40" i="5"/>
  <c r="AK40" i="5" s="1"/>
  <c r="AG40" i="5"/>
  <c r="AJ40" i="5" s="1"/>
  <c r="AF40" i="5"/>
  <c r="AI40" i="5" s="1"/>
  <c r="W40" i="5"/>
  <c r="AC40" i="5" s="1"/>
  <c r="V40" i="5"/>
  <c r="AB40" i="5" s="1"/>
  <c r="U40" i="5"/>
  <c r="AA40" i="5" s="1"/>
  <c r="T40" i="5"/>
  <c r="Z40" i="5" s="1"/>
  <c r="S40" i="5"/>
  <c r="Y40" i="5" s="1"/>
  <c r="R40" i="5"/>
  <c r="X40" i="5" s="1"/>
  <c r="O40" i="5"/>
  <c r="H40" i="5"/>
  <c r="N40" i="5" s="1"/>
  <c r="G40" i="5"/>
  <c r="M40" i="5" s="1"/>
  <c r="F40" i="5"/>
  <c r="L40" i="5" s="1"/>
  <c r="E40" i="5"/>
  <c r="K40" i="5" s="1"/>
  <c r="D40" i="5"/>
  <c r="J40" i="5" s="1"/>
  <c r="C40" i="5"/>
  <c r="I40" i="5" s="1"/>
  <c r="B40" i="5"/>
  <c r="AR39" i="5"/>
  <c r="P39" i="6" s="1"/>
  <c r="AQ39" i="5"/>
  <c r="O39" i="6" s="1"/>
  <c r="AP39" i="5"/>
  <c r="N39" i="6" s="1"/>
  <c r="AH39" i="5"/>
  <c r="AK39" i="5" s="1"/>
  <c r="AG39" i="5"/>
  <c r="AJ39" i="5" s="1"/>
  <c r="AF39" i="5"/>
  <c r="AI39" i="5" s="1"/>
  <c r="W39" i="5"/>
  <c r="AC39" i="5" s="1"/>
  <c r="V39" i="5"/>
  <c r="AB39" i="5" s="1"/>
  <c r="U39" i="5"/>
  <c r="AA39" i="5" s="1"/>
  <c r="T39" i="5"/>
  <c r="Z39" i="5" s="1"/>
  <c r="S39" i="5"/>
  <c r="Y39" i="5" s="1"/>
  <c r="R39" i="5"/>
  <c r="X39" i="5" s="1"/>
  <c r="O39" i="5"/>
  <c r="H39" i="5"/>
  <c r="N39" i="5" s="1"/>
  <c r="G39" i="5"/>
  <c r="M39" i="5" s="1"/>
  <c r="F39" i="5"/>
  <c r="L39" i="5" s="1"/>
  <c r="E39" i="5"/>
  <c r="K39" i="5" s="1"/>
  <c r="D39" i="5"/>
  <c r="J39" i="5" s="1"/>
  <c r="C39" i="5"/>
  <c r="I39" i="5" s="1"/>
  <c r="B39" i="5"/>
  <c r="AR38" i="5"/>
  <c r="P38" i="6" s="1"/>
  <c r="AQ38" i="5"/>
  <c r="O38" i="6" s="1"/>
  <c r="AP38" i="5"/>
  <c r="AH38" i="5"/>
  <c r="AK38" i="5" s="1"/>
  <c r="AG38" i="5"/>
  <c r="AJ38" i="5" s="1"/>
  <c r="AF38" i="5"/>
  <c r="AI38" i="5" s="1"/>
  <c r="W38" i="5"/>
  <c r="AC38" i="5" s="1"/>
  <c r="V38" i="5"/>
  <c r="AB38" i="5" s="1"/>
  <c r="U38" i="5"/>
  <c r="AA38" i="5" s="1"/>
  <c r="T38" i="5"/>
  <c r="Z38" i="5" s="1"/>
  <c r="S38" i="5"/>
  <c r="Y38" i="5" s="1"/>
  <c r="R38" i="5"/>
  <c r="X38" i="5" s="1"/>
  <c r="O38" i="5"/>
  <c r="H38" i="5"/>
  <c r="N38" i="5" s="1"/>
  <c r="G38" i="5"/>
  <c r="M38" i="5" s="1"/>
  <c r="F38" i="5"/>
  <c r="L38" i="5" s="1"/>
  <c r="E38" i="5"/>
  <c r="K38" i="5" s="1"/>
  <c r="D38" i="5"/>
  <c r="J38" i="5" s="1"/>
  <c r="C38" i="5"/>
  <c r="I38" i="5" s="1"/>
  <c r="B38" i="5"/>
  <c r="AR37" i="5"/>
  <c r="P37" i="6" s="1"/>
  <c r="AQ37" i="5"/>
  <c r="O37" i="6" s="1"/>
  <c r="AP37" i="5"/>
  <c r="AH37" i="5"/>
  <c r="AK37" i="5" s="1"/>
  <c r="AG37" i="5"/>
  <c r="AJ37" i="5" s="1"/>
  <c r="AF37" i="5"/>
  <c r="AI37" i="5" s="1"/>
  <c r="W37" i="5"/>
  <c r="AC37" i="5" s="1"/>
  <c r="V37" i="5"/>
  <c r="AB37" i="5" s="1"/>
  <c r="U37" i="5"/>
  <c r="AA37" i="5" s="1"/>
  <c r="T37" i="5"/>
  <c r="Z37" i="5" s="1"/>
  <c r="S37" i="5"/>
  <c r="Y37" i="5" s="1"/>
  <c r="R37" i="5"/>
  <c r="X37" i="5" s="1"/>
  <c r="O37" i="5"/>
  <c r="H37" i="5"/>
  <c r="N37" i="5" s="1"/>
  <c r="G37" i="5"/>
  <c r="M37" i="5" s="1"/>
  <c r="F37" i="5"/>
  <c r="L37" i="5" s="1"/>
  <c r="E37" i="5"/>
  <c r="K37" i="5" s="1"/>
  <c r="D37" i="5"/>
  <c r="J37" i="5" s="1"/>
  <c r="C37" i="5"/>
  <c r="I37" i="5" s="1"/>
  <c r="B37" i="5"/>
  <c r="AR36" i="5"/>
  <c r="P36" i="6" s="1"/>
  <c r="AQ36" i="5"/>
  <c r="AP36" i="5"/>
  <c r="N36" i="6" s="1"/>
  <c r="AH36" i="5"/>
  <c r="AK36" i="5" s="1"/>
  <c r="AG36" i="5"/>
  <c r="AJ36" i="5" s="1"/>
  <c r="AF36" i="5"/>
  <c r="AI36" i="5" s="1"/>
  <c r="W36" i="5"/>
  <c r="AC36" i="5" s="1"/>
  <c r="V36" i="5"/>
  <c r="AB36" i="5" s="1"/>
  <c r="U36" i="5"/>
  <c r="AA36" i="5" s="1"/>
  <c r="T36" i="5"/>
  <c r="Z36" i="5" s="1"/>
  <c r="S36" i="5"/>
  <c r="Y36" i="5" s="1"/>
  <c r="R36" i="5"/>
  <c r="X36" i="5" s="1"/>
  <c r="O36" i="5"/>
  <c r="H36" i="5"/>
  <c r="N36" i="5" s="1"/>
  <c r="G36" i="5"/>
  <c r="M36" i="5" s="1"/>
  <c r="F36" i="5"/>
  <c r="L36" i="5" s="1"/>
  <c r="E36" i="5"/>
  <c r="K36" i="5" s="1"/>
  <c r="D36" i="5"/>
  <c r="J36" i="5" s="1"/>
  <c r="C36" i="5"/>
  <c r="I36" i="5" s="1"/>
  <c r="B36" i="5"/>
  <c r="AR35" i="5"/>
  <c r="P35" i="6" s="1"/>
  <c r="AQ35" i="5"/>
  <c r="O35" i="6" s="1"/>
  <c r="AP35" i="5"/>
  <c r="N35" i="6" s="1"/>
  <c r="AH35" i="5"/>
  <c r="AK35" i="5" s="1"/>
  <c r="AG35" i="5"/>
  <c r="AJ35" i="5" s="1"/>
  <c r="AF35" i="5"/>
  <c r="AI35" i="5" s="1"/>
  <c r="W35" i="5"/>
  <c r="AC35" i="5" s="1"/>
  <c r="V35" i="5"/>
  <c r="AB35" i="5" s="1"/>
  <c r="U35" i="5"/>
  <c r="AA35" i="5" s="1"/>
  <c r="T35" i="5"/>
  <c r="Z35" i="5" s="1"/>
  <c r="S35" i="5"/>
  <c r="Y35" i="5" s="1"/>
  <c r="R35" i="5"/>
  <c r="X35" i="5" s="1"/>
  <c r="O35" i="5"/>
  <c r="H35" i="5"/>
  <c r="N35" i="5" s="1"/>
  <c r="G35" i="5"/>
  <c r="M35" i="5" s="1"/>
  <c r="F35" i="5"/>
  <c r="L35" i="5" s="1"/>
  <c r="E35" i="5"/>
  <c r="K35" i="5" s="1"/>
  <c r="D35" i="5"/>
  <c r="J35" i="5" s="1"/>
  <c r="C35" i="5"/>
  <c r="I35" i="5" s="1"/>
  <c r="B35" i="5"/>
  <c r="AR34" i="5"/>
  <c r="P34" i="6" s="1"/>
  <c r="AQ34" i="5"/>
  <c r="O34" i="6" s="1"/>
  <c r="AP34" i="5"/>
  <c r="AH34" i="5"/>
  <c r="AK34" i="5" s="1"/>
  <c r="AG34" i="5"/>
  <c r="AJ34" i="5" s="1"/>
  <c r="AF34" i="5"/>
  <c r="AI34" i="5" s="1"/>
  <c r="W34" i="5"/>
  <c r="AC34" i="5" s="1"/>
  <c r="V34" i="5"/>
  <c r="AB34" i="5" s="1"/>
  <c r="U34" i="5"/>
  <c r="AA34" i="5" s="1"/>
  <c r="T34" i="5"/>
  <c r="Z34" i="5" s="1"/>
  <c r="S34" i="5"/>
  <c r="Y34" i="5" s="1"/>
  <c r="R34" i="5"/>
  <c r="X34" i="5" s="1"/>
  <c r="O34" i="5"/>
  <c r="H34" i="5"/>
  <c r="N34" i="5" s="1"/>
  <c r="G34" i="5"/>
  <c r="M34" i="5" s="1"/>
  <c r="F34" i="5"/>
  <c r="L34" i="5" s="1"/>
  <c r="E34" i="5"/>
  <c r="K34" i="5" s="1"/>
  <c r="D34" i="5"/>
  <c r="J34" i="5" s="1"/>
  <c r="C34" i="5"/>
  <c r="I34" i="5" s="1"/>
  <c r="B34" i="5"/>
  <c r="AR33" i="5"/>
  <c r="P33" i="6" s="1"/>
  <c r="AQ33" i="5"/>
  <c r="O33" i="6" s="1"/>
  <c r="AP33" i="5"/>
  <c r="AH33" i="5"/>
  <c r="AK33" i="5" s="1"/>
  <c r="AG33" i="5"/>
  <c r="AJ33" i="5" s="1"/>
  <c r="AF33" i="5"/>
  <c r="AI33" i="5" s="1"/>
  <c r="W33" i="5"/>
  <c r="AC33" i="5" s="1"/>
  <c r="V33" i="5"/>
  <c r="AB33" i="5" s="1"/>
  <c r="U33" i="5"/>
  <c r="AA33" i="5" s="1"/>
  <c r="T33" i="5"/>
  <c r="Z33" i="5" s="1"/>
  <c r="S33" i="5"/>
  <c r="Y33" i="5" s="1"/>
  <c r="R33" i="5"/>
  <c r="X33" i="5" s="1"/>
  <c r="O33" i="5"/>
  <c r="H33" i="5"/>
  <c r="N33" i="5" s="1"/>
  <c r="G33" i="5"/>
  <c r="M33" i="5" s="1"/>
  <c r="F33" i="5"/>
  <c r="L33" i="5" s="1"/>
  <c r="E33" i="5"/>
  <c r="K33" i="5" s="1"/>
  <c r="D33" i="5"/>
  <c r="J33" i="5" s="1"/>
  <c r="C33" i="5"/>
  <c r="I33" i="5" s="1"/>
  <c r="B33" i="5"/>
  <c r="AR32" i="5"/>
  <c r="P32" i="6" s="1"/>
  <c r="AQ32" i="5"/>
  <c r="AP32" i="5"/>
  <c r="N32" i="6" s="1"/>
  <c r="AH32" i="5"/>
  <c r="AK32" i="5" s="1"/>
  <c r="AG32" i="5"/>
  <c r="AJ32" i="5" s="1"/>
  <c r="AF32" i="5"/>
  <c r="AI32" i="5" s="1"/>
  <c r="W32" i="5"/>
  <c r="AC32" i="5" s="1"/>
  <c r="V32" i="5"/>
  <c r="AB32" i="5" s="1"/>
  <c r="U32" i="5"/>
  <c r="AA32" i="5" s="1"/>
  <c r="T32" i="5"/>
  <c r="Z32" i="5" s="1"/>
  <c r="S32" i="5"/>
  <c r="Y32" i="5" s="1"/>
  <c r="R32" i="5"/>
  <c r="X32" i="5" s="1"/>
  <c r="O32" i="5"/>
  <c r="H32" i="5"/>
  <c r="N32" i="5" s="1"/>
  <c r="G32" i="5"/>
  <c r="M32" i="5" s="1"/>
  <c r="F32" i="5"/>
  <c r="L32" i="5" s="1"/>
  <c r="E32" i="5"/>
  <c r="K32" i="5" s="1"/>
  <c r="D32" i="5"/>
  <c r="J32" i="5" s="1"/>
  <c r="C32" i="5"/>
  <c r="I32" i="5" s="1"/>
  <c r="B32" i="5"/>
  <c r="AR31" i="5"/>
  <c r="P31" i="6" s="1"/>
  <c r="AQ31" i="5"/>
  <c r="O31" i="6" s="1"/>
  <c r="AP31" i="5"/>
  <c r="N31" i="6" s="1"/>
  <c r="AH31" i="5"/>
  <c r="AK31" i="5" s="1"/>
  <c r="AG31" i="5"/>
  <c r="AJ31" i="5" s="1"/>
  <c r="AF31" i="5"/>
  <c r="AI31" i="5" s="1"/>
  <c r="W31" i="5"/>
  <c r="AC31" i="5" s="1"/>
  <c r="V31" i="5"/>
  <c r="AB31" i="5" s="1"/>
  <c r="U31" i="5"/>
  <c r="AA31" i="5" s="1"/>
  <c r="T31" i="5"/>
  <c r="Z31" i="5" s="1"/>
  <c r="S31" i="5"/>
  <c r="Y31" i="5" s="1"/>
  <c r="R31" i="5"/>
  <c r="X31" i="5" s="1"/>
  <c r="O31" i="5"/>
  <c r="H31" i="5"/>
  <c r="N31" i="5" s="1"/>
  <c r="G31" i="5"/>
  <c r="M31" i="5" s="1"/>
  <c r="F31" i="5"/>
  <c r="L31" i="5" s="1"/>
  <c r="E31" i="5"/>
  <c r="K31" i="5" s="1"/>
  <c r="D31" i="5"/>
  <c r="J31" i="5" s="1"/>
  <c r="C31" i="5"/>
  <c r="I31" i="5" s="1"/>
  <c r="B31" i="5"/>
  <c r="AR30" i="5"/>
  <c r="P30" i="6" s="1"/>
  <c r="AQ30" i="5"/>
  <c r="O30" i="6" s="1"/>
  <c r="AP30" i="5"/>
  <c r="AH30" i="5"/>
  <c r="AK30" i="5" s="1"/>
  <c r="AG30" i="5"/>
  <c r="AJ30" i="5" s="1"/>
  <c r="AF30" i="5"/>
  <c r="AI30" i="5" s="1"/>
  <c r="W30" i="5"/>
  <c r="AC30" i="5" s="1"/>
  <c r="V30" i="5"/>
  <c r="AB30" i="5" s="1"/>
  <c r="U30" i="5"/>
  <c r="AA30" i="5" s="1"/>
  <c r="T30" i="5"/>
  <c r="Z30" i="5" s="1"/>
  <c r="S30" i="5"/>
  <c r="Y30" i="5" s="1"/>
  <c r="R30" i="5"/>
  <c r="X30" i="5" s="1"/>
  <c r="O30" i="5"/>
  <c r="H30" i="5"/>
  <c r="N30" i="5" s="1"/>
  <c r="G30" i="5"/>
  <c r="M30" i="5" s="1"/>
  <c r="F30" i="5"/>
  <c r="L30" i="5" s="1"/>
  <c r="E30" i="5"/>
  <c r="K30" i="5" s="1"/>
  <c r="D30" i="5"/>
  <c r="J30" i="5" s="1"/>
  <c r="C30" i="5"/>
  <c r="I30" i="5" s="1"/>
  <c r="B30" i="5"/>
  <c r="AR29" i="5"/>
  <c r="P29" i="6" s="1"/>
  <c r="AQ29" i="5"/>
  <c r="O29" i="6" s="1"/>
  <c r="AP29" i="5"/>
  <c r="AH29" i="5"/>
  <c r="AK29" i="5" s="1"/>
  <c r="AG29" i="5"/>
  <c r="AJ29" i="5" s="1"/>
  <c r="AF29" i="5"/>
  <c r="AI29" i="5" s="1"/>
  <c r="W29" i="5"/>
  <c r="AC29" i="5" s="1"/>
  <c r="V29" i="5"/>
  <c r="AB29" i="5" s="1"/>
  <c r="U29" i="5"/>
  <c r="AA29" i="5" s="1"/>
  <c r="T29" i="5"/>
  <c r="Z29" i="5" s="1"/>
  <c r="S29" i="5"/>
  <c r="Y29" i="5" s="1"/>
  <c r="R29" i="5"/>
  <c r="X29" i="5" s="1"/>
  <c r="O29" i="5"/>
  <c r="H29" i="5"/>
  <c r="N29" i="5" s="1"/>
  <c r="G29" i="5"/>
  <c r="M29" i="5" s="1"/>
  <c r="F29" i="5"/>
  <c r="L29" i="5" s="1"/>
  <c r="E29" i="5"/>
  <c r="K29" i="5" s="1"/>
  <c r="D29" i="5"/>
  <c r="J29" i="5" s="1"/>
  <c r="C29" i="5"/>
  <c r="I29" i="5" s="1"/>
  <c r="B29" i="5"/>
  <c r="AR28" i="5"/>
  <c r="P28" i="6" s="1"/>
  <c r="AQ28" i="5"/>
  <c r="AP28" i="5"/>
  <c r="N28" i="6" s="1"/>
  <c r="AH28" i="5"/>
  <c r="AK28" i="5" s="1"/>
  <c r="AG28" i="5"/>
  <c r="AJ28" i="5" s="1"/>
  <c r="AF28" i="5"/>
  <c r="AI28" i="5" s="1"/>
  <c r="W28" i="5"/>
  <c r="AC28" i="5" s="1"/>
  <c r="V28" i="5"/>
  <c r="AB28" i="5" s="1"/>
  <c r="U28" i="5"/>
  <c r="AA28" i="5" s="1"/>
  <c r="T28" i="5"/>
  <c r="Z28" i="5" s="1"/>
  <c r="S28" i="5"/>
  <c r="Y28" i="5" s="1"/>
  <c r="R28" i="5"/>
  <c r="X28" i="5" s="1"/>
  <c r="O28" i="5"/>
  <c r="H28" i="5"/>
  <c r="N28" i="5" s="1"/>
  <c r="G28" i="5"/>
  <c r="M28" i="5" s="1"/>
  <c r="F28" i="5"/>
  <c r="L28" i="5" s="1"/>
  <c r="E28" i="5"/>
  <c r="K28" i="5" s="1"/>
  <c r="D28" i="5"/>
  <c r="J28" i="5" s="1"/>
  <c r="C28" i="5"/>
  <c r="I28" i="5" s="1"/>
  <c r="B28" i="5"/>
  <c r="AR27" i="5"/>
  <c r="P27" i="6" s="1"/>
  <c r="AQ27" i="5"/>
  <c r="O27" i="6" s="1"/>
  <c r="AP27" i="5"/>
  <c r="N27" i="6" s="1"/>
  <c r="AH27" i="5"/>
  <c r="AK27" i="5" s="1"/>
  <c r="AG27" i="5"/>
  <c r="AJ27" i="5" s="1"/>
  <c r="AF27" i="5"/>
  <c r="AI27" i="5" s="1"/>
  <c r="W27" i="5"/>
  <c r="AC27" i="5" s="1"/>
  <c r="V27" i="5"/>
  <c r="AB27" i="5" s="1"/>
  <c r="U27" i="5"/>
  <c r="AA27" i="5" s="1"/>
  <c r="T27" i="5"/>
  <c r="Z27" i="5" s="1"/>
  <c r="S27" i="5"/>
  <c r="Y27" i="5" s="1"/>
  <c r="R27" i="5"/>
  <c r="X27" i="5" s="1"/>
  <c r="O27" i="5"/>
  <c r="H27" i="5"/>
  <c r="N27" i="5" s="1"/>
  <c r="G27" i="5"/>
  <c r="M27" i="5" s="1"/>
  <c r="F27" i="5"/>
  <c r="L27" i="5" s="1"/>
  <c r="E27" i="5"/>
  <c r="K27" i="5" s="1"/>
  <c r="D27" i="5"/>
  <c r="J27" i="5" s="1"/>
  <c r="C27" i="5"/>
  <c r="I27" i="5" s="1"/>
  <c r="B27" i="5"/>
  <c r="AR26" i="5"/>
  <c r="P26" i="6" s="1"/>
  <c r="AQ26" i="5"/>
  <c r="O26" i="6" s="1"/>
  <c r="AP26" i="5"/>
  <c r="N26" i="6" s="1"/>
  <c r="AH26" i="5"/>
  <c r="AK26" i="5" s="1"/>
  <c r="AG26" i="5"/>
  <c r="AJ26" i="5" s="1"/>
  <c r="AF26" i="5"/>
  <c r="AI26" i="5" s="1"/>
  <c r="W26" i="5"/>
  <c r="AC26" i="5" s="1"/>
  <c r="V26" i="5"/>
  <c r="AB26" i="5" s="1"/>
  <c r="U26" i="5"/>
  <c r="AA26" i="5" s="1"/>
  <c r="T26" i="5"/>
  <c r="Z26" i="5" s="1"/>
  <c r="S26" i="5"/>
  <c r="Y26" i="5" s="1"/>
  <c r="R26" i="5"/>
  <c r="X26" i="5" s="1"/>
  <c r="O26" i="5"/>
  <c r="H26" i="5"/>
  <c r="N26" i="5" s="1"/>
  <c r="G26" i="5"/>
  <c r="M26" i="5" s="1"/>
  <c r="F26" i="5"/>
  <c r="L26" i="5" s="1"/>
  <c r="E26" i="5"/>
  <c r="K26" i="5" s="1"/>
  <c r="D26" i="5"/>
  <c r="J26" i="5" s="1"/>
  <c r="C26" i="5"/>
  <c r="I26" i="5" s="1"/>
  <c r="B26" i="5"/>
  <c r="AR25" i="5"/>
  <c r="P25" i="6" s="1"/>
  <c r="AQ25" i="5"/>
  <c r="O25" i="6" s="1"/>
  <c r="AP25" i="5"/>
  <c r="AH25" i="5"/>
  <c r="AK25" i="5" s="1"/>
  <c r="AG25" i="5"/>
  <c r="AJ25" i="5" s="1"/>
  <c r="AF25" i="5"/>
  <c r="AI25" i="5" s="1"/>
  <c r="W25" i="5"/>
  <c r="AC25" i="5" s="1"/>
  <c r="V25" i="5"/>
  <c r="AB25" i="5" s="1"/>
  <c r="U25" i="5"/>
  <c r="AA25" i="5" s="1"/>
  <c r="T25" i="5"/>
  <c r="Z25" i="5" s="1"/>
  <c r="S25" i="5"/>
  <c r="Y25" i="5" s="1"/>
  <c r="R25" i="5"/>
  <c r="X25" i="5" s="1"/>
  <c r="O25" i="5"/>
  <c r="H25" i="5"/>
  <c r="N25" i="5" s="1"/>
  <c r="G25" i="5"/>
  <c r="M25" i="5" s="1"/>
  <c r="F25" i="5"/>
  <c r="L25" i="5" s="1"/>
  <c r="E25" i="5"/>
  <c r="K25" i="5" s="1"/>
  <c r="D25" i="5"/>
  <c r="J25" i="5" s="1"/>
  <c r="C25" i="5"/>
  <c r="I25" i="5" s="1"/>
  <c r="B25" i="5"/>
  <c r="AR24" i="5"/>
  <c r="P24" i="6" s="1"/>
  <c r="AQ24" i="5"/>
  <c r="AP24" i="5"/>
  <c r="N24" i="6" s="1"/>
  <c r="AH24" i="5"/>
  <c r="AK24" i="5" s="1"/>
  <c r="AG24" i="5"/>
  <c r="AJ24" i="5" s="1"/>
  <c r="AF24" i="5"/>
  <c r="AI24" i="5" s="1"/>
  <c r="W24" i="5"/>
  <c r="AC24" i="5" s="1"/>
  <c r="V24" i="5"/>
  <c r="AB24" i="5" s="1"/>
  <c r="U24" i="5"/>
  <c r="AA24" i="5" s="1"/>
  <c r="T24" i="5"/>
  <c r="Z24" i="5" s="1"/>
  <c r="S24" i="5"/>
  <c r="Y24" i="5" s="1"/>
  <c r="R24" i="5"/>
  <c r="X24" i="5" s="1"/>
  <c r="O24" i="5"/>
  <c r="H24" i="5"/>
  <c r="N24" i="5" s="1"/>
  <c r="G24" i="5"/>
  <c r="M24" i="5" s="1"/>
  <c r="F24" i="5"/>
  <c r="L24" i="5" s="1"/>
  <c r="E24" i="5"/>
  <c r="K24" i="5" s="1"/>
  <c r="D24" i="5"/>
  <c r="J24" i="5" s="1"/>
  <c r="C24" i="5"/>
  <c r="I24" i="5" s="1"/>
  <c r="B24" i="5"/>
  <c r="AR23" i="5"/>
  <c r="P23" i="6" s="1"/>
  <c r="AQ23" i="5"/>
  <c r="O23" i="6" s="1"/>
  <c r="AP23" i="5"/>
  <c r="N23" i="6" s="1"/>
  <c r="AH23" i="5"/>
  <c r="AK23" i="5" s="1"/>
  <c r="AG23" i="5"/>
  <c r="AJ23" i="5" s="1"/>
  <c r="AF23" i="5"/>
  <c r="AI23" i="5" s="1"/>
  <c r="W23" i="5"/>
  <c r="AC23" i="5" s="1"/>
  <c r="V23" i="5"/>
  <c r="AB23" i="5" s="1"/>
  <c r="U23" i="5"/>
  <c r="AA23" i="5" s="1"/>
  <c r="T23" i="5"/>
  <c r="Z23" i="5" s="1"/>
  <c r="S23" i="5"/>
  <c r="Y23" i="5" s="1"/>
  <c r="R23" i="5"/>
  <c r="X23" i="5" s="1"/>
  <c r="O23" i="5"/>
  <c r="H23" i="5"/>
  <c r="N23" i="5" s="1"/>
  <c r="G23" i="5"/>
  <c r="M23" i="5" s="1"/>
  <c r="F23" i="5"/>
  <c r="L23" i="5" s="1"/>
  <c r="E23" i="5"/>
  <c r="K23" i="5" s="1"/>
  <c r="D23" i="5"/>
  <c r="J23" i="5" s="1"/>
  <c r="C23" i="5"/>
  <c r="I23" i="5" s="1"/>
  <c r="B23" i="5"/>
  <c r="AR22" i="5"/>
  <c r="P22" i="6" s="1"/>
  <c r="AQ22" i="5"/>
  <c r="O22" i="6" s="1"/>
  <c r="AP22" i="5"/>
  <c r="N22" i="6" s="1"/>
  <c r="AH22" i="5"/>
  <c r="AK22" i="5" s="1"/>
  <c r="AG22" i="5"/>
  <c r="AJ22" i="5" s="1"/>
  <c r="AF22" i="5"/>
  <c r="AI22" i="5" s="1"/>
  <c r="W22" i="5"/>
  <c r="AC22" i="5" s="1"/>
  <c r="V22" i="5"/>
  <c r="AB22" i="5" s="1"/>
  <c r="U22" i="5"/>
  <c r="AA22" i="5" s="1"/>
  <c r="T22" i="5"/>
  <c r="Z22" i="5" s="1"/>
  <c r="S22" i="5"/>
  <c r="Y22" i="5" s="1"/>
  <c r="R22" i="5"/>
  <c r="X22" i="5" s="1"/>
  <c r="O22" i="5"/>
  <c r="H22" i="5"/>
  <c r="N22" i="5" s="1"/>
  <c r="G22" i="5"/>
  <c r="M22" i="5" s="1"/>
  <c r="F22" i="5"/>
  <c r="L22" i="5" s="1"/>
  <c r="E22" i="5"/>
  <c r="K22" i="5" s="1"/>
  <c r="D22" i="5"/>
  <c r="J22" i="5" s="1"/>
  <c r="C22" i="5"/>
  <c r="I22" i="5" s="1"/>
  <c r="B22" i="5"/>
  <c r="AR21" i="5"/>
  <c r="P21" i="6" s="1"/>
  <c r="AQ21" i="5"/>
  <c r="O21" i="6" s="1"/>
  <c r="AP21" i="5"/>
  <c r="AH21" i="5"/>
  <c r="AK21" i="5" s="1"/>
  <c r="AG21" i="5"/>
  <c r="AJ21" i="5" s="1"/>
  <c r="AF21" i="5"/>
  <c r="AI21" i="5" s="1"/>
  <c r="W21" i="5"/>
  <c r="AC21" i="5" s="1"/>
  <c r="V21" i="5"/>
  <c r="AB21" i="5" s="1"/>
  <c r="U21" i="5"/>
  <c r="AA21" i="5" s="1"/>
  <c r="T21" i="5"/>
  <c r="Z21" i="5" s="1"/>
  <c r="S21" i="5"/>
  <c r="Y21" i="5" s="1"/>
  <c r="R21" i="5"/>
  <c r="X21" i="5" s="1"/>
  <c r="O21" i="5"/>
  <c r="H21" i="5"/>
  <c r="N21" i="5" s="1"/>
  <c r="G21" i="5"/>
  <c r="M21" i="5" s="1"/>
  <c r="F21" i="5"/>
  <c r="L21" i="5" s="1"/>
  <c r="E21" i="5"/>
  <c r="K21" i="5" s="1"/>
  <c r="D21" i="5"/>
  <c r="J21" i="5" s="1"/>
  <c r="C21" i="5"/>
  <c r="I21" i="5" s="1"/>
  <c r="B21" i="5"/>
  <c r="AR20" i="5"/>
  <c r="P20" i="6" s="1"/>
  <c r="AQ20" i="5"/>
  <c r="O20" i="6" s="1"/>
  <c r="AP20" i="5"/>
  <c r="N20" i="6" s="1"/>
  <c r="AH20" i="5"/>
  <c r="AK20" i="5" s="1"/>
  <c r="AG20" i="5"/>
  <c r="AJ20" i="5" s="1"/>
  <c r="AF20" i="5"/>
  <c r="AI20" i="5" s="1"/>
  <c r="W20" i="5"/>
  <c r="AC20" i="5" s="1"/>
  <c r="V20" i="5"/>
  <c r="AB20" i="5" s="1"/>
  <c r="U20" i="5"/>
  <c r="AA20" i="5" s="1"/>
  <c r="T20" i="5"/>
  <c r="Z20" i="5" s="1"/>
  <c r="S20" i="5"/>
  <c r="Y20" i="5" s="1"/>
  <c r="R20" i="5"/>
  <c r="X20" i="5" s="1"/>
  <c r="O20" i="5"/>
  <c r="H20" i="5"/>
  <c r="N20" i="5" s="1"/>
  <c r="G20" i="5"/>
  <c r="M20" i="5" s="1"/>
  <c r="F20" i="5"/>
  <c r="L20" i="5" s="1"/>
  <c r="E20" i="5"/>
  <c r="K20" i="5" s="1"/>
  <c r="D20" i="5"/>
  <c r="J20" i="5" s="1"/>
  <c r="C20" i="5"/>
  <c r="I20" i="5" s="1"/>
  <c r="B20" i="5"/>
  <c r="AR19" i="5"/>
  <c r="P19" i="6" s="1"/>
  <c r="AQ19" i="5"/>
  <c r="O19" i="6" s="1"/>
  <c r="AP19" i="5"/>
  <c r="N19" i="6" s="1"/>
  <c r="AH19" i="5"/>
  <c r="AK19" i="5" s="1"/>
  <c r="AG19" i="5"/>
  <c r="AJ19" i="5" s="1"/>
  <c r="AF19" i="5"/>
  <c r="AI19" i="5" s="1"/>
  <c r="W19" i="5"/>
  <c r="AC19" i="5" s="1"/>
  <c r="V19" i="5"/>
  <c r="AB19" i="5" s="1"/>
  <c r="U19" i="5"/>
  <c r="AA19" i="5" s="1"/>
  <c r="T19" i="5"/>
  <c r="Z19" i="5" s="1"/>
  <c r="S19" i="5"/>
  <c r="Y19" i="5" s="1"/>
  <c r="R19" i="5"/>
  <c r="X19" i="5" s="1"/>
  <c r="O19" i="5"/>
  <c r="H19" i="5"/>
  <c r="N19" i="5" s="1"/>
  <c r="G19" i="5"/>
  <c r="M19" i="5" s="1"/>
  <c r="F19" i="5"/>
  <c r="L19" i="5" s="1"/>
  <c r="E19" i="5"/>
  <c r="K19" i="5" s="1"/>
  <c r="D19" i="5"/>
  <c r="J19" i="5" s="1"/>
  <c r="C19" i="5"/>
  <c r="I19" i="5" s="1"/>
  <c r="B19" i="5"/>
  <c r="AR18" i="5"/>
  <c r="P18" i="6" s="1"/>
  <c r="AQ18" i="5"/>
  <c r="O18" i="6" s="1"/>
  <c r="AP18" i="5"/>
  <c r="N18" i="6" s="1"/>
  <c r="AH18" i="5"/>
  <c r="AK18" i="5" s="1"/>
  <c r="AG18" i="5"/>
  <c r="AJ18" i="5" s="1"/>
  <c r="AF18" i="5"/>
  <c r="AI18" i="5" s="1"/>
  <c r="W18" i="5"/>
  <c r="AC18" i="5" s="1"/>
  <c r="V18" i="5"/>
  <c r="AB18" i="5" s="1"/>
  <c r="U18" i="5"/>
  <c r="AA18" i="5" s="1"/>
  <c r="T18" i="5"/>
  <c r="Z18" i="5" s="1"/>
  <c r="S18" i="5"/>
  <c r="Y18" i="5" s="1"/>
  <c r="R18" i="5"/>
  <c r="X18" i="5" s="1"/>
  <c r="O18" i="5"/>
  <c r="H18" i="5"/>
  <c r="N18" i="5" s="1"/>
  <c r="G18" i="5"/>
  <c r="M18" i="5" s="1"/>
  <c r="F18" i="5"/>
  <c r="L18" i="5" s="1"/>
  <c r="E18" i="5"/>
  <c r="K18" i="5" s="1"/>
  <c r="D18" i="5"/>
  <c r="J18" i="5" s="1"/>
  <c r="C18" i="5"/>
  <c r="I18" i="5" s="1"/>
  <c r="B18" i="5"/>
  <c r="AR17" i="5"/>
  <c r="P17" i="6" s="1"/>
  <c r="AQ17" i="5"/>
  <c r="O17" i="6" s="1"/>
  <c r="AP17" i="5"/>
  <c r="AH17" i="5"/>
  <c r="AK17" i="5" s="1"/>
  <c r="AG17" i="5"/>
  <c r="AJ17" i="5" s="1"/>
  <c r="AF17" i="5"/>
  <c r="AI17" i="5" s="1"/>
  <c r="W17" i="5"/>
  <c r="AC17" i="5" s="1"/>
  <c r="V17" i="5"/>
  <c r="AB17" i="5" s="1"/>
  <c r="U17" i="5"/>
  <c r="AA17" i="5" s="1"/>
  <c r="T17" i="5"/>
  <c r="Z17" i="5" s="1"/>
  <c r="S17" i="5"/>
  <c r="Y17" i="5" s="1"/>
  <c r="R17" i="5"/>
  <c r="X17" i="5" s="1"/>
  <c r="O17" i="5"/>
  <c r="H17" i="5"/>
  <c r="N17" i="5" s="1"/>
  <c r="G17" i="5"/>
  <c r="M17" i="5" s="1"/>
  <c r="F17" i="5"/>
  <c r="L17" i="5" s="1"/>
  <c r="E17" i="5"/>
  <c r="K17" i="5" s="1"/>
  <c r="D17" i="5"/>
  <c r="J17" i="5" s="1"/>
  <c r="C17" i="5"/>
  <c r="I17" i="5" s="1"/>
  <c r="B17" i="5"/>
  <c r="AR16" i="5"/>
  <c r="P16" i="6" s="1"/>
  <c r="AQ16" i="5"/>
  <c r="O16" i="6" s="1"/>
  <c r="AP16" i="5"/>
  <c r="N16" i="6" s="1"/>
  <c r="AH16" i="5"/>
  <c r="AK16" i="5" s="1"/>
  <c r="AG16" i="5"/>
  <c r="AJ16" i="5" s="1"/>
  <c r="AF16" i="5"/>
  <c r="AI16" i="5" s="1"/>
  <c r="W16" i="5"/>
  <c r="AC16" i="5" s="1"/>
  <c r="V16" i="5"/>
  <c r="AB16" i="5" s="1"/>
  <c r="U16" i="5"/>
  <c r="AA16" i="5" s="1"/>
  <c r="T16" i="5"/>
  <c r="Z16" i="5" s="1"/>
  <c r="S16" i="5"/>
  <c r="Y16" i="5" s="1"/>
  <c r="R16" i="5"/>
  <c r="X16" i="5" s="1"/>
  <c r="O16" i="5"/>
  <c r="H16" i="5"/>
  <c r="N16" i="5" s="1"/>
  <c r="G16" i="5"/>
  <c r="M16" i="5" s="1"/>
  <c r="F16" i="5"/>
  <c r="L16" i="5" s="1"/>
  <c r="E16" i="5"/>
  <c r="K16" i="5" s="1"/>
  <c r="D16" i="5"/>
  <c r="J16" i="5" s="1"/>
  <c r="C16" i="5"/>
  <c r="I16" i="5" s="1"/>
  <c r="B16" i="5"/>
  <c r="AR15" i="5"/>
  <c r="P15" i="6" s="1"/>
  <c r="AQ15" i="5"/>
  <c r="O15" i="6" s="1"/>
  <c r="AP15" i="5"/>
  <c r="N15" i="6" s="1"/>
  <c r="AH15" i="5"/>
  <c r="AK15" i="5" s="1"/>
  <c r="AG15" i="5"/>
  <c r="AJ15" i="5" s="1"/>
  <c r="AF15" i="5"/>
  <c r="AI15" i="5" s="1"/>
  <c r="W15" i="5"/>
  <c r="AC15" i="5" s="1"/>
  <c r="V15" i="5"/>
  <c r="AB15" i="5" s="1"/>
  <c r="U15" i="5"/>
  <c r="AA15" i="5" s="1"/>
  <c r="T15" i="5"/>
  <c r="Z15" i="5" s="1"/>
  <c r="S15" i="5"/>
  <c r="Y15" i="5" s="1"/>
  <c r="R15" i="5"/>
  <c r="X15" i="5" s="1"/>
  <c r="O15" i="5"/>
  <c r="H15" i="5"/>
  <c r="N15" i="5" s="1"/>
  <c r="G15" i="5"/>
  <c r="M15" i="5" s="1"/>
  <c r="F15" i="5"/>
  <c r="L15" i="5" s="1"/>
  <c r="E15" i="5"/>
  <c r="K15" i="5" s="1"/>
  <c r="D15" i="5"/>
  <c r="J15" i="5" s="1"/>
  <c r="C15" i="5"/>
  <c r="I15" i="5" s="1"/>
  <c r="B15" i="5"/>
  <c r="AR14" i="5"/>
  <c r="P14" i="6" s="1"/>
  <c r="AQ14" i="5"/>
  <c r="O14" i="6" s="1"/>
  <c r="AP14" i="5"/>
  <c r="N14" i="6" s="1"/>
  <c r="AH14" i="5"/>
  <c r="AK14" i="5" s="1"/>
  <c r="AG14" i="5"/>
  <c r="AJ14" i="5" s="1"/>
  <c r="AF14" i="5"/>
  <c r="AI14" i="5" s="1"/>
  <c r="W14" i="5"/>
  <c r="AC14" i="5" s="1"/>
  <c r="V14" i="5"/>
  <c r="AB14" i="5" s="1"/>
  <c r="U14" i="5"/>
  <c r="AA14" i="5" s="1"/>
  <c r="T14" i="5"/>
  <c r="Z14" i="5" s="1"/>
  <c r="S14" i="5"/>
  <c r="Y14" i="5" s="1"/>
  <c r="R14" i="5"/>
  <c r="X14" i="5" s="1"/>
  <c r="O14" i="5"/>
  <c r="H14" i="5"/>
  <c r="N14" i="5" s="1"/>
  <c r="G14" i="5"/>
  <c r="M14" i="5" s="1"/>
  <c r="F14" i="5"/>
  <c r="L14" i="5" s="1"/>
  <c r="E14" i="5"/>
  <c r="K14" i="5" s="1"/>
  <c r="D14" i="5"/>
  <c r="J14" i="5" s="1"/>
  <c r="C14" i="5"/>
  <c r="I14" i="5" s="1"/>
  <c r="B14" i="5"/>
  <c r="AR13" i="5"/>
  <c r="P13" i="6" s="1"/>
  <c r="AQ13" i="5"/>
  <c r="O13" i="6" s="1"/>
  <c r="AP13" i="5"/>
  <c r="AH13" i="5"/>
  <c r="AK13" i="5" s="1"/>
  <c r="AG13" i="5"/>
  <c r="AJ13" i="5" s="1"/>
  <c r="AF13" i="5"/>
  <c r="AI13" i="5" s="1"/>
  <c r="W13" i="5"/>
  <c r="AC13" i="5" s="1"/>
  <c r="V13" i="5"/>
  <c r="AB13" i="5" s="1"/>
  <c r="U13" i="5"/>
  <c r="AA13" i="5" s="1"/>
  <c r="T13" i="5"/>
  <c r="Z13" i="5" s="1"/>
  <c r="S13" i="5"/>
  <c r="Y13" i="5" s="1"/>
  <c r="R13" i="5"/>
  <c r="X13" i="5" s="1"/>
  <c r="O13" i="5"/>
  <c r="H13" i="5"/>
  <c r="N13" i="5" s="1"/>
  <c r="G13" i="5"/>
  <c r="M13" i="5" s="1"/>
  <c r="F13" i="5"/>
  <c r="L13" i="5" s="1"/>
  <c r="E13" i="5"/>
  <c r="K13" i="5" s="1"/>
  <c r="D13" i="5"/>
  <c r="J13" i="5" s="1"/>
  <c r="C13" i="5"/>
  <c r="I13" i="5" s="1"/>
  <c r="B13" i="5"/>
  <c r="AR12" i="5"/>
  <c r="P12" i="6" s="1"/>
  <c r="AQ12" i="5"/>
  <c r="O12" i="6" s="1"/>
  <c r="AP12" i="5"/>
  <c r="N12" i="6" s="1"/>
  <c r="AH12" i="5"/>
  <c r="AK12" i="5" s="1"/>
  <c r="AG12" i="5"/>
  <c r="AJ12" i="5" s="1"/>
  <c r="AF12" i="5"/>
  <c r="AI12" i="5" s="1"/>
  <c r="W12" i="5"/>
  <c r="AC12" i="5" s="1"/>
  <c r="V12" i="5"/>
  <c r="AB12" i="5" s="1"/>
  <c r="U12" i="5"/>
  <c r="AA12" i="5" s="1"/>
  <c r="T12" i="5"/>
  <c r="Z12" i="5" s="1"/>
  <c r="S12" i="5"/>
  <c r="Y12" i="5" s="1"/>
  <c r="R12" i="5"/>
  <c r="X12" i="5" s="1"/>
  <c r="O12" i="5"/>
  <c r="H12" i="5"/>
  <c r="N12" i="5" s="1"/>
  <c r="G12" i="5"/>
  <c r="M12" i="5" s="1"/>
  <c r="F12" i="5"/>
  <c r="L12" i="5" s="1"/>
  <c r="E12" i="5"/>
  <c r="K12" i="5" s="1"/>
  <c r="D12" i="5"/>
  <c r="J12" i="5" s="1"/>
  <c r="C12" i="5"/>
  <c r="I12" i="5" s="1"/>
  <c r="B12" i="5"/>
  <c r="AR11" i="5"/>
  <c r="P11" i="6" s="1"/>
  <c r="AQ11" i="5"/>
  <c r="O11" i="6" s="1"/>
  <c r="AP11" i="5"/>
  <c r="N11" i="6" s="1"/>
  <c r="AH11" i="5"/>
  <c r="AK11" i="5" s="1"/>
  <c r="AG11" i="5"/>
  <c r="AJ11" i="5" s="1"/>
  <c r="AF11" i="5"/>
  <c r="AI11" i="5" s="1"/>
  <c r="W11" i="5"/>
  <c r="AC11" i="5" s="1"/>
  <c r="V11" i="5"/>
  <c r="AB11" i="5" s="1"/>
  <c r="U11" i="5"/>
  <c r="AA11" i="5" s="1"/>
  <c r="T11" i="5"/>
  <c r="Z11" i="5" s="1"/>
  <c r="S11" i="5"/>
  <c r="Y11" i="5" s="1"/>
  <c r="R11" i="5"/>
  <c r="X11" i="5" s="1"/>
  <c r="O11" i="5"/>
  <c r="H11" i="5"/>
  <c r="N11" i="5" s="1"/>
  <c r="G11" i="5"/>
  <c r="M11" i="5" s="1"/>
  <c r="F11" i="5"/>
  <c r="L11" i="5" s="1"/>
  <c r="E11" i="5"/>
  <c r="K11" i="5" s="1"/>
  <c r="D11" i="5"/>
  <c r="J11" i="5" s="1"/>
  <c r="C11" i="5"/>
  <c r="I11" i="5" s="1"/>
  <c r="B11" i="5"/>
  <c r="AR10" i="5"/>
  <c r="P10" i="6" s="1"/>
  <c r="AQ10" i="5"/>
  <c r="O10" i="6" s="1"/>
  <c r="AP10" i="5"/>
  <c r="N10" i="6" s="1"/>
  <c r="AH10" i="5"/>
  <c r="AK10" i="5" s="1"/>
  <c r="AG10" i="5"/>
  <c r="AJ10" i="5" s="1"/>
  <c r="AF10" i="5"/>
  <c r="AI10" i="5" s="1"/>
  <c r="W10" i="5"/>
  <c r="AC10" i="5" s="1"/>
  <c r="V10" i="5"/>
  <c r="AB10" i="5" s="1"/>
  <c r="U10" i="5"/>
  <c r="AA10" i="5" s="1"/>
  <c r="T10" i="5"/>
  <c r="Z10" i="5" s="1"/>
  <c r="S10" i="5"/>
  <c r="Y10" i="5" s="1"/>
  <c r="R10" i="5"/>
  <c r="X10" i="5" s="1"/>
  <c r="O10" i="5"/>
  <c r="H10" i="5"/>
  <c r="N10" i="5" s="1"/>
  <c r="G10" i="5"/>
  <c r="M10" i="5" s="1"/>
  <c r="F10" i="5"/>
  <c r="L10" i="5" s="1"/>
  <c r="E10" i="5"/>
  <c r="K10" i="5" s="1"/>
  <c r="D10" i="5"/>
  <c r="J10" i="5" s="1"/>
  <c r="C10" i="5"/>
  <c r="I10" i="5" s="1"/>
  <c r="B10" i="5"/>
  <c r="AR9" i="5"/>
  <c r="P9" i="6" s="1"/>
  <c r="AQ9" i="5"/>
  <c r="O9" i="6" s="1"/>
  <c r="AP9" i="5"/>
  <c r="AH9" i="5"/>
  <c r="AK9" i="5" s="1"/>
  <c r="AG9" i="5"/>
  <c r="AJ9" i="5" s="1"/>
  <c r="AF9" i="5"/>
  <c r="AI9" i="5" s="1"/>
  <c r="W9" i="5"/>
  <c r="AC9" i="5" s="1"/>
  <c r="V9" i="5"/>
  <c r="AB9" i="5" s="1"/>
  <c r="U9" i="5"/>
  <c r="AA9" i="5" s="1"/>
  <c r="T9" i="5"/>
  <c r="Z9" i="5" s="1"/>
  <c r="S9" i="5"/>
  <c r="Y9" i="5" s="1"/>
  <c r="R9" i="5"/>
  <c r="X9" i="5" s="1"/>
  <c r="O9" i="5"/>
  <c r="H9" i="5"/>
  <c r="N9" i="5" s="1"/>
  <c r="G9" i="5"/>
  <c r="M9" i="5" s="1"/>
  <c r="F9" i="5"/>
  <c r="L9" i="5" s="1"/>
  <c r="E9" i="5"/>
  <c r="K9" i="5" s="1"/>
  <c r="D9" i="5"/>
  <c r="J9" i="5" s="1"/>
  <c r="C9" i="5"/>
  <c r="I9" i="5" s="1"/>
  <c r="B9" i="5"/>
  <c r="AR8" i="5"/>
  <c r="P8" i="6" s="1"/>
  <c r="AQ8" i="5"/>
  <c r="O8" i="6" s="1"/>
  <c r="AP8" i="5"/>
  <c r="N8" i="6" s="1"/>
  <c r="AH8" i="5"/>
  <c r="AK8" i="5" s="1"/>
  <c r="AG8" i="5"/>
  <c r="AJ8" i="5" s="1"/>
  <c r="AF8" i="5"/>
  <c r="AI8" i="5" s="1"/>
  <c r="W8" i="5"/>
  <c r="AC8" i="5" s="1"/>
  <c r="V8" i="5"/>
  <c r="AB8" i="5" s="1"/>
  <c r="U8" i="5"/>
  <c r="AA8" i="5" s="1"/>
  <c r="T8" i="5"/>
  <c r="Z8" i="5" s="1"/>
  <c r="S8" i="5"/>
  <c r="Y8" i="5" s="1"/>
  <c r="R8" i="5"/>
  <c r="X8" i="5" s="1"/>
  <c r="O8" i="5"/>
  <c r="H8" i="5"/>
  <c r="N8" i="5" s="1"/>
  <c r="G8" i="5"/>
  <c r="M8" i="5" s="1"/>
  <c r="F8" i="5"/>
  <c r="L8" i="5" s="1"/>
  <c r="E8" i="5"/>
  <c r="K8" i="5" s="1"/>
  <c r="D8" i="5"/>
  <c r="J8" i="5" s="1"/>
  <c r="C8" i="5"/>
  <c r="I8" i="5" s="1"/>
  <c r="B8" i="5"/>
  <c r="AR7" i="5"/>
  <c r="P7" i="6" s="1"/>
  <c r="AQ7" i="5"/>
  <c r="O7" i="6" s="1"/>
  <c r="AP7" i="5"/>
  <c r="N7" i="6" s="1"/>
  <c r="AH7" i="5"/>
  <c r="AK7" i="5" s="1"/>
  <c r="AG7" i="5"/>
  <c r="AJ7" i="5" s="1"/>
  <c r="AF7" i="5"/>
  <c r="AI7" i="5" s="1"/>
  <c r="W7" i="5"/>
  <c r="AC7" i="5" s="1"/>
  <c r="V7" i="5"/>
  <c r="AB7" i="5" s="1"/>
  <c r="U7" i="5"/>
  <c r="AA7" i="5" s="1"/>
  <c r="T7" i="5"/>
  <c r="Z7" i="5" s="1"/>
  <c r="S7" i="5"/>
  <c r="Y7" i="5" s="1"/>
  <c r="R7" i="5"/>
  <c r="X7" i="5" s="1"/>
  <c r="O7" i="5"/>
  <c r="H7" i="5"/>
  <c r="N7" i="5" s="1"/>
  <c r="G7" i="5"/>
  <c r="M7" i="5" s="1"/>
  <c r="F7" i="5"/>
  <c r="L7" i="5" s="1"/>
  <c r="E7" i="5"/>
  <c r="K7" i="5" s="1"/>
  <c r="D7" i="5"/>
  <c r="J7" i="5" s="1"/>
  <c r="C7" i="5"/>
  <c r="I7" i="5" s="1"/>
  <c r="B7" i="5"/>
  <c r="AR6" i="5"/>
  <c r="P6" i="6" s="1"/>
  <c r="AQ6" i="5"/>
  <c r="O6" i="6" s="1"/>
  <c r="AP6" i="5"/>
  <c r="N6" i="6" s="1"/>
  <c r="AH6" i="5"/>
  <c r="AK6" i="5" s="1"/>
  <c r="AG6" i="5"/>
  <c r="AJ6" i="5" s="1"/>
  <c r="AF6" i="5"/>
  <c r="AI6" i="5" s="1"/>
  <c r="W6" i="5"/>
  <c r="AC6" i="5" s="1"/>
  <c r="V6" i="5"/>
  <c r="AB6" i="5" s="1"/>
  <c r="U6" i="5"/>
  <c r="AA6" i="5" s="1"/>
  <c r="T6" i="5"/>
  <c r="Z6" i="5" s="1"/>
  <c r="S6" i="5"/>
  <c r="Y6" i="5" s="1"/>
  <c r="R6" i="5"/>
  <c r="X6" i="5" s="1"/>
  <c r="O6" i="5"/>
  <c r="H6" i="5"/>
  <c r="N6" i="5" s="1"/>
  <c r="G6" i="5"/>
  <c r="M6" i="5" s="1"/>
  <c r="F6" i="5"/>
  <c r="L6" i="5" s="1"/>
  <c r="E6" i="5"/>
  <c r="K6" i="5" s="1"/>
  <c r="D6" i="5"/>
  <c r="J6" i="5" s="1"/>
  <c r="C6" i="5"/>
  <c r="I6" i="5" s="1"/>
  <c r="B6" i="5"/>
  <c r="AR5" i="5"/>
  <c r="P5" i="6" s="1"/>
  <c r="AQ5" i="5"/>
  <c r="O5" i="6" s="1"/>
  <c r="AP5" i="5"/>
  <c r="AH5" i="5"/>
  <c r="AK5" i="5" s="1"/>
  <c r="AG5" i="5"/>
  <c r="AJ5" i="5" s="1"/>
  <c r="AF5" i="5"/>
  <c r="AI5" i="5" s="1"/>
  <c r="W5" i="5"/>
  <c r="AC5" i="5" s="1"/>
  <c r="V5" i="5"/>
  <c r="AB5" i="5" s="1"/>
  <c r="U5" i="5"/>
  <c r="AA5" i="5" s="1"/>
  <c r="T5" i="5"/>
  <c r="Z5" i="5" s="1"/>
  <c r="S5" i="5"/>
  <c r="Y5" i="5" s="1"/>
  <c r="R5" i="5"/>
  <c r="X5" i="5" s="1"/>
  <c r="O5" i="5"/>
  <c r="H5" i="5"/>
  <c r="N5" i="5" s="1"/>
  <c r="G5" i="5"/>
  <c r="M5" i="5" s="1"/>
  <c r="F5" i="5"/>
  <c r="L5" i="5" s="1"/>
  <c r="E5" i="5"/>
  <c r="K5" i="5" s="1"/>
  <c r="D5" i="5"/>
  <c r="J5" i="5" s="1"/>
  <c r="C5" i="5"/>
  <c r="I5" i="5" s="1"/>
  <c r="B5" i="5"/>
  <c r="AR4" i="5"/>
  <c r="P4" i="6" s="1"/>
  <c r="AQ4" i="5"/>
  <c r="O4" i="6" s="1"/>
  <c r="AP4" i="5"/>
  <c r="N4" i="6" s="1"/>
  <c r="AH4" i="5"/>
  <c r="AK4" i="5" s="1"/>
  <c r="AG4" i="5"/>
  <c r="AJ4" i="5" s="1"/>
  <c r="AF4" i="5"/>
  <c r="AI4" i="5" s="1"/>
  <c r="W4" i="5"/>
  <c r="AC4" i="5" s="1"/>
  <c r="V4" i="5"/>
  <c r="AB4" i="5" s="1"/>
  <c r="U4" i="5"/>
  <c r="AA4" i="5" s="1"/>
  <c r="T4" i="5"/>
  <c r="Z4" i="5" s="1"/>
  <c r="S4" i="5"/>
  <c r="Y4" i="5" s="1"/>
  <c r="R4" i="5"/>
  <c r="X4" i="5" s="1"/>
  <c r="O4" i="5"/>
  <c r="H4" i="5"/>
  <c r="N4" i="5" s="1"/>
  <c r="G4" i="5"/>
  <c r="M4" i="5" s="1"/>
  <c r="F4" i="5"/>
  <c r="L4" i="5" s="1"/>
  <c r="E4" i="5"/>
  <c r="K4" i="5" s="1"/>
  <c r="D4" i="5"/>
  <c r="J4" i="5" s="1"/>
  <c r="C4" i="5"/>
  <c r="I4" i="5" s="1"/>
  <c r="B4" i="5"/>
  <c r="AL8" i="5" l="1"/>
  <c r="F8" i="6" s="1"/>
  <c r="AL48" i="5"/>
  <c r="F48" i="6" s="1"/>
  <c r="AL34" i="5"/>
  <c r="F34" i="6" s="1"/>
  <c r="AL56" i="5"/>
  <c r="F56" i="6" s="1"/>
  <c r="AD32" i="5"/>
  <c r="AL35" i="5"/>
  <c r="F35" i="6" s="1"/>
  <c r="P53" i="5"/>
  <c r="AD13" i="5"/>
  <c r="AL25" i="5"/>
  <c r="F25" i="6" s="1"/>
  <c r="F23" i="8" s="1"/>
  <c r="AD28" i="5"/>
  <c r="P49" i="5"/>
  <c r="P5" i="5"/>
  <c r="AL19" i="5"/>
  <c r="F19" i="6" s="1"/>
  <c r="F17" i="8" s="1"/>
  <c r="AL58" i="5"/>
  <c r="F58" i="6" s="1"/>
  <c r="AL23" i="5"/>
  <c r="F23" i="6" s="1"/>
  <c r="F21" i="8" s="1"/>
  <c r="P46" i="5"/>
  <c r="AD55" i="5"/>
  <c r="AD5" i="5"/>
  <c r="D5" i="6" s="1"/>
  <c r="AL15" i="5"/>
  <c r="F15" i="6" s="1"/>
  <c r="P36" i="5"/>
  <c r="AL11" i="5"/>
  <c r="F11" i="6" s="1"/>
  <c r="F9" i="8" s="1"/>
  <c r="AD49" i="5"/>
  <c r="D49" i="6" s="1"/>
  <c r="D47" i="8" s="1"/>
  <c r="AL4" i="5"/>
  <c r="F4" i="6" s="1"/>
  <c r="P28" i="5"/>
  <c r="AL44" i="5"/>
  <c r="F44" i="6" s="1"/>
  <c r="F42" i="8" s="1"/>
  <c r="P18" i="5"/>
  <c r="Q18" i="5" s="1"/>
  <c r="C18" i="6" s="1"/>
  <c r="C16" i="8" s="1"/>
  <c r="AL50" i="5"/>
  <c r="F50" i="6" s="1"/>
  <c r="AL32" i="5"/>
  <c r="F32" i="6" s="1"/>
  <c r="AL26" i="5"/>
  <c r="F26" i="6" s="1"/>
  <c r="F24" i="8" s="1"/>
  <c r="P57" i="5"/>
  <c r="B57" i="6" s="1"/>
  <c r="P9" i="5"/>
  <c r="AL13" i="5"/>
  <c r="F13" i="6" s="1"/>
  <c r="F11" i="8" s="1"/>
  <c r="AD22" i="5"/>
  <c r="AS43" i="5"/>
  <c r="Q43" i="6" s="1"/>
  <c r="AS46" i="5"/>
  <c r="Q46" i="6" s="1"/>
  <c r="AL52" i="5"/>
  <c r="F52" i="6" s="1"/>
  <c r="F50" i="8" s="1"/>
  <c r="P55" i="5"/>
  <c r="B55" i="6" s="1"/>
  <c r="AL6" i="5"/>
  <c r="F6" i="6" s="1"/>
  <c r="F4" i="8" s="1"/>
  <c r="P6" i="5"/>
  <c r="Q6" i="5" s="1"/>
  <c r="C6" i="6" s="1"/>
  <c r="C4" i="8" s="1"/>
  <c r="P12" i="5"/>
  <c r="B12" i="6" s="1"/>
  <c r="P15" i="5"/>
  <c r="Q15" i="5" s="1"/>
  <c r="C15" i="6" s="1"/>
  <c r="C13" i="8" s="1"/>
  <c r="P19" i="5"/>
  <c r="B19" i="6" s="1"/>
  <c r="AL30" i="5"/>
  <c r="F30" i="6" s="1"/>
  <c r="AL33" i="5"/>
  <c r="F33" i="6" s="1"/>
  <c r="F31" i="8" s="1"/>
  <c r="AS41" i="5"/>
  <c r="Q41" i="6" s="1"/>
  <c r="AL39" i="5"/>
  <c r="F39" i="6" s="1"/>
  <c r="F37" i="8" s="1"/>
  <c r="AL41" i="5"/>
  <c r="F41" i="6" s="1"/>
  <c r="AD53" i="5"/>
  <c r="D53" i="6" s="1"/>
  <c r="AD59" i="5"/>
  <c r="P26" i="5"/>
  <c r="Q26" i="5" s="1"/>
  <c r="C26" i="6" s="1"/>
  <c r="C24" i="8" s="1"/>
  <c r="AL51" i="5"/>
  <c r="F51" i="6" s="1"/>
  <c r="F49" i="8" s="1"/>
  <c r="P11" i="5"/>
  <c r="B11" i="6" s="1"/>
  <c r="AD39" i="5"/>
  <c r="D39" i="6" s="1"/>
  <c r="AD52" i="5"/>
  <c r="AM52" i="5" s="1"/>
  <c r="G52" i="6" s="1"/>
  <c r="G50" i="8" s="1"/>
  <c r="AS52" i="5"/>
  <c r="Q52" i="6" s="1"/>
  <c r="AD8" i="5"/>
  <c r="AD17" i="5"/>
  <c r="AE17" i="5" s="1"/>
  <c r="E17" i="6" s="1"/>
  <c r="E15" i="8" s="1"/>
  <c r="AL54" i="5"/>
  <c r="F54" i="6" s="1"/>
  <c r="F52" i="8" s="1"/>
  <c r="AD21" i="5"/>
  <c r="D21" i="6" s="1"/>
  <c r="AD31" i="5"/>
  <c r="D31" i="6" s="1"/>
  <c r="AD9" i="5"/>
  <c r="AE9" i="5" s="1"/>
  <c r="E9" i="6" s="1"/>
  <c r="E7" i="8" s="1"/>
  <c r="P34" i="5"/>
  <c r="B34" i="6" s="1"/>
  <c r="AD46" i="5"/>
  <c r="AE46" i="5" s="1"/>
  <c r="E46" i="6" s="1"/>
  <c r="E44" i="8" s="1"/>
  <c r="AD34" i="5"/>
  <c r="D34" i="6" s="1"/>
  <c r="AL37" i="5"/>
  <c r="F37" i="6" s="1"/>
  <c r="F35" i="8" s="1"/>
  <c r="AD27" i="5"/>
  <c r="D27" i="6" s="1"/>
  <c r="AS27" i="5"/>
  <c r="Q27" i="6" s="1"/>
  <c r="AS37" i="5"/>
  <c r="Q37" i="6" s="1"/>
  <c r="AS51" i="5"/>
  <c r="Q51" i="6" s="1"/>
  <c r="AD16" i="5"/>
  <c r="AL22" i="5"/>
  <c r="F22" i="6" s="1"/>
  <c r="F20" i="8" s="1"/>
  <c r="AL14" i="5"/>
  <c r="F14" i="6" s="1"/>
  <c r="F12" i="8" s="1"/>
  <c r="AS16" i="5"/>
  <c r="Q16" i="6" s="1"/>
  <c r="AD25" i="5"/>
  <c r="AE25" i="5" s="1"/>
  <c r="E25" i="6" s="1"/>
  <c r="E23" i="8" s="1"/>
  <c r="AL24" i="5"/>
  <c r="F24" i="6" s="1"/>
  <c r="F22" i="8" s="1"/>
  <c r="AD26" i="5"/>
  <c r="AE26" i="5" s="1"/>
  <c r="E26" i="6" s="1"/>
  <c r="E24" i="8" s="1"/>
  <c r="P45" i="5"/>
  <c r="Q45" i="5" s="1"/>
  <c r="C45" i="6" s="1"/>
  <c r="C43" i="8" s="1"/>
  <c r="AL45" i="5"/>
  <c r="F45" i="6" s="1"/>
  <c r="F43" i="8" s="1"/>
  <c r="AL53" i="5"/>
  <c r="F53" i="6" s="1"/>
  <c r="F51" i="8" s="1"/>
  <c r="AD35" i="5"/>
  <c r="D35" i="6" s="1"/>
  <c r="P47" i="5"/>
  <c r="AD57" i="5"/>
  <c r="D57" i="6" s="1"/>
  <c r="P59" i="5"/>
  <c r="Q59" i="5" s="1"/>
  <c r="C59" i="6" s="1"/>
  <c r="C57" i="8" s="1"/>
  <c r="AL7" i="5"/>
  <c r="F7" i="6" s="1"/>
  <c r="F5" i="8" s="1"/>
  <c r="P52" i="5"/>
  <c r="AN52" i="5" s="1"/>
  <c r="T11" i="6"/>
  <c r="AD43" i="5"/>
  <c r="AD7" i="5"/>
  <c r="AL9" i="5"/>
  <c r="F9" i="6" s="1"/>
  <c r="AL21" i="5"/>
  <c r="F21" i="6" s="1"/>
  <c r="AD23" i="5"/>
  <c r="B28" i="6"/>
  <c r="Q28" i="5"/>
  <c r="C28" i="6" s="1"/>
  <c r="C26" i="8" s="1"/>
  <c r="P30" i="5"/>
  <c r="AM32" i="5"/>
  <c r="G32" i="6" s="1"/>
  <c r="G30" i="8" s="1"/>
  <c r="D32" i="6"/>
  <c r="AE32" i="5"/>
  <c r="E32" i="6" s="1"/>
  <c r="E30" i="8" s="1"/>
  <c r="AL12" i="5"/>
  <c r="F12" i="6" s="1"/>
  <c r="AD14" i="5"/>
  <c r="AL16" i="5"/>
  <c r="F16" i="6" s="1"/>
  <c r="AD18" i="5"/>
  <c r="P32" i="5"/>
  <c r="B6" i="6"/>
  <c r="P22" i="5"/>
  <c r="P23" i="5"/>
  <c r="AL29" i="5"/>
  <c r="F29" i="6" s="1"/>
  <c r="B36" i="6"/>
  <c r="Q36" i="5"/>
  <c r="C36" i="6" s="1"/>
  <c r="C34" i="8" s="1"/>
  <c r="B26" i="6"/>
  <c r="AL20" i="5"/>
  <c r="F20" i="6" s="1"/>
  <c r="F13" i="8"/>
  <c r="AL5" i="5"/>
  <c r="F5" i="6" s="1"/>
  <c r="AD6" i="5"/>
  <c r="AD10" i="5"/>
  <c r="AL18" i="5"/>
  <c r="F18" i="6" s="1"/>
  <c r="P16" i="5"/>
  <c r="AD4" i="5"/>
  <c r="P7" i="5"/>
  <c r="P14" i="5"/>
  <c r="P4" i="5"/>
  <c r="B5" i="6"/>
  <c r="Q5" i="5"/>
  <c r="C5" i="6" s="1"/>
  <c r="C3" i="8" s="1"/>
  <c r="P8" i="5"/>
  <c r="AD24" i="5"/>
  <c r="P31" i="5"/>
  <c r="F6" i="8"/>
  <c r="P13" i="5"/>
  <c r="B18" i="6"/>
  <c r="D28" i="6"/>
  <c r="AE28" i="5"/>
  <c r="E28" i="6" s="1"/>
  <c r="E26" i="8" s="1"/>
  <c r="AL10" i="5"/>
  <c r="F10" i="6" s="1"/>
  <c r="AD15" i="5"/>
  <c r="P17" i="5"/>
  <c r="AD19" i="5"/>
  <c r="P24" i="5"/>
  <c r="D22" i="6"/>
  <c r="AE22" i="5"/>
  <c r="E22" i="6" s="1"/>
  <c r="E20" i="8" s="1"/>
  <c r="D13" i="6"/>
  <c r="AM13" i="5"/>
  <c r="G13" i="6" s="1"/>
  <c r="G11" i="8" s="1"/>
  <c r="AE13" i="5"/>
  <c r="E13" i="6" s="1"/>
  <c r="E11" i="8" s="1"/>
  <c r="AD20" i="5"/>
  <c r="AD30" i="5"/>
  <c r="F28" i="8"/>
  <c r="AE5" i="5"/>
  <c r="E5" i="6" s="1"/>
  <c r="E3" i="8" s="1"/>
  <c r="D8" i="6"/>
  <c r="AM8" i="5"/>
  <c r="G8" i="6" s="1"/>
  <c r="G6" i="8" s="1"/>
  <c r="AE8" i="5"/>
  <c r="E8" i="6" s="1"/>
  <c r="E6" i="8" s="1"/>
  <c r="P10" i="5"/>
  <c r="P20" i="5"/>
  <c r="F39" i="8"/>
  <c r="F2" i="8"/>
  <c r="AD11" i="5"/>
  <c r="AD12" i="5"/>
  <c r="AL17" i="5"/>
  <c r="F17" i="6" s="1"/>
  <c r="P27" i="5"/>
  <c r="AL28" i="5"/>
  <c r="F28" i="6" s="1"/>
  <c r="T23" i="6"/>
  <c r="T53" i="6"/>
  <c r="Q55" i="5"/>
  <c r="C55" i="6" s="1"/>
  <c r="C53" i="8" s="1"/>
  <c r="AD56" i="5"/>
  <c r="N5" i="6"/>
  <c r="AS5" i="5"/>
  <c r="Q5" i="6" s="1"/>
  <c r="T8" i="6"/>
  <c r="AS11" i="5"/>
  <c r="Q11" i="6" s="1"/>
  <c r="N13" i="6"/>
  <c r="AS13" i="5"/>
  <c r="Q13" i="6" s="1"/>
  <c r="T16" i="6"/>
  <c r="AS19" i="5"/>
  <c r="Q19" i="6" s="1"/>
  <c r="AS23" i="5"/>
  <c r="Q23" i="6" s="1"/>
  <c r="N30" i="6"/>
  <c r="AS30" i="5"/>
  <c r="Q30" i="6" s="1"/>
  <c r="AD33" i="5"/>
  <c r="T26" i="6"/>
  <c r="B47" i="6"/>
  <c r="F46" i="8"/>
  <c r="AE53" i="5"/>
  <c r="E53" i="6" s="1"/>
  <c r="E51" i="8" s="1"/>
  <c r="P54" i="5"/>
  <c r="F33" i="8"/>
  <c r="O36" i="6"/>
  <c r="AS36" i="5"/>
  <c r="Q36" i="6" s="1"/>
  <c r="T5" i="6"/>
  <c r="T13" i="6"/>
  <c r="T24" i="6"/>
  <c r="AS26" i="5"/>
  <c r="Q26" i="6" s="1"/>
  <c r="T30" i="6"/>
  <c r="T36" i="6"/>
  <c r="O40" i="6"/>
  <c r="AS40" i="5"/>
  <c r="Q40" i="6" s="1"/>
  <c r="P51" i="5"/>
  <c r="AE59" i="5"/>
  <c r="E59" i="6" s="1"/>
  <c r="E57" i="8" s="1"/>
  <c r="D59" i="6"/>
  <c r="T40" i="6"/>
  <c r="T58" i="6"/>
  <c r="F30" i="8"/>
  <c r="N33" i="6"/>
  <c r="AS33" i="5"/>
  <c r="Q33" i="6" s="1"/>
  <c r="T33" i="6"/>
  <c r="P38" i="5"/>
  <c r="T10" i="6"/>
  <c r="T18" i="6"/>
  <c r="T31" i="6"/>
  <c r="O32" i="6"/>
  <c r="AS32" i="5"/>
  <c r="Q32" i="6" s="1"/>
  <c r="P37" i="5"/>
  <c r="AL38" i="5"/>
  <c r="F38" i="6" s="1"/>
  <c r="P42" i="5"/>
  <c r="P43" i="5"/>
  <c r="AD48" i="5"/>
  <c r="T48" i="6"/>
  <c r="P50" i="5"/>
  <c r="T55" i="6"/>
  <c r="AL27" i="5"/>
  <c r="F27" i="6" s="1"/>
  <c r="F32" i="8"/>
  <c r="AS10" i="5"/>
  <c r="Q10" i="6" s="1"/>
  <c r="AS18" i="5"/>
  <c r="Q18" i="6" s="1"/>
  <c r="AS25" i="5"/>
  <c r="Q25" i="6" s="1"/>
  <c r="N25" i="6"/>
  <c r="AS31" i="5"/>
  <c r="Q31" i="6" s="1"/>
  <c r="N34" i="6"/>
  <c r="AS34" i="5"/>
  <c r="Q34" i="6" s="1"/>
  <c r="AD36" i="5"/>
  <c r="AD40" i="5"/>
  <c r="P41" i="5"/>
  <c r="AL42" i="5"/>
  <c r="F42" i="6" s="1"/>
  <c r="AD45" i="5"/>
  <c r="AL47" i="5"/>
  <c r="F47" i="6" s="1"/>
  <c r="D52" i="6"/>
  <c r="AL57" i="5"/>
  <c r="F57" i="6" s="1"/>
  <c r="T27" i="6"/>
  <c r="AL43" i="5"/>
  <c r="F43" i="6" s="1"/>
  <c r="T44" i="6"/>
  <c r="B46" i="6"/>
  <c r="Q46" i="5"/>
  <c r="C46" i="6" s="1"/>
  <c r="C44" i="8" s="1"/>
  <c r="P56" i="5"/>
  <c r="T21" i="6"/>
  <c r="O24" i="6"/>
  <c r="AS24" i="5"/>
  <c r="Q24" i="6" s="1"/>
  <c r="F48" i="8"/>
  <c r="T54" i="6"/>
  <c r="AD58" i="5"/>
  <c r="AS8" i="5"/>
  <c r="Q8" i="6" s="1"/>
  <c r="T4" i="6"/>
  <c r="T59" i="6"/>
  <c r="T20" i="6"/>
  <c r="T35" i="6"/>
  <c r="N38" i="6"/>
  <c r="AS38" i="5"/>
  <c r="Q38" i="6" s="1"/>
  <c r="T39" i="6"/>
  <c r="AL46" i="5"/>
  <c r="F46" i="6" s="1"/>
  <c r="T51" i="6"/>
  <c r="T57" i="6"/>
  <c r="T15" i="6"/>
  <c r="T25" i="6"/>
  <c r="P33" i="5"/>
  <c r="N17" i="6"/>
  <c r="AS17" i="5"/>
  <c r="Q17" i="6" s="1"/>
  <c r="T28" i="6"/>
  <c r="AS20" i="5"/>
  <c r="Q20" i="6" s="1"/>
  <c r="P35" i="5"/>
  <c r="AS35" i="5"/>
  <c r="Q35" i="6" s="1"/>
  <c r="AS39" i="5"/>
  <c r="Q39" i="6" s="1"/>
  <c r="N42" i="6"/>
  <c r="AS42" i="5"/>
  <c r="Q42" i="6" s="1"/>
  <c r="AD44" i="5"/>
  <c r="T19" i="6"/>
  <c r="N21" i="6"/>
  <c r="AS21" i="5"/>
  <c r="Q21" i="6" s="1"/>
  <c r="P21" i="5"/>
  <c r="O28" i="6"/>
  <c r="AS28" i="5"/>
  <c r="Q28" i="6" s="1"/>
  <c r="N9" i="6"/>
  <c r="AS9" i="5"/>
  <c r="Q9" i="6" s="1"/>
  <c r="AS15" i="5"/>
  <c r="Q15" i="6" s="1"/>
  <c r="AS4" i="5"/>
  <c r="Q4" i="6" s="1"/>
  <c r="D55" i="6"/>
  <c r="AE55" i="5"/>
  <c r="E55" i="6" s="1"/>
  <c r="E53" i="8" s="1"/>
  <c r="F54" i="8"/>
  <c r="P58" i="5"/>
  <c r="T7" i="6"/>
  <c r="T22" i="6"/>
  <c r="P29" i="5"/>
  <c r="AD29" i="5"/>
  <c r="T47" i="6"/>
  <c r="T50" i="6"/>
  <c r="AS22" i="5"/>
  <c r="Q22" i="6" s="1"/>
  <c r="AD37" i="5"/>
  <c r="T37" i="6"/>
  <c r="P40" i="5"/>
  <c r="Q47" i="5"/>
  <c r="C47" i="6" s="1"/>
  <c r="C45" i="8" s="1"/>
  <c r="AD50" i="5"/>
  <c r="B59" i="6"/>
  <c r="T12" i="6"/>
  <c r="T17" i="6"/>
  <c r="P25" i="5"/>
  <c r="T29" i="6"/>
  <c r="T38" i="6"/>
  <c r="AD47" i="5"/>
  <c r="P48" i="5"/>
  <c r="Q49" i="5"/>
  <c r="C49" i="6" s="1"/>
  <c r="C47" i="8" s="1"/>
  <c r="B49" i="6"/>
  <c r="T6" i="6"/>
  <c r="T14" i="6"/>
  <c r="P39" i="5"/>
  <c r="AD41" i="5"/>
  <c r="AS6" i="5"/>
  <c r="Q6" i="6" s="1"/>
  <c r="AS14" i="5"/>
  <c r="Q14" i="6" s="1"/>
  <c r="AL31" i="5"/>
  <c r="F31" i="6" s="1"/>
  <c r="AL36" i="5"/>
  <c r="F36" i="6" s="1"/>
  <c r="AD38" i="5"/>
  <c r="T46" i="6"/>
  <c r="AL49" i="5"/>
  <c r="F49" i="6" s="1"/>
  <c r="AD51" i="5"/>
  <c r="B53" i="6"/>
  <c r="Q53" i="5"/>
  <c r="C53" i="6" s="1"/>
  <c r="C51" i="8" s="1"/>
  <c r="T34" i="6"/>
  <c r="AS7" i="5"/>
  <c r="Q7" i="6" s="1"/>
  <c r="AS29" i="5"/>
  <c r="Q29" i="6" s="1"/>
  <c r="N29" i="6"/>
  <c r="AS12" i="5"/>
  <c r="Q12" i="6" s="1"/>
  <c r="T9" i="6"/>
  <c r="AL40" i="5"/>
  <c r="F40" i="6" s="1"/>
  <c r="AD42" i="5"/>
  <c r="P44" i="5"/>
  <c r="T45" i="6"/>
  <c r="AD54" i="5"/>
  <c r="T56" i="6"/>
  <c r="N49" i="6"/>
  <c r="AS49" i="5"/>
  <c r="Q49" i="6" s="1"/>
  <c r="F56" i="8"/>
  <c r="T49" i="6"/>
  <c r="T43" i="6"/>
  <c r="AS55" i="5"/>
  <c r="Q55" i="6" s="1"/>
  <c r="N37" i="6"/>
  <c r="B55" i="8"/>
  <c r="Q57" i="5"/>
  <c r="C57" i="6" s="1"/>
  <c r="C55" i="8" s="1"/>
  <c r="AL59" i="5"/>
  <c r="F59" i="6" s="1"/>
  <c r="T42" i="6"/>
  <c r="AS58" i="5"/>
  <c r="Q58" i="6" s="1"/>
  <c r="AS45" i="5"/>
  <c r="Q45" i="6" s="1"/>
  <c r="AL55" i="5"/>
  <c r="F55" i="6" s="1"/>
  <c r="AS56" i="5"/>
  <c r="Q56" i="6" s="1"/>
  <c r="N41" i="6"/>
  <c r="AS48" i="5"/>
  <c r="Q48" i="6" s="1"/>
  <c r="T52" i="6"/>
  <c r="AS54" i="5"/>
  <c r="Q54" i="6" s="1"/>
  <c r="T41" i="6"/>
  <c r="AS50" i="5"/>
  <c r="Q50" i="6" s="1"/>
  <c r="AS57" i="5"/>
  <c r="Q57" i="6" s="1"/>
  <c r="N57" i="6"/>
  <c r="N53" i="6"/>
  <c r="AS53" i="5"/>
  <c r="Q53" i="6" s="1"/>
  <c r="T32" i="6"/>
  <c r="AS44" i="5"/>
  <c r="Q44" i="6" s="1"/>
  <c r="AS47" i="5"/>
  <c r="Q47" i="6" s="1"/>
  <c r="AS59" i="5"/>
  <c r="Q59" i="6" s="1"/>
  <c r="A2" i="7"/>
  <c r="B2" i="7" s="1"/>
  <c r="Q52" i="5" l="1"/>
  <c r="C52" i="6" s="1"/>
  <c r="C50" i="8" s="1"/>
  <c r="B52" i="6"/>
  <c r="D26" i="6"/>
  <c r="D25" i="6"/>
  <c r="AE52" i="5"/>
  <c r="E52" i="6" s="1"/>
  <c r="E50" i="8" s="1"/>
  <c r="AE31" i="5"/>
  <c r="E31" i="6" s="1"/>
  <c r="E29" i="8" s="1"/>
  <c r="D17" i="6"/>
  <c r="AE34" i="5"/>
  <c r="E34" i="6" s="1"/>
  <c r="E32" i="8" s="1"/>
  <c r="B15" i="6"/>
  <c r="Q19" i="5"/>
  <c r="C19" i="6" s="1"/>
  <c r="C17" i="8" s="1"/>
  <c r="AN53" i="5"/>
  <c r="AM17" i="5"/>
  <c r="G17" i="6" s="1"/>
  <c r="G15" i="8" s="1"/>
  <c r="AE21" i="5"/>
  <c r="E21" i="6" s="1"/>
  <c r="E19" i="8" s="1"/>
  <c r="AM25" i="5"/>
  <c r="G25" i="6" s="1"/>
  <c r="G23" i="8" s="1"/>
  <c r="B45" i="6"/>
  <c r="AM22" i="5"/>
  <c r="G22" i="6" s="1"/>
  <c r="G20" i="8" s="1"/>
  <c r="D9" i="6"/>
  <c r="AM16" i="5"/>
  <c r="G16" i="6" s="1"/>
  <c r="G14" i="8" s="1"/>
  <c r="AE57" i="5"/>
  <c r="E57" i="6" s="1"/>
  <c r="E55" i="8" s="1"/>
  <c r="D46" i="6"/>
  <c r="AM53" i="5"/>
  <c r="G53" i="6" s="1"/>
  <c r="G51" i="8" s="1"/>
  <c r="AM46" i="5"/>
  <c r="G46" i="6" s="1"/>
  <c r="G44" i="8" s="1"/>
  <c r="AM21" i="5"/>
  <c r="G21" i="6" s="1"/>
  <c r="G19" i="8" s="1"/>
  <c r="AN57" i="5"/>
  <c r="AN26" i="5"/>
  <c r="H26" i="6" s="1"/>
  <c r="S8" i="6"/>
  <c r="AM39" i="5"/>
  <c r="G39" i="6" s="1"/>
  <c r="G37" i="8" s="1"/>
  <c r="S50" i="6"/>
  <c r="AM59" i="5"/>
  <c r="G59" i="6" s="1"/>
  <c r="G57" i="8" s="1"/>
  <c r="AE49" i="5"/>
  <c r="E49" i="6" s="1"/>
  <c r="E47" i="8" s="1"/>
  <c r="AM26" i="5"/>
  <c r="G26" i="6" s="1"/>
  <c r="G24" i="8" s="1"/>
  <c r="AM43" i="5"/>
  <c r="G43" i="6" s="1"/>
  <c r="G41" i="8" s="1"/>
  <c r="AM55" i="5"/>
  <c r="G55" i="6" s="1"/>
  <c r="G53" i="8" s="1"/>
  <c r="D16" i="6"/>
  <c r="R15" i="6"/>
  <c r="AM31" i="5"/>
  <c r="G31" i="6" s="1"/>
  <c r="G29" i="8" s="1"/>
  <c r="S40" i="6"/>
  <c r="AN9" i="5"/>
  <c r="AM49" i="5"/>
  <c r="G49" i="6" s="1"/>
  <c r="G47" i="8" s="1"/>
  <c r="AN34" i="5"/>
  <c r="D43" i="6"/>
  <c r="AM5" i="5"/>
  <c r="G5" i="6" s="1"/>
  <c r="G3" i="8" s="1"/>
  <c r="AE43" i="5"/>
  <c r="E43" i="6" s="1"/>
  <c r="E41" i="8" s="1"/>
  <c r="AM27" i="5"/>
  <c r="G27" i="6" s="1"/>
  <c r="G25" i="8" s="1"/>
  <c r="AE27" i="5"/>
  <c r="E27" i="6" s="1"/>
  <c r="E25" i="8" s="1"/>
  <c r="R37" i="6"/>
  <c r="AM28" i="5"/>
  <c r="G28" i="6" s="1"/>
  <c r="G26" i="8" s="1"/>
  <c r="AM57" i="5"/>
  <c r="G57" i="6" s="1"/>
  <c r="G55" i="8" s="1"/>
  <c r="AN49" i="5"/>
  <c r="AM9" i="5"/>
  <c r="G9" i="6" s="1"/>
  <c r="G7" i="8" s="1"/>
  <c r="R48" i="6"/>
  <c r="AN5" i="5"/>
  <c r="B9" i="6"/>
  <c r="Q34" i="5"/>
  <c r="C34" i="6" s="1"/>
  <c r="C32" i="8" s="1"/>
  <c r="S31" i="6"/>
  <c r="AE35" i="5"/>
  <c r="E35" i="6" s="1"/>
  <c r="E33" i="8" s="1"/>
  <c r="AM34" i="5"/>
  <c r="G34" i="6" s="1"/>
  <c r="G32" i="8" s="1"/>
  <c r="AM35" i="5"/>
  <c r="G35" i="6" s="1"/>
  <c r="G33" i="8" s="1"/>
  <c r="U6" i="6"/>
  <c r="AN46" i="5"/>
  <c r="H46" i="6" s="1"/>
  <c r="S52" i="6"/>
  <c r="AE39" i="5"/>
  <c r="E39" i="6" s="1"/>
  <c r="E37" i="8" s="1"/>
  <c r="S41" i="6"/>
  <c r="L24" i="6"/>
  <c r="L54" i="6"/>
  <c r="S20" i="6"/>
  <c r="S5" i="6"/>
  <c r="Q11" i="5"/>
  <c r="C11" i="6" s="1"/>
  <c r="C9" i="8" s="1"/>
  <c r="AE16" i="5"/>
  <c r="E16" i="6" s="1"/>
  <c r="E14" i="8" s="1"/>
  <c r="Q9" i="5"/>
  <c r="C9" i="6" s="1"/>
  <c r="C7" i="8" s="1"/>
  <c r="Q12" i="5"/>
  <c r="C12" i="6" s="1"/>
  <c r="C10" i="8" s="1"/>
  <c r="L58" i="6"/>
  <c r="U44" i="6"/>
  <c r="U29" i="6"/>
  <c r="F34" i="8"/>
  <c r="L36" i="6"/>
  <c r="B48" i="6"/>
  <c r="Q48" i="5"/>
  <c r="C48" i="6" s="1"/>
  <c r="C46" i="8" s="1"/>
  <c r="AN48" i="5"/>
  <c r="D55" i="8"/>
  <c r="U10" i="6"/>
  <c r="U32" i="6"/>
  <c r="U5" i="6"/>
  <c r="F15" i="8"/>
  <c r="L17" i="6"/>
  <c r="B13" i="6"/>
  <c r="AN13" i="5"/>
  <c r="Q13" i="5"/>
  <c r="C13" i="6" s="1"/>
  <c r="C11" i="8" s="1"/>
  <c r="D24" i="6"/>
  <c r="AM24" i="5"/>
  <c r="G24" i="6" s="1"/>
  <c r="G22" i="8" s="1"/>
  <c r="AE24" i="5"/>
  <c r="E24" i="6" s="1"/>
  <c r="E22" i="8" s="1"/>
  <c r="D32" i="8"/>
  <c r="B32" i="6"/>
  <c r="AN32" i="5"/>
  <c r="Q32" i="5"/>
  <c r="C32" i="6" s="1"/>
  <c r="C30" i="8" s="1"/>
  <c r="B30" i="6"/>
  <c r="Q30" i="5"/>
  <c r="C30" i="6" s="1"/>
  <c r="C28" i="8" s="1"/>
  <c r="AN30" i="5"/>
  <c r="U15" i="6"/>
  <c r="D50" i="8"/>
  <c r="L44" i="6"/>
  <c r="AN27" i="5"/>
  <c r="B27" i="6"/>
  <c r="Q27" i="5"/>
  <c r="C27" i="6" s="1"/>
  <c r="C25" i="8" s="1"/>
  <c r="AE54" i="5"/>
  <c r="E54" i="6" s="1"/>
  <c r="E52" i="8" s="1"/>
  <c r="D54" i="6"/>
  <c r="AM54" i="5"/>
  <c r="G54" i="6" s="1"/>
  <c r="G52" i="8" s="1"/>
  <c r="F29" i="8"/>
  <c r="L31" i="6"/>
  <c r="AM47" i="5"/>
  <c r="G47" i="6" s="1"/>
  <c r="G45" i="8" s="1"/>
  <c r="D47" i="6"/>
  <c r="AE47" i="5"/>
  <c r="E47" i="6" s="1"/>
  <c r="E45" i="8" s="1"/>
  <c r="B29" i="6"/>
  <c r="Q29" i="5"/>
  <c r="C29" i="6" s="1"/>
  <c r="C27" i="8" s="1"/>
  <c r="AN29" i="5"/>
  <c r="U35" i="6"/>
  <c r="B44" i="8"/>
  <c r="D44" i="8"/>
  <c r="U36" i="6"/>
  <c r="R5" i="6"/>
  <c r="D12" i="6"/>
  <c r="AE12" i="5"/>
  <c r="E12" i="6" s="1"/>
  <c r="E10" i="8" s="1"/>
  <c r="AM12" i="5"/>
  <c r="G12" i="6" s="1"/>
  <c r="G10" i="8" s="1"/>
  <c r="D3" i="8"/>
  <c r="L14" i="6"/>
  <c r="L22" i="6"/>
  <c r="D15" i="8"/>
  <c r="D18" i="6"/>
  <c r="AE18" i="5"/>
  <c r="E18" i="6" s="1"/>
  <c r="E16" i="8" s="1"/>
  <c r="AM18" i="5"/>
  <c r="G18" i="6" s="1"/>
  <c r="G16" i="8" s="1"/>
  <c r="U54" i="6"/>
  <c r="R9" i="6"/>
  <c r="B35" i="6"/>
  <c r="AN35" i="5"/>
  <c r="Q35" i="5"/>
  <c r="C35" i="6" s="1"/>
  <c r="C33" i="8" s="1"/>
  <c r="AE58" i="5"/>
  <c r="E58" i="6" s="1"/>
  <c r="E56" i="8" s="1"/>
  <c r="D58" i="6"/>
  <c r="AM58" i="5"/>
  <c r="G58" i="6" s="1"/>
  <c r="G56" i="8" s="1"/>
  <c r="AE45" i="5"/>
  <c r="E45" i="6" s="1"/>
  <c r="E43" i="8" s="1"/>
  <c r="D45" i="6"/>
  <c r="AM45" i="5"/>
  <c r="G45" i="6" s="1"/>
  <c r="G43" i="8" s="1"/>
  <c r="S10" i="6"/>
  <c r="AO26" i="5"/>
  <c r="I26" i="6" s="1"/>
  <c r="F27" i="8"/>
  <c r="L29" i="6"/>
  <c r="F14" i="8"/>
  <c r="L16" i="6"/>
  <c r="R45" i="6"/>
  <c r="F45" i="8"/>
  <c r="L47" i="6"/>
  <c r="R7" i="6"/>
  <c r="S32" i="6"/>
  <c r="R53" i="6"/>
  <c r="U48" i="6"/>
  <c r="U27" i="6"/>
  <c r="R19" i="6"/>
  <c r="U43" i="6"/>
  <c r="R46" i="6"/>
  <c r="R6" i="6"/>
  <c r="U28" i="6"/>
  <c r="S29" i="6"/>
  <c r="R50" i="6"/>
  <c r="S36" i="6"/>
  <c r="R36" i="6"/>
  <c r="R26" i="6"/>
  <c r="D11" i="6"/>
  <c r="AM11" i="5"/>
  <c r="G11" i="6" s="1"/>
  <c r="G9" i="8" s="1"/>
  <c r="AE11" i="5"/>
  <c r="E11" i="6" s="1"/>
  <c r="E9" i="8" s="1"/>
  <c r="L30" i="6"/>
  <c r="D20" i="8"/>
  <c r="F16" i="8"/>
  <c r="L18" i="6"/>
  <c r="S59" i="6"/>
  <c r="R41" i="6"/>
  <c r="B44" i="6"/>
  <c r="AN44" i="5"/>
  <c r="Q44" i="5"/>
  <c r="C44" i="6" s="1"/>
  <c r="C42" i="8" s="1"/>
  <c r="R4" i="6"/>
  <c r="U14" i="6"/>
  <c r="U41" i="6"/>
  <c r="AN45" i="5"/>
  <c r="S28" i="6"/>
  <c r="S22" i="6"/>
  <c r="R47" i="6"/>
  <c r="F41" i="8"/>
  <c r="L43" i="6"/>
  <c r="S44" i="6"/>
  <c r="L34" i="6"/>
  <c r="R27" i="6"/>
  <c r="S48" i="6"/>
  <c r="U40" i="6"/>
  <c r="L35" i="6"/>
  <c r="D33" i="6"/>
  <c r="AE33" i="5"/>
  <c r="E33" i="6" s="1"/>
  <c r="E31" i="8" s="1"/>
  <c r="AM33" i="5"/>
  <c r="G33" i="6" s="1"/>
  <c r="G31" i="8" s="1"/>
  <c r="AM56" i="5"/>
  <c r="G56" i="6" s="1"/>
  <c r="G54" i="8" s="1"/>
  <c r="AE56" i="5"/>
  <c r="E56" i="6" s="1"/>
  <c r="E54" i="8" s="1"/>
  <c r="D56" i="6"/>
  <c r="L4" i="6"/>
  <c r="B24" i="6"/>
  <c r="Q24" i="5"/>
  <c r="C24" i="6" s="1"/>
  <c r="C22" i="8" s="1"/>
  <c r="AN24" i="5"/>
  <c r="D24" i="8"/>
  <c r="B8" i="6"/>
  <c r="AN8" i="5"/>
  <c r="Q8" i="5"/>
  <c r="C8" i="6" s="1"/>
  <c r="C6" i="8" s="1"/>
  <c r="B24" i="8"/>
  <c r="AN23" i="5"/>
  <c r="B23" i="6"/>
  <c r="Q23" i="5"/>
  <c r="C23" i="6" s="1"/>
  <c r="C21" i="8" s="1"/>
  <c r="D14" i="6"/>
  <c r="AM14" i="5"/>
  <c r="G14" i="6" s="1"/>
  <c r="G12" i="8" s="1"/>
  <c r="AE14" i="5"/>
  <c r="E14" i="6" s="1"/>
  <c r="E12" i="8" s="1"/>
  <c r="D33" i="8"/>
  <c r="AN37" i="5"/>
  <c r="B37" i="6"/>
  <c r="Q37" i="5"/>
  <c r="C37" i="6" s="1"/>
  <c r="C35" i="8" s="1"/>
  <c r="L39" i="6"/>
  <c r="U51" i="6"/>
  <c r="D30" i="6"/>
  <c r="AM30" i="5"/>
  <c r="G30" i="6" s="1"/>
  <c r="G28" i="8" s="1"/>
  <c r="AE30" i="5"/>
  <c r="E30" i="6" s="1"/>
  <c r="E28" i="8" s="1"/>
  <c r="D19" i="6"/>
  <c r="AM19" i="5"/>
  <c r="G19" i="6" s="1"/>
  <c r="G17" i="8" s="1"/>
  <c r="AE19" i="5"/>
  <c r="E19" i="6" s="1"/>
  <c r="E17" i="8" s="1"/>
  <c r="L8" i="6"/>
  <c r="Q22" i="5"/>
  <c r="C22" i="6" s="1"/>
  <c r="C20" i="8" s="1"/>
  <c r="B22" i="6"/>
  <c r="AN22" i="5"/>
  <c r="F10" i="8"/>
  <c r="L12" i="6"/>
  <c r="U9" i="6"/>
  <c r="U8" i="6"/>
  <c r="U53" i="6"/>
  <c r="U46" i="6"/>
  <c r="R23" i="6"/>
  <c r="D20" i="6"/>
  <c r="AE20" i="5"/>
  <c r="E20" i="6" s="1"/>
  <c r="E18" i="8" s="1"/>
  <c r="AM20" i="5"/>
  <c r="G20" i="6" s="1"/>
  <c r="G18" i="8" s="1"/>
  <c r="B17" i="6"/>
  <c r="AN17" i="5"/>
  <c r="Q17" i="5"/>
  <c r="C17" i="6" s="1"/>
  <c r="C15" i="8" s="1"/>
  <c r="H5" i="6"/>
  <c r="AO5" i="5"/>
  <c r="I5" i="6" s="1"/>
  <c r="D14" i="8"/>
  <c r="H34" i="6"/>
  <c r="AO34" i="5"/>
  <c r="I34" i="6" s="1"/>
  <c r="AN28" i="5"/>
  <c r="U56" i="6"/>
  <c r="B25" i="6"/>
  <c r="Q25" i="5"/>
  <c r="C25" i="6" s="1"/>
  <c r="C23" i="8" s="1"/>
  <c r="AN25" i="5"/>
  <c r="L56" i="6"/>
  <c r="B21" i="6"/>
  <c r="AN21" i="5"/>
  <c r="Q21" i="5"/>
  <c r="C21" i="6" s="1"/>
  <c r="C19" i="8" s="1"/>
  <c r="S39" i="6"/>
  <c r="S34" i="6"/>
  <c r="D40" i="6"/>
  <c r="AM40" i="5"/>
  <c r="G40" i="6" s="1"/>
  <c r="G38" i="8" s="1"/>
  <c r="AE40" i="5"/>
  <c r="E40" i="6" s="1"/>
  <c r="E38" i="8" s="1"/>
  <c r="B38" i="6"/>
  <c r="Q38" i="5"/>
  <c r="C38" i="6" s="1"/>
  <c r="C36" i="8" s="1"/>
  <c r="AN38" i="5"/>
  <c r="D57" i="8"/>
  <c r="S33" i="6"/>
  <c r="Q54" i="5"/>
  <c r="C54" i="6" s="1"/>
  <c r="C52" i="8" s="1"/>
  <c r="B54" i="6"/>
  <c r="AN54" i="5"/>
  <c r="S26" i="6"/>
  <c r="B53" i="8"/>
  <c r="AN11" i="5"/>
  <c r="D15" i="6"/>
  <c r="AE15" i="5"/>
  <c r="E15" i="6" s="1"/>
  <c r="E13" i="8" s="1"/>
  <c r="AM15" i="5"/>
  <c r="G15" i="6" s="1"/>
  <c r="G13" i="8" s="1"/>
  <c r="B3" i="8"/>
  <c r="D10" i="6"/>
  <c r="AE10" i="5"/>
  <c r="E10" i="6" s="1"/>
  <c r="E8" i="8" s="1"/>
  <c r="AM10" i="5"/>
  <c r="G10" i="6" s="1"/>
  <c r="G8" i="8" s="1"/>
  <c r="B32" i="8"/>
  <c r="B26" i="8"/>
  <c r="S35" i="6"/>
  <c r="R28" i="6"/>
  <c r="AM36" i="5"/>
  <c r="G36" i="6" s="1"/>
  <c r="G34" i="8" s="1"/>
  <c r="D36" i="6"/>
  <c r="AE36" i="5"/>
  <c r="E36" i="6" s="1"/>
  <c r="E34" i="8" s="1"/>
  <c r="L25" i="6"/>
  <c r="R31" i="6"/>
  <c r="D51" i="8"/>
  <c r="R24" i="6"/>
  <c r="B9" i="8"/>
  <c r="L7" i="6"/>
  <c r="F8" i="8"/>
  <c r="L10" i="6"/>
  <c r="AN19" i="5"/>
  <c r="B4" i="6"/>
  <c r="AN4" i="5"/>
  <c r="Q4" i="5"/>
  <c r="C4" i="6" s="1"/>
  <c r="C2" i="8" s="1"/>
  <c r="D6" i="6"/>
  <c r="AM6" i="5"/>
  <c r="G6" i="6" s="1"/>
  <c r="G4" i="8" s="1"/>
  <c r="AE6" i="5"/>
  <c r="E6" i="6" s="1"/>
  <c r="E4" i="8" s="1"/>
  <c r="D29" i="8"/>
  <c r="D37" i="8"/>
  <c r="D23" i="6"/>
  <c r="AM23" i="5"/>
  <c r="G23" i="6" s="1"/>
  <c r="G21" i="8" s="1"/>
  <c r="AE23" i="5"/>
  <c r="E23" i="6" s="1"/>
  <c r="E21" i="8" s="1"/>
  <c r="D42" i="6"/>
  <c r="AE42" i="5"/>
  <c r="E42" i="6" s="1"/>
  <c r="E40" i="8" s="1"/>
  <c r="AM42" i="5"/>
  <c r="G42" i="6" s="1"/>
  <c r="G40" i="8" s="1"/>
  <c r="R12" i="6"/>
  <c r="U20" i="6"/>
  <c r="F40" i="8"/>
  <c r="L42" i="6"/>
  <c r="S51" i="6"/>
  <c r="AN55" i="5"/>
  <c r="R40" i="6"/>
  <c r="B51" i="8"/>
  <c r="B39" i="6"/>
  <c r="AN39" i="5"/>
  <c r="Q39" i="5"/>
  <c r="C39" i="6" s="1"/>
  <c r="C37" i="8" s="1"/>
  <c r="U17" i="6"/>
  <c r="R59" i="6"/>
  <c r="S56" i="6"/>
  <c r="S46" i="6"/>
  <c r="R16" i="6"/>
  <c r="AO52" i="5"/>
  <c r="I52" i="6" s="1"/>
  <c r="H52" i="6"/>
  <c r="R14" i="6"/>
  <c r="U22" i="6"/>
  <c r="R21" i="6"/>
  <c r="R17" i="6"/>
  <c r="B43" i="8"/>
  <c r="U24" i="6"/>
  <c r="U34" i="6"/>
  <c r="U23" i="6"/>
  <c r="L52" i="6"/>
  <c r="L41" i="6"/>
  <c r="B17" i="8"/>
  <c r="Q14" i="5"/>
  <c r="C14" i="6" s="1"/>
  <c r="C12" i="8" s="1"/>
  <c r="B14" i="6"/>
  <c r="AN14" i="5"/>
  <c r="F3" i="8"/>
  <c r="L5" i="6"/>
  <c r="L26" i="6"/>
  <c r="F19" i="8"/>
  <c r="L21" i="6"/>
  <c r="U21" i="6"/>
  <c r="R57" i="6"/>
  <c r="R54" i="6"/>
  <c r="B50" i="8"/>
  <c r="S14" i="6"/>
  <c r="B33" i="6"/>
  <c r="AN33" i="5"/>
  <c r="Q33" i="5"/>
  <c r="C33" i="6" s="1"/>
  <c r="C31" i="8" s="1"/>
  <c r="S24" i="6"/>
  <c r="S25" i="6"/>
  <c r="R34" i="6"/>
  <c r="Q50" i="5"/>
  <c r="C50" i="6" s="1"/>
  <c r="C48" i="8" s="1"/>
  <c r="B50" i="6"/>
  <c r="AN50" i="5"/>
  <c r="S18" i="6"/>
  <c r="S58" i="6"/>
  <c r="U26" i="6"/>
  <c r="S21" i="6"/>
  <c r="B31" i="6"/>
  <c r="AN31" i="5"/>
  <c r="Q31" i="5"/>
  <c r="C31" i="6" s="1"/>
  <c r="C29" i="8" s="1"/>
  <c r="B7" i="6"/>
  <c r="Q7" i="5"/>
  <c r="C7" i="6" s="1"/>
  <c r="C5" i="8" s="1"/>
  <c r="AN7" i="5"/>
  <c r="L15" i="6"/>
  <c r="L23" i="6"/>
  <c r="F7" i="8"/>
  <c r="L9" i="6"/>
  <c r="U55" i="6"/>
  <c r="U57" i="6"/>
  <c r="R8" i="6"/>
  <c r="AM51" i="5"/>
  <c r="G51" i="6" s="1"/>
  <c r="G49" i="8" s="1"/>
  <c r="AE51" i="5"/>
  <c r="E51" i="6" s="1"/>
  <c r="E49" i="8" s="1"/>
  <c r="D51" i="6"/>
  <c r="S4" i="6"/>
  <c r="S6" i="6"/>
  <c r="D53" i="8"/>
  <c r="AM44" i="5"/>
  <c r="G44" i="6" s="1"/>
  <c r="G42" i="8" s="1"/>
  <c r="D44" i="6"/>
  <c r="AE44" i="5"/>
  <c r="E44" i="6" s="1"/>
  <c r="E42" i="8" s="1"/>
  <c r="U38" i="6"/>
  <c r="R20" i="6"/>
  <c r="U31" i="6"/>
  <c r="U33" i="6"/>
  <c r="R55" i="6"/>
  <c r="S49" i="6"/>
  <c r="U19" i="6"/>
  <c r="B20" i="6"/>
  <c r="Q20" i="5"/>
  <c r="C20" i="6" s="1"/>
  <c r="C18" i="8" s="1"/>
  <c r="AN20" i="5"/>
  <c r="D26" i="8"/>
  <c r="D4" i="6"/>
  <c r="AE4" i="5"/>
  <c r="E4" i="6" s="1"/>
  <c r="E2" i="8" s="1"/>
  <c r="AM4" i="5"/>
  <c r="G4" i="6" s="1"/>
  <c r="G2" i="8" s="1"/>
  <c r="L19" i="6"/>
  <c r="D19" i="8"/>
  <c r="D7" i="6"/>
  <c r="AE7" i="5"/>
  <c r="E7" i="6" s="1"/>
  <c r="E5" i="8" s="1"/>
  <c r="AM7" i="5"/>
  <c r="G7" i="6" s="1"/>
  <c r="G5" i="8" s="1"/>
  <c r="D29" i="6"/>
  <c r="AE29" i="5"/>
  <c r="E29" i="6" s="1"/>
  <c r="E27" i="8" s="1"/>
  <c r="AM29" i="5"/>
  <c r="G29" i="6" s="1"/>
  <c r="G27" i="8" s="1"/>
  <c r="U37" i="6"/>
  <c r="U7" i="6"/>
  <c r="AE50" i="5"/>
  <c r="E50" i="6" s="1"/>
  <c r="E48" i="8" s="1"/>
  <c r="D50" i="6"/>
  <c r="AM50" i="5"/>
  <c r="G50" i="6" s="1"/>
  <c r="G48" i="8" s="1"/>
  <c r="D41" i="6"/>
  <c r="AM41" i="5"/>
  <c r="G41" i="6" s="1"/>
  <c r="G39" i="8" s="1"/>
  <c r="AE41" i="5"/>
  <c r="E41" i="6" s="1"/>
  <c r="E39" i="8" s="1"/>
  <c r="R32" i="6"/>
  <c r="S11" i="6"/>
  <c r="U50" i="6"/>
  <c r="F57" i="8"/>
  <c r="L59" i="6"/>
  <c r="S55" i="6"/>
  <c r="F47" i="8"/>
  <c r="L49" i="6"/>
  <c r="R56" i="6"/>
  <c r="AN59" i="5"/>
  <c r="L53" i="6"/>
  <c r="U42" i="6"/>
  <c r="R38" i="6"/>
  <c r="U16" i="6"/>
  <c r="S15" i="6"/>
  <c r="S27" i="6"/>
  <c r="AM48" i="5"/>
  <c r="G48" i="6" s="1"/>
  <c r="G46" i="8" s="1"/>
  <c r="AE48" i="5"/>
  <c r="E48" i="6" s="1"/>
  <c r="E46" i="8" s="1"/>
  <c r="D48" i="6"/>
  <c r="R33" i="6"/>
  <c r="R52" i="6"/>
  <c r="R18" i="6"/>
  <c r="L48" i="6"/>
  <c r="D41" i="8"/>
  <c r="B10" i="6"/>
  <c r="Q10" i="5"/>
  <c r="C10" i="6" s="1"/>
  <c r="C8" i="8" s="1"/>
  <c r="AN10" i="5"/>
  <c r="AN18" i="5"/>
  <c r="B16" i="6"/>
  <c r="AN16" i="5"/>
  <c r="Q16" i="5"/>
  <c r="C16" i="6" s="1"/>
  <c r="C14" i="8" s="1"/>
  <c r="AN6" i="5"/>
  <c r="H9" i="6"/>
  <c r="AO9" i="5"/>
  <c r="I9" i="6" s="1"/>
  <c r="B41" i="6"/>
  <c r="AN41" i="5"/>
  <c r="Q41" i="5"/>
  <c r="C41" i="6" s="1"/>
  <c r="C39" i="8" s="1"/>
  <c r="R44" i="6"/>
  <c r="R43" i="6"/>
  <c r="R25" i="6"/>
  <c r="AN43" i="5"/>
  <c r="Q43" i="5"/>
  <c r="C43" i="6" s="1"/>
  <c r="C41" i="8" s="1"/>
  <c r="B43" i="6"/>
  <c r="L32" i="6"/>
  <c r="L51" i="6"/>
  <c r="U13" i="6"/>
  <c r="D11" i="8"/>
  <c r="D25" i="8"/>
  <c r="L6" i="6"/>
  <c r="B7" i="8"/>
  <c r="AN12" i="5"/>
  <c r="B40" i="6"/>
  <c r="AN40" i="5"/>
  <c r="Q40" i="5"/>
  <c r="C40" i="6" s="1"/>
  <c r="C38" i="8" s="1"/>
  <c r="R42" i="6"/>
  <c r="S12" i="6"/>
  <c r="B56" i="6"/>
  <c r="AN56" i="5"/>
  <c r="Q56" i="5"/>
  <c r="C56" i="6" s="1"/>
  <c r="C54" i="8" s="1"/>
  <c r="F55" i="8"/>
  <c r="L57" i="6"/>
  <c r="S53" i="6"/>
  <c r="S42" i="6"/>
  <c r="U49" i="6"/>
  <c r="S9" i="6"/>
  <c r="S45" i="6"/>
  <c r="S43" i="6"/>
  <c r="U4" i="6"/>
  <c r="U39" i="6"/>
  <c r="S13" i="6"/>
  <c r="S54" i="6"/>
  <c r="U52" i="6"/>
  <c r="U25" i="6"/>
  <c r="B42" i="6"/>
  <c r="Q42" i="5"/>
  <c r="C42" i="6" s="1"/>
  <c r="C40" i="8" s="1"/>
  <c r="AN42" i="5"/>
  <c r="R10" i="6"/>
  <c r="AN47" i="5"/>
  <c r="R13" i="6"/>
  <c r="AN15" i="5"/>
  <c r="B16" i="8"/>
  <c r="D7" i="8"/>
  <c r="B34" i="8"/>
  <c r="B4" i="8"/>
  <c r="B10" i="8"/>
  <c r="R11" i="6"/>
  <c r="F44" i="8"/>
  <c r="L46" i="6"/>
  <c r="L50" i="6"/>
  <c r="R39" i="6"/>
  <c r="U30" i="6"/>
  <c r="S47" i="6"/>
  <c r="L55" i="6"/>
  <c r="F53" i="8"/>
  <c r="F38" i="8"/>
  <c r="L40" i="6"/>
  <c r="H53" i="6"/>
  <c r="AO53" i="5"/>
  <c r="I53" i="6" s="1"/>
  <c r="Q58" i="5"/>
  <c r="C58" i="6" s="1"/>
  <c r="C56" i="8" s="1"/>
  <c r="B58" i="6"/>
  <c r="AN58" i="5"/>
  <c r="S7" i="6"/>
  <c r="S17" i="6"/>
  <c r="L45" i="6"/>
  <c r="R35" i="6"/>
  <c r="F25" i="8"/>
  <c r="L27" i="6"/>
  <c r="S30" i="6"/>
  <c r="R58" i="6"/>
  <c r="R30" i="6"/>
  <c r="U45" i="6"/>
  <c r="S23" i="6"/>
  <c r="U58" i="6"/>
  <c r="S19" i="6"/>
  <c r="D37" i="6"/>
  <c r="AM37" i="5"/>
  <c r="G37" i="6" s="1"/>
  <c r="G35" i="8" s="1"/>
  <c r="AE37" i="5"/>
  <c r="E37" i="6" s="1"/>
  <c r="E35" i="8" s="1"/>
  <c r="U59" i="6"/>
  <c r="U12" i="6"/>
  <c r="B47" i="8"/>
  <c r="B57" i="8"/>
  <c r="U47" i="6"/>
  <c r="H57" i="6"/>
  <c r="AO57" i="5"/>
  <c r="I57" i="6" s="1"/>
  <c r="R49" i="6"/>
  <c r="R29" i="6"/>
  <c r="D38" i="6"/>
  <c r="AE38" i="5"/>
  <c r="E38" i="6" s="1"/>
  <c r="E36" i="8" s="1"/>
  <c r="AM38" i="5"/>
  <c r="G38" i="6" s="1"/>
  <c r="G36" i="8" s="1"/>
  <c r="H49" i="6"/>
  <c r="AO49" i="5"/>
  <c r="I49" i="6" s="1"/>
  <c r="S37" i="6"/>
  <c r="R22" i="6"/>
  <c r="S38" i="6"/>
  <c r="S16" i="6"/>
  <c r="R51" i="6"/>
  <c r="U18" i="6"/>
  <c r="F36" i="8"/>
  <c r="L38" i="6"/>
  <c r="S57" i="6"/>
  <c r="Q51" i="5"/>
  <c r="C51" i="6" s="1"/>
  <c r="C49" i="8" s="1"/>
  <c r="B51" i="6"/>
  <c r="AN51" i="5"/>
  <c r="B45" i="8"/>
  <c r="U11" i="6"/>
  <c r="F26" i="8"/>
  <c r="L28" i="6"/>
  <c r="D6" i="8"/>
  <c r="L11" i="6"/>
  <c r="L37" i="6"/>
  <c r="F18" i="8"/>
  <c r="L20" i="6"/>
  <c r="AN36" i="5"/>
  <c r="L13" i="6"/>
  <c r="D30" i="8"/>
  <c r="L33" i="6"/>
  <c r="B13" i="8"/>
  <c r="D23" i="8"/>
  <c r="K27" i="6" l="1"/>
  <c r="AO46" i="5"/>
  <c r="I46" i="6" s="1"/>
  <c r="K34" i="6"/>
  <c r="J28" i="6"/>
  <c r="K35" i="6"/>
  <c r="J6" i="6"/>
  <c r="H51" i="6"/>
  <c r="AO51" i="5"/>
  <c r="I51" i="6" s="1"/>
  <c r="D36" i="8"/>
  <c r="K38" i="6"/>
  <c r="J36" i="6"/>
  <c r="H43" i="6"/>
  <c r="AO43" i="5"/>
  <c r="I43" i="6" s="1"/>
  <c r="B8" i="8"/>
  <c r="J10" i="6"/>
  <c r="H59" i="6"/>
  <c r="AO59" i="5"/>
  <c r="I59" i="6" s="1"/>
  <c r="AO20" i="5"/>
  <c r="I20" i="6" s="1"/>
  <c r="H20" i="6"/>
  <c r="B29" i="8"/>
  <c r="J31" i="6"/>
  <c r="K32" i="6"/>
  <c r="J51" i="6"/>
  <c r="B49" i="8"/>
  <c r="H40" i="6"/>
  <c r="AO40" i="5"/>
  <c r="I40" i="6" s="1"/>
  <c r="K43" i="6"/>
  <c r="D49" i="8"/>
  <c r="K51" i="6"/>
  <c r="H39" i="6"/>
  <c r="AO39" i="5"/>
  <c r="I39" i="6" s="1"/>
  <c r="K23" i="6"/>
  <c r="D21" i="8"/>
  <c r="B6" i="8"/>
  <c r="J8" i="6"/>
  <c r="H13" i="6"/>
  <c r="AO13" i="5"/>
  <c r="I13" i="6" s="1"/>
  <c r="H16" i="6"/>
  <c r="AO16" i="5"/>
  <c r="I16" i="6" s="1"/>
  <c r="B18" i="8"/>
  <c r="J20" i="6"/>
  <c r="B37" i="8"/>
  <c r="J39" i="6"/>
  <c r="K39" i="6"/>
  <c r="D8" i="8"/>
  <c r="K10" i="6"/>
  <c r="H38" i="6"/>
  <c r="AO38" i="5"/>
  <c r="I38" i="6" s="1"/>
  <c r="H28" i="6"/>
  <c r="AO28" i="5"/>
  <c r="I28" i="6" s="1"/>
  <c r="K26" i="6"/>
  <c r="D16" i="8"/>
  <c r="K18" i="6"/>
  <c r="K52" i="6"/>
  <c r="J13" i="6"/>
  <c r="B11" i="8"/>
  <c r="AO12" i="5"/>
  <c r="I12" i="6" s="1"/>
  <c r="H12" i="6"/>
  <c r="J53" i="6"/>
  <c r="J5" i="6"/>
  <c r="J37" i="6"/>
  <c r="B35" i="8"/>
  <c r="H29" i="6"/>
  <c r="AO29" i="5"/>
  <c r="I29" i="6" s="1"/>
  <c r="K9" i="6"/>
  <c r="B38" i="8"/>
  <c r="J40" i="6"/>
  <c r="H36" i="6"/>
  <c r="AO36" i="5"/>
  <c r="I36" i="6" s="1"/>
  <c r="J18" i="6"/>
  <c r="J9" i="6"/>
  <c r="K29" i="6"/>
  <c r="D27" i="8"/>
  <c r="J45" i="6"/>
  <c r="K53" i="6"/>
  <c r="B36" i="8"/>
  <c r="J38" i="6"/>
  <c r="H37" i="6"/>
  <c r="AO37" i="5"/>
  <c r="I37" i="6" s="1"/>
  <c r="H24" i="6"/>
  <c r="AO24" i="5"/>
  <c r="I24" i="6" s="1"/>
  <c r="K22" i="6"/>
  <c r="K17" i="6"/>
  <c r="AO41" i="5"/>
  <c r="I41" i="6" s="1"/>
  <c r="H41" i="6"/>
  <c r="H50" i="6"/>
  <c r="AO50" i="5"/>
  <c r="I50" i="6" s="1"/>
  <c r="K31" i="6"/>
  <c r="K16" i="6"/>
  <c r="B27" i="8"/>
  <c r="J29" i="6"/>
  <c r="H30" i="6"/>
  <c r="AO30" i="5"/>
  <c r="I30" i="6" s="1"/>
  <c r="J59" i="6"/>
  <c r="H15" i="6"/>
  <c r="AO15" i="5"/>
  <c r="I15" i="6" s="1"/>
  <c r="B39" i="8"/>
  <c r="J41" i="6"/>
  <c r="J50" i="6"/>
  <c r="B48" i="8"/>
  <c r="H55" i="6"/>
  <c r="AO55" i="5"/>
  <c r="I55" i="6" s="1"/>
  <c r="H22" i="6"/>
  <c r="AO22" i="5"/>
  <c r="I22" i="6" s="1"/>
  <c r="B22" i="8"/>
  <c r="J24" i="6"/>
  <c r="K45" i="6"/>
  <c r="D43" i="8"/>
  <c r="D46" i="8"/>
  <c r="K48" i="6"/>
  <c r="K7" i="6"/>
  <c r="D5" i="8"/>
  <c r="K15" i="6"/>
  <c r="D13" i="8"/>
  <c r="D38" i="8"/>
  <c r="K40" i="6"/>
  <c r="B20" i="8"/>
  <c r="J22" i="6"/>
  <c r="K5" i="6"/>
  <c r="D45" i="8"/>
  <c r="K47" i="6"/>
  <c r="B28" i="8"/>
  <c r="J30" i="6"/>
  <c r="D4" i="8"/>
  <c r="K6" i="6"/>
  <c r="K36" i="6"/>
  <c r="D34" i="8"/>
  <c r="H11" i="6"/>
  <c r="AO11" i="5"/>
  <c r="I11" i="6" s="1"/>
  <c r="K56" i="6"/>
  <c r="D54" i="8"/>
  <c r="K57" i="6"/>
  <c r="AO47" i="5"/>
  <c r="I47" i="6" s="1"/>
  <c r="H47" i="6"/>
  <c r="K8" i="6"/>
  <c r="H6" i="6"/>
  <c r="AO6" i="5"/>
  <c r="I6" i="6" s="1"/>
  <c r="K21" i="6"/>
  <c r="H14" i="6"/>
  <c r="AO14" i="5"/>
  <c r="I14" i="6" s="1"/>
  <c r="J55" i="6"/>
  <c r="D12" i="8"/>
  <c r="K14" i="6"/>
  <c r="H45" i="6"/>
  <c r="AO45" i="5"/>
  <c r="I45" i="6" s="1"/>
  <c r="D9" i="8"/>
  <c r="K11" i="6"/>
  <c r="D56" i="8"/>
  <c r="K58" i="6"/>
  <c r="AO32" i="5"/>
  <c r="I32" i="6" s="1"/>
  <c r="H32" i="6"/>
  <c r="J49" i="6"/>
  <c r="H42" i="6"/>
  <c r="AO42" i="5"/>
  <c r="I42" i="6" s="1"/>
  <c r="K13" i="6"/>
  <c r="B12" i="8"/>
  <c r="J14" i="6"/>
  <c r="H4" i="6"/>
  <c r="AO4" i="5"/>
  <c r="I4" i="6" s="1"/>
  <c r="H17" i="6"/>
  <c r="AO17" i="5"/>
  <c r="I17" i="6" s="1"/>
  <c r="B30" i="8"/>
  <c r="J32" i="6"/>
  <c r="H48" i="6"/>
  <c r="AO48" i="5"/>
  <c r="I48" i="6" s="1"/>
  <c r="D10" i="8"/>
  <c r="K12" i="6"/>
  <c r="D42" i="8"/>
  <c r="K44" i="6"/>
  <c r="H7" i="6"/>
  <c r="AO7" i="5"/>
  <c r="I7" i="6" s="1"/>
  <c r="H58" i="6"/>
  <c r="AO58" i="5"/>
  <c r="I58" i="6" s="1"/>
  <c r="J12" i="6"/>
  <c r="B40" i="8"/>
  <c r="J42" i="6"/>
  <c r="AO56" i="5"/>
  <c r="I56" i="6" s="1"/>
  <c r="H56" i="6"/>
  <c r="B14" i="8"/>
  <c r="J16" i="6"/>
  <c r="D39" i="8"/>
  <c r="K41" i="6"/>
  <c r="AO33" i="5"/>
  <c r="I33" i="6" s="1"/>
  <c r="H33" i="6"/>
  <c r="J19" i="6"/>
  <c r="H19" i="6"/>
  <c r="AO19" i="5"/>
  <c r="I19" i="6" s="1"/>
  <c r="H54" i="6"/>
  <c r="AO54" i="5"/>
  <c r="I54" i="6" s="1"/>
  <c r="B19" i="8"/>
  <c r="J21" i="6"/>
  <c r="D17" i="8"/>
  <c r="K19" i="6"/>
  <c r="H23" i="6"/>
  <c r="AO23" i="5"/>
  <c r="I23" i="6" s="1"/>
  <c r="H35" i="6"/>
  <c r="AO35" i="5"/>
  <c r="I35" i="6" s="1"/>
  <c r="D52" i="8"/>
  <c r="K54" i="6"/>
  <c r="B46" i="8"/>
  <c r="J48" i="6"/>
  <c r="B2" i="8"/>
  <c r="J4" i="6"/>
  <c r="J57" i="6"/>
  <c r="H18" i="6"/>
  <c r="AO18" i="5"/>
  <c r="I18" i="6" s="1"/>
  <c r="B31" i="8"/>
  <c r="J33" i="6"/>
  <c r="B52" i="8"/>
  <c r="J54" i="6"/>
  <c r="J26" i="6"/>
  <c r="K33" i="6"/>
  <c r="D31" i="8"/>
  <c r="J35" i="6"/>
  <c r="B33" i="8"/>
  <c r="B56" i="8"/>
  <c r="J58" i="6"/>
  <c r="B54" i="8"/>
  <c r="J56" i="6"/>
  <c r="D2" i="8"/>
  <c r="K4" i="6"/>
  <c r="K49" i="6"/>
  <c r="K55" i="6"/>
  <c r="B5" i="8"/>
  <c r="J7" i="6"/>
  <c r="J15" i="6"/>
  <c r="J47" i="6"/>
  <c r="K37" i="6"/>
  <c r="D35" i="8"/>
  <c r="B41" i="8"/>
  <c r="J43" i="6"/>
  <c r="H10" i="6"/>
  <c r="AO10" i="5"/>
  <c r="I10" i="6" s="1"/>
  <c r="D48" i="8"/>
  <c r="K50" i="6"/>
  <c r="K28" i="6"/>
  <c r="D40" i="8"/>
  <c r="K42" i="6"/>
  <c r="J34" i="6"/>
  <c r="H25" i="6"/>
  <c r="AO25" i="5"/>
  <c r="I25" i="6" s="1"/>
  <c r="D18" i="8"/>
  <c r="K20" i="6"/>
  <c r="AO44" i="5"/>
  <c r="I44" i="6" s="1"/>
  <c r="H44" i="6"/>
  <c r="K46" i="6"/>
  <c r="H31" i="6"/>
  <c r="AO31" i="5"/>
  <c r="I31" i="6" s="1"/>
  <c r="J52" i="6"/>
  <c r="D28" i="8"/>
  <c r="K30" i="6"/>
  <c r="B42" i="8"/>
  <c r="J44" i="6"/>
  <c r="B25" i="8"/>
  <c r="J27" i="6"/>
  <c r="D22" i="8"/>
  <c r="K24" i="6"/>
  <c r="H21" i="6"/>
  <c r="AO21" i="5"/>
  <c r="I21" i="6" s="1"/>
  <c r="B15" i="8"/>
  <c r="J17" i="6"/>
  <c r="B21" i="8"/>
  <c r="J23" i="6"/>
  <c r="K25" i="6"/>
  <c r="J11" i="6"/>
  <c r="K59" i="6"/>
  <c r="B23" i="8"/>
  <c r="J25" i="6"/>
  <c r="H8" i="6"/>
  <c r="AO8" i="5"/>
  <c r="I8" i="6" s="1"/>
  <c r="J46" i="6"/>
  <c r="H27" i="6"/>
  <c r="AO27" i="5"/>
  <c r="I27" i="6" s="1"/>
  <c r="M26" i="6" l="1"/>
  <c r="M18" i="6"/>
  <c r="M20" i="6"/>
  <c r="M37" i="6"/>
  <c r="M28" i="6"/>
  <c r="M59" i="6"/>
  <c r="M13" i="6"/>
  <c r="M11" i="6"/>
  <c r="M54" i="6"/>
  <c r="M52" i="6"/>
  <c r="M19" i="6"/>
  <c r="M7" i="6"/>
  <c r="M14" i="6"/>
  <c r="M34" i="6"/>
  <c r="M29" i="6"/>
  <c r="M31" i="6"/>
  <c r="M10" i="6"/>
  <c r="M42" i="6"/>
  <c r="M30" i="6"/>
  <c r="M38" i="6"/>
  <c r="M4" i="6"/>
  <c r="M24" i="6"/>
  <c r="M39" i="6"/>
  <c r="M44" i="6"/>
  <c r="M43" i="6"/>
  <c r="M49" i="6"/>
  <c r="M32" i="6"/>
  <c r="M6" i="6"/>
  <c r="M35" i="6"/>
  <c r="M9" i="6"/>
  <c r="M58" i="6"/>
  <c r="M15" i="6"/>
  <c r="M53" i="6"/>
  <c r="M21" i="6"/>
  <c r="M46" i="6"/>
  <c r="M50" i="6"/>
  <c r="M40" i="6"/>
  <c r="M48" i="6"/>
  <c r="M47" i="6"/>
  <c r="M22" i="6"/>
  <c r="M12" i="6"/>
  <c r="M23" i="6"/>
  <c r="M56" i="6"/>
  <c r="M55" i="6"/>
  <c r="M41" i="6"/>
  <c r="M57" i="6"/>
  <c r="M33" i="6"/>
  <c r="M27" i="6"/>
  <c r="M25" i="6"/>
  <c r="M16" i="6"/>
  <c r="M51" i="6"/>
  <c r="M17" i="6"/>
  <c r="M45" i="6"/>
  <c r="M8" i="6"/>
  <c r="M5" i="6"/>
  <c r="M36" i="6"/>
</calcChain>
</file>

<file path=xl/sharedStrings.xml><?xml version="1.0" encoding="utf-8"?>
<sst xmlns="http://schemas.openxmlformats.org/spreadsheetml/2006/main" count="1813" uniqueCount="555">
  <si>
    <t>Key</t>
  </si>
  <si>
    <t>Scouter</t>
  </si>
  <si>
    <t>Event</t>
  </si>
  <si>
    <t>Match</t>
  </si>
  <si>
    <t>Alliance</t>
  </si>
  <si>
    <t>Team</t>
  </si>
  <si>
    <t>Started With Coral</t>
  </si>
  <si>
    <t>Left Starting Zone</t>
  </si>
  <si>
    <t>Auto Coral L4</t>
  </si>
  <si>
    <t>Auto Coral L3</t>
  </si>
  <si>
    <t>Auto Coral L2</t>
  </si>
  <si>
    <t>Auto Coral L1</t>
  </si>
  <si>
    <t>Auto Algae Processor</t>
  </si>
  <si>
    <t>Auto Algae Net</t>
  </si>
  <si>
    <t>Dropped</t>
  </si>
  <si>
    <t>Tele Coral L4</t>
  </si>
  <si>
    <t>Tele Coral L3</t>
  </si>
  <si>
    <t>Tele Coral L2</t>
  </si>
  <si>
    <t>Tele Coral L1</t>
  </si>
  <si>
    <t>Tele Algae Processor</t>
  </si>
  <si>
    <t>Tele Algae Net</t>
  </si>
  <si>
    <t>Tele Dropped Piecs</t>
  </si>
  <si>
    <t>Tele Pickup Coral From</t>
  </si>
  <si>
    <t>Endgame Final Status</t>
  </si>
  <si>
    <t>Post Win or Lose</t>
  </si>
  <si>
    <t>Post Auto Ranking</t>
  </si>
  <si>
    <t>Post Coral Ranking</t>
  </si>
  <si>
    <t>Post Barge Ranking</t>
  </si>
  <si>
    <t>Immobilized</t>
  </si>
  <si>
    <t>Make Good Partner</t>
  </si>
  <si>
    <t>Comments</t>
  </si>
  <si>
    <t>Red-1</t>
  </si>
  <si>
    <t>TBA Key</t>
  </si>
  <si>
    <t>2025nytr</t>
  </si>
  <si>
    <t>FIRST Key</t>
  </si>
  <si>
    <t>nytr</t>
  </si>
  <si>
    <t>Name</t>
  </si>
  <si>
    <t>New York Tech Valley Regional</t>
  </si>
  <si>
    <t>Location</t>
  </si>
  <si>
    <t>51 S Pearl St</t>
  </si>
  <si>
    <t>Start Date</t>
  </si>
  <si>
    <t>2025-03-26</t>
  </si>
  <si>
    <t>Team Number</t>
  </si>
  <si>
    <t>Nickname</t>
  </si>
  <si>
    <t>School</t>
  </si>
  <si>
    <t>Rookie Year</t>
  </si>
  <si>
    <t>The Rocketeers</t>
  </si>
  <si>
    <t>Shenendehowa High School</t>
  </si>
  <si>
    <t>frc20</t>
  </si>
  <si>
    <t>X-CATS</t>
  </si>
  <si>
    <t>Wilson Magnet High School</t>
  </si>
  <si>
    <t>frc191</t>
  </si>
  <si>
    <t>Division By Zero</t>
  </si>
  <si>
    <t>Norwood-Norfolk Sr High School &amp; Massena High School</t>
  </si>
  <si>
    <t>frc229</t>
  </si>
  <si>
    <t>The Dynamos</t>
  </si>
  <si>
    <t>Colonie Central High School</t>
  </si>
  <si>
    <t>frc250</t>
  </si>
  <si>
    <t>TechKnights</t>
  </si>
  <si>
    <t>Brooklyn Technical High School</t>
  </si>
  <si>
    <t>frc334</t>
  </si>
  <si>
    <t>Robotic Eagles</t>
  </si>
  <si>
    <t>Hauppauge High School</t>
  </si>
  <si>
    <t>frc358</t>
  </si>
  <si>
    <t>Rust Belt Robotics</t>
  </si>
  <si>
    <t>Churchville-Chili High School &amp; Bausch &amp; Lomb Incorporated</t>
  </si>
  <si>
    <t>frc424</t>
  </si>
  <si>
    <t>Fairport Robotics</t>
  </si>
  <si>
    <t>Fairport High School</t>
  </si>
  <si>
    <t>frc578</t>
  </si>
  <si>
    <t>Code Red Robotics</t>
  </si>
  <si>
    <t>Ithaca High School</t>
  </si>
  <si>
    <t>frc639</t>
  </si>
  <si>
    <t>The Mechanical Bulls</t>
  </si>
  <si>
    <t>Smithtown High School-East &amp; Smithtown High School-West</t>
  </si>
  <si>
    <t>frc810</t>
  </si>
  <si>
    <t>TEAM  R. I. C. E.</t>
  </si>
  <si>
    <t>Southold Jr Sr High School</t>
  </si>
  <si>
    <t>frc870</t>
  </si>
  <si>
    <t>SPARX</t>
  </si>
  <si>
    <t>Schroeder High School &amp; Webster Thomas High School</t>
  </si>
  <si>
    <t>frc1126</t>
  </si>
  <si>
    <t>Hicksville J-Birds</t>
  </si>
  <si>
    <t>Hicksville High School</t>
  </si>
  <si>
    <t>frc1468</t>
  </si>
  <si>
    <t>Falcons</t>
  </si>
  <si>
    <t>Albany High School</t>
  </si>
  <si>
    <t>frc1493</t>
  </si>
  <si>
    <t>Raider Robotics</t>
  </si>
  <si>
    <t>Palmyra-Macedon High School</t>
  </si>
  <si>
    <t>frc1518</t>
  </si>
  <si>
    <t>Greece Gladiators</t>
  </si>
  <si>
    <t>Odyssey Academy &amp; Athena High School &amp; Olympia High School &amp; Arcadia High School</t>
  </si>
  <si>
    <t>frc1591</t>
  </si>
  <si>
    <t>RoboTigers</t>
  </si>
  <si>
    <t>Queens Technical High School</t>
  </si>
  <si>
    <t>frc1796</t>
  </si>
  <si>
    <t>Warriors of East Harlem</t>
  </si>
  <si>
    <t>NASA</t>
  </si>
  <si>
    <t>frc1880</t>
  </si>
  <si>
    <t>Southern Tier Robotics</t>
  </si>
  <si>
    <t>Vestal Senior High School</t>
  </si>
  <si>
    <t>frc2053</t>
  </si>
  <si>
    <t>Steel Hawks</t>
  </si>
  <si>
    <t>Townsend Harris High School</t>
  </si>
  <si>
    <t>frc2601</t>
  </si>
  <si>
    <t>Shaker Robotics</t>
  </si>
  <si>
    <t>Shaker High School</t>
  </si>
  <si>
    <t>frc2791</t>
  </si>
  <si>
    <t>Regal Eagles</t>
  </si>
  <si>
    <t>Bethpage High School</t>
  </si>
  <si>
    <t>frc2869</t>
  </si>
  <si>
    <t>CyberHawks</t>
  </si>
  <si>
    <t>Cold Spring Harbor Jr Sr HS</t>
  </si>
  <si>
    <t>frc2875</t>
  </si>
  <si>
    <t>TAN(X)</t>
  </si>
  <si>
    <t>Canandaigua Academy</t>
  </si>
  <si>
    <t>frc3003</t>
  </si>
  <si>
    <t>Team 0xBE4</t>
  </si>
  <si>
    <t>Ballston Spa High School</t>
  </si>
  <si>
    <t>frc3044</t>
  </si>
  <si>
    <t>Harfangs</t>
  </si>
  <si>
    <t>Triolet</t>
  </si>
  <si>
    <t>frc3117</t>
  </si>
  <si>
    <t>HURRICANES</t>
  </si>
  <si>
    <t>Westhampton Beach High School</t>
  </si>
  <si>
    <t>frc3171</t>
  </si>
  <si>
    <t>IgKnighters</t>
  </si>
  <si>
    <t>McQuaid Jesuit High School</t>
  </si>
  <si>
    <t>frc3173</t>
  </si>
  <si>
    <t>Pittsford Panthers</t>
  </si>
  <si>
    <t>Pittsford Sutherland High Sch &amp; Pittsford Mendon High School</t>
  </si>
  <si>
    <t>frc3181</t>
  </si>
  <si>
    <t>Hyperion</t>
  </si>
  <si>
    <t>De La Montée (Le Ber)</t>
  </si>
  <si>
    <t>frc3360</t>
  </si>
  <si>
    <t>Robotronix</t>
  </si>
  <si>
    <t>Ecole Cavelier-de LaSalle</t>
  </si>
  <si>
    <t>frc3550</t>
  </si>
  <si>
    <t>RoboGym Robotics</t>
  </si>
  <si>
    <t>North Shore High School</t>
  </si>
  <si>
    <t>frc3950</t>
  </si>
  <si>
    <t>Ossining O-Bots</t>
  </si>
  <si>
    <t>Ossining High School</t>
  </si>
  <si>
    <t>frc4122</t>
  </si>
  <si>
    <t>Infernobotix</t>
  </si>
  <si>
    <t>Center Moriches High School</t>
  </si>
  <si>
    <t>frc4458</t>
  </si>
  <si>
    <t>Rambots</t>
  </si>
  <si>
    <t>Manhattan Ctr Science &amp; Math</t>
  </si>
  <si>
    <t>frc4571</t>
  </si>
  <si>
    <t>TroyBotics</t>
  </si>
  <si>
    <t>Troy High School</t>
  </si>
  <si>
    <t>frc5149</t>
  </si>
  <si>
    <t>Ultime</t>
  </si>
  <si>
    <t>Institut Secondaire Keranna</t>
  </si>
  <si>
    <t>frc5528</t>
  </si>
  <si>
    <t>TVHS Dragons</t>
  </si>
  <si>
    <t>Tech Valley High School</t>
  </si>
  <si>
    <t>frc5881</t>
  </si>
  <si>
    <t>The Northwoodians</t>
  </si>
  <si>
    <t>Northwood School</t>
  </si>
  <si>
    <t>frc6300</t>
  </si>
  <si>
    <t>8-bit RAMs</t>
  </si>
  <si>
    <t>Clarkstown North High School</t>
  </si>
  <si>
    <t>frc6401</t>
  </si>
  <si>
    <t>Robotic Rams</t>
  </si>
  <si>
    <t>Ulster Boces</t>
  </si>
  <si>
    <t>frc6463</t>
  </si>
  <si>
    <t>Artemis</t>
  </si>
  <si>
    <t>Chatham High School</t>
  </si>
  <si>
    <t>frc6621</t>
  </si>
  <si>
    <t>MechaSpartans</t>
  </si>
  <si>
    <t>John Adams High School</t>
  </si>
  <si>
    <t>frc6648</t>
  </si>
  <si>
    <t>Mineola Wild Reds</t>
  </si>
  <si>
    <t>Mineola High School</t>
  </si>
  <si>
    <t>frc6806</t>
  </si>
  <si>
    <t>SO BOTZ</t>
  </si>
  <si>
    <t>Tappan Zee High School</t>
  </si>
  <si>
    <t>frc6911</t>
  </si>
  <si>
    <t>The ROBOlympians</t>
  </si>
  <si>
    <t>Lake Placid Middle High School</t>
  </si>
  <si>
    <t>frc7030</t>
  </si>
  <si>
    <t>Duanesburg Jr./Sr. High School</t>
  </si>
  <si>
    <t>Duanesburg Jr Sr High School</t>
  </si>
  <si>
    <t>frc7031</t>
  </si>
  <si>
    <t>CyBearBots</t>
  </si>
  <si>
    <t>Brewster High School</t>
  </si>
  <si>
    <t>frc7504</t>
  </si>
  <si>
    <t>ASTRO</t>
  </si>
  <si>
    <t>Académie Ste-Therese</t>
  </si>
  <si>
    <t>frc7605</t>
  </si>
  <si>
    <t>HVPA Dragons</t>
  </si>
  <si>
    <t>Home School</t>
  </si>
  <si>
    <t>frc7718</t>
  </si>
  <si>
    <t>Bulldog Bytes</t>
  </si>
  <si>
    <t>Irvington High School</t>
  </si>
  <si>
    <t>frc7759</t>
  </si>
  <si>
    <t>Alpha Lab</t>
  </si>
  <si>
    <t>Collège Notre-Dame-de-Lourdes</t>
  </si>
  <si>
    <t>frc8067</t>
  </si>
  <si>
    <t>Team Sirius</t>
  </si>
  <si>
    <t>Ayet Azer Aran Savunma Sanayi Mesleki ve Teknik Anadolu Lisesi</t>
  </si>
  <si>
    <t>frc9468</t>
  </si>
  <si>
    <t>Dynamiques 9624</t>
  </si>
  <si>
    <t>College Charles Lemoyne</t>
  </si>
  <si>
    <t>frc9624</t>
  </si>
  <si>
    <t>SUNY Poly Wildcat Robotics</t>
  </si>
  <si>
    <t>Family/Community</t>
  </si>
  <si>
    <t>frc10352</t>
  </si>
  <si>
    <t>RAMpage.AI</t>
  </si>
  <si>
    <t>Amsterdam High School</t>
  </si>
  <si>
    <t>frc10714</t>
  </si>
  <si>
    <t>Start Time</t>
  </si>
  <si>
    <t>Blue-1</t>
  </si>
  <si>
    <t>Blue-2</t>
  </si>
  <si>
    <t>Blue-3</t>
  </si>
  <si>
    <t>Red-2</t>
  </si>
  <si>
    <t>Red-3</t>
  </si>
  <si>
    <t>2025-03-28 09:00:00</t>
  </si>
  <si>
    <t>2025-03-28 09:08:00</t>
  </si>
  <si>
    <t>2025-03-28 09:16:00</t>
  </si>
  <si>
    <t>2025-03-28 09:24:00</t>
  </si>
  <si>
    <t>2025-03-28 09:32:00</t>
  </si>
  <si>
    <t>2025-03-28 09:40:00</t>
  </si>
  <si>
    <t>2025-03-28 09:48:00</t>
  </si>
  <si>
    <t>2025-03-28 09:56:00</t>
  </si>
  <si>
    <t>2025-03-28 10:04:00</t>
  </si>
  <si>
    <t>2025-03-28 10:12:00</t>
  </si>
  <si>
    <t>2025-03-28 10:20:00</t>
  </si>
  <si>
    <t>2025-03-28 10:28:00</t>
  </si>
  <si>
    <t>2025-03-28 10:36:00</t>
  </si>
  <si>
    <t>2025-03-28 10:44:00</t>
  </si>
  <si>
    <t>2025-03-28 10:52:00</t>
  </si>
  <si>
    <t>2025-03-28 11:00:00</t>
  </si>
  <si>
    <t>2025-03-28 11:08:00</t>
  </si>
  <si>
    <t>2025-03-28 11:16:00</t>
  </si>
  <si>
    <t>2025-03-28 11:24:00</t>
  </si>
  <si>
    <t>2025-03-28 11:32:00</t>
  </si>
  <si>
    <t>2025-03-28 11:40:00</t>
  </si>
  <si>
    <t>2025-03-28 11:48:00</t>
  </si>
  <si>
    <t>2025-03-28 11:56:00</t>
  </si>
  <si>
    <t>2025-03-28 12:04:00</t>
  </si>
  <si>
    <t>2025-03-28 13:00:00</t>
  </si>
  <si>
    <t>2025-03-28 13:08:00</t>
  </si>
  <si>
    <t>2025-03-28 13:16:00</t>
  </si>
  <si>
    <t>2025-03-28 13:24:00</t>
  </si>
  <si>
    <t>2025-03-28 13:32:00</t>
  </si>
  <si>
    <t>2025-03-28 13:40:00</t>
  </si>
  <si>
    <t>2025-03-28 13:48:00</t>
  </si>
  <si>
    <t>2025-03-28 13:56:00</t>
  </si>
  <si>
    <t>2025-03-28 14:04:00</t>
  </si>
  <si>
    <t>2025-03-28 14:12:00</t>
  </si>
  <si>
    <t>2025-03-28 14:20:00</t>
  </si>
  <si>
    <t>2025-03-28 14:28:00</t>
  </si>
  <si>
    <t>2025-03-28 14:36:00</t>
  </si>
  <si>
    <t>2025-03-28 14:44:00</t>
  </si>
  <si>
    <t>2025-03-28 14:52:00</t>
  </si>
  <si>
    <t>2025-03-28 15:00:00</t>
  </si>
  <si>
    <t>2025-03-28 15:08:00</t>
  </si>
  <si>
    <t>2025-03-28 15:16:00</t>
  </si>
  <si>
    <t>2025-03-28 15:24:00</t>
  </si>
  <si>
    <t>2025-03-28 15:32:00</t>
  </si>
  <si>
    <t>2025-03-28 15:40:00</t>
  </si>
  <si>
    <t>2025-03-28 15:48:00</t>
  </si>
  <si>
    <t>2025-03-28 15:56:00</t>
  </si>
  <si>
    <t>2025-03-28 16:04:00</t>
  </si>
  <si>
    <t>2025-03-28 16:12:00</t>
  </si>
  <si>
    <t>2025-03-28 16:20:00</t>
  </si>
  <si>
    <t>2025-03-28 16:28:00</t>
  </si>
  <si>
    <t>2025-03-28 16:36:00</t>
  </si>
  <si>
    <t>2025-03-28 16:44:00</t>
  </si>
  <si>
    <t>2025-03-28 16:52:00</t>
  </si>
  <si>
    <t>2025-03-28 17:00:00</t>
  </si>
  <si>
    <t>2025-03-28 17:08:00</t>
  </si>
  <si>
    <t>2025-03-28 17:16:00</t>
  </si>
  <si>
    <t>2025-03-28 17:24:00</t>
  </si>
  <si>
    <t>2025-03-28 17:32:00</t>
  </si>
  <si>
    <t>2025-03-28 17:40:00</t>
  </si>
  <si>
    <t>2025-03-29 08:50:00</t>
  </si>
  <si>
    <t>2025-03-29 08:58:00</t>
  </si>
  <si>
    <t>2025-03-29 09:06:00</t>
  </si>
  <si>
    <t>2025-03-29 09:14:00</t>
  </si>
  <si>
    <t>2025-03-29 09:22:00</t>
  </si>
  <si>
    <t>2025-03-29 09:30:00</t>
  </si>
  <si>
    <t>2025-03-29 09:38:00</t>
  </si>
  <si>
    <t>2025-03-29 09:46:00</t>
  </si>
  <si>
    <t>2025-03-29 09:54:00</t>
  </si>
  <si>
    <t>2025-03-29 10:02:00</t>
  </si>
  <si>
    <t>2025-03-29 10:10:00</t>
  </si>
  <si>
    <t>2025-03-29 10:18:00</t>
  </si>
  <si>
    <t>2025-03-29 10:26:00</t>
  </si>
  <si>
    <t>2025-03-29 10:34:00</t>
  </si>
  <si>
    <t>2025-03-29 10:42:00</t>
  </si>
  <si>
    <t>2025-03-29 10:50:00</t>
  </si>
  <si>
    <t>2025-03-29 10:58:00</t>
  </si>
  <si>
    <t>2025-03-29 11:06:00</t>
  </si>
  <si>
    <t>2025-03-29 11:14:00</t>
  </si>
  <si>
    <t>2025-03-29 11:22:00</t>
  </si>
  <si>
    <t>2025-03-29 11:30:00</t>
  </si>
  <si>
    <t>2025-03-29 11:38:00</t>
  </si>
  <si>
    <t>2025-03-29 11:46:00</t>
  </si>
  <si>
    <t>2025-03-29 11:54:00</t>
  </si>
  <si>
    <t>Auto</t>
  </si>
  <si>
    <t>Teleop</t>
  </si>
  <si>
    <t>Endgame</t>
  </si>
  <si>
    <t>Points</t>
  </si>
  <si>
    <t>Ranking Points</t>
  </si>
  <si>
    <t>Scores</t>
  </si>
  <si>
    <t># Scouted</t>
  </si>
  <si>
    <t>L4</t>
  </si>
  <si>
    <t>L3</t>
  </si>
  <si>
    <t>L2</t>
  </si>
  <si>
    <t>L1</t>
  </si>
  <si>
    <t>Processor</t>
  </si>
  <si>
    <t>Net</t>
  </si>
  <si>
    <t>Leave</t>
  </si>
  <si>
    <t>Total</t>
  </si>
  <si>
    <t>Average</t>
  </si>
  <si>
    <t>Park</t>
  </si>
  <si>
    <t>Shallow</t>
  </si>
  <si>
    <t>Deep</t>
  </si>
  <si>
    <t>Coral</t>
  </si>
  <si>
    <t>Barge</t>
  </si>
  <si>
    <t>Points Scored</t>
  </si>
  <si>
    <t>Percentile</t>
  </si>
  <si>
    <t>Ranking Points Scored</t>
  </si>
  <si>
    <t>Ranking Points Percentile</t>
  </si>
  <si>
    <t>Overall</t>
  </si>
  <si>
    <t>Scouter Name</t>
  </si>
  <si>
    <t>Match Count</t>
  </si>
  <si>
    <t>Auto Total</t>
  </si>
  <si>
    <t>Auto Average</t>
  </si>
  <si>
    <t>Teleop Total</t>
  </si>
  <si>
    <t>Teleop Average</t>
  </si>
  <si>
    <t>Endgame Total</t>
  </si>
  <si>
    <t>Endgame Average</t>
  </si>
  <si>
    <t>60.Blue-3</t>
  </si>
  <si>
    <t>Celton Norter</t>
  </si>
  <si>
    <t>2025nyro</t>
  </si>
  <si>
    <t>s</t>
  </si>
  <si>
    <t>d</t>
  </si>
  <si>
    <t>l</t>
  </si>
  <si>
    <t>61.Blue-3</t>
  </si>
  <si>
    <t>Maddie DeCicca</t>
  </si>
  <si>
    <t>2025nyrt</t>
  </si>
  <si>
    <t>p</t>
  </si>
  <si>
    <t>w</t>
  </si>
  <si>
    <t>62.Blue-3</t>
  </si>
  <si>
    <t>x</t>
  </si>
  <si>
    <t>63.Blue-3</t>
  </si>
  <si>
    <t>64.Blue-3</t>
  </si>
  <si>
    <t>65.Blue-3</t>
  </si>
  <si>
    <t>t</t>
  </si>
  <si>
    <t>66.Blue-3</t>
  </si>
  <si>
    <t>f</t>
  </si>
  <si>
    <t>66.Blue-1</t>
  </si>
  <si>
    <t>67.Blue-3</t>
  </si>
  <si>
    <t>68.Blue-3</t>
  </si>
  <si>
    <t>69.Blue-3</t>
  </si>
  <si>
    <t>70.Blue-3</t>
  </si>
  <si>
    <t>71.Blue-3</t>
  </si>
  <si>
    <t>72.Blue-3</t>
  </si>
  <si>
    <t>73.Blue-3</t>
  </si>
  <si>
    <t>74.Blue-3</t>
  </si>
  <si>
    <t>76.Blue-3</t>
  </si>
  <si>
    <t>78.Blue-3</t>
  </si>
  <si>
    <t>4.Blue-3</t>
  </si>
  <si>
    <t>5.Red-3</t>
  </si>
  <si>
    <t>6.Blue-3</t>
  </si>
  <si>
    <t>2025nyr</t>
  </si>
  <si>
    <t>8.Blue-3</t>
  </si>
  <si>
    <t>9.Blue-3</t>
  </si>
  <si>
    <t>10.Blue-3</t>
  </si>
  <si>
    <t>12.Blue-3</t>
  </si>
  <si>
    <t>Brandon Bates</t>
  </si>
  <si>
    <t>13.Blue-3</t>
  </si>
  <si>
    <t>14.Blue-3</t>
  </si>
  <si>
    <t>15.Blue-3</t>
  </si>
  <si>
    <t>16.Blue-3</t>
  </si>
  <si>
    <t>17.Blue-3</t>
  </si>
  <si>
    <t>18.Blue-3</t>
  </si>
  <si>
    <t>19.Blue-3</t>
  </si>
  <si>
    <t>20.Blue-3</t>
  </si>
  <si>
    <t>21.Blue-3</t>
  </si>
  <si>
    <t>22.Blue-3</t>
  </si>
  <si>
    <t>23.Blue-3</t>
  </si>
  <si>
    <t>61.Blue-2</t>
  </si>
  <si>
    <t>Nicholas Munier</t>
  </si>
  <si>
    <t>62.Blue-2</t>
  </si>
  <si>
    <t>63.Blue-2</t>
  </si>
  <si>
    <t>64.Blue-2</t>
  </si>
  <si>
    <t>65.Blue-2</t>
  </si>
  <si>
    <t>66.Blue-2</t>
  </si>
  <si>
    <t>67.Blue-2</t>
  </si>
  <si>
    <t>69.Blue-2</t>
  </si>
  <si>
    <t>70.Blue-2</t>
  </si>
  <si>
    <t>71.Blue-2</t>
  </si>
  <si>
    <t>72.Blue-2</t>
  </si>
  <si>
    <t>25.Blue-1</t>
  </si>
  <si>
    <t>Andrew McCadden</t>
  </si>
  <si>
    <t>26.Blue-1</t>
  </si>
  <si>
    <t>27.Blue-1</t>
  </si>
  <si>
    <t>28.Blue-1</t>
  </si>
  <si>
    <t>29.Blue-1</t>
  </si>
  <si>
    <t>30.Blue-1</t>
  </si>
  <si>
    <t>31.Blue-1</t>
  </si>
  <si>
    <t>32.Blue-1</t>
  </si>
  <si>
    <t>33.Blue-1</t>
  </si>
  <si>
    <t>34.Blue-1</t>
  </si>
  <si>
    <t>35.Blue-1</t>
  </si>
  <si>
    <t>36.Blue-1</t>
  </si>
  <si>
    <t>39.Blue-3</t>
  </si>
  <si>
    <t>Kai Hurrell</t>
  </si>
  <si>
    <t>40.Blue-1</t>
  </si>
  <si>
    <t>41.Blue-1</t>
  </si>
  <si>
    <t>42.Blue-1</t>
  </si>
  <si>
    <t>43.Blue-1</t>
  </si>
  <si>
    <t>44.Blue-1</t>
  </si>
  <si>
    <t>45.Blue-1</t>
  </si>
  <si>
    <t>46.Blue-1</t>
  </si>
  <si>
    <t>b</t>
  </si>
  <si>
    <t>47.Blue-1</t>
  </si>
  <si>
    <t>73.Blue-1</t>
  </si>
  <si>
    <t>74.Blue-1</t>
  </si>
  <si>
    <t>75.Blue-1</t>
  </si>
  <si>
    <t>76.Blue-1</t>
  </si>
  <si>
    <t>77.Blue-1</t>
  </si>
  <si>
    <t>78.Blue-1</t>
  </si>
  <si>
    <t>79.Blue-1</t>
  </si>
  <si>
    <t>80.Blue-1</t>
  </si>
  <si>
    <t>81.Blue-1</t>
  </si>
  <si>
    <t>82.Blue-1</t>
  </si>
  <si>
    <t>83.Blue-1</t>
  </si>
  <si>
    <t>84.Blue-1</t>
  </si>
  <si>
    <t>61.Blue-1</t>
  </si>
  <si>
    <t>Domenic Giammusso</t>
  </si>
  <si>
    <t>62.Blue-1</t>
  </si>
  <si>
    <t>63.Blue-1</t>
  </si>
  <si>
    <t>64.Blue-1</t>
  </si>
  <si>
    <t>65.Blue-1</t>
  </si>
  <si>
    <t>67.Blue-1</t>
  </si>
  <si>
    <t>68.Blue-1</t>
  </si>
  <si>
    <t>69.Blue-1</t>
  </si>
  <si>
    <t>70.Blue-1</t>
  </si>
  <si>
    <t>71.Blue-1</t>
  </si>
  <si>
    <t>72.Blue-1</t>
  </si>
  <si>
    <t>TJ Blake</t>
  </si>
  <si>
    <t>60.Blue-2</t>
  </si>
  <si>
    <t>Tj Blake</t>
  </si>
  <si>
    <t>68.Blue-2</t>
  </si>
  <si>
    <t>73.Blue-2</t>
  </si>
  <si>
    <t>Matthew Mazzota</t>
  </si>
  <si>
    <t>74.Blue-2</t>
  </si>
  <si>
    <t>75.Blue-2</t>
  </si>
  <si>
    <t>76.Blue-2</t>
  </si>
  <si>
    <t>2025n</t>
  </si>
  <si>
    <t>77.Blue-2</t>
  </si>
  <si>
    <t>78.Blue-2</t>
  </si>
  <si>
    <t>2025trafoop</t>
  </si>
  <si>
    <t>79.Blue-2</t>
  </si>
  <si>
    <t>80.Blue-2</t>
  </si>
  <si>
    <t>2025trafoopsdrawkcabtisitahw</t>
  </si>
  <si>
    <t>81.Blue-2</t>
  </si>
  <si>
    <t>82.Blue-2</t>
  </si>
  <si>
    <t>83.Blue-2</t>
  </si>
  <si>
    <t>Matthew Mazzota F</t>
  </si>
  <si>
    <t>you</t>
  </si>
  <si>
    <t>84.Blue-2</t>
  </si>
  <si>
    <t>Matthew Mazzota TVR</t>
  </si>
  <si>
    <t>26.Blue-3</t>
  </si>
  <si>
    <t>27.Blue-3</t>
  </si>
  <si>
    <t>28.Blue-3</t>
  </si>
  <si>
    <t>29.Blue-3</t>
  </si>
  <si>
    <t>30.Blue-3</t>
  </si>
  <si>
    <t>31.Blue-3</t>
  </si>
  <si>
    <t>32.Blue-3</t>
  </si>
  <si>
    <t>33.Blue-3</t>
  </si>
  <si>
    <t>34.Blue-3</t>
  </si>
  <si>
    <t>35.Blue-3</t>
  </si>
  <si>
    <t>36.Blue-3</t>
  </si>
  <si>
    <t>37.Blue-3</t>
  </si>
  <si>
    <t>38.Blue-3</t>
  </si>
  <si>
    <t>40.Blue-3</t>
  </si>
  <si>
    <t>41.Blue-3</t>
  </si>
  <si>
    <t>42.Blue-3</t>
  </si>
  <si>
    <t>43.Blue-3</t>
  </si>
  <si>
    <t>44.Blue-3</t>
  </si>
  <si>
    <t>45.Blue-3</t>
  </si>
  <si>
    <t>46.Blue-3</t>
  </si>
  <si>
    <t>47.Blue-3</t>
  </si>
  <si>
    <t>Jonah Woika</t>
  </si>
  <si>
    <t>75.Blue-3</t>
  </si>
  <si>
    <t>77.Blue-3</t>
  </si>
  <si>
    <t>79.Blue-3</t>
  </si>
  <si>
    <t>80.Blue-3</t>
  </si>
  <si>
    <t>81.Blue-3</t>
  </si>
  <si>
    <t>82.Blue-3</t>
  </si>
  <si>
    <t>83.Blue-3</t>
  </si>
  <si>
    <t>84.Blue-3</t>
  </si>
  <si>
    <t>3.Red-1</t>
  </si>
  <si>
    <t>Asher Stuckey</t>
  </si>
  <si>
    <t>4.Red-1</t>
  </si>
  <si>
    <t>5.Red-1</t>
  </si>
  <si>
    <t>6.Red-1</t>
  </si>
  <si>
    <t>7.Red-1</t>
  </si>
  <si>
    <t>8.Red-1</t>
  </si>
  <si>
    <t>9.Red-1</t>
  </si>
  <si>
    <t>10.Red-1</t>
  </si>
  <si>
    <t>11.Red-1</t>
  </si>
  <si>
    <t>Carter Silva</t>
  </si>
  <si>
    <t>12.Red-1</t>
  </si>
  <si>
    <t>13.Red-1</t>
  </si>
  <si>
    <t>14.Red-1</t>
  </si>
  <si>
    <t>15.Red-1</t>
  </si>
  <si>
    <t>16.Red-1</t>
  </si>
  <si>
    <t>25.Red-1</t>
  </si>
  <si>
    <t>26.Red-1</t>
  </si>
  <si>
    <t>27.Red-1</t>
  </si>
  <si>
    <t>28.Red-1</t>
  </si>
  <si>
    <t>29.Red-1</t>
  </si>
  <si>
    <t>30.Red-1</t>
  </si>
  <si>
    <t>31.Red-2</t>
  </si>
  <si>
    <t>31.Red-1</t>
  </si>
  <si>
    <t>32.Red-1</t>
  </si>
  <si>
    <t>33.Red-1</t>
  </si>
  <si>
    <t>34.Red-1</t>
  </si>
  <si>
    <t>35.Red-1</t>
  </si>
  <si>
    <t>36.Red-1</t>
  </si>
  <si>
    <t>Greydon Jones-Dulisse</t>
  </si>
  <si>
    <t>61.Red-1</t>
  </si>
  <si>
    <t>62.Red-1</t>
  </si>
  <si>
    <t>63.Red-1</t>
  </si>
  <si>
    <t>64.Red-1</t>
  </si>
  <si>
    <t>65.Red-1</t>
  </si>
  <si>
    <t>66.Red-1</t>
  </si>
  <si>
    <t>67.Red-1</t>
  </si>
  <si>
    <t>68.Red-1</t>
  </si>
  <si>
    <t>69.Red-1</t>
  </si>
  <si>
    <t>70.Red-1</t>
  </si>
  <si>
    <t>71.Red-1</t>
  </si>
  <si>
    <t>72.Red-1</t>
  </si>
  <si>
    <t>73.Red-1</t>
  </si>
  <si>
    <t>74.Red-1</t>
  </si>
  <si>
    <t>75.Red-1</t>
  </si>
  <si>
    <t>76.Red-1</t>
  </si>
  <si>
    <t>77.Red-1</t>
  </si>
  <si>
    <t>78.Red-1</t>
  </si>
  <si>
    <t>79.Red-1</t>
  </si>
  <si>
    <t>80.Red-1</t>
  </si>
  <si>
    <t>81.Red-1</t>
  </si>
  <si>
    <t>82.Red-1</t>
  </si>
  <si>
    <t>83.Red-1</t>
  </si>
  <si>
    <t>84.Red-1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</si>
</sst>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;\-0;;@"/>
    <numFmt numFmtId="165" formatCode="#,##0;[Red]#,##0;&quot;-&quot;"/>
    <numFmt numFmtId="166" formatCode="0.0%"/>
  </numFmts>
  <fonts count="7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sz val="12"/>
      <color rgb="FF000000"/>
      <name val="Calibri"/>
      <family val="2"/>
    </font>
    <font>
      <b/>
      <sz val="12"/>
      <color rgb="FFFFFFFF"/>
      <name val="Calibri"/>
      <family val="2"/>
    </font>
    <font>
      <sz val="11"/>
      <name val="Calibri (Body)"/>
    </font>
    <font>
      <sz val="12"/>
      <color rgb="FF000000"/>
      <name val="Calibri"/>
      <family val="2"/>
    </font>
    <font>
      <b/>
      <sz val="12"/>
      <color rgb="FFFFFFFF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595959"/>
        <bgColor rgb="FF595959"/>
      </patternFill>
    </fill>
    <fill>
      <patternFill patternType="solid">
        <fgColor rgb="FF595959"/>
        <bgColor rgb="FF595959"/>
      </patternFill>
    </fill>
    <fill>
      <patternFill patternType="solid">
        <fgColor rgb="FF2471A3"/>
        <bgColor rgb="FF2471A3"/>
      </patternFill>
    </fill>
    <fill>
      <patternFill patternType="solid">
        <fgColor rgb="FFCB4335"/>
        <bgColor rgb="FFCB4335"/>
      </patternFill>
    </fill>
    <fill>
      <patternFill patternType="solid">
        <fgColor rgb="FFD68910"/>
        <bgColor rgb="FFD68910"/>
      </patternFill>
    </fill>
    <fill>
      <patternFill patternType="solid">
        <fgColor rgb="FF229954"/>
        <bgColor rgb="FF229954"/>
      </patternFill>
    </fill>
    <fill>
      <patternFill patternType="solid">
        <fgColor theme="1" tint="0.34998626667073579"/>
        <bgColor rgb="FFD68910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595959"/>
        <bgColor rgb="FF595959"/>
      </patternFill>
    </fill>
    <fill>
      <patternFill patternType="solid">
        <fgColor rgb="FF2471A3"/>
        <bgColor rgb="FF2471A3"/>
      </patternFill>
    </fill>
    <fill>
      <patternFill patternType="solid">
        <fgColor rgb="FFCB4335"/>
        <bgColor rgb="FFCB4335"/>
      </patternFill>
    </fill>
    <fill>
      <patternFill patternType="solid">
        <fgColor rgb="FFD68910"/>
        <bgColor rgb="FFD68910"/>
      </patternFill>
    </fill>
    <fill>
      <patternFill patternType="solid">
        <fgColor rgb="FF229954"/>
        <bgColor rgb="FF22995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0" xfId="0" applyFont="1" applyFill="1" applyAlignment="1">
      <alignment horizontal="left" textRotation="90"/>
    </xf>
    <xf numFmtId="0" fontId="1" fillId="2" borderId="0" xfId="0" applyFont="1" applyFill="1"/>
    <xf numFmtId="0" fontId="2" fillId="0" borderId="0" xfId="0" applyFont="1"/>
    <xf numFmtId="0" fontId="3" fillId="3" borderId="0" xfId="0" applyFont="1" applyFill="1"/>
    <xf numFmtId="0" fontId="3" fillId="3" borderId="0" xfId="0" applyFont="1" applyFill="1" applyAlignment="1">
      <alignment horizontal="center" vertical="center"/>
    </xf>
    <xf numFmtId="0" fontId="3" fillId="3" borderId="8" xfId="0" applyFont="1" applyFill="1" applyBorder="1" applyAlignment="1">
      <alignment horizontal="left" textRotation="90"/>
    </xf>
    <xf numFmtId="0" fontId="3" fillId="3" borderId="9" xfId="0" applyFont="1" applyFill="1" applyBorder="1" applyAlignment="1">
      <alignment horizontal="left" textRotation="90"/>
    </xf>
    <xf numFmtId="0" fontId="3" fillId="3" borderId="7" xfId="0" applyFont="1" applyFill="1" applyBorder="1" applyAlignment="1">
      <alignment horizontal="left" textRotation="90"/>
    </xf>
    <xf numFmtId="0" fontId="3" fillId="5" borderId="1" xfId="0" applyFont="1" applyFill="1" applyBorder="1" applyAlignment="1">
      <alignment horizontal="left" textRotation="90"/>
    </xf>
    <xf numFmtId="0" fontId="3" fillId="6" borderId="1" xfId="0" applyFont="1" applyFill="1" applyBorder="1" applyAlignment="1">
      <alignment horizontal="left" textRotation="90"/>
    </xf>
    <xf numFmtId="0" fontId="3" fillId="7" borderId="1" xfId="0" applyFont="1" applyFill="1" applyBorder="1" applyAlignment="1">
      <alignment horizontal="left" textRotation="90"/>
    </xf>
    <xf numFmtId="0" fontId="1" fillId="4" borderId="1" xfId="0" applyFont="1" applyFill="1" applyBorder="1" applyAlignment="1">
      <alignment horizontal="left" textRotation="90"/>
    </xf>
    <xf numFmtId="0" fontId="1" fillId="4" borderId="7" xfId="0" applyFont="1" applyFill="1" applyBorder="1" applyAlignment="1">
      <alignment horizontal="left" textRotation="90"/>
    </xf>
    <xf numFmtId="0" fontId="1" fillId="6" borderId="1" xfId="0" applyFont="1" applyFill="1" applyBorder="1" applyAlignment="1">
      <alignment horizontal="left" textRotation="90"/>
    </xf>
    <xf numFmtId="0" fontId="1" fillId="3" borderId="0" xfId="0" applyFont="1" applyFill="1" applyAlignment="1">
      <alignment horizontal="left" textRotation="90"/>
    </xf>
    <xf numFmtId="0" fontId="1" fillId="4" borderId="8" xfId="0" applyFont="1" applyFill="1" applyBorder="1" applyAlignment="1">
      <alignment horizontal="left" textRotation="90"/>
    </xf>
    <xf numFmtId="0" fontId="1" fillId="5" borderId="8" xfId="0" applyFont="1" applyFill="1" applyBorder="1" applyAlignment="1">
      <alignment horizontal="left" textRotation="90"/>
    </xf>
    <xf numFmtId="0" fontId="1" fillId="6" borderId="8" xfId="0" applyFont="1" applyFill="1" applyBorder="1" applyAlignment="1">
      <alignment horizontal="left" textRotation="90"/>
    </xf>
    <xf numFmtId="0" fontId="1" fillId="7" borderId="8" xfId="0" applyFont="1" applyFill="1" applyBorder="1" applyAlignment="1">
      <alignment horizontal="left" textRotation="90"/>
    </xf>
    <xf numFmtId="0" fontId="1" fillId="5" borderId="1" xfId="0" applyFont="1" applyFill="1" applyBorder="1" applyAlignment="1">
      <alignment horizontal="left" textRotation="90"/>
    </xf>
    <xf numFmtId="0" fontId="1" fillId="7" borderId="1" xfId="0" applyFont="1" applyFill="1" applyBorder="1" applyAlignment="1">
      <alignment horizontal="left" textRotation="90"/>
    </xf>
    <xf numFmtId="0" fontId="1" fillId="5" borderId="7" xfId="0" applyFont="1" applyFill="1" applyBorder="1" applyAlignment="1">
      <alignment horizontal="left" textRotation="90"/>
    </xf>
    <xf numFmtId="0" fontId="1" fillId="6" borderId="7" xfId="0" applyFont="1" applyFill="1" applyBorder="1" applyAlignment="1">
      <alignment horizontal="left" textRotation="90"/>
    </xf>
    <xf numFmtId="0" fontId="1" fillId="7" borderId="7" xfId="0" applyFont="1" applyFill="1" applyBorder="1" applyAlignment="1">
      <alignment horizontal="left" textRotation="90"/>
    </xf>
    <xf numFmtId="0" fontId="4" fillId="0" borderId="0" xfId="0" applyFont="1"/>
    <xf numFmtId="164" fontId="0" fillId="0" borderId="0" xfId="0" applyNumberFormat="1"/>
    <xf numFmtId="0" fontId="0" fillId="9" borderId="8" xfId="0" applyFill="1" applyBorder="1"/>
    <xf numFmtId="0" fontId="1" fillId="3" borderId="7" xfId="0" applyFont="1" applyFill="1" applyBorder="1" applyAlignment="1">
      <alignment horizontal="left" textRotation="90"/>
    </xf>
    <xf numFmtId="0" fontId="1" fillId="0" borderId="0" xfId="0" applyFont="1" applyAlignment="1">
      <alignment horizontal="left" textRotation="90"/>
    </xf>
    <xf numFmtId="0" fontId="5" fillId="0" borderId="0" xfId="0" applyFont="1"/>
    <xf numFmtId="0" fontId="6" fillId="10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6" fillId="1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10" borderId="0" xfId="0" applyFont="1" applyFill="1"/>
    <xf numFmtId="165" fontId="5" fillId="0" borderId="0" xfId="0" applyNumberFormat="1" applyFont="1"/>
    <xf numFmtId="165" fontId="6" fillId="11" borderId="0" xfId="0" applyNumberFormat="1" applyFont="1" applyFill="1"/>
    <xf numFmtId="165" fontId="6" fillId="12" borderId="0" xfId="0" applyNumberFormat="1" applyFont="1" applyFill="1"/>
    <xf numFmtId="165" fontId="6" fillId="13" borderId="0" xfId="0" applyNumberFormat="1" applyFont="1" applyFill="1"/>
    <xf numFmtId="165" fontId="6" fillId="14" borderId="0" xfId="0" applyNumberFormat="1" applyFont="1" applyFill="1"/>
    <xf numFmtId="166" fontId="5" fillId="0" borderId="0" xfId="0" applyNumberFormat="1" applyFont="1"/>
    <xf numFmtId="0" fontId="1" fillId="8" borderId="11" xfId="0" applyFont="1" applyFill="1" applyBorder="1" applyAlignment="1">
      <alignment horizontal="center" vertical="center"/>
    </xf>
    <xf numFmtId="0" fontId="0" fillId="0" borderId="0" xfId="0"/>
    <xf numFmtId="0" fontId="0" fillId="0" borderId="11" xfId="0" applyBorder="1"/>
    <xf numFmtId="0" fontId="1" fillId="4" borderId="1" xfId="0" applyFont="1" applyFill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 vertical="center"/>
    </xf>
    <xf numFmtId="0" fontId="0" fillId="0" borderId="10" xfId="0" applyBorder="1"/>
    <xf numFmtId="0" fontId="0" fillId="0" borderId="5" xfId="0" applyBorder="1"/>
    <xf numFmtId="0" fontId="0" fillId="0" borderId="6" xfId="0" applyBorder="1"/>
    <xf numFmtId="0" fontId="1" fillId="4" borderId="7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2">
    <dxf>
      <fill>
        <patternFill patternType="solid">
          <fgColor rgb="FFD09996"/>
          <bgColor rgb="FFD09996"/>
        </patternFill>
      </fill>
    </dxf>
    <dxf>
      <fill>
        <patternFill patternType="solid">
          <fgColor rgb="FFC8D6A1"/>
          <bgColor rgb="FFC8D6A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998"/>
  <sheetViews>
    <sheetView tabSelected="1" zoomScale="150" zoomScaleNormal="150" workbookViewId="0">
      <pane ySplit="1" topLeftCell="A2" activePane="bottomLeft" state="frozen"/>
      <selection pane="bottomLeft" activeCell="A202" sqref="A202"/>
    </sheetView>
  </sheetViews>
  <sheetFormatPr baseColWidth="10" defaultColWidth="8.83203125" defaultRowHeight="15" x14ac:dyDescent="0.2"/>
  <sheetData>
    <row r="1" spans="1:31" ht="1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16" customHeight="1" x14ac:dyDescent="0.2">
      <c r="A2" s="2" t="s">
        <v>501</v>
      </c>
      <c r="B2" s="3" t="s">
        <v>502</v>
      </c>
      <c r="C2" s="3" t="s">
        <v>346</v>
      </c>
      <c r="D2" s="3">
        <v>3</v>
      </c>
      <c r="E2" s="3" t="s">
        <v>31</v>
      </c>
      <c r="F2" s="3">
        <v>6463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 t="s">
        <v>350</v>
      </c>
      <c r="X2" s="3" t="s">
        <v>350</v>
      </c>
      <c r="Y2" s="3" t="s">
        <v>348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/>
    </row>
    <row r="3" spans="1:31" ht="16" customHeight="1" x14ac:dyDescent="0.2">
      <c r="A3" s="2" t="s">
        <v>368</v>
      </c>
      <c r="B3" s="3" t="s">
        <v>345</v>
      </c>
      <c r="C3" s="3" t="s">
        <v>346</v>
      </c>
      <c r="D3" s="3">
        <v>4</v>
      </c>
      <c r="E3" s="3" t="s">
        <v>217</v>
      </c>
      <c r="F3" s="3">
        <v>810</v>
      </c>
      <c r="G3" s="3">
        <v>0</v>
      </c>
      <c r="H3" s="3">
        <v>1</v>
      </c>
      <c r="I3" s="3">
        <v>1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1</v>
      </c>
      <c r="P3" s="3">
        <v>2</v>
      </c>
      <c r="Q3" s="3">
        <v>1</v>
      </c>
      <c r="R3" s="3">
        <v>0</v>
      </c>
      <c r="S3" s="3">
        <v>0</v>
      </c>
      <c r="T3" s="3">
        <v>0</v>
      </c>
      <c r="U3" s="3">
        <v>0</v>
      </c>
      <c r="V3" s="3">
        <v>3</v>
      </c>
      <c r="W3" s="3" t="s">
        <v>341</v>
      </c>
      <c r="X3" s="3" t="s">
        <v>350</v>
      </c>
      <c r="Y3" s="3" t="s">
        <v>348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/>
    </row>
    <row r="4" spans="1:31" ht="16" customHeight="1" x14ac:dyDescent="0.2">
      <c r="A4" s="2" t="s">
        <v>503</v>
      </c>
      <c r="B4" s="3" t="s">
        <v>502</v>
      </c>
      <c r="C4" s="3" t="s">
        <v>346</v>
      </c>
      <c r="D4" s="3">
        <v>4</v>
      </c>
      <c r="E4" s="3" t="s">
        <v>31</v>
      </c>
      <c r="F4" s="3">
        <v>2053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1</v>
      </c>
      <c r="P4" s="3">
        <v>1</v>
      </c>
      <c r="Q4" s="3">
        <v>2</v>
      </c>
      <c r="R4" s="3">
        <v>0</v>
      </c>
      <c r="S4" s="3">
        <v>0</v>
      </c>
      <c r="T4" s="3">
        <v>0</v>
      </c>
      <c r="U4" s="3">
        <v>0</v>
      </c>
      <c r="V4" s="3">
        <v>3</v>
      </c>
      <c r="W4" s="3" t="s">
        <v>341</v>
      </c>
      <c r="X4" s="3" t="s">
        <v>350</v>
      </c>
      <c r="Y4" s="3" t="s">
        <v>348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/>
    </row>
    <row r="5" spans="1:31" ht="16" customHeight="1" x14ac:dyDescent="0.2">
      <c r="A5" s="2" t="s">
        <v>504</v>
      </c>
      <c r="B5" s="3" t="s">
        <v>502</v>
      </c>
      <c r="C5" s="3" t="s">
        <v>346</v>
      </c>
      <c r="D5" s="3">
        <v>5</v>
      </c>
      <c r="E5" s="3" t="s">
        <v>31</v>
      </c>
      <c r="F5" s="3">
        <v>6300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1</v>
      </c>
      <c r="R5" s="3">
        <v>4</v>
      </c>
      <c r="S5" s="3">
        <v>0</v>
      </c>
      <c r="T5" s="3">
        <v>0</v>
      </c>
      <c r="U5" s="3">
        <v>0</v>
      </c>
      <c r="V5" s="3">
        <v>0</v>
      </c>
      <c r="W5" s="3" t="s">
        <v>341</v>
      </c>
      <c r="X5" s="3" t="s">
        <v>342</v>
      </c>
      <c r="Y5" s="3" t="s">
        <v>348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/>
    </row>
    <row r="6" spans="1:31" ht="16" customHeight="1" x14ac:dyDescent="0.2">
      <c r="A6" s="2" t="s">
        <v>369</v>
      </c>
      <c r="B6" s="3" t="s">
        <v>345</v>
      </c>
      <c r="C6" s="3" t="s">
        <v>346</v>
      </c>
      <c r="D6" s="3">
        <v>5</v>
      </c>
      <c r="E6" s="3" t="s">
        <v>219</v>
      </c>
      <c r="F6" s="3">
        <v>1126</v>
      </c>
      <c r="G6" s="3">
        <v>1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 t="s">
        <v>350</v>
      </c>
      <c r="X6" s="3" t="s">
        <v>347</v>
      </c>
      <c r="Y6" s="3" t="s">
        <v>354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/>
    </row>
    <row r="7" spans="1:31" ht="16" customHeight="1" x14ac:dyDescent="0.2">
      <c r="A7" s="2" t="s">
        <v>370</v>
      </c>
      <c r="B7" s="3" t="s">
        <v>345</v>
      </c>
      <c r="C7" s="3" t="s">
        <v>371</v>
      </c>
      <c r="D7" s="3">
        <v>6</v>
      </c>
      <c r="E7" s="3" t="s">
        <v>217</v>
      </c>
      <c r="F7" s="3">
        <v>9624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1</v>
      </c>
      <c r="P7" s="3">
        <v>4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3</v>
      </c>
      <c r="W7" s="3" t="s">
        <v>341</v>
      </c>
      <c r="X7" s="3" t="s">
        <v>350</v>
      </c>
      <c r="Y7" s="3" t="s">
        <v>348</v>
      </c>
      <c r="Z7" s="3">
        <v>1</v>
      </c>
      <c r="AA7" s="3">
        <v>1</v>
      </c>
      <c r="AB7" s="3">
        <v>0</v>
      </c>
      <c r="AC7" s="3">
        <v>0</v>
      </c>
      <c r="AD7" s="3">
        <v>0</v>
      </c>
      <c r="AE7" s="3"/>
    </row>
    <row r="8" spans="1:31" ht="16" customHeight="1" x14ac:dyDescent="0.2">
      <c r="A8" s="2" t="s">
        <v>505</v>
      </c>
      <c r="B8" s="3" t="s">
        <v>502</v>
      </c>
      <c r="C8" s="3" t="s">
        <v>346</v>
      </c>
      <c r="D8" s="3">
        <v>6</v>
      </c>
      <c r="E8" s="3" t="s">
        <v>31</v>
      </c>
      <c r="F8" s="3">
        <v>1591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3</v>
      </c>
      <c r="P8" s="3">
        <v>6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1</v>
      </c>
      <c r="W8" s="3" t="s">
        <v>341</v>
      </c>
      <c r="X8" s="3" t="s">
        <v>341</v>
      </c>
      <c r="Y8" s="3" t="s">
        <v>343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/>
    </row>
    <row r="9" spans="1:31" ht="16" customHeight="1" x14ac:dyDescent="0.2">
      <c r="A9" s="2" t="s">
        <v>506</v>
      </c>
      <c r="B9" s="3" t="s">
        <v>502</v>
      </c>
      <c r="C9" s="3" t="s">
        <v>346</v>
      </c>
      <c r="D9" s="3">
        <v>7</v>
      </c>
      <c r="E9" s="3" t="s">
        <v>31</v>
      </c>
      <c r="F9" s="3">
        <v>5881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1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4</v>
      </c>
      <c r="S9" s="3">
        <v>2</v>
      </c>
      <c r="T9" s="3">
        <v>0</v>
      </c>
      <c r="U9" s="3">
        <v>0</v>
      </c>
      <c r="V9" s="3">
        <v>0</v>
      </c>
      <c r="W9" s="3" t="s">
        <v>341</v>
      </c>
      <c r="X9" s="3" t="s">
        <v>341</v>
      </c>
      <c r="Y9" s="3" t="s">
        <v>348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/>
    </row>
    <row r="10" spans="1:31" ht="16" customHeight="1" x14ac:dyDescent="0.2">
      <c r="A10" s="2" t="s">
        <v>372</v>
      </c>
      <c r="B10" s="3" t="s">
        <v>345</v>
      </c>
      <c r="C10" s="3" t="s">
        <v>371</v>
      </c>
      <c r="D10" s="3">
        <v>8</v>
      </c>
      <c r="E10" s="3" t="s">
        <v>217</v>
      </c>
      <c r="F10" s="3">
        <v>334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 t="s">
        <v>350</v>
      </c>
      <c r="X10" s="3" t="s">
        <v>350</v>
      </c>
      <c r="Y10" s="3" t="s">
        <v>343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/>
    </row>
    <row r="11" spans="1:31" ht="16" customHeight="1" x14ac:dyDescent="0.2">
      <c r="A11" s="2" t="s">
        <v>507</v>
      </c>
      <c r="B11" s="3" t="s">
        <v>502</v>
      </c>
      <c r="C11" s="3" t="s">
        <v>346</v>
      </c>
      <c r="D11" s="3">
        <v>8</v>
      </c>
      <c r="E11" s="3" t="s">
        <v>31</v>
      </c>
      <c r="F11" s="3">
        <v>2875</v>
      </c>
      <c r="G11" s="3">
        <v>0</v>
      </c>
      <c r="H11" s="3">
        <v>0</v>
      </c>
      <c r="I11" s="3">
        <v>1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1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 t="s">
        <v>341</v>
      </c>
      <c r="X11" s="3" t="s">
        <v>350</v>
      </c>
      <c r="Y11" s="3" t="s">
        <v>348</v>
      </c>
      <c r="Z11" s="3">
        <v>0</v>
      </c>
      <c r="AA11" s="3">
        <v>0</v>
      </c>
      <c r="AB11" s="3">
        <v>0</v>
      </c>
      <c r="AC11" s="3">
        <v>1</v>
      </c>
      <c r="AD11" s="3">
        <v>0</v>
      </c>
      <c r="AE11" s="3"/>
    </row>
    <row r="12" spans="1:31" ht="16" customHeight="1" x14ac:dyDescent="0.2">
      <c r="A12" s="2" t="s">
        <v>373</v>
      </c>
      <c r="B12" s="3" t="s">
        <v>345</v>
      </c>
      <c r="C12" s="3" t="s">
        <v>371</v>
      </c>
      <c r="D12" s="3">
        <v>9</v>
      </c>
      <c r="E12" s="3" t="s">
        <v>217</v>
      </c>
      <c r="F12" s="3">
        <v>6911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2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 t="s">
        <v>341</v>
      </c>
      <c r="X12" s="3" t="s">
        <v>350</v>
      </c>
      <c r="Y12" s="3" t="s">
        <v>343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/>
    </row>
    <row r="13" spans="1:31" ht="16" customHeight="1" x14ac:dyDescent="0.2">
      <c r="A13" s="2" t="s">
        <v>508</v>
      </c>
      <c r="B13" s="3" t="s">
        <v>502</v>
      </c>
      <c r="C13" s="3" t="s">
        <v>346</v>
      </c>
      <c r="D13" s="3">
        <v>9</v>
      </c>
      <c r="E13" s="3" t="s">
        <v>31</v>
      </c>
      <c r="F13" s="3">
        <v>4122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2</v>
      </c>
      <c r="Q13" s="3">
        <v>1</v>
      </c>
      <c r="R13" s="3">
        <v>0</v>
      </c>
      <c r="S13" s="3">
        <v>0</v>
      </c>
      <c r="T13" s="3">
        <v>0</v>
      </c>
      <c r="U13" s="3">
        <v>2</v>
      </c>
      <c r="V13" s="3">
        <v>0</v>
      </c>
      <c r="W13" s="3" t="s">
        <v>341</v>
      </c>
      <c r="X13" s="3" t="s">
        <v>342</v>
      </c>
      <c r="Y13" s="3" t="s">
        <v>348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/>
    </row>
    <row r="14" spans="1:31" ht="16" customHeight="1" x14ac:dyDescent="0.2">
      <c r="A14" s="2" t="s">
        <v>374</v>
      </c>
      <c r="B14" s="3" t="s">
        <v>345</v>
      </c>
      <c r="C14" s="3" t="s">
        <v>371</v>
      </c>
      <c r="D14" s="3">
        <v>10</v>
      </c>
      <c r="E14" s="3" t="s">
        <v>217</v>
      </c>
      <c r="F14" s="3">
        <v>639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 t="s">
        <v>350</v>
      </c>
      <c r="X14" s="3" t="s">
        <v>350</v>
      </c>
      <c r="Y14" s="3" t="s">
        <v>348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/>
    </row>
    <row r="15" spans="1:31" ht="16" customHeight="1" x14ac:dyDescent="0.2">
      <c r="A15" s="2" t="s">
        <v>509</v>
      </c>
      <c r="B15" s="3" t="s">
        <v>502</v>
      </c>
      <c r="C15" s="3" t="s">
        <v>346</v>
      </c>
      <c r="D15" s="3">
        <v>10</v>
      </c>
      <c r="E15" s="3" t="s">
        <v>31</v>
      </c>
      <c r="F15" s="3">
        <v>1468</v>
      </c>
      <c r="G15" s="3">
        <v>0</v>
      </c>
      <c r="H15" s="3">
        <v>0</v>
      </c>
      <c r="I15" s="3">
        <v>1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3</v>
      </c>
      <c r="Q15" s="3">
        <v>2</v>
      </c>
      <c r="R15" s="3">
        <v>1</v>
      </c>
      <c r="S15" s="3">
        <v>0</v>
      </c>
      <c r="T15" s="3">
        <v>0</v>
      </c>
      <c r="U15" s="3">
        <v>1</v>
      </c>
      <c r="V15" s="3">
        <v>0</v>
      </c>
      <c r="W15" s="3" t="s">
        <v>341</v>
      </c>
      <c r="X15" s="3" t="s">
        <v>341</v>
      </c>
      <c r="Y15" s="3" t="s">
        <v>348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/>
    </row>
    <row r="16" spans="1:31" ht="16" customHeight="1" x14ac:dyDescent="0.2">
      <c r="A16" s="2" t="s">
        <v>510</v>
      </c>
      <c r="B16" s="3" t="s">
        <v>511</v>
      </c>
      <c r="C16" s="3" t="s">
        <v>346</v>
      </c>
      <c r="D16" s="3">
        <v>11</v>
      </c>
      <c r="E16" s="3" t="s">
        <v>31</v>
      </c>
      <c r="F16" s="3">
        <v>191</v>
      </c>
      <c r="G16" s="3">
        <v>1</v>
      </c>
      <c r="H16" s="3">
        <v>1</v>
      </c>
      <c r="I16" s="3">
        <v>3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2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1</v>
      </c>
      <c r="W16" s="3" t="s">
        <v>350</v>
      </c>
      <c r="X16" s="3" t="s">
        <v>347</v>
      </c>
      <c r="Y16" s="3" t="s">
        <v>343</v>
      </c>
      <c r="Z16" s="3">
        <v>1</v>
      </c>
      <c r="AA16" s="3">
        <v>0</v>
      </c>
      <c r="AB16" s="3">
        <v>0</v>
      </c>
      <c r="AC16" s="3">
        <v>0</v>
      </c>
      <c r="AD16" s="3">
        <v>0</v>
      </c>
      <c r="AE16" s="3"/>
    </row>
    <row r="17" spans="1:31" ht="16" customHeight="1" x14ac:dyDescent="0.2">
      <c r="A17" s="2" t="s">
        <v>375</v>
      </c>
      <c r="B17" s="3" t="s">
        <v>376</v>
      </c>
      <c r="C17" s="3" t="s">
        <v>346</v>
      </c>
      <c r="D17" s="3">
        <v>12</v>
      </c>
      <c r="E17" s="3" t="s">
        <v>217</v>
      </c>
      <c r="F17" s="3">
        <v>10714</v>
      </c>
      <c r="G17" s="3">
        <v>1</v>
      </c>
      <c r="H17" s="3">
        <v>1</v>
      </c>
      <c r="I17" s="3">
        <v>0</v>
      </c>
      <c r="J17" s="3">
        <v>0</v>
      </c>
      <c r="K17" s="3">
        <v>0</v>
      </c>
      <c r="L17" s="3">
        <v>1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4</v>
      </c>
      <c r="T17" s="3">
        <v>0</v>
      </c>
      <c r="U17" s="3">
        <v>0</v>
      </c>
      <c r="V17" s="3">
        <v>3</v>
      </c>
      <c r="W17" s="3" t="s">
        <v>341</v>
      </c>
      <c r="X17" s="3" t="s">
        <v>350</v>
      </c>
      <c r="Y17" s="3" t="s">
        <v>348</v>
      </c>
      <c r="Z17" s="3">
        <v>1</v>
      </c>
      <c r="AA17" s="3">
        <v>0</v>
      </c>
      <c r="AB17" s="3">
        <v>1</v>
      </c>
      <c r="AC17" s="3">
        <v>0</v>
      </c>
      <c r="AD17" s="3">
        <v>0</v>
      </c>
      <c r="AE17" s="3"/>
    </row>
    <row r="18" spans="1:31" ht="16" customHeight="1" x14ac:dyDescent="0.2">
      <c r="A18" s="2" t="s">
        <v>512</v>
      </c>
      <c r="B18" s="3" t="s">
        <v>511</v>
      </c>
      <c r="C18" s="3" t="s">
        <v>346</v>
      </c>
      <c r="D18" s="3">
        <v>12</v>
      </c>
      <c r="E18" s="3" t="s">
        <v>31</v>
      </c>
      <c r="F18" s="3">
        <v>3173</v>
      </c>
      <c r="G18" s="3">
        <v>1</v>
      </c>
      <c r="H18" s="3">
        <v>1</v>
      </c>
      <c r="I18" s="3">
        <v>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5</v>
      </c>
      <c r="Q18" s="3">
        <v>2</v>
      </c>
      <c r="R18" s="3">
        <v>0</v>
      </c>
      <c r="S18" s="3">
        <v>1</v>
      </c>
      <c r="T18" s="3">
        <v>0</v>
      </c>
      <c r="U18" s="3">
        <v>0</v>
      </c>
      <c r="V18" s="3">
        <v>0</v>
      </c>
      <c r="W18" s="3" t="s">
        <v>341</v>
      </c>
      <c r="X18" s="3" t="s">
        <v>342</v>
      </c>
      <c r="Y18" s="3" t="s">
        <v>343</v>
      </c>
      <c r="Z18" s="3">
        <v>1</v>
      </c>
      <c r="AA18" s="3">
        <v>0</v>
      </c>
      <c r="AB18" s="3">
        <v>1</v>
      </c>
      <c r="AC18" s="3">
        <v>0</v>
      </c>
      <c r="AD18" s="3">
        <v>1</v>
      </c>
      <c r="AE18" s="3"/>
    </row>
    <row r="19" spans="1:31" ht="16" customHeight="1" x14ac:dyDescent="0.2">
      <c r="A19" s="2" t="s">
        <v>377</v>
      </c>
      <c r="B19" s="3" t="s">
        <v>376</v>
      </c>
      <c r="C19" s="3" t="s">
        <v>346</v>
      </c>
      <c r="D19" s="3">
        <v>13</v>
      </c>
      <c r="E19" s="3" t="s">
        <v>217</v>
      </c>
      <c r="F19" s="3">
        <v>229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 t="s">
        <v>350</v>
      </c>
      <c r="X19" s="3" t="s">
        <v>350</v>
      </c>
      <c r="Y19" s="3" t="s">
        <v>348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/>
    </row>
    <row r="20" spans="1:31" ht="16" customHeight="1" x14ac:dyDescent="0.2">
      <c r="A20" s="2" t="s">
        <v>513</v>
      </c>
      <c r="B20" s="3" t="s">
        <v>511</v>
      </c>
      <c r="C20" s="3" t="s">
        <v>346</v>
      </c>
      <c r="D20" s="3">
        <v>13</v>
      </c>
      <c r="E20" s="3" t="s">
        <v>31</v>
      </c>
      <c r="F20" s="3">
        <v>3181</v>
      </c>
      <c r="G20" s="3">
        <v>1</v>
      </c>
      <c r="H20" s="3">
        <v>1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1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 t="s">
        <v>350</v>
      </c>
      <c r="X20" s="3" t="s">
        <v>347</v>
      </c>
      <c r="Y20" s="3" t="s">
        <v>343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/>
    </row>
    <row r="21" spans="1:31" ht="16" customHeight="1" x14ac:dyDescent="0.2">
      <c r="A21" s="2" t="s">
        <v>378</v>
      </c>
      <c r="B21" s="3" t="s">
        <v>376</v>
      </c>
      <c r="C21" s="3" t="s">
        <v>346</v>
      </c>
      <c r="D21" s="3">
        <v>14</v>
      </c>
      <c r="E21" s="3" t="s">
        <v>217</v>
      </c>
      <c r="F21" s="3">
        <v>810</v>
      </c>
      <c r="G21" s="3">
        <v>1</v>
      </c>
      <c r="H21" s="3">
        <v>1</v>
      </c>
      <c r="I21" s="3">
        <v>0</v>
      </c>
      <c r="J21" s="3">
        <v>0</v>
      </c>
      <c r="K21" s="3">
        <v>0</v>
      </c>
      <c r="L21" s="3">
        <v>1</v>
      </c>
      <c r="M21" s="3">
        <v>0</v>
      </c>
      <c r="N21" s="3">
        <v>0</v>
      </c>
      <c r="O21" s="3">
        <v>0</v>
      </c>
      <c r="P21" s="3">
        <v>5</v>
      </c>
      <c r="Q21" s="3">
        <v>0</v>
      </c>
      <c r="R21" s="3">
        <v>0</v>
      </c>
      <c r="S21" s="3">
        <v>0</v>
      </c>
      <c r="T21" s="3">
        <v>2</v>
      </c>
      <c r="U21" s="3">
        <v>0</v>
      </c>
      <c r="V21" s="3">
        <v>2</v>
      </c>
      <c r="W21" s="3" t="s">
        <v>341</v>
      </c>
      <c r="X21" s="3" t="s">
        <v>347</v>
      </c>
      <c r="Y21" s="3" t="s">
        <v>354</v>
      </c>
      <c r="Z21" s="3">
        <v>1</v>
      </c>
      <c r="AA21" s="3">
        <v>0</v>
      </c>
      <c r="AB21" s="3">
        <v>1</v>
      </c>
      <c r="AC21" s="3">
        <v>0</v>
      </c>
      <c r="AD21" s="3">
        <v>1</v>
      </c>
      <c r="AE21" s="3"/>
    </row>
    <row r="22" spans="1:31" ht="16" customHeight="1" x14ac:dyDescent="0.2">
      <c r="A22" s="2" t="s">
        <v>514</v>
      </c>
      <c r="B22" s="3" t="s">
        <v>511</v>
      </c>
      <c r="C22" s="3" t="s">
        <v>346</v>
      </c>
      <c r="D22" s="3">
        <v>14</v>
      </c>
      <c r="E22" s="3" t="s">
        <v>31</v>
      </c>
      <c r="F22" s="3">
        <v>4571</v>
      </c>
      <c r="G22" s="3">
        <v>1</v>
      </c>
      <c r="H22" s="3">
        <v>1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1</v>
      </c>
      <c r="R22" s="3">
        <v>2</v>
      </c>
      <c r="S22" s="3">
        <v>0</v>
      </c>
      <c r="T22" s="3">
        <v>2</v>
      </c>
      <c r="U22" s="3">
        <v>0</v>
      </c>
      <c r="V22" s="3">
        <v>1</v>
      </c>
      <c r="W22" s="3" t="s">
        <v>341</v>
      </c>
      <c r="X22" s="3" t="s">
        <v>347</v>
      </c>
      <c r="Y22" s="3" t="s">
        <v>348</v>
      </c>
      <c r="Z22" s="3">
        <v>0</v>
      </c>
      <c r="AA22" s="3">
        <v>1</v>
      </c>
      <c r="AB22" s="3">
        <v>0</v>
      </c>
      <c r="AC22" s="3">
        <v>0</v>
      </c>
      <c r="AD22" s="3">
        <v>0</v>
      </c>
      <c r="AE22" s="3"/>
    </row>
    <row r="23" spans="1:31" ht="16" customHeight="1" x14ac:dyDescent="0.2">
      <c r="A23" s="2" t="s">
        <v>379</v>
      </c>
      <c r="B23" s="3" t="s">
        <v>376</v>
      </c>
      <c r="C23" s="3" t="s">
        <v>346</v>
      </c>
      <c r="D23" s="3">
        <v>15</v>
      </c>
      <c r="E23" s="3" t="s">
        <v>217</v>
      </c>
      <c r="F23" s="3">
        <v>6806</v>
      </c>
      <c r="G23" s="3">
        <v>1</v>
      </c>
      <c r="H23" s="3">
        <v>1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2</v>
      </c>
      <c r="R23" s="3">
        <v>4</v>
      </c>
      <c r="S23" s="3">
        <v>0</v>
      </c>
      <c r="T23" s="3">
        <v>0</v>
      </c>
      <c r="U23" s="3">
        <v>0</v>
      </c>
      <c r="V23" s="3">
        <v>0</v>
      </c>
      <c r="W23" s="3" t="s">
        <v>341</v>
      </c>
      <c r="X23" s="3" t="s">
        <v>347</v>
      </c>
      <c r="Y23" s="3" t="s">
        <v>343</v>
      </c>
      <c r="Z23" s="3">
        <v>0</v>
      </c>
      <c r="AA23" s="3">
        <v>0</v>
      </c>
      <c r="AB23" s="3">
        <v>1</v>
      </c>
      <c r="AC23" s="3">
        <v>0</v>
      </c>
      <c r="AD23" s="3">
        <v>1</v>
      </c>
      <c r="AE23" s="3"/>
    </row>
    <row r="24" spans="1:31" ht="16" customHeight="1" x14ac:dyDescent="0.2">
      <c r="A24" s="2" t="s">
        <v>515</v>
      </c>
      <c r="B24" s="3" t="s">
        <v>511</v>
      </c>
      <c r="C24" s="3" t="s">
        <v>346</v>
      </c>
      <c r="D24" s="3">
        <v>15</v>
      </c>
      <c r="E24" s="3" t="s">
        <v>31</v>
      </c>
      <c r="F24" s="3">
        <v>578</v>
      </c>
      <c r="G24" s="3">
        <v>1</v>
      </c>
      <c r="H24" s="3">
        <v>1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3</v>
      </c>
      <c r="Q24" s="3">
        <v>2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 t="s">
        <v>350</v>
      </c>
      <c r="X24" s="3" t="s">
        <v>350</v>
      </c>
      <c r="Y24" s="3" t="s">
        <v>343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/>
    </row>
    <row r="25" spans="1:31" ht="16" customHeight="1" x14ac:dyDescent="0.2">
      <c r="A25" s="2" t="s">
        <v>380</v>
      </c>
      <c r="B25" s="3" t="s">
        <v>376</v>
      </c>
      <c r="C25" s="3" t="s">
        <v>346</v>
      </c>
      <c r="D25" s="3">
        <v>16</v>
      </c>
      <c r="E25" s="3" t="s">
        <v>217</v>
      </c>
      <c r="F25" s="3">
        <v>7030</v>
      </c>
      <c r="G25" s="3">
        <v>1</v>
      </c>
      <c r="H25" s="3">
        <v>1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1</v>
      </c>
      <c r="T25" s="3">
        <v>0</v>
      </c>
      <c r="U25" s="3">
        <v>0</v>
      </c>
      <c r="V25" s="3">
        <v>7</v>
      </c>
      <c r="W25" s="3" t="s">
        <v>341</v>
      </c>
      <c r="X25" s="3" t="s">
        <v>347</v>
      </c>
      <c r="Y25" s="3" t="s">
        <v>348</v>
      </c>
      <c r="Z25" s="3">
        <v>1</v>
      </c>
      <c r="AA25" s="3">
        <v>1</v>
      </c>
      <c r="AB25" s="3">
        <v>1</v>
      </c>
      <c r="AC25" s="3">
        <v>0</v>
      </c>
      <c r="AD25" s="3">
        <v>0</v>
      </c>
      <c r="AE25" s="3"/>
    </row>
    <row r="26" spans="1:31" ht="16" customHeight="1" x14ac:dyDescent="0.2">
      <c r="A26" s="2" t="s">
        <v>516</v>
      </c>
      <c r="B26" s="3" t="s">
        <v>511</v>
      </c>
      <c r="C26" s="3" t="s">
        <v>346</v>
      </c>
      <c r="D26" s="3">
        <v>16</v>
      </c>
      <c r="E26" s="3" t="s">
        <v>31</v>
      </c>
      <c r="F26" s="3">
        <v>2601</v>
      </c>
      <c r="G26" s="3">
        <v>1</v>
      </c>
      <c r="H26" s="3">
        <v>1</v>
      </c>
      <c r="I26" s="3">
        <v>1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1</v>
      </c>
      <c r="P26" s="3">
        <v>4</v>
      </c>
      <c r="Q26" s="3">
        <v>2</v>
      </c>
      <c r="R26" s="3">
        <v>1</v>
      </c>
      <c r="S26" s="3">
        <v>0</v>
      </c>
      <c r="T26" s="3">
        <v>0</v>
      </c>
      <c r="U26" s="3">
        <v>0</v>
      </c>
      <c r="V26" s="3">
        <v>0</v>
      </c>
      <c r="W26" s="3" t="s">
        <v>350</v>
      </c>
      <c r="X26" s="3" t="s">
        <v>350</v>
      </c>
      <c r="Y26" s="3" t="s">
        <v>343</v>
      </c>
      <c r="Z26" s="3">
        <v>1</v>
      </c>
      <c r="AA26" s="3">
        <v>0</v>
      </c>
      <c r="AB26" s="3">
        <v>1</v>
      </c>
      <c r="AC26" s="3">
        <v>0</v>
      </c>
      <c r="AD26" s="3">
        <v>0</v>
      </c>
      <c r="AE26" s="3"/>
    </row>
    <row r="27" spans="1:31" ht="16" customHeight="1" x14ac:dyDescent="0.2">
      <c r="A27" s="2" t="s">
        <v>381</v>
      </c>
      <c r="B27" s="3" t="s">
        <v>376</v>
      </c>
      <c r="C27" s="3" t="s">
        <v>346</v>
      </c>
      <c r="D27" s="3">
        <v>17</v>
      </c>
      <c r="E27" s="3" t="s">
        <v>217</v>
      </c>
      <c r="F27" s="3">
        <v>424</v>
      </c>
      <c r="G27" s="3">
        <v>1</v>
      </c>
      <c r="H27" s="3">
        <v>1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1</v>
      </c>
      <c r="P27" s="3">
        <v>0</v>
      </c>
      <c r="Q27" s="3">
        <v>1</v>
      </c>
      <c r="R27" s="3">
        <v>1</v>
      </c>
      <c r="S27" s="3">
        <v>0</v>
      </c>
      <c r="T27" s="3">
        <v>0</v>
      </c>
      <c r="U27" s="3">
        <v>3</v>
      </c>
      <c r="V27" s="3">
        <v>3</v>
      </c>
      <c r="W27" s="3" t="s">
        <v>341</v>
      </c>
      <c r="X27" s="3" t="s">
        <v>350</v>
      </c>
      <c r="Y27" s="3" t="s">
        <v>348</v>
      </c>
      <c r="Z27" s="3">
        <v>1</v>
      </c>
      <c r="AA27" s="3">
        <v>0</v>
      </c>
      <c r="AB27" s="3">
        <v>0</v>
      </c>
      <c r="AC27" s="3">
        <v>0</v>
      </c>
      <c r="AD27" s="3">
        <v>1</v>
      </c>
      <c r="AE27" s="3"/>
    </row>
    <row r="28" spans="1:31" ht="16" customHeight="1" x14ac:dyDescent="0.2">
      <c r="A28" s="2" t="s">
        <v>382</v>
      </c>
      <c r="B28" s="3" t="s">
        <v>376</v>
      </c>
      <c r="C28" s="3" t="s">
        <v>346</v>
      </c>
      <c r="D28" s="3">
        <v>18</v>
      </c>
      <c r="E28" s="3" t="s">
        <v>217</v>
      </c>
      <c r="F28" s="3">
        <v>3360</v>
      </c>
      <c r="G28" s="3">
        <v>1</v>
      </c>
      <c r="H28" s="3">
        <v>1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1</v>
      </c>
      <c r="P28" s="3">
        <v>0</v>
      </c>
      <c r="Q28" s="3">
        <v>0</v>
      </c>
      <c r="R28" s="3">
        <v>0</v>
      </c>
      <c r="S28" s="3">
        <v>0</v>
      </c>
      <c r="T28" s="3">
        <v>4</v>
      </c>
      <c r="U28" s="3">
        <v>0</v>
      </c>
      <c r="V28" s="3">
        <v>1</v>
      </c>
      <c r="W28" s="3" t="s">
        <v>350</v>
      </c>
      <c r="X28" s="3" t="s">
        <v>347</v>
      </c>
      <c r="Y28" s="3" t="s">
        <v>343</v>
      </c>
      <c r="Z28" s="3">
        <v>0</v>
      </c>
      <c r="AA28" s="3">
        <v>0</v>
      </c>
      <c r="AB28" s="3">
        <v>1</v>
      </c>
      <c r="AC28" s="3">
        <v>0</v>
      </c>
      <c r="AD28" s="3">
        <v>0</v>
      </c>
      <c r="AE28" s="3"/>
    </row>
    <row r="29" spans="1:31" ht="16" customHeight="1" x14ac:dyDescent="0.2">
      <c r="A29" s="2" t="s">
        <v>383</v>
      </c>
      <c r="B29" s="3" t="s">
        <v>376</v>
      </c>
      <c r="C29" s="3" t="s">
        <v>346</v>
      </c>
      <c r="D29" s="3">
        <v>19</v>
      </c>
      <c r="E29" s="3" t="s">
        <v>217</v>
      </c>
      <c r="F29" s="3">
        <v>8067</v>
      </c>
      <c r="G29" s="3">
        <v>1</v>
      </c>
      <c r="H29" s="3">
        <v>1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4</v>
      </c>
      <c r="Q29" s="3">
        <v>0</v>
      </c>
      <c r="R29" s="3">
        <v>0</v>
      </c>
      <c r="S29" s="3">
        <v>1</v>
      </c>
      <c r="T29" s="3">
        <v>0</v>
      </c>
      <c r="U29" s="3">
        <v>0</v>
      </c>
      <c r="V29" s="3">
        <v>2</v>
      </c>
      <c r="W29" s="3" t="s">
        <v>341</v>
      </c>
      <c r="X29" s="3" t="s">
        <v>350</v>
      </c>
      <c r="Y29" s="3" t="s">
        <v>348</v>
      </c>
      <c r="Z29" s="3">
        <v>1</v>
      </c>
      <c r="AA29" s="3">
        <v>0</v>
      </c>
      <c r="AB29" s="3">
        <v>0</v>
      </c>
      <c r="AC29" s="3">
        <v>0</v>
      </c>
      <c r="AD29" s="3">
        <v>1</v>
      </c>
      <c r="AE29" s="3"/>
    </row>
    <row r="30" spans="1:31" ht="16" customHeight="1" x14ac:dyDescent="0.2">
      <c r="A30" s="2" t="s">
        <v>384</v>
      </c>
      <c r="B30" s="3" t="s">
        <v>376</v>
      </c>
      <c r="C30" s="3" t="s">
        <v>346</v>
      </c>
      <c r="D30" s="3">
        <v>20</v>
      </c>
      <c r="E30" s="3" t="s">
        <v>217</v>
      </c>
      <c r="F30" s="3">
        <v>870</v>
      </c>
      <c r="G30" s="3">
        <v>1</v>
      </c>
      <c r="H30" s="3">
        <v>1</v>
      </c>
      <c r="I30" s="3">
        <v>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3</v>
      </c>
      <c r="Q30" s="3">
        <v>0</v>
      </c>
      <c r="R30" s="3">
        <v>0</v>
      </c>
      <c r="S30" s="3">
        <v>1</v>
      </c>
      <c r="T30" s="3">
        <v>0</v>
      </c>
      <c r="U30" s="3">
        <v>0</v>
      </c>
      <c r="V30" s="3">
        <v>3</v>
      </c>
      <c r="W30" s="3" t="s">
        <v>341</v>
      </c>
      <c r="X30" s="3" t="s">
        <v>347</v>
      </c>
      <c r="Y30" s="3" t="s">
        <v>343</v>
      </c>
      <c r="Z30" s="3">
        <v>1</v>
      </c>
      <c r="AA30" s="3">
        <v>0</v>
      </c>
      <c r="AB30" s="3">
        <v>0</v>
      </c>
      <c r="AC30" s="3">
        <v>0</v>
      </c>
      <c r="AD30" s="3">
        <v>1</v>
      </c>
      <c r="AE30" s="3"/>
    </row>
    <row r="31" spans="1:31" ht="16" customHeight="1" x14ac:dyDescent="0.2">
      <c r="A31" s="2" t="s">
        <v>385</v>
      </c>
      <c r="B31" s="3" t="s">
        <v>376</v>
      </c>
      <c r="C31" s="3" t="s">
        <v>346</v>
      </c>
      <c r="D31" s="3">
        <v>21</v>
      </c>
      <c r="E31" s="3" t="s">
        <v>217</v>
      </c>
      <c r="F31" s="3">
        <v>6463</v>
      </c>
      <c r="G31" s="3">
        <v>1</v>
      </c>
      <c r="H31" s="3">
        <v>1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5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 t="s">
        <v>341</v>
      </c>
      <c r="X31" s="3" t="s">
        <v>350</v>
      </c>
      <c r="Y31" s="3" t="s">
        <v>343</v>
      </c>
      <c r="Z31" s="3">
        <v>0</v>
      </c>
      <c r="AA31" s="3">
        <v>0</v>
      </c>
      <c r="AB31" s="3">
        <v>0</v>
      </c>
      <c r="AC31" s="3">
        <v>0</v>
      </c>
      <c r="AD31" s="3">
        <v>1</v>
      </c>
      <c r="AE31" s="3"/>
    </row>
    <row r="32" spans="1:31" ht="16" customHeight="1" x14ac:dyDescent="0.2">
      <c r="A32" s="2" t="s">
        <v>386</v>
      </c>
      <c r="B32" s="3" t="s">
        <v>376</v>
      </c>
      <c r="C32" s="3" t="s">
        <v>346</v>
      </c>
      <c r="D32" s="3">
        <v>22</v>
      </c>
      <c r="E32" s="3" t="s">
        <v>217</v>
      </c>
      <c r="F32" s="3">
        <v>250</v>
      </c>
      <c r="G32" s="3">
        <v>1</v>
      </c>
      <c r="H32" s="3">
        <v>1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5</v>
      </c>
      <c r="S32" s="3">
        <v>0</v>
      </c>
      <c r="T32" s="3">
        <v>2</v>
      </c>
      <c r="U32" s="3">
        <v>0</v>
      </c>
      <c r="V32" s="3">
        <v>1</v>
      </c>
      <c r="W32" s="3" t="s">
        <v>341</v>
      </c>
      <c r="X32" s="3" t="s">
        <v>342</v>
      </c>
      <c r="Y32" s="3" t="s">
        <v>343</v>
      </c>
      <c r="Z32" s="3">
        <v>1</v>
      </c>
      <c r="AA32" s="3">
        <v>1</v>
      </c>
      <c r="AB32" s="3">
        <v>0</v>
      </c>
      <c r="AC32" s="3">
        <v>0</v>
      </c>
      <c r="AD32" s="3">
        <v>1</v>
      </c>
      <c r="AE32" s="3"/>
    </row>
    <row r="33" spans="1:31" ht="16" customHeight="1" x14ac:dyDescent="0.2">
      <c r="A33" s="2" t="s">
        <v>387</v>
      </c>
      <c r="B33" s="3" t="s">
        <v>376</v>
      </c>
      <c r="C33" s="3" t="s">
        <v>346</v>
      </c>
      <c r="D33" s="3">
        <v>23</v>
      </c>
      <c r="E33" s="3" t="s">
        <v>217</v>
      </c>
      <c r="F33" s="3">
        <v>1126</v>
      </c>
      <c r="G33" s="3">
        <v>1</v>
      </c>
      <c r="H33" s="3">
        <v>1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1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 t="s">
        <v>350</v>
      </c>
      <c r="X33" s="3" t="s">
        <v>350</v>
      </c>
      <c r="Y33" s="3" t="s">
        <v>343</v>
      </c>
      <c r="Z33" s="3">
        <v>1</v>
      </c>
      <c r="AA33" s="3">
        <v>0</v>
      </c>
      <c r="AB33" s="3">
        <v>0</v>
      </c>
      <c r="AC33" s="3">
        <v>1</v>
      </c>
      <c r="AD33" s="3">
        <v>0</v>
      </c>
      <c r="AE33" s="3"/>
    </row>
    <row r="34" spans="1:31" ht="16" customHeight="1" x14ac:dyDescent="0.2">
      <c r="A34" s="2" t="s">
        <v>400</v>
      </c>
      <c r="B34" s="3" t="s">
        <v>401</v>
      </c>
      <c r="C34" s="3" t="s">
        <v>340</v>
      </c>
      <c r="D34" s="3">
        <v>25</v>
      </c>
      <c r="E34" s="3" t="s">
        <v>215</v>
      </c>
      <c r="F34" s="3">
        <v>533</v>
      </c>
      <c r="G34" s="3">
        <v>1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1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 t="s">
        <v>341</v>
      </c>
      <c r="X34" s="3" t="s">
        <v>347</v>
      </c>
      <c r="Y34" s="3" t="s">
        <v>354</v>
      </c>
      <c r="Z34" s="3">
        <v>1</v>
      </c>
      <c r="AA34" s="3">
        <v>0</v>
      </c>
      <c r="AB34" s="3">
        <v>0</v>
      </c>
      <c r="AC34" s="3">
        <v>0</v>
      </c>
      <c r="AD34" s="3">
        <v>0</v>
      </c>
      <c r="AE34" s="3"/>
    </row>
    <row r="35" spans="1:31" ht="16" customHeight="1" x14ac:dyDescent="0.2">
      <c r="A35" s="2" t="s">
        <v>517</v>
      </c>
      <c r="B35" s="3" t="s">
        <v>450</v>
      </c>
      <c r="C35" s="3" t="s">
        <v>346</v>
      </c>
      <c r="D35" s="3">
        <v>25</v>
      </c>
      <c r="E35" s="3" t="s">
        <v>31</v>
      </c>
      <c r="F35" s="3">
        <v>1493</v>
      </c>
      <c r="G35" s="3">
        <v>1</v>
      </c>
      <c r="H35" s="3">
        <v>1</v>
      </c>
      <c r="I35" s="3">
        <v>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9</v>
      </c>
      <c r="Q35" s="3">
        <v>6</v>
      </c>
      <c r="R35" s="3">
        <v>1</v>
      </c>
      <c r="S35" s="3">
        <v>0</v>
      </c>
      <c r="T35" s="3">
        <v>0</v>
      </c>
      <c r="U35" s="3">
        <v>0</v>
      </c>
      <c r="V35" s="3">
        <v>1</v>
      </c>
      <c r="W35" s="3" t="s">
        <v>341</v>
      </c>
      <c r="X35" s="3" t="s">
        <v>350</v>
      </c>
      <c r="Y35" s="3" t="s">
        <v>343</v>
      </c>
      <c r="Z35" s="3">
        <v>1</v>
      </c>
      <c r="AA35" s="3">
        <v>0</v>
      </c>
      <c r="AB35" s="3">
        <v>0</v>
      </c>
      <c r="AC35" s="3">
        <v>0</v>
      </c>
      <c r="AD35" s="3">
        <v>1</v>
      </c>
      <c r="AE35" s="3"/>
    </row>
    <row r="36" spans="1:31" ht="16" customHeight="1" x14ac:dyDescent="0.2">
      <c r="A36" s="2" t="s">
        <v>402</v>
      </c>
      <c r="B36" s="3" t="s">
        <v>401</v>
      </c>
      <c r="C36" s="3" t="s">
        <v>340</v>
      </c>
      <c r="D36" s="3">
        <v>26</v>
      </c>
      <c r="E36" s="3" t="s">
        <v>215</v>
      </c>
      <c r="F36" s="3">
        <v>578</v>
      </c>
      <c r="G36" s="3">
        <v>1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1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 t="s">
        <v>350</v>
      </c>
      <c r="X36" s="3" t="s">
        <v>350</v>
      </c>
      <c r="Y36" s="3" t="s">
        <v>343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/>
    </row>
    <row r="37" spans="1:31" ht="16" customHeight="1" x14ac:dyDescent="0.2">
      <c r="A37" s="2" t="s">
        <v>471</v>
      </c>
      <c r="B37" s="3" t="s">
        <v>437</v>
      </c>
      <c r="C37" s="3" t="s">
        <v>340</v>
      </c>
      <c r="D37" s="3">
        <v>26</v>
      </c>
      <c r="E37" s="3" t="s">
        <v>217</v>
      </c>
      <c r="F37" s="3">
        <v>250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1</v>
      </c>
      <c r="P37" s="3">
        <v>0</v>
      </c>
      <c r="Q37" s="3">
        <v>0</v>
      </c>
      <c r="R37" s="3">
        <v>1</v>
      </c>
      <c r="S37" s="3">
        <v>0</v>
      </c>
      <c r="T37" s="3">
        <v>0</v>
      </c>
      <c r="U37" s="3">
        <v>0</v>
      </c>
      <c r="V37" s="3">
        <v>5</v>
      </c>
      <c r="W37" s="3" t="s">
        <v>341</v>
      </c>
      <c r="X37" s="3" t="s">
        <v>347</v>
      </c>
      <c r="Y37" s="3" t="s">
        <v>343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/>
    </row>
    <row r="38" spans="1:31" ht="16" customHeight="1" x14ac:dyDescent="0.2">
      <c r="A38" s="2" t="s">
        <v>518</v>
      </c>
      <c r="B38" s="3" t="s">
        <v>450</v>
      </c>
      <c r="C38" s="3" t="s">
        <v>346</v>
      </c>
      <c r="D38" s="3">
        <v>26</v>
      </c>
      <c r="E38" s="3" t="s">
        <v>31</v>
      </c>
      <c r="F38" s="3">
        <v>4458</v>
      </c>
      <c r="G38" s="3">
        <v>1</v>
      </c>
      <c r="H38" s="3">
        <v>1</v>
      </c>
      <c r="I38" s="3">
        <v>1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4</v>
      </c>
      <c r="Q38" s="3">
        <v>1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 t="s">
        <v>341</v>
      </c>
      <c r="X38" s="3" t="s">
        <v>350</v>
      </c>
      <c r="Y38" s="3" t="s">
        <v>348</v>
      </c>
      <c r="Z38" s="3">
        <v>1</v>
      </c>
      <c r="AA38" s="3">
        <v>0</v>
      </c>
      <c r="AB38" s="3">
        <v>0</v>
      </c>
      <c r="AC38" s="3">
        <v>0</v>
      </c>
      <c r="AD38" s="3">
        <v>0</v>
      </c>
      <c r="AE38" s="3"/>
    </row>
    <row r="39" spans="1:31" ht="16" customHeight="1" x14ac:dyDescent="0.2">
      <c r="A39" s="2" t="s">
        <v>403</v>
      </c>
      <c r="B39" s="3" t="s">
        <v>401</v>
      </c>
      <c r="C39" s="3" t="s">
        <v>340</v>
      </c>
      <c r="D39" s="3">
        <v>27</v>
      </c>
      <c r="E39" s="3" t="s">
        <v>215</v>
      </c>
      <c r="F39" s="3">
        <v>5881</v>
      </c>
      <c r="G39" s="3">
        <v>1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1</v>
      </c>
      <c r="P39" s="3">
        <v>0</v>
      </c>
      <c r="Q39" s="3">
        <v>0</v>
      </c>
      <c r="R39" s="3">
        <v>0</v>
      </c>
      <c r="S39" s="3">
        <v>2</v>
      </c>
      <c r="T39" s="3">
        <v>0</v>
      </c>
      <c r="U39" s="3">
        <v>0</v>
      </c>
      <c r="V39" s="3">
        <v>2</v>
      </c>
      <c r="W39" s="3" t="s">
        <v>341</v>
      </c>
      <c r="X39" s="3" t="s">
        <v>350</v>
      </c>
      <c r="Y39" s="3" t="s">
        <v>343</v>
      </c>
      <c r="Z39" s="3">
        <v>1</v>
      </c>
      <c r="AA39" s="3">
        <v>0</v>
      </c>
      <c r="AB39" s="3">
        <v>0</v>
      </c>
      <c r="AC39" s="3">
        <v>0</v>
      </c>
      <c r="AD39" s="3">
        <v>0</v>
      </c>
      <c r="AE39" s="3"/>
    </row>
    <row r="40" spans="1:31" ht="16" customHeight="1" x14ac:dyDescent="0.2">
      <c r="A40" s="2" t="s">
        <v>472</v>
      </c>
      <c r="B40" s="3" t="s">
        <v>437</v>
      </c>
      <c r="C40" s="3" t="s">
        <v>340</v>
      </c>
      <c r="D40" s="3">
        <v>27</v>
      </c>
      <c r="E40" s="3" t="s">
        <v>217</v>
      </c>
      <c r="F40" s="3">
        <v>3799</v>
      </c>
      <c r="G40" s="3">
        <v>1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1</v>
      </c>
      <c r="P40" s="3">
        <v>3</v>
      </c>
      <c r="Q40" s="3">
        <v>0</v>
      </c>
      <c r="R40" s="3">
        <v>0</v>
      </c>
      <c r="S40" s="3">
        <v>1</v>
      </c>
      <c r="T40" s="3">
        <v>0</v>
      </c>
      <c r="U40" s="3">
        <v>0</v>
      </c>
      <c r="V40" s="3">
        <v>0</v>
      </c>
      <c r="W40" s="3" t="s">
        <v>341</v>
      </c>
      <c r="X40" s="3" t="s">
        <v>347</v>
      </c>
      <c r="Y40" s="3" t="s">
        <v>343</v>
      </c>
      <c r="Z40" s="3">
        <v>1</v>
      </c>
      <c r="AA40" s="3">
        <v>0</v>
      </c>
      <c r="AB40" s="3">
        <v>0</v>
      </c>
      <c r="AC40" s="3">
        <v>0</v>
      </c>
      <c r="AD40" s="3">
        <v>0</v>
      </c>
      <c r="AE40" s="3"/>
    </row>
    <row r="41" spans="1:31" ht="16" customHeight="1" x14ac:dyDescent="0.2">
      <c r="A41" s="2" t="s">
        <v>519</v>
      </c>
      <c r="B41" s="3" t="s">
        <v>450</v>
      </c>
      <c r="C41" s="3" t="s">
        <v>346</v>
      </c>
      <c r="D41" s="3">
        <v>27</v>
      </c>
      <c r="E41" s="3" t="s">
        <v>31</v>
      </c>
      <c r="F41" s="3">
        <v>1880</v>
      </c>
      <c r="G41" s="3">
        <v>1</v>
      </c>
      <c r="H41" s="3">
        <v>1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1</v>
      </c>
      <c r="R41" s="3">
        <v>5</v>
      </c>
      <c r="S41" s="3">
        <v>0</v>
      </c>
      <c r="T41" s="3">
        <v>0</v>
      </c>
      <c r="U41" s="3">
        <v>0</v>
      </c>
      <c r="V41" s="3">
        <v>1</v>
      </c>
      <c r="W41" s="3" t="s">
        <v>341</v>
      </c>
      <c r="X41" s="3" t="s">
        <v>347</v>
      </c>
      <c r="Y41" s="3" t="s">
        <v>343</v>
      </c>
      <c r="Z41" s="3">
        <v>1</v>
      </c>
      <c r="AA41" s="3">
        <v>0</v>
      </c>
      <c r="AB41" s="3">
        <v>1</v>
      </c>
      <c r="AC41" s="3">
        <v>0</v>
      </c>
      <c r="AD41" s="3">
        <v>0</v>
      </c>
      <c r="AE41" s="3"/>
    </row>
    <row r="42" spans="1:31" ht="16" customHeight="1" x14ac:dyDescent="0.2">
      <c r="A42" s="2" t="s">
        <v>404</v>
      </c>
      <c r="B42" s="3" t="s">
        <v>401</v>
      </c>
      <c r="C42" s="3" t="s">
        <v>340</v>
      </c>
      <c r="D42" s="3">
        <v>28</v>
      </c>
      <c r="E42" s="3" t="s">
        <v>215</v>
      </c>
      <c r="F42" s="3">
        <v>1559</v>
      </c>
      <c r="G42" s="3">
        <v>1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1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2</v>
      </c>
      <c r="W42" s="3" t="s">
        <v>341</v>
      </c>
      <c r="X42" s="3" t="s">
        <v>347</v>
      </c>
      <c r="Y42" s="3" t="s">
        <v>343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/>
    </row>
    <row r="43" spans="1:31" ht="16" customHeight="1" x14ac:dyDescent="0.2">
      <c r="A43" s="2" t="s">
        <v>473</v>
      </c>
      <c r="B43" s="3" t="s">
        <v>437</v>
      </c>
      <c r="C43" s="3" t="s">
        <v>340</v>
      </c>
      <c r="D43" s="3">
        <v>28</v>
      </c>
      <c r="E43" s="3" t="s">
        <v>217</v>
      </c>
      <c r="F43" s="3">
        <v>7903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1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 t="s">
        <v>350</v>
      </c>
      <c r="X43" s="3" t="s">
        <v>347</v>
      </c>
      <c r="Y43" s="3" t="s">
        <v>343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/>
    </row>
    <row r="44" spans="1:31" ht="16" customHeight="1" x14ac:dyDescent="0.2">
      <c r="A44" s="2" t="s">
        <v>520</v>
      </c>
      <c r="B44" s="3" t="s">
        <v>450</v>
      </c>
      <c r="C44" s="3" t="s">
        <v>346</v>
      </c>
      <c r="D44" s="3">
        <v>28</v>
      </c>
      <c r="E44" s="3" t="s">
        <v>31</v>
      </c>
      <c r="F44" s="3">
        <v>10352</v>
      </c>
      <c r="G44" s="3">
        <v>1</v>
      </c>
      <c r="H44" s="3">
        <v>1</v>
      </c>
      <c r="I44" s="3">
        <v>0</v>
      </c>
      <c r="J44" s="3">
        <v>0</v>
      </c>
      <c r="K44" s="3">
        <v>0</v>
      </c>
      <c r="L44" s="3">
        <v>1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4</v>
      </c>
      <c r="T44" s="3">
        <v>0</v>
      </c>
      <c r="U44" s="3">
        <v>0</v>
      </c>
      <c r="V44" s="3">
        <v>4</v>
      </c>
      <c r="W44" s="3" t="s">
        <v>350</v>
      </c>
      <c r="X44" s="3" t="s">
        <v>347</v>
      </c>
      <c r="Y44" s="3" t="s">
        <v>348</v>
      </c>
      <c r="Z44" s="3">
        <v>1</v>
      </c>
      <c r="AA44" s="3">
        <v>1</v>
      </c>
      <c r="AB44" s="3">
        <v>1</v>
      </c>
      <c r="AC44" s="3">
        <v>0</v>
      </c>
      <c r="AD44" s="3">
        <v>0</v>
      </c>
      <c r="AE44" s="3"/>
    </row>
    <row r="45" spans="1:31" ht="16" customHeight="1" x14ac:dyDescent="0.2">
      <c r="A45" s="2" t="s">
        <v>405</v>
      </c>
      <c r="B45" s="3" t="s">
        <v>401</v>
      </c>
      <c r="C45" s="3" t="s">
        <v>340</v>
      </c>
      <c r="D45" s="3">
        <v>29</v>
      </c>
      <c r="E45" s="3" t="s">
        <v>215</v>
      </c>
      <c r="F45" s="3">
        <v>8393</v>
      </c>
      <c r="G45" s="3">
        <v>1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1</v>
      </c>
      <c r="P45" s="3">
        <v>0</v>
      </c>
      <c r="Q45" s="3">
        <v>0</v>
      </c>
      <c r="R45" s="3">
        <v>0</v>
      </c>
      <c r="S45" s="3">
        <v>0</v>
      </c>
      <c r="T45" s="3">
        <v>2</v>
      </c>
      <c r="U45" s="3">
        <v>0</v>
      </c>
      <c r="V45" s="3">
        <v>0</v>
      </c>
      <c r="W45" s="3" t="s">
        <v>341</v>
      </c>
      <c r="X45" s="3" t="s">
        <v>350</v>
      </c>
      <c r="Y45" s="3" t="s">
        <v>343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/>
    </row>
    <row r="46" spans="1:31" ht="16" customHeight="1" x14ac:dyDescent="0.2">
      <c r="A46" s="2" t="s">
        <v>474</v>
      </c>
      <c r="B46" s="3" t="s">
        <v>437</v>
      </c>
      <c r="C46" s="3" t="s">
        <v>340</v>
      </c>
      <c r="D46" s="3">
        <v>29</v>
      </c>
      <c r="E46" s="3" t="s">
        <v>217</v>
      </c>
      <c r="F46" s="3">
        <v>9643</v>
      </c>
      <c r="G46" s="3">
        <v>1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1</v>
      </c>
      <c r="P46" s="3">
        <v>0</v>
      </c>
      <c r="Q46" s="3">
        <v>0</v>
      </c>
      <c r="R46" s="3">
        <v>0</v>
      </c>
      <c r="S46" s="3">
        <v>6</v>
      </c>
      <c r="T46" s="3">
        <v>0</v>
      </c>
      <c r="U46" s="3">
        <v>0</v>
      </c>
      <c r="V46" s="3">
        <v>2</v>
      </c>
      <c r="W46" s="3" t="s">
        <v>341</v>
      </c>
      <c r="X46" s="3" t="s">
        <v>347</v>
      </c>
      <c r="Y46" s="3" t="s">
        <v>343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/>
    </row>
    <row r="47" spans="1:31" ht="16" customHeight="1" x14ac:dyDescent="0.2">
      <c r="A47" s="2" t="s">
        <v>521</v>
      </c>
      <c r="B47" s="3" t="s">
        <v>450</v>
      </c>
      <c r="C47" s="3" t="s">
        <v>346</v>
      </c>
      <c r="D47" s="3">
        <v>29</v>
      </c>
      <c r="E47" s="3" t="s">
        <v>31</v>
      </c>
      <c r="F47" s="3">
        <v>9624</v>
      </c>
      <c r="G47" s="3">
        <v>1</v>
      </c>
      <c r="H47" s="3">
        <v>1</v>
      </c>
      <c r="I47" s="3">
        <v>1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5</v>
      </c>
      <c r="Q47" s="3">
        <v>2</v>
      </c>
      <c r="R47" s="3">
        <v>0</v>
      </c>
      <c r="S47" s="3">
        <v>0</v>
      </c>
      <c r="T47" s="3">
        <v>0</v>
      </c>
      <c r="U47" s="3">
        <v>0</v>
      </c>
      <c r="V47" s="3">
        <v>1</v>
      </c>
      <c r="W47" s="3" t="s">
        <v>341</v>
      </c>
      <c r="X47" s="3" t="s">
        <v>347</v>
      </c>
      <c r="Y47" s="3" t="s">
        <v>348</v>
      </c>
      <c r="Z47" s="3">
        <v>1</v>
      </c>
      <c r="AA47" s="3">
        <v>0</v>
      </c>
      <c r="AB47" s="3">
        <v>0</v>
      </c>
      <c r="AC47" s="3">
        <v>0</v>
      </c>
      <c r="AD47" s="3">
        <v>0</v>
      </c>
      <c r="AE47" s="3"/>
    </row>
    <row r="48" spans="1:31" ht="16" customHeight="1" x14ac:dyDescent="0.2">
      <c r="A48" s="2" t="s">
        <v>406</v>
      </c>
      <c r="B48" s="3" t="s">
        <v>401</v>
      </c>
      <c r="C48" s="3" t="s">
        <v>340</v>
      </c>
      <c r="D48" s="3">
        <v>30</v>
      </c>
      <c r="E48" s="3" t="s">
        <v>215</v>
      </c>
      <c r="F48" s="3">
        <v>2340</v>
      </c>
      <c r="G48" s="3">
        <v>1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1</v>
      </c>
      <c r="O48" s="3">
        <v>1</v>
      </c>
      <c r="P48" s="3">
        <v>0</v>
      </c>
      <c r="Q48" s="3">
        <v>0</v>
      </c>
      <c r="R48" s="3">
        <v>2</v>
      </c>
      <c r="S48" s="3">
        <v>0</v>
      </c>
      <c r="T48" s="3">
        <v>0</v>
      </c>
      <c r="U48" s="3">
        <v>0</v>
      </c>
      <c r="V48" s="3">
        <v>2</v>
      </c>
      <c r="W48" s="3" t="s">
        <v>341</v>
      </c>
      <c r="X48" s="3" t="s">
        <v>347</v>
      </c>
      <c r="Y48" s="3" t="s">
        <v>348</v>
      </c>
      <c r="Z48" s="3">
        <v>1</v>
      </c>
      <c r="AA48" s="3">
        <v>1</v>
      </c>
      <c r="AB48" s="3">
        <v>1</v>
      </c>
      <c r="AC48" s="3">
        <v>0</v>
      </c>
      <c r="AD48" s="3">
        <v>0</v>
      </c>
      <c r="AE48" s="3"/>
    </row>
    <row r="49" spans="1:31" ht="16" customHeight="1" x14ac:dyDescent="0.2">
      <c r="A49" s="2" t="s">
        <v>475</v>
      </c>
      <c r="B49" s="3" t="s">
        <v>437</v>
      </c>
      <c r="C49" s="3" t="s">
        <v>340</v>
      </c>
      <c r="D49" s="3">
        <v>30</v>
      </c>
      <c r="E49" s="3" t="s">
        <v>217</v>
      </c>
      <c r="F49" s="3">
        <v>3838</v>
      </c>
      <c r="G49" s="3">
        <v>1</v>
      </c>
      <c r="H49" s="3">
        <v>0</v>
      </c>
      <c r="I49" s="3">
        <v>0</v>
      </c>
      <c r="J49" s="3">
        <v>0</v>
      </c>
      <c r="K49" s="3">
        <v>1</v>
      </c>
      <c r="L49" s="3">
        <v>0</v>
      </c>
      <c r="M49" s="3">
        <v>0</v>
      </c>
      <c r="N49" s="3">
        <v>0</v>
      </c>
      <c r="O49" s="3">
        <v>1</v>
      </c>
      <c r="P49" s="3">
        <v>1</v>
      </c>
      <c r="Q49" s="3">
        <v>0</v>
      </c>
      <c r="R49" s="3">
        <v>1</v>
      </c>
      <c r="S49" s="3">
        <v>0</v>
      </c>
      <c r="T49" s="3">
        <v>0</v>
      </c>
      <c r="U49" s="3">
        <v>0</v>
      </c>
      <c r="V49" s="3">
        <v>1</v>
      </c>
      <c r="W49" s="3" t="s">
        <v>341</v>
      </c>
      <c r="X49" s="3" t="s">
        <v>347</v>
      </c>
      <c r="Y49" s="3" t="s">
        <v>348</v>
      </c>
      <c r="Z49" s="3">
        <v>1</v>
      </c>
      <c r="AA49" s="3">
        <v>0</v>
      </c>
      <c r="AB49" s="3">
        <v>1</v>
      </c>
      <c r="AC49" s="3">
        <v>0</v>
      </c>
      <c r="AD49" s="3">
        <v>0</v>
      </c>
      <c r="AE49" s="3"/>
    </row>
    <row r="50" spans="1:31" ht="16" customHeight="1" x14ac:dyDescent="0.2">
      <c r="A50" s="2" t="s">
        <v>522</v>
      </c>
      <c r="B50" s="3" t="s">
        <v>450</v>
      </c>
      <c r="C50" s="3" t="s">
        <v>346</v>
      </c>
      <c r="D50" s="3">
        <v>30</v>
      </c>
      <c r="E50" s="3" t="s">
        <v>31</v>
      </c>
      <c r="F50" s="3">
        <v>6401</v>
      </c>
      <c r="G50" s="3">
        <v>1</v>
      </c>
      <c r="H50" s="3">
        <v>1</v>
      </c>
      <c r="I50" s="3">
        <v>0</v>
      </c>
      <c r="J50" s="3">
        <v>0</v>
      </c>
      <c r="K50" s="3">
        <v>1</v>
      </c>
      <c r="L50" s="3">
        <v>0</v>
      </c>
      <c r="M50" s="3">
        <v>0</v>
      </c>
      <c r="N50" s="3">
        <v>0</v>
      </c>
      <c r="O50" s="3">
        <v>0</v>
      </c>
      <c r="P50" s="3">
        <v>1</v>
      </c>
      <c r="Q50" s="3">
        <v>3</v>
      </c>
      <c r="R50" s="3">
        <v>2</v>
      </c>
      <c r="S50" s="3">
        <v>0</v>
      </c>
      <c r="T50" s="3">
        <v>0</v>
      </c>
      <c r="U50" s="3">
        <v>0</v>
      </c>
      <c r="V50" s="3">
        <v>0</v>
      </c>
      <c r="W50" s="3" t="s">
        <v>350</v>
      </c>
      <c r="X50" s="3" t="s">
        <v>347</v>
      </c>
      <c r="Y50" s="3" t="s">
        <v>348</v>
      </c>
      <c r="Z50" s="3">
        <v>1</v>
      </c>
      <c r="AA50" s="3">
        <v>0</v>
      </c>
      <c r="AB50" s="3">
        <v>0</v>
      </c>
      <c r="AC50" s="3">
        <v>0</v>
      </c>
      <c r="AD50" s="3">
        <v>0</v>
      </c>
      <c r="AE50" s="3"/>
    </row>
    <row r="51" spans="1:31" ht="16" customHeight="1" x14ac:dyDescent="0.2">
      <c r="A51" s="2" t="s">
        <v>407</v>
      </c>
      <c r="B51" s="3" t="s">
        <v>401</v>
      </c>
      <c r="C51" s="3" t="s">
        <v>340</v>
      </c>
      <c r="D51" s="3">
        <v>31</v>
      </c>
      <c r="E51" s="3" t="s">
        <v>215</v>
      </c>
      <c r="F51" s="3">
        <v>6911</v>
      </c>
      <c r="G51" s="3">
        <v>1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1</v>
      </c>
      <c r="P51" s="3">
        <v>5</v>
      </c>
      <c r="Q51" s="3">
        <v>2</v>
      </c>
      <c r="R51" s="3">
        <v>0</v>
      </c>
      <c r="S51" s="3">
        <v>0</v>
      </c>
      <c r="T51" s="3">
        <v>0</v>
      </c>
      <c r="U51" s="3">
        <v>0</v>
      </c>
      <c r="V51" s="3">
        <v>1</v>
      </c>
      <c r="W51" s="3" t="s">
        <v>341</v>
      </c>
      <c r="X51" s="3" t="s">
        <v>347</v>
      </c>
      <c r="Y51" s="3" t="s">
        <v>343</v>
      </c>
      <c r="Z51" s="3">
        <v>0</v>
      </c>
      <c r="AA51" s="3">
        <v>1</v>
      </c>
      <c r="AB51" s="3">
        <v>1</v>
      </c>
      <c r="AC51" s="3">
        <v>0</v>
      </c>
      <c r="AD51" s="3">
        <v>0</v>
      </c>
      <c r="AE51" s="3"/>
    </row>
    <row r="52" spans="1:31" ht="16" customHeight="1" x14ac:dyDescent="0.2">
      <c r="A52" s="2" t="s">
        <v>476</v>
      </c>
      <c r="B52" s="3" t="s">
        <v>437</v>
      </c>
      <c r="C52" s="3" t="s">
        <v>340</v>
      </c>
      <c r="D52" s="3">
        <v>31</v>
      </c>
      <c r="E52" s="3" t="s">
        <v>217</v>
      </c>
      <c r="F52" s="3">
        <v>1787</v>
      </c>
      <c r="G52" s="3">
        <v>1</v>
      </c>
      <c r="H52" s="3">
        <v>1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1</v>
      </c>
      <c r="P52" s="3">
        <v>2</v>
      </c>
      <c r="Q52" s="3">
        <v>2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 t="s">
        <v>422</v>
      </c>
      <c r="X52" s="3" t="s">
        <v>341</v>
      </c>
      <c r="Y52" s="3" t="s">
        <v>343</v>
      </c>
      <c r="Z52" s="3">
        <v>1</v>
      </c>
      <c r="AA52" s="3">
        <v>0</v>
      </c>
      <c r="AB52" s="3">
        <v>1</v>
      </c>
      <c r="AC52" s="3">
        <v>0</v>
      </c>
      <c r="AD52" s="3">
        <v>0</v>
      </c>
      <c r="AE52" s="3"/>
    </row>
    <row r="53" spans="1:31" ht="16" customHeight="1" x14ac:dyDescent="0.2">
      <c r="A53" s="2" t="s">
        <v>524</v>
      </c>
      <c r="B53" s="3" t="s">
        <v>401</v>
      </c>
      <c r="C53" s="3" t="s">
        <v>346</v>
      </c>
      <c r="D53" s="3">
        <v>31</v>
      </c>
      <c r="E53" s="3" t="s">
        <v>31</v>
      </c>
      <c r="F53" s="3">
        <v>3044</v>
      </c>
      <c r="G53" s="3">
        <v>1</v>
      </c>
      <c r="H53" s="3">
        <v>1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 t="s">
        <v>341</v>
      </c>
      <c r="X53" s="3" t="s">
        <v>350</v>
      </c>
      <c r="Y53" s="3" t="s">
        <v>348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/>
    </row>
    <row r="54" spans="1:31" ht="16" customHeight="1" x14ac:dyDescent="0.2">
      <c r="A54" s="2" t="s">
        <v>523</v>
      </c>
      <c r="B54" s="3" t="s">
        <v>401</v>
      </c>
      <c r="C54" s="3" t="s">
        <v>346</v>
      </c>
      <c r="D54" s="3">
        <v>31</v>
      </c>
      <c r="E54" s="3" t="s">
        <v>218</v>
      </c>
      <c r="F54" s="3">
        <v>229</v>
      </c>
      <c r="G54" s="3">
        <v>1</v>
      </c>
      <c r="H54" s="3">
        <v>1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 t="s">
        <v>341</v>
      </c>
      <c r="X54" s="3" t="s">
        <v>350</v>
      </c>
      <c r="Y54" s="3" t="s">
        <v>348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/>
    </row>
    <row r="55" spans="1:31" ht="16" customHeight="1" x14ac:dyDescent="0.2">
      <c r="A55" s="2" t="s">
        <v>408</v>
      </c>
      <c r="B55" s="3" t="s">
        <v>401</v>
      </c>
      <c r="C55" s="3" t="s">
        <v>340</v>
      </c>
      <c r="D55" s="3">
        <v>32</v>
      </c>
      <c r="E55" s="3" t="s">
        <v>215</v>
      </c>
      <c r="F55" s="3">
        <v>3171</v>
      </c>
      <c r="G55" s="3">
        <v>1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1</v>
      </c>
      <c r="O55" s="3">
        <v>0</v>
      </c>
      <c r="P55" s="3">
        <v>0</v>
      </c>
      <c r="Q55" s="3">
        <v>0</v>
      </c>
      <c r="R55" s="3">
        <v>0</v>
      </c>
      <c r="S55" s="3">
        <v>3</v>
      </c>
      <c r="T55" s="3">
        <v>0</v>
      </c>
      <c r="U55" s="3">
        <v>0</v>
      </c>
      <c r="V55" s="3">
        <v>2</v>
      </c>
      <c r="W55" s="3" t="s">
        <v>341</v>
      </c>
      <c r="X55" s="3" t="s">
        <v>347</v>
      </c>
      <c r="Y55" s="3" t="s">
        <v>348</v>
      </c>
      <c r="Z55" s="3">
        <v>1</v>
      </c>
      <c r="AA55" s="3">
        <v>0</v>
      </c>
      <c r="AB55" s="3">
        <v>0</v>
      </c>
      <c r="AC55" s="3">
        <v>0</v>
      </c>
      <c r="AD55" s="3">
        <v>0</v>
      </c>
      <c r="AE55" s="3"/>
    </row>
    <row r="56" spans="1:31" ht="16" customHeight="1" x14ac:dyDescent="0.2">
      <c r="A56" s="2" t="s">
        <v>477</v>
      </c>
      <c r="B56" s="3" t="s">
        <v>437</v>
      </c>
      <c r="C56" s="3" t="s">
        <v>340</v>
      </c>
      <c r="D56" s="3">
        <v>32</v>
      </c>
      <c r="E56" s="3" t="s">
        <v>217</v>
      </c>
      <c r="F56" s="3">
        <v>2252</v>
      </c>
      <c r="G56" s="3">
        <v>1</v>
      </c>
      <c r="H56" s="3">
        <v>2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1</v>
      </c>
      <c r="O56" s="3">
        <v>1</v>
      </c>
      <c r="P56" s="3">
        <v>4</v>
      </c>
      <c r="Q56" s="3">
        <v>0</v>
      </c>
      <c r="R56" s="3">
        <v>0</v>
      </c>
      <c r="S56" s="3">
        <v>1</v>
      </c>
      <c r="T56" s="3">
        <v>0</v>
      </c>
      <c r="U56" s="3">
        <v>0</v>
      </c>
      <c r="V56" s="3">
        <v>3</v>
      </c>
      <c r="W56" s="3" t="s">
        <v>341</v>
      </c>
      <c r="X56" s="3" t="s">
        <v>350</v>
      </c>
      <c r="Y56" s="3" t="s">
        <v>348</v>
      </c>
      <c r="Z56" s="3">
        <v>1</v>
      </c>
      <c r="AA56" s="3">
        <v>0</v>
      </c>
      <c r="AB56" s="3">
        <v>0</v>
      </c>
      <c r="AC56" s="3">
        <v>0</v>
      </c>
      <c r="AD56" s="3">
        <v>0</v>
      </c>
      <c r="AE56" s="3"/>
    </row>
    <row r="57" spans="1:31" ht="16" customHeight="1" x14ac:dyDescent="0.2">
      <c r="A57" s="2" t="s">
        <v>525</v>
      </c>
      <c r="B57" s="3" t="s">
        <v>401</v>
      </c>
      <c r="C57" s="3" t="s">
        <v>346</v>
      </c>
      <c r="D57" s="3">
        <v>32</v>
      </c>
      <c r="E57" s="3" t="s">
        <v>31</v>
      </c>
      <c r="F57" s="3">
        <v>810</v>
      </c>
      <c r="G57" s="3">
        <v>1</v>
      </c>
      <c r="H57" s="3">
        <v>1</v>
      </c>
      <c r="I57" s="3">
        <v>1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1</v>
      </c>
      <c r="P57" s="3">
        <v>1</v>
      </c>
      <c r="Q57" s="3">
        <v>2</v>
      </c>
      <c r="R57" s="3">
        <v>3</v>
      </c>
      <c r="S57" s="3">
        <v>2</v>
      </c>
      <c r="T57" s="3">
        <v>0</v>
      </c>
      <c r="U57" s="3">
        <v>1</v>
      </c>
      <c r="V57" s="3">
        <v>3</v>
      </c>
      <c r="W57" s="3" t="s">
        <v>341</v>
      </c>
      <c r="X57" s="3" t="s">
        <v>350</v>
      </c>
      <c r="Y57" s="3" t="s">
        <v>348</v>
      </c>
      <c r="Z57" s="3">
        <v>1</v>
      </c>
      <c r="AA57" s="3">
        <v>1</v>
      </c>
      <c r="AB57" s="3">
        <v>1</v>
      </c>
      <c r="AC57" s="3">
        <v>0</v>
      </c>
      <c r="AD57" s="3">
        <v>0</v>
      </c>
      <c r="AE57" s="3"/>
    </row>
    <row r="58" spans="1:31" ht="16" customHeight="1" x14ac:dyDescent="0.2">
      <c r="A58" s="2" t="s">
        <v>409</v>
      </c>
      <c r="B58" s="3" t="s">
        <v>401</v>
      </c>
      <c r="C58" s="3" t="s">
        <v>340</v>
      </c>
      <c r="D58" s="3">
        <v>33</v>
      </c>
      <c r="E58" s="3" t="s">
        <v>215</v>
      </c>
      <c r="F58" s="3">
        <v>9622</v>
      </c>
      <c r="G58" s="3">
        <v>1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1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 t="s">
        <v>350</v>
      </c>
      <c r="X58" s="3" t="s">
        <v>350</v>
      </c>
      <c r="Y58" s="3" t="s">
        <v>343</v>
      </c>
      <c r="Z58" s="3">
        <v>1</v>
      </c>
      <c r="AA58" s="3">
        <v>0</v>
      </c>
      <c r="AB58" s="3">
        <v>0</v>
      </c>
      <c r="AC58" s="3">
        <v>0</v>
      </c>
      <c r="AD58" s="3">
        <v>0</v>
      </c>
      <c r="AE58" s="3"/>
    </row>
    <row r="59" spans="1:31" ht="16" customHeight="1" x14ac:dyDescent="0.2">
      <c r="A59" s="2" t="s">
        <v>478</v>
      </c>
      <c r="B59" s="3" t="s">
        <v>437</v>
      </c>
      <c r="C59" s="3" t="s">
        <v>340</v>
      </c>
      <c r="D59" s="3">
        <v>33</v>
      </c>
      <c r="E59" s="3" t="s">
        <v>217</v>
      </c>
      <c r="F59" s="3">
        <v>340</v>
      </c>
      <c r="G59" s="3">
        <v>1</v>
      </c>
      <c r="H59" s="3">
        <v>2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1</v>
      </c>
      <c r="P59" s="3">
        <v>5</v>
      </c>
      <c r="Q59" s="3">
        <v>4</v>
      </c>
      <c r="R59" s="3">
        <v>0</v>
      </c>
      <c r="S59" s="3">
        <v>0</v>
      </c>
      <c r="T59" s="3">
        <v>0</v>
      </c>
      <c r="U59" s="3">
        <v>0</v>
      </c>
      <c r="V59" s="3">
        <v>1</v>
      </c>
      <c r="W59" s="3" t="s">
        <v>341</v>
      </c>
      <c r="X59" s="3" t="s">
        <v>350</v>
      </c>
      <c r="Y59" s="3" t="s">
        <v>343</v>
      </c>
      <c r="Z59" s="3">
        <v>1</v>
      </c>
      <c r="AA59" s="3">
        <v>0</v>
      </c>
      <c r="AB59" s="3">
        <v>0</v>
      </c>
      <c r="AC59" s="3">
        <v>1</v>
      </c>
      <c r="AD59" s="3">
        <v>0</v>
      </c>
      <c r="AE59" s="3"/>
    </row>
    <row r="60" spans="1:31" ht="16" customHeight="1" x14ac:dyDescent="0.2">
      <c r="A60" s="2" t="s">
        <v>526</v>
      </c>
      <c r="B60" s="3" t="s">
        <v>401</v>
      </c>
      <c r="C60" s="3" t="s">
        <v>346</v>
      </c>
      <c r="D60" s="3">
        <v>33</v>
      </c>
      <c r="E60" s="3" t="s">
        <v>31</v>
      </c>
      <c r="F60" s="3">
        <v>7759</v>
      </c>
      <c r="G60" s="3">
        <v>1</v>
      </c>
      <c r="H60" s="3">
        <v>1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1</v>
      </c>
      <c r="W60" s="3" t="s">
        <v>350</v>
      </c>
      <c r="X60" s="3" t="s">
        <v>347</v>
      </c>
      <c r="Y60" s="3" t="s">
        <v>343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/>
    </row>
    <row r="61" spans="1:31" ht="16" customHeight="1" x14ac:dyDescent="0.2">
      <c r="A61" s="2" t="s">
        <v>410</v>
      </c>
      <c r="B61" s="3" t="s">
        <v>401</v>
      </c>
      <c r="C61" s="3" t="s">
        <v>340</v>
      </c>
      <c r="D61" s="3">
        <v>34</v>
      </c>
      <c r="E61" s="3" t="s">
        <v>215</v>
      </c>
      <c r="F61" s="3">
        <v>7165</v>
      </c>
      <c r="G61" s="3">
        <v>1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1</v>
      </c>
      <c r="P61" s="3">
        <v>1</v>
      </c>
      <c r="Q61" s="3">
        <v>0</v>
      </c>
      <c r="R61" s="3">
        <v>0</v>
      </c>
      <c r="S61" s="3">
        <v>0</v>
      </c>
      <c r="T61" s="3">
        <v>1</v>
      </c>
      <c r="U61" s="3">
        <v>0</v>
      </c>
      <c r="V61" s="3">
        <v>1</v>
      </c>
      <c r="W61" s="3" t="s">
        <v>341</v>
      </c>
      <c r="X61" s="3" t="s">
        <v>347</v>
      </c>
      <c r="Y61" s="3" t="s">
        <v>343</v>
      </c>
      <c r="Z61" s="3">
        <v>1</v>
      </c>
      <c r="AA61" s="3">
        <v>1</v>
      </c>
      <c r="AB61" s="3">
        <v>0</v>
      </c>
      <c r="AC61" s="3">
        <v>0</v>
      </c>
      <c r="AD61" s="3">
        <v>0</v>
      </c>
      <c r="AE61" s="3"/>
    </row>
    <row r="62" spans="1:31" ht="16" customHeight="1" x14ac:dyDescent="0.2">
      <c r="A62" s="2" t="s">
        <v>479</v>
      </c>
      <c r="B62" s="3" t="s">
        <v>437</v>
      </c>
      <c r="C62" s="3" t="s">
        <v>340</v>
      </c>
      <c r="D62" s="3">
        <v>34</v>
      </c>
      <c r="E62" s="3" t="s">
        <v>217</v>
      </c>
      <c r="F62" s="3">
        <v>564</v>
      </c>
      <c r="G62" s="3">
        <v>1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1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2</v>
      </c>
      <c r="W62" s="3" t="s">
        <v>341</v>
      </c>
      <c r="X62" s="3" t="s">
        <v>347</v>
      </c>
      <c r="Y62" s="3" t="s">
        <v>343</v>
      </c>
      <c r="Z62" s="3">
        <v>1</v>
      </c>
      <c r="AA62" s="3">
        <v>0</v>
      </c>
      <c r="AB62" s="3">
        <v>1</v>
      </c>
      <c r="AC62" s="3">
        <v>0</v>
      </c>
      <c r="AD62" s="3">
        <v>0</v>
      </c>
      <c r="AE62" s="3"/>
    </row>
    <row r="63" spans="1:31" ht="16" customHeight="1" x14ac:dyDescent="0.2">
      <c r="A63" s="2" t="s">
        <v>527</v>
      </c>
      <c r="B63" s="3" t="s">
        <v>401</v>
      </c>
      <c r="C63" s="3" t="s">
        <v>346</v>
      </c>
      <c r="D63" s="3">
        <v>34</v>
      </c>
      <c r="E63" s="3" t="s">
        <v>31</v>
      </c>
      <c r="F63" s="3">
        <v>1880</v>
      </c>
      <c r="G63" s="3">
        <v>1</v>
      </c>
      <c r="H63" s="3">
        <v>1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3</v>
      </c>
      <c r="R63" s="3">
        <v>2</v>
      </c>
      <c r="S63" s="3">
        <v>1</v>
      </c>
      <c r="T63" s="3">
        <v>0</v>
      </c>
      <c r="U63" s="3">
        <v>0</v>
      </c>
      <c r="V63" s="3">
        <v>1</v>
      </c>
      <c r="W63" s="3" t="s">
        <v>341</v>
      </c>
      <c r="X63" s="3" t="s">
        <v>347</v>
      </c>
      <c r="Y63" s="3" t="s">
        <v>343</v>
      </c>
      <c r="Z63" s="3">
        <v>1</v>
      </c>
      <c r="AA63" s="3">
        <v>0</v>
      </c>
      <c r="AB63" s="3">
        <v>0</v>
      </c>
      <c r="AC63" s="3">
        <v>0</v>
      </c>
      <c r="AD63" s="3">
        <v>0</v>
      </c>
      <c r="AE63" s="3"/>
    </row>
    <row r="64" spans="1:31" ht="16" customHeight="1" x14ac:dyDescent="0.2">
      <c r="A64" s="2" t="s">
        <v>411</v>
      </c>
      <c r="B64" s="3" t="s">
        <v>401</v>
      </c>
      <c r="C64" s="3" t="s">
        <v>340</v>
      </c>
      <c r="D64" s="3">
        <v>35</v>
      </c>
      <c r="E64" s="3" t="s">
        <v>215</v>
      </c>
      <c r="F64" s="3">
        <v>1405</v>
      </c>
      <c r="G64" s="3">
        <v>1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1</v>
      </c>
      <c r="O64" s="3">
        <v>1</v>
      </c>
      <c r="P64" s="3">
        <v>0</v>
      </c>
      <c r="Q64" s="3">
        <v>4</v>
      </c>
      <c r="R64" s="3">
        <v>1</v>
      </c>
      <c r="S64" s="3">
        <v>0</v>
      </c>
      <c r="T64" s="3">
        <v>0</v>
      </c>
      <c r="U64" s="3">
        <v>0</v>
      </c>
      <c r="V64" s="3">
        <v>1</v>
      </c>
      <c r="W64" s="3" t="s">
        <v>341</v>
      </c>
      <c r="X64" s="3" t="s">
        <v>350</v>
      </c>
      <c r="Y64" s="3" t="s">
        <v>348</v>
      </c>
      <c r="Z64" s="3">
        <v>1</v>
      </c>
      <c r="AA64" s="3">
        <v>1</v>
      </c>
      <c r="AB64" s="3">
        <v>1</v>
      </c>
      <c r="AC64" s="3">
        <v>0</v>
      </c>
      <c r="AD64" s="3">
        <v>0</v>
      </c>
      <c r="AE64" s="3"/>
    </row>
    <row r="65" spans="1:31" ht="16" customHeight="1" x14ac:dyDescent="0.2">
      <c r="A65" s="2" t="s">
        <v>480</v>
      </c>
      <c r="B65" s="3" t="s">
        <v>437</v>
      </c>
      <c r="C65" s="3" t="s">
        <v>340</v>
      </c>
      <c r="D65" s="3">
        <v>35</v>
      </c>
      <c r="E65" s="3" t="s">
        <v>217</v>
      </c>
      <c r="F65" s="3">
        <v>695</v>
      </c>
      <c r="G65" s="3">
        <v>1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1</v>
      </c>
      <c r="P65" s="3">
        <v>5</v>
      </c>
      <c r="Q65" s="3">
        <v>5</v>
      </c>
      <c r="R65" s="3">
        <v>2</v>
      </c>
      <c r="S65" s="3">
        <v>0</v>
      </c>
      <c r="T65" s="3">
        <v>0</v>
      </c>
      <c r="U65" s="3">
        <v>0</v>
      </c>
      <c r="V65" s="3">
        <v>0</v>
      </c>
      <c r="W65" s="3" t="s">
        <v>341</v>
      </c>
      <c r="X65" s="3" t="s">
        <v>347</v>
      </c>
      <c r="Y65" s="3" t="s">
        <v>348</v>
      </c>
      <c r="Z65" s="3">
        <v>1</v>
      </c>
      <c r="AA65" s="3">
        <v>1</v>
      </c>
      <c r="AB65" s="3">
        <v>1</v>
      </c>
      <c r="AC65" s="3">
        <v>0</v>
      </c>
      <c r="AD65" s="3">
        <v>1</v>
      </c>
      <c r="AE65" s="3"/>
    </row>
    <row r="66" spans="1:31" ht="16" customHeight="1" x14ac:dyDescent="0.2">
      <c r="A66" s="2" t="s">
        <v>528</v>
      </c>
      <c r="B66" s="3" t="s">
        <v>401</v>
      </c>
      <c r="C66" s="3" t="s">
        <v>346</v>
      </c>
      <c r="D66" s="3">
        <v>35</v>
      </c>
      <c r="E66" s="3" t="s">
        <v>31</v>
      </c>
      <c r="F66" s="3">
        <v>6648</v>
      </c>
      <c r="G66" s="3">
        <v>1</v>
      </c>
      <c r="H66" s="3">
        <v>1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2</v>
      </c>
      <c r="U66" s="3">
        <v>0</v>
      </c>
      <c r="V66" s="3">
        <v>4</v>
      </c>
      <c r="W66" s="3" t="s">
        <v>341</v>
      </c>
      <c r="X66" s="3" t="s">
        <v>347</v>
      </c>
      <c r="Y66" s="3" t="s">
        <v>348</v>
      </c>
      <c r="Z66" s="3">
        <v>1</v>
      </c>
      <c r="AA66" s="3">
        <v>0</v>
      </c>
      <c r="AB66" s="3">
        <v>1</v>
      </c>
      <c r="AC66" s="3">
        <v>0</v>
      </c>
      <c r="AD66" s="3">
        <v>0</v>
      </c>
      <c r="AE66" s="3"/>
    </row>
    <row r="67" spans="1:31" ht="16" customHeight="1" x14ac:dyDescent="0.2">
      <c r="A67" s="2" t="s">
        <v>412</v>
      </c>
      <c r="B67" s="3" t="s">
        <v>401</v>
      </c>
      <c r="C67" s="3" t="s">
        <v>340</v>
      </c>
      <c r="D67" s="3">
        <v>36</v>
      </c>
      <c r="E67" s="3" t="s">
        <v>215</v>
      </c>
      <c r="F67" s="3">
        <v>578</v>
      </c>
      <c r="G67" s="3">
        <v>1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1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 t="s">
        <v>350</v>
      </c>
      <c r="X67" s="3" t="s">
        <v>350</v>
      </c>
      <c r="Y67" s="3" t="s">
        <v>348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/>
    </row>
    <row r="68" spans="1:31" ht="16" customHeight="1" x14ac:dyDescent="0.2">
      <c r="A68" s="2" t="s">
        <v>481</v>
      </c>
      <c r="B68" s="3" t="s">
        <v>437</v>
      </c>
      <c r="C68" s="3" t="s">
        <v>340</v>
      </c>
      <c r="D68" s="3">
        <v>36</v>
      </c>
      <c r="E68" s="3" t="s">
        <v>217</v>
      </c>
      <c r="F68" s="3">
        <v>3181</v>
      </c>
      <c r="G68" s="3">
        <v>1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1</v>
      </c>
      <c r="O68" s="3">
        <v>1</v>
      </c>
      <c r="P68" s="3">
        <v>1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5</v>
      </c>
      <c r="W68" s="3" t="s">
        <v>341</v>
      </c>
      <c r="X68" s="3" t="s">
        <v>347</v>
      </c>
      <c r="Y68" s="3" t="s">
        <v>343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/>
    </row>
    <row r="69" spans="1:31" ht="16" customHeight="1" x14ac:dyDescent="0.2">
      <c r="A69" s="2" t="s">
        <v>529</v>
      </c>
      <c r="B69" s="3" t="s">
        <v>530</v>
      </c>
      <c r="C69" s="3" t="s">
        <v>346</v>
      </c>
      <c r="D69" s="3">
        <v>36</v>
      </c>
      <c r="E69" s="3" t="s">
        <v>31</v>
      </c>
      <c r="F69" s="3">
        <v>578</v>
      </c>
      <c r="G69" s="3">
        <v>1</v>
      </c>
      <c r="H69" s="3">
        <v>1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5</v>
      </c>
      <c r="R69" s="3">
        <v>0</v>
      </c>
      <c r="S69" s="3">
        <v>0</v>
      </c>
      <c r="T69" s="3">
        <v>0</v>
      </c>
      <c r="U69" s="3">
        <v>0</v>
      </c>
      <c r="V69" s="3">
        <v>2</v>
      </c>
      <c r="W69" s="3" t="s">
        <v>341</v>
      </c>
      <c r="X69" s="3" t="s">
        <v>350</v>
      </c>
      <c r="Y69" s="3" t="s">
        <v>348</v>
      </c>
      <c r="Z69" s="3">
        <v>1</v>
      </c>
      <c r="AA69" s="3">
        <v>1</v>
      </c>
      <c r="AB69" s="3">
        <v>1</v>
      </c>
      <c r="AC69" s="3">
        <v>0</v>
      </c>
      <c r="AD69" s="3">
        <v>0</v>
      </c>
      <c r="AE69" s="3"/>
    </row>
    <row r="70" spans="1:31" ht="16" customHeight="1" x14ac:dyDescent="0.2">
      <c r="A70" s="2" t="s">
        <v>482</v>
      </c>
      <c r="B70" s="3" t="s">
        <v>453</v>
      </c>
      <c r="C70" s="3" t="s">
        <v>340</v>
      </c>
      <c r="D70" s="3">
        <v>37</v>
      </c>
      <c r="E70" s="3" t="s">
        <v>217</v>
      </c>
      <c r="F70" s="3">
        <v>2340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1</v>
      </c>
      <c r="O70" s="3">
        <v>1</v>
      </c>
      <c r="P70" s="3">
        <v>1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1</v>
      </c>
      <c r="W70" s="3" t="s">
        <v>350</v>
      </c>
      <c r="X70" s="3" t="s">
        <v>350</v>
      </c>
      <c r="Y70" s="3" t="s">
        <v>348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/>
    </row>
    <row r="71" spans="1:31" ht="16" customHeight="1" x14ac:dyDescent="0.2">
      <c r="A71" s="2" t="s">
        <v>483</v>
      </c>
      <c r="B71" s="3" t="s">
        <v>453</v>
      </c>
      <c r="C71" s="3" t="s">
        <v>340</v>
      </c>
      <c r="D71" s="3">
        <v>38</v>
      </c>
      <c r="E71" s="3" t="s">
        <v>217</v>
      </c>
      <c r="F71" s="3">
        <v>3951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1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 t="s">
        <v>350</v>
      </c>
      <c r="X71" s="3" t="s">
        <v>341</v>
      </c>
      <c r="Y71" s="3" t="s">
        <v>348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/>
    </row>
    <row r="72" spans="1:31" ht="16" customHeight="1" x14ac:dyDescent="0.2">
      <c r="A72" s="2" t="s">
        <v>413</v>
      </c>
      <c r="B72" s="3" t="s">
        <v>414</v>
      </c>
      <c r="C72" s="3" t="s">
        <v>340</v>
      </c>
      <c r="D72" s="3">
        <v>39</v>
      </c>
      <c r="E72" s="3" t="s">
        <v>217</v>
      </c>
      <c r="F72" s="3">
        <v>8243</v>
      </c>
      <c r="G72" s="3">
        <v>1</v>
      </c>
      <c r="H72" s="3">
        <v>0</v>
      </c>
      <c r="I72" s="3">
        <v>1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 t="s">
        <v>350</v>
      </c>
      <c r="X72" s="3" t="s">
        <v>350</v>
      </c>
      <c r="Y72" s="3" t="s">
        <v>348</v>
      </c>
      <c r="Z72" s="3">
        <v>1</v>
      </c>
      <c r="AA72" s="3">
        <v>0</v>
      </c>
      <c r="AB72" s="3">
        <v>1</v>
      </c>
      <c r="AC72" s="3">
        <v>0</v>
      </c>
      <c r="AD72" s="3">
        <v>0</v>
      </c>
      <c r="AE72" s="3"/>
    </row>
    <row r="73" spans="1:31" ht="16" customHeight="1" x14ac:dyDescent="0.2">
      <c r="A73" s="2" t="s">
        <v>413</v>
      </c>
      <c r="B73" s="3" t="s">
        <v>453</v>
      </c>
      <c r="C73" s="3" t="s">
        <v>340</v>
      </c>
      <c r="D73" s="3">
        <v>39</v>
      </c>
      <c r="E73" s="3" t="s">
        <v>217</v>
      </c>
      <c r="F73" s="3">
        <v>8243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1</v>
      </c>
      <c r="P73" s="3">
        <v>3</v>
      </c>
      <c r="Q73" s="3">
        <v>1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 t="s">
        <v>350</v>
      </c>
      <c r="X73" s="3" t="s">
        <v>347</v>
      </c>
      <c r="Y73" s="3" t="s">
        <v>348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/>
    </row>
    <row r="74" spans="1:31" ht="16" customHeight="1" x14ac:dyDescent="0.2">
      <c r="A74" s="2" t="s">
        <v>415</v>
      </c>
      <c r="B74" s="3" t="s">
        <v>414</v>
      </c>
      <c r="C74" s="3" t="s">
        <v>340</v>
      </c>
      <c r="D74" s="3">
        <v>40</v>
      </c>
      <c r="E74" s="3" t="s">
        <v>215</v>
      </c>
      <c r="F74" s="3">
        <v>1787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 t="s">
        <v>350</v>
      </c>
      <c r="X74" s="3" t="s">
        <v>350</v>
      </c>
      <c r="Y74" s="3" t="s">
        <v>348</v>
      </c>
      <c r="Z74" s="3">
        <v>1</v>
      </c>
      <c r="AA74" s="3">
        <v>0</v>
      </c>
      <c r="AB74" s="3">
        <v>1</v>
      </c>
      <c r="AC74" s="3">
        <v>0</v>
      </c>
      <c r="AD74" s="3">
        <v>0</v>
      </c>
      <c r="AE74" s="3"/>
    </row>
    <row r="75" spans="1:31" ht="16" customHeight="1" x14ac:dyDescent="0.2">
      <c r="A75" s="2" t="s">
        <v>484</v>
      </c>
      <c r="B75" s="3" t="s">
        <v>453</v>
      </c>
      <c r="C75" s="3" t="s">
        <v>340</v>
      </c>
      <c r="D75" s="3">
        <v>40</v>
      </c>
      <c r="E75" s="3" t="s">
        <v>217</v>
      </c>
      <c r="F75" s="3">
        <v>271</v>
      </c>
      <c r="G75" s="3">
        <v>0</v>
      </c>
      <c r="H75" s="3">
        <v>1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5</v>
      </c>
      <c r="U75" s="3">
        <v>0</v>
      </c>
      <c r="V75" s="3">
        <v>0</v>
      </c>
      <c r="W75" s="3" t="s">
        <v>350</v>
      </c>
      <c r="X75" s="3" t="s">
        <v>347</v>
      </c>
      <c r="Y75" s="3" t="s">
        <v>348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/>
    </row>
    <row r="76" spans="1:31" ht="16" customHeight="1" x14ac:dyDescent="0.2">
      <c r="A76" s="2" t="s">
        <v>416</v>
      </c>
      <c r="B76" s="3" t="s">
        <v>414</v>
      </c>
      <c r="C76" s="3" t="s">
        <v>340</v>
      </c>
      <c r="D76" s="3">
        <v>41</v>
      </c>
      <c r="E76" s="3" t="s">
        <v>215</v>
      </c>
      <c r="F76" s="3">
        <v>1507</v>
      </c>
      <c r="G76" s="3">
        <v>1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1</v>
      </c>
      <c r="O76" s="3">
        <v>1</v>
      </c>
      <c r="P76" s="3">
        <v>2</v>
      </c>
      <c r="Q76" s="3">
        <v>0</v>
      </c>
      <c r="R76" s="3">
        <v>0</v>
      </c>
      <c r="S76" s="3">
        <v>0</v>
      </c>
      <c r="T76" s="3">
        <v>1</v>
      </c>
      <c r="U76" s="3">
        <v>0</v>
      </c>
      <c r="V76" s="3">
        <v>0</v>
      </c>
      <c r="W76" s="3" t="s">
        <v>341</v>
      </c>
      <c r="X76" s="3" t="s">
        <v>342</v>
      </c>
      <c r="Y76" s="3" t="s">
        <v>343</v>
      </c>
      <c r="Z76" s="3">
        <v>1</v>
      </c>
      <c r="AA76" s="3">
        <v>0</v>
      </c>
      <c r="AB76" s="3">
        <v>0</v>
      </c>
      <c r="AC76" s="3">
        <v>0</v>
      </c>
      <c r="AD76" s="3">
        <v>0</v>
      </c>
      <c r="AE76" s="3"/>
    </row>
    <row r="77" spans="1:31" ht="16" customHeight="1" x14ac:dyDescent="0.2">
      <c r="A77" s="2" t="s">
        <v>485</v>
      </c>
      <c r="B77" s="3" t="s">
        <v>453</v>
      </c>
      <c r="C77" s="3" t="s">
        <v>340</v>
      </c>
      <c r="D77" s="3">
        <v>41</v>
      </c>
      <c r="E77" s="3" t="s">
        <v>217</v>
      </c>
      <c r="F77" s="3">
        <v>3004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2</v>
      </c>
      <c r="Q77" s="3">
        <v>1</v>
      </c>
      <c r="R77" s="3">
        <v>0</v>
      </c>
      <c r="S77" s="3">
        <v>0</v>
      </c>
      <c r="T77" s="3">
        <v>0</v>
      </c>
      <c r="U77" s="3">
        <v>0</v>
      </c>
      <c r="V77" s="3">
        <v>1</v>
      </c>
      <c r="W77" s="3" t="s">
        <v>350</v>
      </c>
      <c r="X77" s="3" t="s">
        <v>347</v>
      </c>
      <c r="Y77" s="3" t="s">
        <v>343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/>
    </row>
    <row r="78" spans="1:31" ht="16" customHeight="1" x14ac:dyDescent="0.2">
      <c r="A78" s="2" t="s">
        <v>417</v>
      </c>
      <c r="B78" s="3" t="s">
        <v>414</v>
      </c>
      <c r="C78" s="3" t="s">
        <v>340</v>
      </c>
      <c r="D78" s="3">
        <v>42</v>
      </c>
      <c r="E78" s="3" t="s">
        <v>215</v>
      </c>
      <c r="F78" s="3">
        <v>6911</v>
      </c>
      <c r="G78" s="3">
        <v>1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5</v>
      </c>
      <c r="Q78" s="3">
        <v>0</v>
      </c>
      <c r="R78" s="3">
        <v>0</v>
      </c>
      <c r="S78" s="3">
        <v>0</v>
      </c>
      <c r="T78" s="3">
        <v>0</v>
      </c>
      <c r="U78" s="3">
        <v>3</v>
      </c>
      <c r="V78" s="3">
        <v>5</v>
      </c>
      <c r="W78" s="3" t="s">
        <v>341</v>
      </c>
      <c r="X78" s="3" t="s">
        <v>350</v>
      </c>
      <c r="Y78" s="3" t="s">
        <v>343</v>
      </c>
      <c r="Z78" s="3">
        <v>1</v>
      </c>
      <c r="AA78" s="3">
        <v>0</v>
      </c>
      <c r="AB78" s="3">
        <v>0</v>
      </c>
      <c r="AC78" s="3">
        <v>0</v>
      </c>
      <c r="AD78" s="3">
        <v>1</v>
      </c>
      <c r="AE78" s="3"/>
    </row>
    <row r="79" spans="1:31" ht="16" customHeight="1" x14ac:dyDescent="0.2">
      <c r="A79" s="2" t="s">
        <v>486</v>
      </c>
      <c r="B79" s="3" t="s">
        <v>453</v>
      </c>
      <c r="C79" s="3" t="s">
        <v>340</v>
      </c>
      <c r="D79" s="3">
        <v>42</v>
      </c>
      <c r="E79" s="3" t="s">
        <v>217</v>
      </c>
      <c r="F79" s="3">
        <v>229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2</v>
      </c>
      <c r="Q79" s="3">
        <v>1</v>
      </c>
      <c r="R79" s="3">
        <v>0</v>
      </c>
      <c r="S79" s="3">
        <v>0</v>
      </c>
      <c r="T79" s="3">
        <v>1</v>
      </c>
      <c r="U79" s="3">
        <v>0</v>
      </c>
      <c r="V79" s="3">
        <v>0</v>
      </c>
      <c r="W79" s="3" t="s">
        <v>350</v>
      </c>
      <c r="X79" s="3" t="s">
        <v>347</v>
      </c>
      <c r="Y79" s="3" t="s">
        <v>343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/>
    </row>
    <row r="80" spans="1:31" ht="16" customHeight="1" x14ac:dyDescent="0.2">
      <c r="A80" s="2" t="s">
        <v>418</v>
      </c>
      <c r="B80" s="3" t="s">
        <v>414</v>
      </c>
      <c r="C80" s="3" t="s">
        <v>340</v>
      </c>
      <c r="D80" s="3">
        <v>43</v>
      </c>
      <c r="E80" s="3" t="s">
        <v>215</v>
      </c>
      <c r="F80" s="3">
        <v>3171</v>
      </c>
      <c r="G80" s="3">
        <v>1</v>
      </c>
      <c r="H80" s="3">
        <v>1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1</v>
      </c>
      <c r="P80" s="3">
        <v>0</v>
      </c>
      <c r="Q80" s="3">
        <v>0</v>
      </c>
      <c r="R80" s="3">
        <v>0</v>
      </c>
      <c r="S80" s="3">
        <v>1</v>
      </c>
      <c r="T80" s="3">
        <v>0</v>
      </c>
      <c r="U80" s="3">
        <v>0</v>
      </c>
      <c r="V80" s="3">
        <v>0</v>
      </c>
      <c r="W80" s="3" t="s">
        <v>350</v>
      </c>
      <c r="X80" s="3" t="s">
        <v>350</v>
      </c>
      <c r="Y80" s="3" t="s">
        <v>348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/>
    </row>
    <row r="81" spans="1:31" ht="16" customHeight="1" x14ac:dyDescent="0.2">
      <c r="A81" s="2" t="s">
        <v>487</v>
      </c>
      <c r="B81" s="3" t="s">
        <v>453</v>
      </c>
      <c r="C81" s="3" t="s">
        <v>340</v>
      </c>
      <c r="D81" s="3">
        <v>43</v>
      </c>
      <c r="E81" s="3" t="s">
        <v>217</v>
      </c>
      <c r="F81" s="3">
        <v>3799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1</v>
      </c>
      <c r="Q81" s="3">
        <v>0</v>
      </c>
      <c r="R81" s="3">
        <v>0</v>
      </c>
      <c r="S81" s="3">
        <v>0</v>
      </c>
      <c r="T81" s="3">
        <v>0</v>
      </c>
      <c r="U81" s="3">
        <v>4</v>
      </c>
      <c r="V81" s="3">
        <v>2</v>
      </c>
      <c r="W81" s="3" t="s">
        <v>350</v>
      </c>
      <c r="X81" s="3" t="s">
        <v>347</v>
      </c>
      <c r="Y81" s="3" t="s">
        <v>348</v>
      </c>
      <c r="Z81" s="3">
        <v>1</v>
      </c>
      <c r="AA81" s="3">
        <v>1</v>
      </c>
      <c r="AB81" s="3">
        <v>1</v>
      </c>
      <c r="AC81" s="3">
        <v>0</v>
      </c>
      <c r="AD81" s="3">
        <v>0</v>
      </c>
      <c r="AE81" s="3"/>
    </row>
    <row r="82" spans="1:31" ht="16" customHeight="1" x14ac:dyDescent="0.2">
      <c r="A82" s="2" t="s">
        <v>419</v>
      </c>
      <c r="B82" s="3" t="s">
        <v>414</v>
      </c>
      <c r="C82" s="3" t="s">
        <v>340</v>
      </c>
      <c r="D82" s="3">
        <v>44</v>
      </c>
      <c r="E82" s="3" t="s">
        <v>215</v>
      </c>
      <c r="F82" s="3">
        <v>1585</v>
      </c>
      <c r="G82" s="3">
        <v>1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3</v>
      </c>
      <c r="R82" s="3">
        <v>0</v>
      </c>
      <c r="S82" s="3">
        <v>1</v>
      </c>
      <c r="T82" s="3">
        <v>0</v>
      </c>
      <c r="U82" s="3">
        <v>0</v>
      </c>
      <c r="V82" s="3">
        <v>2</v>
      </c>
      <c r="W82" s="3" t="s">
        <v>341</v>
      </c>
      <c r="X82" s="3" t="s">
        <v>350</v>
      </c>
      <c r="Y82" s="3" t="s">
        <v>343</v>
      </c>
      <c r="Z82" s="3">
        <v>1</v>
      </c>
      <c r="AA82" s="3">
        <v>0</v>
      </c>
      <c r="AB82" s="3">
        <v>0</v>
      </c>
      <c r="AC82" s="3">
        <v>0</v>
      </c>
      <c r="AD82" s="3">
        <v>0</v>
      </c>
      <c r="AE82" s="3"/>
    </row>
    <row r="83" spans="1:31" ht="16" customHeight="1" x14ac:dyDescent="0.2">
      <c r="A83" s="2" t="s">
        <v>488</v>
      </c>
      <c r="B83" s="3" t="s">
        <v>453</v>
      </c>
      <c r="C83" s="3" t="s">
        <v>340</v>
      </c>
      <c r="D83" s="3">
        <v>44</v>
      </c>
      <c r="E83" s="3" t="s">
        <v>217</v>
      </c>
      <c r="F83" s="3">
        <v>1511</v>
      </c>
      <c r="G83" s="3">
        <v>0</v>
      </c>
      <c r="H83" s="3">
        <v>1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2</v>
      </c>
      <c r="U83" s="3">
        <v>0</v>
      </c>
      <c r="V83" s="3">
        <v>0</v>
      </c>
      <c r="W83" s="3" t="s">
        <v>350</v>
      </c>
      <c r="X83" s="3" t="s">
        <v>347</v>
      </c>
      <c r="Y83" s="3" t="s">
        <v>343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/>
    </row>
    <row r="84" spans="1:31" ht="16" customHeight="1" x14ac:dyDescent="0.2">
      <c r="A84" s="2" t="s">
        <v>420</v>
      </c>
      <c r="B84" s="3" t="s">
        <v>414</v>
      </c>
      <c r="C84" s="3" t="s">
        <v>340</v>
      </c>
      <c r="D84" s="3">
        <v>45</v>
      </c>
      <c r="E84" s="3" t="s">
        <v>215</v>
      </c>
      <c r="F84" s="3">
        <v>191</v>
      </c>
      <c r="G84" s="3">
        <v>1</v>
      </c>
      <c r="H84" s="3">
        <v>2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1</v>
      </c>
      <c r="O84" s="3">
        <v>1</v>
      </c>
      <c r="P84" s="3">
        <v>4</v>
      </c>
      <c r="Q84" s="3">
        <v>2</v>
      </c>
      <c r="R84" s="3">
        <v>1</v>
      </c>
      <c r="S84" s="3">
        <v>0</v>
      </c>
      <c r="T84" s="3">
        <v>0</v>
      </c>
      <c r="U84" s="3">
        <v>0</v>
      </c>
      <c r="V84" s="3">
        <v>2</v>
      </c>
      <c r="W84" s="3" t="s">
        <v>341</v>
      </c>
      <c r="X84" s="3" t="s">
        <v>347</v>
      </c>
      <c r="Y84" s="3" t="s">
        <v>343</v>
      </c>
      <c r="Z84" s="3">
        <v>1</v>
      </c>
      <c r="AA84" s="3">
        <v>0</v>
      </c>
      <c r="AB84" s="3">
        <v>0</v>
      </c>
      <c r="AC84" s="3">
        <v>0</v>
      </c>
      <c r="AD84" s="3">
        <v>0</v>
      </c>
      <c r="AE84" s="3"/>
    </row>
    <row r="85" spans="1:31" ht="16" customHeight="1" x14ac:dyDescent="0.2">
      <c r="A85" s="2" t="s">
        <v>489</v>
      </c>
      <c r="B85" s="3" t="s">
        <v>453</v>
      </c>
      <c r="C85" s="3" t="s">
        <v>340</v>
      </c>
      <c r="D85" s="3">
        <v>45</v>
      </c>
      <c r="E85" s="3" t="s">
        <v>217</v>
      </c>
      <c r="F85" s="3">
        <v>7165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1</v>
      </c>
      <c r="Q85" s="3">
        <v>1</v>
      </c>
      <c r="R85" s="3">
        <v>0</v>
      </c>
      <c r="S85" s="3">
        <v>0</v>
      </c>
      <c r="T85" s="3">
        <v>1</v>
      </c>
      <c r="U85" s="3">
        <v>0</v>
      </c>
      <c r="V85" s="3">
        <v>0</v>
      </c>
      <c r="W85" s="3" t="s">
        <v>350</v>
      </c>
      <c r="X85" s="3" t="s">
        <v>347</v>
      </c>
      <c r="Y85" s="3" t="s">
        <v>343</v>
      </c>
      <c r="Z85" s="3">
        <v>1</v>
      </c>
      <c r="AA85" s="3">
        <v>0</v>
      </c>
      <c r="AB85" s="3">
        <v>0</v>
      </c>
      <c r="AC85" s="3">
        <v>0</v>
      </c>
      <c r="AD85" s="3">
        <v>0</v>
      </c>
      <c r="AE85" s="3"/>
    </row>
    <row r="86" spans="1:31" ht="16" customHeight="1" x14ac:dyDescent="0.2">
      <c r="A86" s="2" t="s">
        <v>421</v>
      </c>
      <c r="B86" s="3" t="s">
        <v>414</v>
      </c>
      <c r="C86" s="3" t="s">
        <v>340</v>
      </c>
      <c r="D86" s="3">
        <v>46</v>
      </c>
      <c r="E86" s="3" t="s">
        <v>215</v>
      </c>
      <c r="F86" s="3">
        <v>5590</v>
      </c>
      <c r="G86" s="3">
        <v>1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1</v>
      </c>
      <c r="O86" s="3">
        <v>1</v>
      </c>
      <c r="P86" s="3">
        <v>3</v>
      </c>
      <c r="Q86" s="3">
        <v>1</v>
      </c>
      <c r="R86" s="3">
        <v>0</v>
      </c>
      <c r="S86" s="3">
        <v>0</v>
      </c>
      <c r="T86" s="3">
        <v>0</v>
      </c>
      <c r="U86" s="3">
        <v>0</v>
      </c>
      <c r="V86" s="3">
        <v>1</v>
      </c>
      <c r="W86" s="3" t="s">
        <v>422</v>
      </c>
      <c r="X86" s="3" t="s">
        <v>347</v>
      </c>
      <c r="Y86" s="3" t="s">
        <v>348</v>
      </c>
      <c r="Z86" s="3">
        <v>1</v>
      </c>
      <c r="AA86" s="3">
        <v>0</v>
      </c>
      <c r="AB86" s="3">
        <v>1</v>
      </c>
      <c r="AC86" s="3">
        <v>0</v>
      </c>
      <c r="AD86" s="3">
        <v>0</v>
      </c>
      <c r="AE86" s="3"/>
    </row>
    <row r="87" spans="1:31" ht="16" customHeight="1" x14ac:dyDescent="0.2">
      <c r="A87" s="2" t="s">
        <v>490</v>
      </c>
      <c r="B87" s="3" t="s">
        <v>453</v>
      </c>
      <c r="C87" s="3" t="s">
        <v>340</v>
      </c>
      <c r="D87" s="3">
        <v>46</v>
      </c>
      <c r="E87" s="3" t="s">
        <v>217</v>
      </c>
      <c r="F87" s="3">
        <v>4611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3</v>
      </c>
      <c r="Q87" s="3">
        <v>0</v>
      </c>
      <c r="R87" s="3">
        <v>0</v>
      </c>
      <c r="S87" s="3">
        <v>0</v>
      </c>
      <c r="T87" s="3">
        <v>2</v>
      </c>
      <c r="U87" s="3">
        <v>0</v>
      </c>
      <c r="V87" s="3">
        <v>0</v>
      </c>
      <c r="W87" s="3" t="s">
        <v>350</v>
      </c>
      <c r="X87" s="3" t="s">
        <v>347</v>
      </c>
      <c r="Y87" s="3" t="s">
        <v>348</v>
      </c>
      <c r="Z87" s="3">
        <v>1</v>
      </c>
      <c r="AA87" s="3">
        <v>1</v>
      </c>
      <c r="AB87" s="3">
        <v>1</v>
      </c>
      <c r="AC87" s="3">
        <v>0</v>
      </c>
      <c r="AD87" s="3">
        <v>0</v>
      </c>
      <c r="AE87" s="3"/>
    </row>
    <row r="88" spans="1:31" ht="16" customHeight="1" x14ac:dyDescent="0.2">
      <c r="A88" s="2" t="s">
        <v>423</v>
      </c>
      <c r="B88" s="3" t="s">
        <v>414</v>
      </c>
      <c r="C88" s="3" t="s">
        <v>340</v>
      </c>
      <c r="D88" s="3">
        <v>47</v>
      </c>
      <c r="E88" s="3" t="s">
        <v>215</v>
      </c>
      <c r="F88" s="3">
        <v>3015</v>
      </c>
      <c r="G88" s="3">
        <v>1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 t="s">
        <v>350</v>
      </c>
      <c r="X88" s="3" t="s">
        <v>350</v>
      </c>
      <c r="Y88" s="3" t="s">
        <v>348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/>
    </row>
    <row r="89" spans="1:31" ht="16" customHeight="1" x14ac:dyDescent="0.2">
      <c r="A89" s="2" t="s">
        <v>491</v>
      </c>
      <c r="B89" s="3" t="s">
        <v>453</v>
      </c>
      <c r="C89" s="3" t="s">
        <v>340</v>
      </c>
      <c r="D89" s="3">
        <v>47</v>
      </c>
      <c r="E89" s="3" t="s">
        <v>217</v>
      </c>
      <c r="F89" s="3">
        <v>4930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4</v>
      </c>
      <c r="Q89" s="3">
        <v>2</v>
      </c>
      <c r="R89" s="3">
        <v>1</v>
      </c>
      <c r="S89" s="3">
        <v>2</v>
      </c>
      <c r="T89" s="3">
        <v>0</v>
      </c>
      <c r="U89" s="3">
        <v>1</v>
      </c>
      <c r="V89" s="3">
        <v>0</v>
      </c>
      <c r="W89" s="3" t="s">
        <v>341</v>
      </c>
      <c r="X89" s="3" t="s">
        <v>341</v>
      </c>
      <c r="Y89" s="3" t="s">
        <v>348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/>
    </row>
    <row r="90" spans="1:31" ht="16" customHeight="1" x14ac:dyDescent="0.2">
      <c r="A90" s="2" t="s">
        <v>449</v>
      </c>
      <c r="B90" s="3" t="s">
        <v>450</v>
      </c>
      <c r="C90" s="3" t="s">
        <v>340</v>
      </c>
      <c r="D90" s="3">
        <v>60</v>
      </c>
      <c r="E90" s="3" t="s">
        <v>216</v>
      </c>
      <c r="F90" s="3">
        <v>191</v>
      </c>
      <c r="G90" s="3">
        <v>1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1</v>
      </c>
      <c r="O90" s="3">
        <v>1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 t="s">
        <v>350</v>
      </c>
      <c r="X90" s="3" t="s">
        <v>347</v>
      </c>
      <c r="Y90" s="3" t="s">
        <v>343</v>
      </c>
      <c r="Z90" s="3">
        <v>1</v>
      </c>
      <c r="AA90" s="3">
        <v>0</v>
      </c>
      <c r="AB90" s="3">
        <v>1</v>
      </c>
      <c r="AC90" s="3">
        <v>0</v>
      </c>
      <c r="AD90" s="3">
        <v>0</v>
      </c>
      <c r="AE90" s="3"/>
    </row>
    <row r="91" spans="1:31" ht="16" customHeight="1" x14ac:dyDescent="0.2">
      <c r="A91" s="2" t="s">
        <v>338</v>
      </c>
      <c r="B91" s="3" t="s">
        <v>339</v>
      </c>
      <c r="C91" s="3" t="s">
        <v>340</v>
      </c>
      <c r="D91" s="3">
        <v>60</v>
      </c>
      <c r="E91" s="3" t="s">
        <v>217</v>
      </c>
      <c r="F91" s="3">
        <v>6621</v>
      </c>
      <c r="G91" s="3">
        <v>1</v>
      </c>
      <c r="H91" s="3">
        <v>1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1</v>
      </c>
      <c r="P91" s="3">
        <v>4</v>
      </c>
      <c r="Q91" s="3">
        <v>3</v>
      </c>
      <c r="R91" s="3">
        <v>0</v>
      </c>
      <c r="S91" s="3">
        <v>0</v>
      </c>
      <c r="T91" s="3">
        <v>0</v>
      </c>
      <c r="U91" s="3">
        <v>0</v>
      </c>
      <c r="V91" s="3">
        <v>6</v>
      </c>
      <c r="W91" s="3" t="s">
        <v>341</v>
      </c>
      <c r="X91" s="3" t="s">
        <v>342</v>
      </c>
      <c r="Y91" s="3" t="s">
        <v>343</v>
      </c>
      <c r="Z91" s="3">
        <v>1</v>
      </c>
      <c r="AA91" s="3">
        <v>0</v>
      </c>
      <c r="AB91" s="3">
        <v>1</v>
      </c>
      <c r="AC91" s="3">
        <v>0</v>
      </c>
      <c r="AD91" s="3">
        <v>0</v>
      </c>
      <c r="AE91" s="3"/>
    </row>
    <row r="92" spans="1:31" ht="16" customHeight="1" x14ac:dyDescent="0.2">
      <c r="A92" s="2" t="s">
        <v>436</v>
      </c>
      <c r="B92" s="3" t="s">
        <v>437</v>
      </c>
      <c r="C92" s="3" t="s">
        <v>346</v>
      </c>
      <c r="D92" s="3">
        <v>61</v>
      </c>
      <c r="E92" s="3" t="s">
        <v>215</v>
      </c>
      <c r="F92" s="3">
        <v>424</v>
      </c>
      <c r="G92" s="3">
        <v>1</v>
      </c>
      <c r="H92" s="3">
        <v>1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1</v>
      </c>
      <c r="P92" s="3">
        <v>1</v>
      </c>
      <c r="Q92" s="3">
        <v>5</v>
      </c>
      <c r="R92" s="3">
        <v>2</v>
      </c>
      <c r="S92" s="3">
        <v>0</v>
      </c>
      <c r="T92" s="3">
        <v>0</v>
      </c>
      <c r="U92" s="3">
        <v>1</v>
      </c>
      <c r="V92" s="3">
        <v>2</v>
      </c>
      <c r="W92" s="3" t="s">
        <v>341</v>
      </c>
      <c r="X92" s="3" t="s">
        <v>342</v>
      </c>
      <c r="Y92" s="3" t="s">
        <v>348</v>
      </c>
      <c r="Z92" s="3">
        <v>0</v>
      </c>
      <c r="AA92" s="3">
        <v>0</v>
      </c>
      <c r="AB92" s="3">
        <v>1</v>
      </c>
      <c r="AC92" s="3">
        <v>0</v>
      </c>
      <c r="AD92" s="3">
        <v>1</v>
      </c>
      <c r="AE92" s="3"/>
    </row>
    <row r="93" spans="1:31" ht="16" customHeight="1" x14ac:dyDescent="0.2">
      <c r="A93" s="2" t="s">
        <v>388</v>
      </c>
      <c r="B93" s="3" t="s">
        <v>389</v>
      </c>
      <c r="C93" s="3" t="s">
        <v>346</v>
      </c>
      <c r="D93" s="3">
        <v>61</v>
      </c>
      <c r="E93" s="3" t="s">
        <v>216</v>
      </c>
      <c r="F93" s="3">
        <v>3003</v>
      </c>
      <c r="G93" s="3">
        <v>1</v>
      </c>
      <c r="H93" s="3">
        <v>1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2</v>
      </c>
      <c r="P93" s="3">
        <v>6</v>
      </c>
      <c r="Q93" s="3">
        <v>3</v>
      </c>
      <c r="R93" s="3">
        <v>0</v>
      </c>
      <c r="S93" s="3">
        <v>0</v>
      </c>
      <c r="T93" s="3">
        <v>0</v>
      </c>
      <c r="U93" s="3">
        <v>0</v>
      </c>
      <c r="V93" s="3">
        <v>3</v>
      </c>
      <c r="W93" s="3" t="s">
        <v>341</v>
      </c>
      <c r="X93" s="3" t="s">
        <v>347</v>
      </c>
      <c r="Y93" s="3" t="s">
        <v>348</v>
      </c>
      <c r="Z93" s="3">
        <v>1</v>
      </c>
      <c r="AA93" s="3">
        <v>0</v>
      </c>
      <c r="AB93" s="3">
        <v>0</v>
      </c>
      <c r="AC93" s="3">
        <v>0</v>
      </c>
      <c r="AD93" s="3">
        <v>0</v>
      </c>
      <c r="AE93" s="3"/>
    </row>
    <row r="94" spans="1:31" ht="16" customHeight="1" x14ac:dyDescent="0.2">
      <c r="A94" s="2" t="s">
        <v>388</v>
      </c>
      <c r="B94" s="3" t="s">
        <v>450</v>
      </c>
      <c r="C94" s="3" t="s">
        <v>340</v>
      </c>
      <c r="D94" s="3">
        <v>61</v>
      </c>
      <c r="E94" s="3" t="s">
        <v>216</v>
      </c>
      <c r="F94" s="3">
        <v>271</v>
      </c>
      <c r="G94" s="3">
        <v>1</v>
      </c>
      <c r="H94" s="3">
        <v>0</v>
      </c>
      <c r="I94" s="3">
        <v>0</v>
      </c>
      <c r="J94" s="3">
        <v>0</v>
      </c>
      <c r="K94" s="3">
        <v>1</v>
      </c>
      <c r="L94" s="3">
        <v>0</v>
      </c>
      <c r="M94" s="3">
        <v>0</v>
      </c>
      <c r="N94" s="3">
        <v>0</v>
      </c>
      <c r="O94" s="3">
        <v>1</v>
      </c>
      <c r="P94" s="3">
        <v>0</v>
      </c>
      <c r="Q94" s="3">
        <v>0</v>
      </c>
      <c r="R94" s="3">
        <v>0</v>
      </c>
      <c r="S94" s="3">
        <v>0</v>
      </c>
      <c r="T94" s="3">
        <v>2</v>
      </c>
      <c r="U94" s="3">
        <v>0</v>
      </c>
      <c r="V94" s="3">
        <v>0</v>
      </c>
      <c r="W94" s="3" t="s">
        <v>350</v>
      </c>
      <c r="X94" s="3" t="s">
        <v>350</v>
      </c>
      <c r="Y94" s="3" t="s">
        <v>343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/>
    </row>
    <row r="95" spans="1:31" ht="16" customHeight="1" x14ac:dyDescent="0.2">
      <c r="A95" s="2" t="s">
        <v>344</v>
      </c>
      <c r="B95" s="3" t="s">
        <v>345</v>
      </c>
      <c r="C95" s="3" t="s">
        <v>346</v>
      </c>
      <c r="D95" s="3">
        <v>61</v>
      </c>
      <c r="E95" s="3" t="s">
        <v>217</v>
      </c>
      <c r="F95" s="3">
        <v>7504</v>
      </c>
      <c r="G95" s="3">
        <v>0</v>
      </c>
      <c r="H95" s="3">
        <v>0</v>
      </c>
      <c r="I95" s="3">
        <v>1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2</v>
      </c>
      <c r="Q95" s="3">
        <v>0</v>
      </c>
      <c r="R95" s="3">
        <v>0</v>
      </c>
      <c r="S95" s="3">
        <v>0</v>
      </c>
      <c r="T95" s="3">
        <v>2</v>
      </c>
      <c r="U95" s="3">
        <v>1</v>
      </c>
      <c r="V95" s="3">
        <v>1</v>
      </c>
      <c r="W95" s="3" t="s">
        <v>341</v>
      </c>
      <c r="X95" s="3" t="s">
        <v>347</v>
      </c>
      <c r="Y95" s="3" t="s">
        <v>348</v>
      </c>
      <c r="Z95" s="3">
        <v>0</v>
      </c>
      <c r="AA95" s="3">
        <v>0</v>
      </c>
      <c r="AB95" s="3">
        <v>1</v>
      </c>
      <c r="AC95" s="3">
        <v>0</v>
      </c>
      <c r="AD95" s="3">
        <v>1</v>
      </c>
      <c r="AE95" s="3"/>
    </row>
    <row r="96" spans="1:31" ht="16" customHeight="1" x14ac:dyDescent="0.2">
      <c r="A96" s="2" t="s">
        <v>531</v>
      </c>
      <c r="B96" s="3" t="s">
        <v>401</v>
      </c>
      <c r="C96" s="3" t="s">
        <v>346</v>
      </c>
      <c r="D96" s="3">
        <v>61</v>
      </c>
      <c r="E96" s="3" t="s">
        <v>31</v>
      </c>
      <c r="F96" s="3">
        <v>7030</v>
      </c>
      <c r="G96" s="3">
        <v>1</v>
      </c>
      <c r="H96" s="3">
        <v>1</v>
      </c>
      <c r="I96" s="3">
        <v>0</v>
      </c>
      <c r="J96" s="3">
        <v>0</v>
      </c>
      <c r="K96" s="3">
        <v>0</v>
      </c>
      <c r="L96" s="3">
        <v>1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5</v>
      </c>
      <c r="W96" s="3" t="s">
        <v>341</v>
      </c>
      <c r="X96" s="3" t="s">
        <v>347</v>
      </c>
      <c r="Y96" s="3" t="s">
        <v>343</v>
      </c>
      <c r="Z96" s="3">
        <v>1</v>
      </c>
      <c r="AA96" s="3">
        <v>0</v>
      </c>
      <c r="AB96" s="3">
        <v>0</v>
      </c>
      <c r="AC96" s="3">
        <v>0</v>
      </c>
      <c r="AD96" s="3">
        <v>0</v>
      </c>
      <c r="AE96" s="3"/>
    </row>
    <row r="97" spans="1:31" ht="16" customHeight="1" x14ac:dyDescent="0.2">
      <c r="A97" s="2" t="s">
        <v>438</v>
      </c>
      <c r="B97" s="3" t="s">
        <v>437</v>
      </c>
      <c r="C97" s="3" t="s">
        <v>346</v>
      </c>
      <c r="D97" s="3">
        <v>62</v>
      </c>
      <c r="E97" s="3" t="s">
        <v>215</v>
      </c>
      <c r="F97" s="3">
        <v>7759</v>
      </c>
      <c r="G97" s="3">
        <v>0</v>
      </c>
      <c r="H97" s="3">
        <v>1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 t="s">
        <v>350</v>
      </c>
      <c r="X97" s="3" t="s">
        <v>347</v>
      </c>
      <c r="Y97" s="3" t="s">
        <v>348</v>
      </c>
      <c r="Z97" s="3">
        <v>1</v>
      </c>
      <c r="AA97" s="3">
        <v>0</v>
      </c>
      <c r="AB97" s="3">
        <v>0</v>
      </c>
      <c r="AC97" s="3">
        <v>0</v>
      </c>
      <c r="AD97" s="3">
        <v>0</v>
      </c>
      <c r="AE97" s="3"/>
    </row>
    <row r="98" spans="1:31" ht="16" customHeight="1" x14ac:dyDescent="0.2">
      <c r="A98" s="2" t="s">
        <v>390</v>
      </c>
      <c r="B98" s="3" t="s">
        <v>389</v>
      </c>
      <c r="C98" s="3" t="s">
        <v>346</v>
      </c>
      <c r="D98" s="3">
        <v>62</v>
      </c>
      <c r="E98" s="3" t="s">
        <v>216</v>
      </c>
      <c r="F98" s="3">
        <v>1591</v>
      </c>
      <c r="G98" s="3">
        <v>1</v>
      </c>
      <c r="H98" s="3">
        <v>1</v>
      </c>
      <c r="I98" s="3">
        <v>1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2</v>
      </c>
      <c r="P98" s="3">
        <v>7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1</v>
      </c>
      <c r="W98" s="3" t="s">
        <v>341</v>
      </c>
      <c r="X98" s="3" t="s">
        <v>350</v>
      </c>
      <c r="Y98" s="3" t="s">
        <v>343</v>
      </c>
      <c r="Z98" s="3">
        <v>1</v>
      </c>
      <c r="AA98" s="3">
        <v>0</v>
      </c>
      <c r="AB98" s="3">
        <v>0</v>
      </c>
      <c r="AC98" s="3">
        <v>1</v>
      </c>
      <c r="AD98" s="3">
        <v>1</v>
      </c>
      <c r="AE98" s="3"/>
    </row>
    <row r="99" spans="1:31" ht="16" customHeight="1" x14ac:dyDescent="0.2">
      <c r="A99" s="2" t="s">
        <v>390</v>
      </c>
      <c r="B99" s="3" t="s">
        <v>450</v>
      </c>
      <c r="C99" s="3" t="s">
        <v>340</v>
      </c>
      <c r="D99" s="3">
        <v>62</v>
      </c>
      <c r="E99" s="3" t="s">
        <v>216</v>
      </c>
      <c r="F99" s="3">
        <v>2010</v>
      </c>
      <c r="G99" s="3">
        <v>1</v>
      </c>
      <c r="H99" s="3">
        <v>0</v>
      </c>
      <c r="I99" s="3">
        <v>0</v>
      </c>
      <c r="J99" s="3">
        <v>0</v>
      </c>
      <c r="K99" s="3">
        <v>1</v>
      </c>
      <c r="L99" s="3">
        <v>0</v>
      </c>
      <c r="M99" s="3">
        <v>0</v>
      </c>
      <c r="N99" s="3">
        <v>0</v>
      </c>
      <c r="O99" s="3">
        <v>1</v>
      </c>
      <c r="P99" s="3">
        <v>4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2</v>
      </c>
      <c r="W99" s="3" t="s">
        <v>341</v>
      </c>
      <c r="X99" s="3" t="s">
        <v>347</v>
      </c>
      <c r="Y99" s="3" t="s">
        <v>343</v>
      </c>
      <c r="Z99" s="3">
        <v>1</v>
      </c>
      <c r="AA99" s="3">
        <v>0</v>
      </c>
      <c r="AB99" s="3">
        <v>0</v>
      </c>
      <c r="AC99" s="3">
        <v>0</v>
      </c>
      <c r="AD99" s="3">
        <v>0</v>
      </c>
      <c r="AE99" s="3"/>
    </row>
    <row r="100" spans="1:31" ht="16" customHeight="1" x14ac:dyDescent="0.2">
      <c r="A100" s="2" t="s">
        <v>349</v>
      </c>
      <c r="B100" s="3" t="s">
        <v>345</v>
      </c>
      <c r="C100" s="3" t="s">
        <v>346</v>
      </c>
      <c r="D100" s="3">
        <v>62</v>
      </c>
      <c r="E100" s="3" t="s">
        <v>217</v>
      </c>
      <c r="F100" s="3">
        <v>7605</v>
      </c>
      <c r="G100" s="3">
        <v>0</v>
      </c>
      <c r="H100" s="3">
        <v>0</v>
      </c>
      <c r="I100" s="3">
        <v>1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 t="s">
        <v>350</v>
      </c>
      <c r="X100" s="3" t="s">
        <v>347</v>
      </c>
      <c r="Y100" s="3" t="s">
        <v>343</v>
      </c>
      <c r="Z100" s="3">
        <v>1</v>
      </c>
      <c r="AA100" s="3">
        <v>0</v>
      </c>
      <c r="AB100" s="3">
        <v>0</v>
      </c>
      <c r="AC100" s="3">
        <v>0</v>
      </c>
      <c r="AD100" s="3">
        <v>0</v>
      </c>
      <c r="AE100" s="3"/>
    </row>
    <row r="101" spans="1:31" ht="16" customHeight="1" x14ac:dyDescent="0.2">
      <c r="A101" s="2" t="s">
        <v>532</v>
      </c>
      <c r="B101" s="3" t="s">
        <v>401</v>
      </c>
      <c r="C101" s="3" t="s">
        <v>346</v>
      </c>
      <c r="D101" s="3">
        <v>62</v>
      </c>
      <c r="E101" s="3" t="s">
        <v>31</v>
      </c>
      <c r="F101" s="3">
        <v>3171</v>
      </c>
      <c r="G101" s="3">
        <v>1</v>
      </c>
      <c r="H101" s="3">
        <v>1</v>
      </c>
      <c r="I101" s="3">
        <v>1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1</v>
      </c>
      <c r="W101" s="3" t="s">
        <v>350</v>
      </c>
      <c r="X101" s="3" t="s">
        <v>342</v>
      </c>
      <c r="Y101" s="3" t="s">
        <v>348</v>
      </c>
      <c r="Z101" s="3">
        <v>1</v>
      </c>
      <c r="AA101" s="3">
        <v>0</v>
      </c>
      <c r="AB101" s="3">
        <v>0</v>
      </c>
      <c r="AC101" s="3">
        <v>0</v>
      </c>
      <c r="AD101" s="3">
        <v>0</v>
      </c>
      <c r="AE101" s="3"/>
    </row>
    <row r="102" spans="1:31" ht="16" customHeight="1" x14ac:dyDescent="0.2">
      <c r="A102" s="2" t="s">
        <v>439</v>
      </c>
      <c r="B102" s="3" t="s">
        <v>437</v>
      </c>
      <c r="C102" s="3" t="s">
        <v>346</v>
      </c>
      <c r="D102" s="3">
        <v>63</v>
      </c>
      <c r="E102" s="3" t="s">
        <v>215</v>
      </c>
      <c r="F102" s="3">
        <v>5881</v>
      </c>
      <c r="G102" s="3">
        <v>1</v>
      </c>
      <c r="H102" s="3">
        <v>1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1</v>
      </c>
      <c r="P102" s="3">
        <v>0</v>
      </c>
      <c r="Q102" s="3">
        <v>0</v>
      </c>
      <c r="R102" s="3">
        <v>5</v>
      </c>
      <c r="S102" s="3">
        <v>5</v>
      </c>
      <c r="T102" s="3">
        <v>0</v>
      </c>
      <c r="U102" s="3">
        <v>0</v>
      </c>
      <c r="V102" s="3">
        <v>1</v>
      </c>
      <c r="W102" s="3" t="s">
        <v>341</v>
      </c>
      <c r="X102" s="3" t="s">
        <v>350</v>
      </c>
      <c r="Y102" s="3" t="s">
        <v>348</v>
      </c>
      <c r="Z102" s="3">
        <v>1</v>
      </c>
      <c r="AA102" s="3">
        <v>0</v>
      </c>
      <c r="AB102" s="3">
        <v>1</v>
      </c>
      <c r="AC102" s="3">
        <v>0</v>
      </c>
      <c r="AD102" s="3">
        <v>0</v>
      </c>
      <c r="AE102" s="3"/>
    </row>
    <row r="103" spans="1:31" ht="16" customHeight="1" x14ac:dyDescent="0.2">
      <c r="A103" s="2" t="s">
        <v>391</v>
      </c>
      <c r="B103" s="3" t="s">
        <v>389</v>
      </c>
      <c r="C103" s="3" t="s">
        <v>346</v>
      </c>
      <c r="D103" s="3">
        <v>63</v>
      </c>
      <c r="E103" s="3" t="s">
        <v>216</v>
      </c>
      <c r="F103" s="3">
        <v>5528</v>
      </c>
      <c r="G103" s="3">
        <v>1</v>
      </c>
      <c r="H103" s="3">
        <v>1</v>
      </c>
      <c r="I103" s="3">
        <v>1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5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 t="s">
        <v>341</v>
      </c>
      <c r="X103" s="3" t="s">
        <v>342</v>
      </c>
      <c r="Y103" s="3" t="s">
        <v>348</v>
      </c>
      <c r="Z103" s="3">
        <v>1</v>
      </c>
      <c r="AA103" s="3">
        <v>0</v>
      </c>
      <c r="AB103" s="3">
        <v>0</v>
      </c>
      <c r="AC103" s="3">
        <v>0</v>
      </c>
      <c r="AD103" s="3">
        <v>0</v>
      </c>
      <c r="AE103" s="3"/>
    </row>
    <row r="104" spans="1:31" ht="16" customHeight="1" x14ac:dyDescent="0.2">
      <c r="A104" s="2" t="s">
        <v>391</v>
      </c>
      <c r="B104" s="3" t="s">
        <v>450</v>
      </c>
      <c r="C104" s="3" t="s">
        <v>340</v>
      </c>
      <c r="D104" s="3">
        <v>63</v>
      </c>
      <c r="E104" s="3" t="s">
        <v>216</v>
      </c>
      <c r="F104" s="3">
        <v>2340</v>
      </c>
      <c r="G104" s="3">
        <v>1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1</v>
      </c>
      <c r="P104" s="3">
        <v>0</v>
      </c>
      <c r="Q104" s="3">
        <v>3</v>
      </c>
      <c r="R104" s="3">
        <v>0</v>
      </c>
      <c r="S104" s="3">
        <v>0</v>
      </c>
      <c r="T104" s="3">
        <v>0</v>
      </c>
      <c r="U104" s="3">
        <v>0</v>
      </c>
      <c r="V104" s="3">
        <v>1</v>
      </c>
      <c r="W104" s="3" t="s">
        <v>341</v>
      </c>
      <c r="X104" s="3" t="s">
        <v>347</v>
      </c>
      <c r="Y104" s="3" t="s">
        <v>343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/>
    </row>
    <row r="105" spans="1:31" ht="16" customHeight="1" x14ac:dyDescent="0.2">
      <c r="A105" s="2" t="s">
        <v>351</v>
      </c>
      <c r="B105" s="3" t="s">
        <v>345</v>
      </c>
      <c r="C105" s="3" t="s">
        <v>346</v>
      </c>
      <c r="D105" s="3">
        <v>63</v>
      </c>
      <c r="E105" s="3" t="s">
        <v>217</v>
      </c>
      <c r="F105" s="3">
        <v>6300</v>
      </c>
      <c r="G105" s="3">
        <v>0</v>
      </c>
      <c r="H105" s="3">
        <v>1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1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 t="s">
        <v>341</v>
      </c>
      <c r="X105" s="3" t="s">
        <v>347</v>
      </c>
      <c r="Y105" s="3" t="s">
        <v>348</v>
      </c>
      <c r="Z105" s="3">
        <v>1</v>
      </c>
      <c r="AA105" s="3">
        <v>0</v>
      </c>
      <c r="AB105" s="3">
        <v>1</v>
      </c>
      <c r="AC105" s="3">
        <v>0</v>
      </c>
      <c r="AD105" s="3">
        <v>0</v>
      </c>
      <c r="AE105" s="3"/>
    </row>
    <row r="106" spans="1:31" ht="16" customHeight="1" x14ac:dyDescent="0.2">
      <c r="A106" s="2" t="s">
        <v>533</v>
      </c>
      <c r="B106" s="3" t="s">
        <v>401</v>
      </c>
      <c r="C106" s="3" t="s">
        <v>346</v>
      </c>
      <c r="D106" s="3">
        <v>63</v>
      </c>
      <c r="E106" s="3" t="s">
        <v>31</v>
      </c>
      <c r="F106" s="3">
        <v>3117</v>
      </c>
      <c r="G106" s="3">
        <v>1</v>
      </c>
      <c r="H106" s="3">
        <v>1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7</v>
      </c>
      <c r="Q106" s="3">
        <v>0</v>
      </c>
      <c r="R106" s="3">
        <v>1</v>
      </c>
      <c r="S106" s="3">
        <v>0</v>
      </c>
      <c r="T106" s="3">
        <v>0</v>
      </c>
      <c r="U106" s="3">
        <v>0</v>
      </c>
      <c r="V106" s="3">
        <v>1</v>
      </c>
      <c r="W106" s="3" t="s">
        <v>341</v>
      </c>
      <c r="X106" s="3" t="s">
        <v>347</v>
      </c>
      <c r="Y106" s="3" t="s">
        <v>343</v>
      </c>
      <c r="Z106" s="3">
        <v>0</v>
      </c>
      <c r="AA106" s="3">
        <v>0</v>
      </c>
      <c r="AB106" s="3">
        <v>0</v>
      </c>
      <c r="AC106" s="3">
        <v>0</v>
      </c>
      <c r="AD106" s="3">
        <v>1</v>
      </c>
      <c r="AE106" s="3"/>
    </row>
    <row r="107" spans="1:31" ht="16" customHeight="1" x14ac:dyDescent="0.2">
      <c r="A107" s="2" t="s">
        <v>440</v>
      </c>
      <c r="B107" s="3" t="s">
        <v>437</v>
      </c>
      <c r="C107" s="3" t="s">
        <v>346</v>
      </c>
      <c r="D107" s="3">
        <v>64</v>
      </c>
      <c r="E107" s="3" t="s">
        <v>215</v>
      </c>
      <c r="F107" s="3">
        <v>2875</v>
      </c>
      <c r="G107" s="3">
        <v>1</v>
      </c>
      <c r="H107" s="3">
        <v>1</v>
      </c>
      <c r="I107" s="3">
        <v>2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6</v>
      </c>
      <c r="Q107" s="3">
        <v>1</v>
      </c>
      <c r="R107" s="3">
        <v>1</v>
      </c>
      <c r="S107" s="3">
        <v>0</v>
      </c>
      <c r="T107" s="3">
        <v>0</v>
      </c>
      <c r="U107" s="3">
        <v>2</v>
      </c>
      <c r="V107" s="3">
        <v>3</v>
      </c>
      <c r="W107" s="3" t="s">
        <v>341</v>
      </c>
      <c r="X107" s="3" t="s">
        <v>347</v>
      </c>
      <c r="Y107" s="3" t="s">
        <v>348</v>
      </c>
      <c r="Z107" s="3">
        <v>1</v>
      </c>
      <c r="AA107" s="3">
        <v>1</v>
      </c>
      <c r="AB107" s="3">
        <v>0</v>
      </c>
      <c r="AC107" s="3">
        <v>0</v>
      </c>
      <c r="AD107" s="3">
        <v>1</v>
      </c>
      <c r="AE107" s="3"/>
    </row>
    <row r="108" spans="1:31" ht="16" customHeight="1" x14ac:dyDescent="0.2">
      <c r="A108" s="2" t="s">
        <v>392</v>
      </c>
      <c r="B108" s="3" t="s">
        <v>389</v>
      </c>
      <c r="C108" s="3" t="s">
        <v>346</v>
      </c>
      <c r="D108" s="3">
        <v>64</v>
      </c>
      <c r="E108" s="3" t="s">
        <v>216</v>
      </c>
      <c r="F108" s="3">
        <v>6621</v>
      </c>
      <c r="G108" s="3">
        <v>1</v>
      </c>
      <c r="H108" s="3">
        <v>1</v>
      </c>
      <c r="I108" s="3">
        <v>2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1</v>
      </c>
      <c r="P108" s="3">
        <v>5</v>
      </c>
      <c r="Q108" s="3">
        <v>1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 t="s">
        <v>341</v>
      </c>
      <c r="X108" s="3" t="s">
        <v>347</v>
      </c>
      <c r="Y108" s="3" t="s">
        <v>348</v>
      </c>
      <c r="Z108" s="3">
        <v>1</v>
      </c>
      <c r="AA108" s="3">
        <v>0</v>
      </c>
      <c r="AB108" s="3">
        <v>1</v>
      </c>
      <c r="AC108" s="3">
        <v>0</v>
      </c>
      <c r="AD108" s="3">
        <v>0</v>
      </c>
      <c r="AE108" s="3"/>
    </row>
    <row r="109" spans="1:31" ht="16" customHeight="1" x14ac:dyDescent="0.2">
      <c r="A109" s="2" t="s">
        <v>392</v>
      </c>
      <c r="B109" s="3" t="s">
        <v>450</v>
      </c>
      <c r="C109" s="3" t="s">
        <v>340</v>
      </c>
      <c r="D109" s="3">
        <v>64</v>
      </c>
      <c r="E109" s="3" t="s">
        <v>216</v>
      </c>
      <c r="F109" s="3">
        <v>10223</v>
      </c>
      <c r="G109" s="3">
        <v>1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1</v>
      </c>
      <c r="P109" s="3">
        <v>0</v>
      </c>
      <c r="Q109" s="3">
        <v>0</v>
      </c>
      <c r="R109" s="3">
        <v>0</v>
      </c>
      <c r="S109" s="3">
        <v>9</v>
      </c>
      <c r="T109" s="3">
        <v>0</v>
      </c>
      <c r="U109" s="3">
        <v>0</v>
      </c>
      <c r="V109" s="3">
        <v>0</v>
      </c>
      <c r="W109" s="3" t="s">
        <v>341</v>
      </c>
      <c r="X109" s="3" t="s">
        <v>342</v>
      </c>
      <c r="Y109" s="3" t="s">
        <v>343</v>
      </c>
      <c r="Z109" s="3">
        <v>0</v>
      </c>
      <c r="AA109" s="3">
        <v>0</v>
      </c>
      <c r="AB109" s="3">
        <v>1</v>
      </c>
      <c r="AC109" s="3">
        <v>0</v>
      </c>
      <c r="AD109" s="3">
        <v>0</v>
      </c>
      <c r="AE109" s="3"/>
    </row>
    <row r="110" spans="1:31" ht="16" customHeight="1" x14ac:dyDescent="0.2">
      <c r="A110" s="2" t="s">
        <v>352</v>
      </c>
      <c r="B110" s="3" t="s">
        <v>345</v>
      </c>
      <c r="C110" s="3" t="s">
        <v>346</v>
      </c>
      <c r="D110" s="3">
        <v>64</v>
      </c>
      <c r="E110" s="3" t="s">
        <v>217</v>
      </c>
      <c r="F110" s="3">
        <v>7718</v>
      </c>
      <c r="G110" s="3">
        <v>0</v>
      </c>
      <c r="H110" s="3">
        <v>1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1</v>
      </c>
      <c r="T110" s="3">
        <v>0</v>
      </c>
      <c r="U110" s="3">
        <v>0</v>
      </c>
      <c r="V110" s="3">
        <v>1</v>
      </c>
      <c r="W110" s="3" t="s">
        <v>341</v>
      </c>
      <c r="X110" s="3" t="s">
        <v>347</v>
      </c>
      <c r="Y110" s="3" t="s">
        <v>348</v>
      </c>
      <c r="Z110" s="3">
        <v>1</v>
      </c>
      <c r="AA110" s="3">
        <v>10</v>
      </c>
      <c r="AB110" s="3">
        <v>0</v>
      </c>
      <c r="AC110" s="3">
        <v>0</v>
      </c>
      <c r="AD110" s="3"/>
      <c r="AE110" s="3"/>
    </row>
    <row r="111" spans="1:31" ht="16" customHeight="1" x14ac:dyDescent="0.2">
      <c r="A111" s="2" t="s">
        <v>534</v>
      </c>
      <c r="B111" s="3" t="s">
        <v>401</v>
      </c>
      <c r="C111" s="3" t="s">
        <v>346</v>
      </c>
      <c r="D111" s="3">
        <v>64</v>
      </c>
      <c r="E111" s="3" t="s">
        <v>31</v>
      </c>
      <c r="F111" s="3">
        <v>4122</v>
      </c>
      <c r="G111" s="3">
        <v>1</v>
      </c>
      <c r="H111" s="3">
        <v>1</v>
      </c>
      <c r="I111" s="3">
        <v>2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4</v>
      </c>
      <c r="Q111" s="3">
        <v>0</v>
      </c>
      <c r="R111" s="3">
        <v>0</v>
      </c>
      <c r="S111" s="3">
        <v>0</v>
      </c>
      <c r="T111" s="3">
        <v>0</v>
      </c>
      <c r="U111" s="3">
        <v>5</v>
      </c>
      <c r="V111" s="3">
        <v>4</v>
      </c>
      <c r="W111" s="3" t="s">
        <v>422</v>
      </c>
      <c r="X111" s="3" t="s">
        <v>342</v>
      </c>
      <c r="Y111" s="3" t="s">
        <v>343</v>
      </c>
      <c r="Z111" s="3">
        <v>1</v>
      </c>
      <c r="AA111" s="3">
        <v>0</v>
      </c>
      <c r="AB111" s="3">
        <v>1</v>
      </c>
      <c r="AC111" s="3">
        <v>0</v>
      </c>
      <c r="AD111" s="3">
        <v>0</v>
      </c>
      <c r="AE111" s="3"/>
    </row>
    <row r="112" spans="1:31" ht="16" customHeight="1" x14ac:dyDescent="0.2">
      <c r="A112" s="2" t="s">
        <v>441</v>
      </c>
      <c r="B112" s="3" t="s">
        <v>437</v>
      </c>
      <c r="C112" s="3" t="s">
        <v>346</v>
      </c>
      <c r="D112" s="3">
        <v>65</v>
      </c>
      <c r="E112" s="3" t="s">
        <v>215</v>
      </c>
      <c r="F112" s="3">
        <v>334</v>
      </c>
      <c r="G112" s="3">
        <v>1</v>
      </c>
      <c r="H112" s="3">
        <v>1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1</v>
      </c>
      <c r="P112" s="3">
        <v>2</v>
      </c>
      <c r="Q112" s="3">
        <v>1</v>
      </c>
      <c r="R112" s="3">
        <v>3</v>
      </c>
      <c r="S112" s="3">
        <v>0</v>
      </c>
      <c r="T112" s="3">
        <v>0</v>
      </c>
      <c r="U112" s="3">
        <v>0</v>
      </c>
      <c r="V112" s="3">
        <v>2</v>
      </c>
      <c r="W112" s="3" t="s">
        <v>422</v>
      </c>
      <c r="X112" s="3" t="s">
        <v>347</v>
      </c>
      <c r="Y112" s="3" t="s">
        <v>343</v>
      </c>
      <c r="Z112" s="3">
        <v>1</v>
      </c>
      <c r="AA112" s="3">
        <v>0</v>
      </c>
      <c r="AB112" s="3">
        <v>1</v>
      </c>
      <c r="AC112" s="3">
        <v>0</v>
      </c>
      <c r="AD112" s="3">
        <v>1</v>
      </c>
      <c r="AE112" s="3"/>
    </row>
    <row r="113" spans="1:31" ht="16" customHeight="1" x14ac:dyDescent="0.2">
      <c r="A113" s="2" t="s">
        <v>393</v>
      </c>
      <c r="B113" s="3" t="s">
        <v>389</v>
      </c>
      <c r="C113" s="3" t="s">
        <v>346</v>
      </c>
      <c r="D113" s="3">
        <v>65</v>
      </c>
      <c r="E113" s="3" t="s">
        <v>216</v>
      </c>
      <c r="F113" s="3">
        <v>3173</v>
      </c>
      <c r="G113" s="3">
        <v>1</v>
      </c>
      <c r="H113" s="3">
        <v>1</v>
      </c>
      <c r="I113" s="3">
        <v>3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5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1</v>
      </c>
      <c r="W113" s="3" t="s">
        <v>341</v>
      </c>
      <c r="X113" s="3" t="s">
        <v>347</v>
      </c>
      <c r="Y113" s="3" t="s">
        <v>343</v>
      </c>
      <c r="Z113" s="3">
        <v>1</v>
      </c>
      <c r="AA113" s="3">
        <v>0</v>
      </c>
      <c r="AB113" s="3">
        <v>1</v>
      </c>
      <c r="AC113" s="3">
        <v>0</v>
      </c>
      <c r="AD113" s="3">
        <v>0</v>
      </c>
      <c r="AE113" s="3"/>
    </row>
    <row r="114" spans="1:31" ht="16" customHeight="1" x14ac:dyDescent="0.2">
      <c r="A114" s="2" t="s">
        <v>393</v>
      </c>
      <c r="B114" s="3" t="s">
        <v>450</v>
      </c>
      <c r="C114" s="3" t="s">
        <v>340</v>
      </c>
      <c r="D114" s="3">
        <v>65</v>
      </c>
      <c r="E114" s="3" t="s">
        <v>216</v>
      </c>
      <c r="F114" s="3">
        <v>2791</v>
      </c>
      <c r="G114" s="3">
        <v>1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1</v>
      </c>
      <c r="P114" s="3">
        <v>1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4</v>
      </c>
      <c r="W114" s="3" t="s">
        <v>341</v>
      </c>
      <c r="X114" s="3" t="s">
        <v>347</v>
      </c>
      <c r="Y114" s="3" t="s">
        <v>343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/>
    </row>
    <row r="115" spans="1:31" ht="16" customHeight="1" x14ac:dyDescent="0.2">
      <c r="A115" s="2" t="s">
        <v>353</v>
      </c>
      <c r="B115" s="3" t="s">
        <v>345</v>
      </c>
      <c r="C115" s="3" t="s">
        <v>346</v>
      </c>
      <c r="D115" s="3">
        <v>65</v>
      </c>
      <c r="E115" s="3" t="s">
        <v>217</v>
      </c>
      <c r="F115" s="3">
        <v>6463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1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 t="s">
        <v>341</v>
      </c>
      <c r="X115" s="3" t="s">
        <v>350</v>
      </c>
      <c r="Y115" s="3" t="s">
        <v>354</v>
      </c>
      <c r="Z115" s="3">
        <v>1</v>
      </c>
      <c r="AA115" s="3">
        <v>0</v>
      </c>
      <c r="AB115" s="3">
        <v>1</v>
      </c>
      <c r="AC115" s="3">
        <v>0</v>
      </c>
      <c r="AD115" s="3">
        <v>0</v>
      </c>
      <c r="AE115" s="3"/>
    </row>
    <row r="116" spans="1:31" ht="16" customHeight="1" x14ac:dyDescent="0.2">
      <c r="A116" s="2" t="s">
        <v>535</v>
      </c>
      <c r="B116" s="3" t="s">
        <v>401</v>
      </c>
      <c r="C116" s="3" t="s">
        <v>346</v>
      </c>
      <c r="D116" s="3">
        <v>65</v>
      </c>
      <c r="E116" s="3" t="s">
        <v>31</v>
      </c>
      <c r="F116" s="3">
        <v>3550</v>
      </c>
      <c r="G116" s="3">
        <v>1</v>
      </c>
      <c r="H116" s="3">
        <v>1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1</v>
      </c>
      <c r="P116" s="3">
        <v>0</v>
      </c>
      <c r="Q116" s="3">
        <v>0</v>
      </c>
      <c r="R116" s="3">
        <v>1</v>
      </c>
      <c r="S116" s="3">
        <v>0</v>
      </c>
      <c r="T116" s="3">
        <v>4</v>
      </c>
      <c r="U116" s="3">
        <v>0</v>
      </c>
      <c r="V116" s="3">
        <v>4</v>
      </c>
      <c r="W116" s="3" t="s">
        <v>341</v>
      </c>
      <c r="X116" s="3" t="s">
        <v>347</v>
      </c>
      <c r="Y116" s="3" t="s">
        <v>348</v>
      </c>
      <c r="Z116" s="3">
        <v>1</v>
      </c>
      <c r="AA116" s="3">
        <v>1</v>
      </c>
      <c r="AB116" s="3">
        <v>0</v>
      </c>
      <c r="AC116" s="3">
        <v>0</v>
      </c>
      <c r="AD116" s="3">
        <v>0</v>
      </c>
      <c r="AE116" s="3"/>
    </row>
    <row r="117" spans="1:31" ht="16" customHeight="1" x14ac:dyDescent="0.2">
      <c r="A117" s="2" t="s">
        <v>357</v>
      </c>
      <c r="B117" s="3" t="s">
        <v>339</v>
      </c>
      <c r="C117" s="3" t="s">
        <v>340</v>
      </c>
      <c r="D117" s="3">
        <v>66</v>
      </c>
      <c r="E117" s="3" t="s">
        <v>215</v>
      </c>
      <c r="F117" s="3">
        <v>3173</v>
      </c>
      <c r="G117" s="3">
        <v>1</v>
      </c>
      <c r="H117" s="3">
        <v>2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1</v>
      </c>
      <c r="O117" s="3">
        <v>1</v>
      </c>
      <c r="P117" s="3">
        <v>0</v>
      </c>
      <c r="Q117" s="3">
        <v>2</v>
      </c>
      <c r="R117" s="3">
        <v>5</v>
      </c>
      <c r="S117" s="3">
        <v>3</v>
      </c>
      <c r="T117" s="3">
        <v>0</v>
      </c>
      <c r="U117" s="3">
        <v>2</v>
      </c>
      <c r="V117" s="3">
        <v>2</v>
      </c>
      <c r="W117" s="3" t="s">
        <v>341</v>
      </c>
      <c r="X117" s="3" t="s">
        <v>342</v>
      </c>
      <c r="Y117" s="3" t="s">
        <v>348</v>
      </c>
      <c r="Z117" s="3">
        <v>1</v>
      </c>
      <c r="AA117" s="3">
        <v>1</v>
      </c>
      <c r="AB117" s="3">
        <v>1</v>
      </c>
      <c r="AC117" s="3">
        <v>0</v>
      </c>
      <c r="AD117" s="3">
        <v>1</v>
      </c>
      <c r="AE117" s="3"/>
    </row>
    <row r="118" spans="1:31" ht="16" customHeight="1" x14ac:dyDescent="0.2">
      <c r="A118" s="2" t="s">
        <v>357</v>
      </c>
      <c r="B118" s="3" t="s">
        <v>437</v>
      </c>
      <c r="C118" s="3" t="s">
        <v>346</v>
      </c>
      <c r="D118" s="3">
        <v>66</v>
      </c>
      <c r="E118" s="3" t="s">
        <v>215</v>
      </c>
      <c r="F118" s="3">
        <v>2791</v>
      </c>
      <c r="G118" s="3">
        <v>1</v>
      </c>
      <c r="H118" s="3">
        <v>1</v>
      </c>
      <c r="I118" s="3">
        <v>1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1</v>
      </c>
      <c r="Q118" s="3">
        <v>1</v>
      </c>
      <c r="R118" s="3">
        <v>6</v>
      </c>
      <c r="S118" s="3">
        <v>0</v>
      </c>
      <c r="T118" s="3">
        <v>0</v>
      </c>
      <c r="U118" s="3">
        <v>0</v>
      </c>
      <c r="V118" s="3">
        <v>0</v>
      </c>
      <c r="W118" s="3" t="s">
        <v>341</v>
      </c>
      <c r="X118" s="3" t="s">
        <v>347</v>
      </c>
      <c r="Y118" s="3" t="s">
        <v>343</v>
      </c>
      <c r="Z118" s="3">
        <v>1</v>
      </c>
      <c r="AA118" s="3">
        <v>1</v>
      </c>
      <c r="AB118" s="3">
        <v>1</v>
      </c>
      <c r="AC118" s="3">
        <v>0</v>
      </c>
      <c r="AD118" s="3">
        <v>0</v>
      </c>
      <c r="AE118" s="3"/>
    </row>
    <row r="119" spans="1:31" ht="16" customHeight="1" x14ac:dyDescent="0.2">
      <c r="A119" s="2" t="s">
        <v>394</v>
      </c>
      <c r="B119" s="3" t="s">
        <v>389</v>
      </c>
      <c r="C119" s="3" t="s">
        <v>346</v>
      </c>
      <c r="D119" s="3">
        <v>66</v>
      </c>
      <c r="E119" s="3" t="s">
        <v>216</v>
      </c>
      <c r="F119" s="3">
        <v>3044</v>
      </c>
      <c r="G119" s="3">
        <v>1</v>
      </c>
      <c r="H119" s="3">
        <v>1</v>
      </c>
      <c r="I119" s="3">
        <v>1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3</v>
      </c>
      <c r="Q119" s="3">
        <v>1</v>
      </c>
      <c r="R119" s="3">
        <v>0</v>
      </c>
      <c r="S119" s="3">
        <v>0</v>
      </c>
      <c r="T119" s="3">
        <v>0</v>
      </c>
      <c r="U119" s="3">
        <v>0</v>
      </c>
      <c r="V119" s="3">
        <v>2</v>
      </c>
      <c r="W119" s="3" t="s">
        <v>341</v>
      </c>
      <c r="X119" s="3" t="s">
        <v>347</v>
      </c>
      <c r="Y119" s="3" t="s">
        <v>343</v>
      </c>
      <c r="Z119" s="3">
        <v>1</v>
      </c>
      <c r="AA119" s="3">
        <v>1</v>
      </c>
      <c r="AB119" s="3">
        <v>1</v>
      </c>
      <c r="AC119" s="3">
        <v>0</v>
      </c>
      <c r="AD119" s="3">
        <v>1</v>
      </c>
      <c r="AE119" s="3"/>
    </row>
    <row r="120" spans="1:31" ht="16" customHeight="1" x14ac:dyDescent="0.2">
      <c r="A120" s="2" t="s">
        <v>394</v>
      </c>
      <c r="B120" s="3" t="s">
        <v>450</v>
      </c>
      <c r="C120" s="3" t="s">
        <v>340</v>
      </c>
      <c r="D120" s="3">
        <v>66</v>
      </c>
      <c r="E120" s="3" t="s">
        <v>216</v>
      </c>
      <c r="F120" s="3">
        <v>3015</v>
      </c>
      <c r="G120" s="3">
        <v>1</v>
      </c>
      <c r="H120" s="3">
        <v>2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1</v>
      </c>
      <c r="P120" s="3">
        <v>5</v>
      </c>
      <c r="Q120" s="3">
        <v>6</v>
      </c>
      <c r="R120" s="3">
        <v>2</v>
      </c>
      <c r="S120" s="3">
        <v>0</v>
      </c>
      <c r="T120" s="3">
        <v>0</v>
      </c>
      <c r="U120" s="3">
        <v>0</v>
      </c>
      <c r="V120" s="3">
        <v>0</v>
      </c>
      <c r="W120" s="3" t="s">
        <v>341</v>
      </c>
      <c r="X120" s="3" t="s">
        <v>350</v>
      </c>
      <c r="Y120" s="3" t="s">
        <v>348</v>
      </c>
      <c r="Z120" s="3">
        <v>1</v>
      </c>
      <c r="AA120" s="3">
        <v>1</v>
      </c>
      <c r="AB120" s="3">
        <v>1</v>
      </c>
      <c r="AC120" s="3">
        <v>0</v>
      </c>
      <c r="AD120" s="3">
        <v>1</v>
      </c>
      <c r="AE120" s="3"/>
    </row>
    <row r="121" spans="1:31" ht="16" customHeight="1" x14ac:dyDescent="0.2">
      <c r="A121" s="2" t="s">
        <v>355</v>
      </c>
      <c r="B121" s="3" t="s">
        <v>345</v>
      </c>
      <c r="C121" s="3" t="s">
        <v>346</v>
      </c>
      <c r="D121" s="3">
        <v>66</v>
      </c>
      <c r="E121" s="3" t="s">
        <v>217</v>
      </c>
      <c r="F121" s="3">
        <v>9624</v>
      </c>
      <c r="G121" s="3">
        <v>0</v>
      </c>
      <c r="H121" s="3">
        <v>0</v>
      </c>
      <c r="I121" s="3">
        <v>2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2</v>
      </c>
      <c r="Q121" s="3">
        <v>2</v>
      </c>
      <c r="R121" s="3">
        <v>0</v>
      </c>
      <c r="S121" s="3">
        <v>0</v>
      </c>
      <c r="T121" s="3">
        <v>0</v>
      </c>
      <c r="U121" s="3">
        <v>0</v>
      </c>
      <c r="V121" s="3">
        <v>1</v>
      </c>
      <c r="W121" s="3" t="s">
        <v>356</v>
      </c>
      <c r="X121" s="3" t="s">
        <v>347</v>
      </c>
      <c r="Y121" s="3" t="s">
        <v>343</v>
      </c>
      <c r="Z121" s="3">
        <v>1</v>
      </c>
      <c r="AA121" s="3">
        <v>1</v>
      </c>
      <c r="AB121" s="3">
        <v>0</v>
      </c>
      <c r="AC121" s="3">
        <v>0</v>
      </c>
      <c r="AD121" s="3">
        <v>0</v>
      </c>
      <c r="AE121" s="3"/>
    </row>
    <row r="122" spans="1:31" ht="16" customHeight="1" x14ac:dyDescent="0.2">
      <c r="A122" s="2" t="s">
        <v>536</v>
      </c>
      <c r="B122" s="3" t="s">
        <v>401</v>
      </c>
      <c r="C122" s="3" t="s">
        <v>346</v>
      </c>
      <c r="D122" s="3">
        <v>66</v>
      </c>
      <c r="E122" s="3" t="s">
        <v>31</v>
      </c>
      <c r="F122" s="3">
        <v>870</v>
      </c>
      <c r="G122" s="3">
        <v>1</v>
      </c>
      <c r="H122" s="3">
        <v>1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2</v>
      </c>
      <c r="P122" s="3">
        <v>3</v>
      </c>
      <c r="Q122" s="3">
        <v>0</v>
      </c>
      <c r="R122" s="3">
        <v>2</v>
      </c>
      <c r="S122" s="3">
        <v>0</v>
      </c>
      <c r="T122" s="3">
        <v>1</v>
      </c>
      <c r="U122" s="3">
        <v>0</v>
      </c>
      <c r="V122" s="3">
        <v>3</v>
      </c>
      <c r="W122" s="3" t="s">
        <v>341</v>
      </c>
      <c r="X122" s="3" t="s">
        <v>342</v>
      </c>
      <c r="Y122" s="3" t="s">
        <v>348</v>
      </c>
      <c r="Z122" s="3">
        <v>1</v>
      </c>
      <c r="AA122" s="3">
        <v>1</v>
      </c>
      <c r="AB122" s="3">
        <v>1</v>
      </c>
      <c r="AC122" s="3">
        <v>0</v>
      </c>
      <c r="AD122" s="3">
        <v>0</v>
      </c>
      <c r="AE122" s="3"/>
    </row>
    <row r="123" spans="1:31" ht="16" customHeight="1" x14ac:dyDescent="0.2">
      <c r="A123" s="2" t="s">
        <v>442</v>
      </c>
      <c r="B123" s="3" t="s">
        <v>437</v>
      </c>
      <c r="C123" s="3" t="s">
        <v>346</v>
      </c>
      <c r="D123" s="3">
        <v>67</v>
      </c>
      <c r="E123" s="3" t="s">
        <v>215</v>
      </c>
      <c r="F123" s="3">
        <v>4571</v>
      </c>
      <c r="G123" s="3">
        <v>1</v>
      </c>
      <c r="H123" s="3">
        <v>1</v>
      </c>
      <c r="I123" s="3">
        <v>1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5</v>
      </c>
      <c r="Q123" s="3">
        <v>1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 t="s">
        <v>341</v>
      </c>
      <c r="X123" s="3" t="s">
        <v>350</v>
      </c>
      <c r="Y123" s="3" t="s">
        <v>343</v>
      </c>
      <c r="Z123" s="3">
        <v>1</v>
      </c>
      <c r="AA123" s="3">
        <v>0</v>
      </c>
      <c r="AB123" s="3">
        <v>0</v>
      </c>
      <c r="AC123" s="3">
        <v>0</v>
      </c>
      <c r="AD123" s="3">
        <v>0</v>
      </c>
      <c r="AE123" s="3"/>
    </row>
    <row r="124" spans="1:31" ht="16" customHeight="1" x14ac:dyDescent="0.2">
      <c r="A124" s="2" t="s">
        <v>395</v>
      </c>
      <c r="B124" s="3" t="s">
        <v>389</v>
      </c>
      <c r="C124" s="3" t="s">
        <v>346</v>
      </c>
      <c r="D124" s="3">
        <v>67</v>
      </c>
      <c r="E124" s="3" t="s">
        <v>216</v>
      </c>
      <c r="F124" s="3">
        <v>10714</v>
      </c>
      <c r="G124" s="3">
        <v>1</v>
      </c>
      <c r="H124" s="3">
        <v>1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4</v>
      </c>
      <c r="T124" s="3">
        <v>0</v>
      </c>
      <c r="U124" s="3">
        <v>0</v>
      </c>
      <c r="V124" s="3">
        <v>0</v>
      </c>
      <c r="W124" s="3" t="s">
        <v>341</v>
      </c>
      <c r="X124" s="3" t="s">
        <v>350</v>
      </c>
      <c r="Y124" s="3" t="s">
        <v>343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/>
    </row>
    <row r="125" spans="1:31" ht="16" customHeight="1" x14ac:dyDescent="0.2">
      <c r="A125" s="2" t="s">
        <v>395</v>
      </c>
      <c r="B125" s="3" t="s">
        <v>450</v>
      </c>
      <c r="C125" s="3" t="s">
        <v>340</v>
      </c>
      <c r="D125" s="3">
        <v>67</v>
      </c>
      <c r="E125" s="3" t="s">
        <v>216</v>
      </c>
      <c r="F125" s="3">
        <v>20</v>
      </c>
      <c r="G125" s="3">
        <v>1</v>
      </c>
      <c r="H125" s="3">
        <v>1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1</v>
      </c>
      <c r="P125" s="3">
        <v>6</v>
      </c>
      <c r="Q125" s="3">
        <v>1</v>
      </c>
      <c r="R125" s="3">
        <v>0</v>
      </c>
      <c r="S125" s="3">
        <v>0</v>
      </c>
      <c r="T125" s="3">
        <v>0</v>
      </c>
      <c r="U125" s="3">
        <v>0</v>
      </c>
      <c r="V125" s="3">
        <v>1</v>
      </c>
      <c r="W125" s="3" t="s">
        <v>341</v>
      </c>
      <c r="X125" s="3" t="s">
        <v>342</v>
      </c>
      <c r="Y125" s="3" t="s">
        <v>348</v>
      </c>
      <c r="Z125" s="3">
        <v>1</v>
      </c>
      <c r="AA125" s="3">
        <v>0</v>
      </c>
      <c r="AB125" s="3">
        <v>1</v>
      </c>
      <c r="AC125" s="3">
        <v>0</v>
      </c>
      <c r="AD125" s="3">
        <v>0</v>
      </c>
      <c r="AE125" s="3"/>
    </row>
    <row r="126" spans="1:31" ht="16" customHeight="1" x14ac:dyDescent="0.2">
      <c r="A126" s="2" t="s">
        <v>358</v>
      </c>
      <c r="B126" s="3" t="s">
        <v>345</v>
      </c>
      <c r="C126" s="3" t="s">
        <v>346</v>
      </c>
      <c r="D126" s="3">
        <v>67</v>
      </c>
      <c r="E126" s="3" t="s">
        <v>217</v>
      </c>
      <c r="F126" s="3">
        <v>578</v>
      </c>
      <c r="G126" s="3">
        <v>1</v>
      </c>
      <c r="H126" s="3">
        <v>1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4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 t="s">
        <v>341</v>
      </c>
      <c r="X126" s="29" t="s">
        <v>350</v>
      </c>
      <c r="Y126" s="29" t="s">
        <v>343</v>
      </c>
      <c r="Z126" s="29">
        <v>0</v>
      </c>
      <c r="AA126" s="29">
        <v>0</v>
      </c>
      <c r="AB126" s="29">
        <v>0</v>
      </c>
      <c r="AC126" s="29">
        <v>0</v>
      </c>
      <c r="AD126" s="29">
        <v>0</v>
      </c>
      <c r="AE126" s="29"/>
    </row>
    <row r="127" spans="1:31" ht="16" customHeight="1" x14ac:dyDescent="0.2">
      <c r="A127" s="2" t="s">
        <v>537</v>
      </c>
      <c r="B127" s="3" t="s">
        <v>401</v>
      </c>
      <c r="C127" s="3" t="s">
        <v>346</v>
      </c>
      <c r="D127" s="3">
        <v>67</v>
      </c>
      <c r="E127" s="3" t="s">
        <v>31</v>
      </c>
      <c r="F127" s="3">
        <v>191</v>
      </c>
      <c r="G127" s="3">
        <v>1</v>
      </c>
      <c r="H127" s="3">
        <v>1</v>
      </c>
      <c r="I127" s="3">
        <v>3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3</v>
      </c>
      <c r="Q127" s="3">
        <v>6</v>
      </c>
      <c r="R127" s="3">
        <v>2</v>
      </c>
      <c r="S127" s="3">
        <v>0</v>
      </c>
      <c r="T127" s="3">
        <v>0</v>
      </c>
      <c r="U127" s="3">
        <v>0</v>
      </c>
      <c r="V127" s="3">
        <v>2</v>
      </c>
      <c r="W127" s="3" t="s">
        <v>341</v>
      </c>
      <c r="X127" s="3" t="s">
        <v>342</v>
      </c>
      <c r="Y127" s="3" t="s">
        <v>348</v>
      </c>
      <c r="Z127" s="3">
        <v>1</v>
      </c>
      <c r="AA127" s="3">
        <v>0</v>
      </c>
      <c r="AB127" s="3">
        <v>0</v>
      </c>
      <c r="AC127" s="3">
        <v>0</v>
      </c>
      <c r="AD127" s="3">
        <v>0</v>
      </c>
      <c r="AE127" s="3"/>
    </row>
    <row r="128" spans="1:31" ht="16" customHeight="1" x14ac:dyDescent="0.2">
      <c r="A128" s="2" t="s">
        <v>443</v>
      </c>
      <c r="B128" s="3" t="s">
        <v>437</v>
      </c>
      <c r="C128" s="3" t="s">
        <v>346</v>
      </c>
      <c r="D128" s="3">
        <v>68</v>
      </c>
      <c r="E128" s="3" t="s">
        <v>215</v>
      </c>
      <c r="F128" s="3">
        <v>3181</v>
      </c>
      <c r="G128" s="3">
        <v>1</v>
      </c>
      <c r="H128" s="3">
        <v>1</v>
      </c>
      <c r="I128" s="3">
        <v>0</v>
      </c>
      <c r="J128" s="3">
        <v>0</v>
      </c>
      <c r="K128" s="3">
        <v>0</v>
      </c>
      <c r="L128" s="3">
        <v>1</v>
      </c>
      <c r="M128" s="3">
        <v>0</v>
      </c>
      <c r="N128" s="3">
        <v>0</v>
      </c>
      <c r="O128" s="3">
        <v>1</v>
      </c>
      <c r="P128" s="3">
        <v>0</v>
      </c>
      <c r="Q128" s="3">
        <v>3</v>
      </c>
      <c r="R128" s="3">
        <v>3</v>
      </c>
      <c r="S128" s="3">
        <v>0</v>
      </c>
      <c r="T128" s="3">
        <v>0</v>
      </c>
      <c r="U128" s="3">
        <v>1</v>
      </c>
      <c r="V128" s="3">
        <v>1</v>
      </c>
      <c r="W128" s="3" t="s">
        <v>341</v>
      </c>
      <c r="X128" s="3" t="s">
        <v>347</v>
      </c>
      <c r="Y128" s="3" t="s">
        <v>348</v>
      </c>
      <c r="Z128" s="3">
        <v>1</v>
      </c>
      <c r="AA128" s="3">
        <v>1</v>
      </c>
      <c r="AB128" s="3">
        <v>1</v>
      </c>
      <c r="AC128" s="3">
        <v>0</v>
      </c>
      <c r="AD128" s="3">
        <v>1</v>
      </c>
      <c r="AE128" s="3"/>
    </row>
    <row r="129" spans="1:31" ht="16" customHeight="1" x14ac:dyDescent="0.2">
      <c r="A129" s="2" t="s">
        <v>451</v>
      </c>
      <c r="B129" s="3" t="s">
        <v>450</v>
      </c>
      <c r="C129" s="3" t="s">
        <v>340</v>
      </c>
      <c r="D129" s="3">
        <v>68</v>
      </c>
      <c r="E129" s="3" t="s">
        <v>216</v>
      </c>
      <c r="F129" s="3">
        <v>1518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1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5</v>
      </c>
      <c r="V129" s="3">
        <v>0</v>
      </c>
      <c r="W129" s="3" t="s">
        <v>350</v>
      </c>
      <c r="X129" s="3" t="s">
        <v>350</v>
      </c>
      <c r="Y129" s="3" t="s">
        <v>343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/>
    </row>
    <row r="130" spans="1:31" ht="16" customHeight="1" x14ac:dyDescent="0.2">
      <c r="A130" s="2" t="s">
        <v>359</v>
      </c>
      <c r="B130" s="3" t="s">
        <v>345</v>
      </c>
      <c r="C130" s="3" t="s">
        <v>346</v>
      </c>
      <c r="D130" s="3">
        <v>68</v>
      </c>
      <c r="E130" s="3" t="s">
        <v>217</v>
      </c>
      <c r="F130" s="3">
        <v>1796</v>
      </c>
      <c r="G130" s="3">
        <v>0</v>
      </c>
      <c r="H130" s="3">
        <v>1</v>
      </c>
      <c r="I130" s="3">
        <v>2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4</v>
      </c>
      <c r="Q130" s="3">
        <v>3</v>
      </c>
      <c r="R130" s="3">
        <v>0</v>
      </c>
      <c r="S130" s="3">
        <v>0</v>
      </c>
      <c r="T130" s="3">
        <v>2</v>
      </c>
      <c r="U130" s="3">
        <v>0</v>
      </c>
      <c r="V130" s="3">
        <v>1</v>
      </c>
      <c r="W130" s="3" t="s">
        <v>350</v>
      </c>
      <c r="X130" s="3" t="s">
        <v>342</v>
      </c>
      <c r="Y130" s="3" t="s">
        <v>348</v>
      </c>
      <c r="Z130" s="3">
        <v>1</v>
      </c>
      <c r="AA130" s="3">
        <v>1</v>
      </c>
      <c r="AB130" s="3">
        <v>1</v>
      </c>
      <c r="AC130" s="3">
        <v>0</v>
      </c>
      <c r="AD130" s="3">
        <v>1</v>
      </c>
      <c r="AE130" s="3"/>
    </row>
    <row r="131" spans="1:31" ht="16" customHeight="1" x14ac:dyDescent="0.2">
      <c r="A131" s="2" t="s">
        <v>538</v>
      </c>
      <c r="B131" s="3" t="s">
        <v>401</v>
      </c>
      <c r="C131" s="3" t="s">
        <v>346</v>
      </c>
      <c r="D131" s="3">
        <v>68</v>
      </c>
      <c r="E131" s="3" t="s">
        <v>31</v>
      </c>
      <c r="F131" s="3">
        <v>3171</v>
      </c>
      <c r="G131" s="3">
        <v>1</v>
      </c>
      <c r="H131" s="3">
        <v>1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1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1</v>
      </c>
      <c r="W131" s="3" t="s">
        <v>341</v>
      </c>
      <c r="X131" s="3" t="s">
        <v>347</v>
      </c>
      <c r="Y131" s="3" t="s">
        <v>343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/>
    </row>
    <row r="132" spans="1:31" ht="16" customHeight="1" x14ac:dyDescent="0.2">
      <c r="A132" s="2" t="s">
        <v>444</v>
      </c>
      <c r="B132" s="3" t="s">
        <v>437</v>
      </c>
      <c r="C132" s="3" t="s">
        <v>346</v>
      </c>
      <c r="D132" s="3">
        <v>69</v>
      </c>
      <c r="E132" s="3" t="s">
        <v>215</v>
      </c>
      <c r="F132" s="3">
        <v>424</v>
      </c>
      <c r="G132" s="3">
        <v>1</v>
      </c>
      <c r="H132" s="3">
        <v>1</v>
      </c>
      <c r="I132" s="3">
        <v>1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1</v>
      </c>
      <c r="Q132" s="3">
        <v>5</v>
      </c>
      <c r="R132" s="3">
        <v>0</v>
      </c>
      <c r="S132" s="3">
        <v>0</v>
      </c>
      <c r="T132" s="3">
        <v>0</v>
      </c>
      <c r="U132" s="3">
        <v>0</v>
      </c>
      <c r="V132" s="3">
        <v>3</v>
      </c>
      <c r="W132" s="3" t="s">
        <v>341</v>
      </c>
      <c r="X132" s="3" t="s">
        <v>342</v>
      </c>
      <c r="Y132" s="3" t="s">
        <v>354</v>
      </c>
      <c r="Z132" s="3">
        <v>1</v>
      </c>
      <c r="AA132" s="3">
        <v>1</v>
      </c>
      <c r="AB132" s="3">
        <v>1</v>
      </c>
      <c r="AC132" s="3">
        <v>0</v>
      </c>
      <c r="AD132" s="3">
        <v>1</v>
      </c>
      <c r="AE132" s="3"/>
    </row>
    <row r="133" spans="1:31" ht="16" customHeight="1" x14ac:dyDescent="0.2">
      <c r="A133" s="2" t="s">
        <v>396</v>
      </c>
      <c r="B133" s="3" t="s">
        <v>389</v>
      </c>
      <c r="C133" s="3" t="s">
        <v>346</v>
      </c>
      <c r="D133" s="3">
        <v>69</v>
      </c>
      <c r="E133" s="3" t="s">
        <v>216</v>
      </c>
      <c r="F133" s="3">
        <v>6401</v>
      </c>
      <c r="G133" s="3">
        <v>1</v>
      </c>
      <c r="H133" s="3">
        <v>1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2</v>
      </c>
      <c r="Q133" s="3">
        <v>1</v>
      </c>
      <c r="R133" s="3">
        <v>0</v>
      </c>
      <c r="S133" s="3">
        <v>0</v>
      </c>
      <c r="T133" s="3">
        <v>0</v>
      </c>
      <c r="U133" s="3">
        <v>0</v>
      </c>
      <c r="V133" s="3">
        <v>3</v>
      </c>
      <c r="W133" s="3" t="s">
        <v>341</v>
      </c>
      <c r="X133" s="3" t="s">
        <v>350</v>
      </c>
      <c r="Y133" s="3" t="s">
        <v>354</v>
      </c>
      <c r="Z133" s="3">
        <v>1</v>
      </c>
      <c r="AA133" s="3">
        <v>0</v>
      </c>
      <c r="AB133" s="3">
        <v>1</v>
      </c>
      <c r="AC133" s="3">
        <v>0</v>
      </c>
      <c r="AD133" s="3">
        <v>0</v>
      </c>
      <c r="AE133" s="3"/>
    </row>
    <row r="134" spans="1:31" ht="16" customHeight="1" x14ac:dyDescent="0.2">
      <c r="A134" s="2" t="s">
        <v>396</v>
      </c>
      <c r="B134" s="3" t="s">
        <v>450</v>
      </c>
      <c r="C134" s="3" t="s">
        <v>340</v>
      </c>
      <c r="D134" s="3">
        <v>69</v>
      </c>
      <c r="E134" s="3" t="s">
        <v>216</v>
      </c>
      <c r="F134" s="3">
        <v>8393</v>
      </c>
      <c r="G134" s="3">
        <v>1</v>
      </c>
      <c r="H134" s="3">
        <v>1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1</v>
      </c>
      <c r="P134" s="3">
        <v>0</v>
      </c>
      <c r="Q134" s="3">
        <v>0</v>
      </c>
      <c r="R134" s="3">
        <v>0</v>
      </c>
      <c r="S134" s="3">
        <v>0</v>
      </c>
      <c r="T134" s="3">
        <v>4</v>
      </c>
      <c r="U134" s="3">
        <v>0</v>
      </c>
      <c r="V134" s="3">
        <v>0</v>
      </c>
      <c r="W134" s="3" t="s">
        <v>341</v>
      </c>
      <c r="X134" s="3" t="s">
        <v>347</v>
      </c>
      <c r="Y134" s="3" t="s">
        <v>343</v>
      </c>
      <c r="Z134" s="3">
        <v>1</v>
      </c>
      <c r="AA134" s="3">
        <v>0</v>
      </c>
      <c r="AB134" s="3">
        <v>0</v>
      </c>
      <c r="AC134" s="3">
        <v>0</v>
      </c>
      <c r="AD134" s="3">
        <v>0</v>
      </c>
      <c r="AE134" s="3"/>
    </row>
    <row r="135" spans="1:31" ht="16" customHeight="1" x14ac:dyDescent="0.2">
      <c r="A135" s="2" t="s">
        <v>360</v>
      </c>
      <c r="B135" s="3" t="s">
        <v>345</v>
      </c>
      <c r="C135" s="3" t="s">
        <v>346</v>
      </c>
      <c r="D135" s="3">
        <v>69</v>
      </c>
      <c r="E135" s="3" t="s">
        <v>217</v>
      </c>
      <c r="F135" s="3">
        <v>1126</v>
      </c>
      <c r="G135" s="3">
        <v>0</v>
      </c>
      <c r="H135" s="3">
        <v>1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2</v>
      </c>
      <c r="P135" s="3">
        <v>5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4</v>
      </c>
      <c r="W135" s="3" t="s">
        <v>341</v>
      </c>
      <c r="X135" s="3" t="s">
        <v>342</v>
      </c>
      <c r="Y135" s="3" t="s">
        <v>354</v>
      </c>
      <c r="Z135" s="3">
        <v>1</v>
      </c>
      <c r="AA135" s="3">
        <v>0</v>
      </c>
      <c r="AB135" s="3">
        <v>1</v>
      </c>
      <c r="AC135" s="3">
        <v>0</v>
      </c>
      <c r="AD135" s="3">
        <v>0</v>
      </c>
      <c r="AE135" s="3"/>
    </row>
    <row r="136" spans="1:31" ht="16" customHeight="1" x14ac:dyDescent="0.2">
      <c r="A136" s="2" t="s">
        <v>539</v>
      </c>
      <c r="B136" s="3" t="s">
        <v>401</v>
      </c>
      <c r="C136" s="3" t="s">
        <v>346</v>
      </c>
      <c r="D136" s="3">
        <v>69</v>
      </c>
      <c r="E136" s="3" t="s">
        <v>31</v>
      </c>
      <c r="F136" s="3">
        <v>3117</v>
      </c>
      <c r="G136" s="3">
        <v>1</v>
      </c>
      <c r="H136" s="3">
        <v>1</v>
      </c>
      <c r="I136" s="3">
        <v>0</v>
      </c>
      <c r="J136" s="3">
        <v>0</v>
      </c>
      <c r="K136" s="3">
        <v>1</v>
      </c>
      <c r="L136" s="3">
        <v>0</v>
      </c>
      <c r="M136" s="3">
        <v>0</v>
      </c>
      <c r="N136" s="3">
        <v>0</v>
      </c>
      <c r="O136" s="3">
        <v>0</v>
      </c>
      <c r="P136" s="3">
        <v>5</v>
      </c>
      <c r="Q136" s="3">
        <v>1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 t="s">
        <v>341</v>
      </c>
      <c r="X136" s="3" t="s">
        <v>347</v>
      </c>
      <c r="Y136" s="3" t="s">
        <v>354</v>
      </c>
      <c r="Z136" s="3">
        <v>1</v>
      </c>
      <c r="AA136" s="3">
        <v>0</v>
      </c>
      <c r="AB136" s="3">
        <v>0</v>
      </c>
      <c r="AC136" s="3">
        <v>0</v>
      </c>
      <c r="AD136" s="3">
        <v>0</v>
      </c>
      <c r="AE136" s="3"/>
    </row>
    <row r="137" spans="1:31" ht="16" customHeight="1" x14ac:dyDescent="0.2">
      <c r="A137" s="2" t="s">
        <v>445</v>
      </c>
      <c r="B137" s="3" t="s">
        <v>437</v>
      </c>
      <c r="C137" s="3" t="s">
        <v>346</v>
      </c>
      <c r="D137" s="3">
        <v>70</v>
      </c>
      <c r="E137" s="3" t="s">
        <v>215</v>
      </c>
      <c r="F137" s="3">
        <v>7718</v>
      </c>
      <c r="G137" s="3">
        <v>1</v>
      </c>
      <c r="H137" s="3">
        <v>1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1</v>
      </c>
      <c r="Q137" s="3">
        <v>0</v>
      </c>
      <c r="R137" s="3">
        <v>0</v>
      </c>
      <c r="S137" s="3">
        <v>1</v>
      </c>
      <c r="T137" s="3">
        <v>0</v>
      </c>
      <c r="U137" s="3">
        <v>0</v>
      </c>
      <c r="V137" s="3">
        <v>1</v>
      </c>
      <c r="W137" s="3" t="s">
        <v>341</v>
      </c>
      <c r="X137" s="3" t="s">
        <v>347</v>
      </c>
      <c r="Y137" s="3" t="s">
        <v>348</v>
      </c>
      <c r="Z137" s="3">
        <v>1</v>
      </c>
      <c r="AA137" s="3">
        <v>0</v>
      </c>
      <c r="AB137" s="3">
        <v>1</v>
      </c>
      <c r="AC137" s="3">
        <v>0</v>
      </c>
      <c r="AD137" s="3">
        <v>0</v>
      </c>
      <c r="AE137" s="3"/>
    </row>
    <row r="138" spans="1:31" ht="16" customHeight="1" x14ac:dyDescent="0.2">
      <c r="A138" s="2" t="s">
        <v>397</v>
      </c>
      <c r="B138" s="3" t="s">
        <v>389</v>
      </c>
      <c r="C138" s="3" t="s">
        <v>346</v>
      </c>
      <c r="D138" s="3">
        <v>70</v>
      </c>
      <c r="E138" s="3" t="s">
        <v>216</v>
      </c>
      <c r="F138" s="3">
        <v>5528</v>
      </c>
      <c r="G138" s="3">
        <v>1</v>
      </c>
      <c r="H138" s="3">
        <v>1</v>
      </c>
      <c r="I138" s="3">
        <v>1</v>
      </c>
      <c r="J138" s="3">
        <v>0</v>
      </c>
      <c r="K138" s="3">
        <v>0</v>
      </c>
      <c r="L138" s="3">
        <v>1</v>
      </c>
      <c r="M138" s="3">
        <v>0</v>
      </c>
      <c r="N138" s="3">
        <v>0</v>
      </c>
      <c r="O138" s="3">
        <v>1</v>
      </c>
      <c r="P138" s="3">
        <v>8</v>
      </c>
      <c r="Q138" s="3">
        <v>2</v>
      </c>
      <c r="R138" s="3">
        <v>0</v>
      </c>
      <c r="S138" s="3">
        <v>1</v>
      </c>
      <c r="T138" s="3">
        <v>0</v>
      </c>
      <c r="U138" s="3">
        <v>0</v>
      </c>
      <c r="V138" s="3">
        <v>1</v>
      </c>
      <c r="W138" s="3" t="s">
        <v>341</v>
      </c>
      <c r="X138" s="3" t="s">
        <v>350</v>
      </c>
      <c r="Y138" s="3" t="s">
        <v>348</v>
      </c>
      <c r="Z138" s="3">
        <v>1</v>
      </c>
      <c r="AA138" s="3">
        <v>0</v>
      </c>
      <c r="AB138" s="3">
        <v>1</v>
      </c>
      <c r="AC138" s="3">
        <v>0</v>
      </c>
      <c r="AD138" s="3">
        <v>0</v>
      </c>
      <c r="AE138" s="3"/>
    </row>
    <row r="139" spans="1:31" ht="16" customHeight="1" x14ac:dyDescent="0.2">
      <c r="A139" s="2" t="s">
        <v>397</v>
      </c>
      <c r="B139" s="3" t="s">
        <v>450</v>
      </c>
      <c r="C139" s="3" t="s">
        <v>340</v>
      </c>
      <c r="D139" s="3">
        <v>70</v>
      </c>
      <c r="E139" s="3" t="s">
        <v>216</v>
      </c>
      <c r="F139" s="3">
        <v>1585</v>
      </c>
      <c r="G139" s="3">
        <v>1</v>
      </c>
      <c r="H139" s="3">
        <v>0</v>
      </c>
      <c r="I139" s="3">
        <v>0</v>
      </c>
      <c r="J139" s="3">
        <v>0</v>
      </c>
      <c r="K139" s="3">
        <v>1</v>
      </c>
      <c r="L139" s="3">
        <v>0</v>
      </c>
      <c r="M139" s="3">
        <v>0</v>
      </c>
      <c r="N139" s="3">
        <v>0</v>
      </c>
      <c r="O139" s="3">
        <v>1</v>
      </c>
      <c r="P139" s="3">
        <v>0</v>
      </c>
      <c r="Q139" s="3">
        <v>0</v>
      </c>
      <c r="R139" s="3">
        <v>3</v>
      </c>
      <c r="S139" s="3">
        <v>2</v>
      </c>
      <c r="T139" s="3">
        <v>0</v>
      </c>
      <c r="U139" s="3">
        <v>0</v>
      </c>
      <c r="V139" s="3">
        <v>2</v>
      </c>
      <c r="W139" s="3" t="s">
        <v>350</v>
      </c>
      <c r="X139" s="3" t="s">
        <v>350</v>
      </c>
      <c r="Y139" s="3" t="s">
        <v>343</v>
      </c>
      <c r="Z139" s="3">
        <v>1</v>
      </c>
      <c r="AA139" s="3">
        <v>0</v>
      </c>
      <c r="AB139" s="3">
        <v>0</v>
      </c>
      <c r="AC139" s="3">
        <v>0</v>
      </c>
      <c r="AD139" s="3">
        <v>0</v>
      </c>
      <c r="AE139" s="3"/>
    </row>
    <row r="140" spans="1:31" ht="16" customHeight="1" x14ac:dyDescent="0.2">
      <c r="A140" s="2" t="s">
        <v>361</v>
      </c>
      <c r="B140" s="3" t="s">
        <v>345</v>
      </c>
      <c r="C140" s="3" t="s">
        <v>346</v>
      </c>
      <c r="D140" s="3">
        <v>70</v>
      </c>
      <c r="E140" s="3" t="s">
        <v>217</v>
      </c>
      <c r="F140" s="3">
        <v>6806</v>
      </c>
      <c r="G140" s="3">
        <v>0</v>
      </c>
      <c r="H140" s="3">
        <v>1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4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 t="s">
        <v>341</v>
      </c>
      <c r="X140" s="3" t="s">
        <v>350</v>
      </c>
      <c r="Y140" s="3" t="s">
        <v>348</v>
      </c>
      <c r="Z140" s="3">
        <v>1</v>
      </c>
      <c r="AA140" s="3">
        <v>0</v>
      </c>
      <c r="AB140" s="3">
        <v>1</v>
      </c>
      <c r="AC140" s="3">
        <v>0</v>
      </c>
      <c r="AD140" s="3">
        <v>0</v>
      </c>
      <c r="AE140" s="3"/>
    </row>
    <row r="141" spans="1:31" ht="16" customHeight="1" x14ac:dyDescent="0.2">
      <c r="A141" s="2" t="s">
        <v>540</v>
      </c>
      <c r="B141" s="3" t="s">
        <v>401</v>
      </c>
      <c r="C141" s="3" t="s">
        <v>346</v>
      </c>
      <c r="D141" s="3">
        <v>70</v>
      </c>
      <c r="E141" s="3" t="s">
        <v>31</v>
      </c>
      <c r="F141" s="3">
        <v>9468</v>
      </c>
      <c r="G141" s="3">
        <v>1</v>
      </c>
      <c r="H141" s="3">
        <v>1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4</v>
      </c>
      <c r="S141" s="3">
        <v>2</v>
      </c>
      <c r="T141" s="3">
        <v>0</v>
      </c>
      <c r="U141" s="3">
        <v>0</v>
      </c>
      <c r="V141" s="3">
        <v>2</v>
      </c>
      <c r="W141" s="3" t="s">
        <v>341</v>
      </c>
      <c r="X141" s="3" t="s">
        <v>347</v>
      </c>
      <c r="Y141" s="3" t="s">
        <v>343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/>
    </row>
    <row r="142" spans="1:31" ht="16" customHeight="1" x14ac:dyDescent="0.2">
      <c r="A142" s="2" t="s">
        <v>446</v>
      </c>
      <c r="B142" s="3" t="s">
        <v>437</v>
      </c>
      <c r="C142" s="3" t="s">
        <v>346</v>
      </c>
      <c r="D142" s="3">
        <v>71</v>
      </c>
      <c r="E142" s="3" t="s">
        <v>215</v>
      </c>
      <c r="F142" s="3">
        <v>358</v>
      </c>
      <c r="G142" s="3">
        <v>1</v>
      </c>
      <c r="H142" s="3">
        <v>1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1</v>
      </c>
      <c r="P142" s="3">
        <v>5</v>
      </c>
      <c r="Q142" s="3">
        <v>0</v>
      </c>
      <c r="R142" s="3">
        <v>1</v>
      </c>
      <c r="S142" s="3">
        <v>0</v>
      </c>
      <c r="T142" s="3">
        <v>0</v>
      </c>
      <c r="U142" s="3">
        <v>0</v>
      </c>
      <c r="V142" s="3">
        <v>0</v>
      </c>
      <c r="W142" s="3" t="s">
        <v>341</v>
      </c>
      <c r="X142" s="3" t="s">
        <v>347</v>
      </c>
      <c r="Y142" s="3" t="s">
        <v>343</v>
      </c>
      <c r="Z142" s="3">
        <v>1</v>
      </c>
      <c r="AA142" s="3">
        <v>0</v>
      </c>
      <c r="AB142" s="3">
        <v>1</v>
      </c>
      <c r="AC142" s="3">
        <v>0</v>
      </c>
      <c r="AD142" s="3">
        <v>0</v>
      </c>
      <c r="AE142" s="3"/>
    </row>
    <row r="143" spans="1:31" ht="16" customHeight="1" x14ac:dyDescent="0.2">
      <c r="A143" s="2" t="s">
        <v>398</v>
      </c>
      <c r="B143" s="3" t="s">
        <v>389</v>
      </c>
      <c r="C143" s="3" t="s">
        <v>346</v>
      </c>
      <c r="D143" s="3">
        <v>71</v>
      </c>
      <c r="E143" s="3" t="s">
        <v>216</v>
      </c>
      <c r="F143" s="3">
        <v>6300</v>
      </c>
      <c r="G143" s="3">
        <v>1</v>
      </c>
      <c r="H143" s="3">
        <v>1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1</v>
      </c>
      <c r="P143" s="3">
        <v>2</v>
      </c>
      <c r="Q143" s="3">
        <v>3</v>
      </c>
      <c r="R143" s="3">
        <v>0</v>
      </c>
      <c r="S143" s="3">
        <v>0</v>
      </c>
      <c r="T143" s="3">
        <v>0</v>
      </c>
      <c r="U143" s="3">
        <v>0</v>
      </c>
      <c r="V143" s="3">
        <v>2</v>
      </c>
      <c r="W143" s="3" t="s">
        <v>341</v>
      </c>
      <c r="X143" s="3" t="s">
        <v>350</v>
      </c>
      <c r="Y143" s="3" t="s">
        <v>343</v>
      </c>
      <c r="Z143" s="3">
        <v>1</v>
      </c>
      <c r="AA143" s="3">
        <v>0</v>
      </c>
      <c r="AB143" s="3">
        <v>1</v>
      </c>
      <c r="AC143" s="3">
        <v>0</v>
      </c>
      <c r="AD143" s="3">
        <v>0</v>
      </c>
      <c r="AE143" s="3"/>
    </row>
    <row r="144" spans="1:31" ht="16" customHeight="1" x14ac:dyDescent="0.2">
      <c r="A144" s="2" t="s">
        <v>398</v>
      </c>
      <c r="B144" s="3" t="s">
        <v>401</v>
      </c>
      <c r="C144" s="3" t="s">
        <v>340</v>
      </c>
      <c r="D144" s="3">
        <v>71</v>
      </c>
      <c r="E144" s="3" t="s">
        <v>216</v>
      </c>
      <c r="F144" s="3">
        <v>2340</v>
      </c>
      <c r="G144" s="3">
        <v>1</v>
      </c>
      <c r="H144" s="3">
        <v>0</v>
      </c>
      <c r="I144" s="3">
        <v>0</v>
      </c>
      <c r="J144" s="3">
        <v>1</v>
      </c>
      <c r="K144" s="3">
        <v>0</v>
      </c>
      <c r="L144" s="3">
        <v>0</v>
      </c>
      <c r="M144" s="3">
        <v>0</v>
      </c>
      <c r="N144" s="3">
        <v>0</v>
      </c>
      <c r="O144" s="3">
        <v>1</v>
      </c>
      <c r="P144" s="3">
        <v>0</v>
      </c>
      <c r="Q144" s="3">
        <v>0</v>
      </c>
      <c r="R144" s="3">
        <v>0</v>
      </c>
      <c r="S144" s="3">
        <v>1</v>
      </c>
      <c r="T144" s="3">
        <v>0</v>
      </c>
      <c r="U144" s="3">
        <v>0</v>
      </c>
      <c r="V144" s="3">
        <v>3</v>
      </c>
      <c r="W144" s="3" t="s">
        <v>341</v>
      </c>
      <c r="X144" s="3" t="s">
        <v>350</v>
      </c>
      <c r="Y144" s="3" t="s">
        <v>343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/>
    </row>
    <row r="145" spans="1:31" ht="16" customHeight="1" x14ac:dyDescent="0.2">
      <c r="A145" s="2" t="s">
        <v>362</v>
      </c>
      <c r="B145" s="3" t="s">
        <v>345</v>
      </c>
      <c r="C145" s="3" t="s">
        <v>346</v>
      </c>
      <c r="D145" s="3">
        <v>71</v>
      </c>
      <c r="E145" s="3" t="s">
        <v>217</v>
      </c>
      <c r="F145" s="3">
        <v>2601</v>
      </c>
      <c r="G145" s="3">
        <v>1</v>
      </c>
      <c r="H145" s="3">
        <v>1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6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 t="s">
        <v>341</v>
      </c>
      <c r="X145" s="3" t="s">
        <v>350</v>
      </c>
      <c r="Y145" s="3" t="s">
        <v>343</v>
      </c>
      <c r="Z145" s="3">
        <v>1</v>
      </c>
      <c r="AA145" s="3">
        <v>0</v>
      </c>
      <c r="AB145" s="3">
        <v>1</v>
      </c>
      <c r="AC145" s="3">
        <v>0</v>
      </c>
      <c r="AD145" s="3">
        <v>0</v>
      </c>
      <c r="AE145" s="3"/>
    </row>
    <row r="146" spans="1:31" ht="16" customHeight="1" x14ac:dyDescent="0.2">
      <c r="A146" s="2" t="s">
        <v>541</v>
      </c>
      <c r="B146" s="3" t="s">
        <v>401</v>
      </c>
      <c r="C146" s="3" t="s">
        <v>346</v>
      </c>
      <c r="D146" s="3">
        <v>71</v>
      </c>
      <c r="E146" s="3" t="s">
        <v>31</v>
      </c>
      <c r="F146" s="3">
        <v>20</v>
      </c>
      <c r="G146" s="3">
        <v>1</v>
      </c>
      <c r="H146" s="3">
        <v>1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6</v>
      </c>
      <c r="Q146" s="3">
        <v>6</v>
      </c>
      <c r="R146" s="3">
        <v>0</v>
      </c>
      <c r="S146" s="3">
        <v>1</v>
      </c>
      <c r="T146" s="3">
        <v>0</v>
      </c>
      <c r="U146" s="3">
        <v>0</v>
      </c>
      <c r="V146" s="3">
        <v>3</v>
      </c>
      <c r="W146" s="3" t="s">
        <v>341</v>
      </c>
      <c r="X146" s="3" t="s">
        <v>342</v>
      </c>
      <c r="Y146" s="3" t="s">
        <v>348</v>
      </c>
      <c r="Z146" s="3">
        <v>0</v>
      </c>
      <c r="AA146" s="3">
        <v>0</v>
      </c>
      <c r="AB146" s="3">
        <v>1</v>
      </c>
      <c r="AC146" s="3">
        <v>0</v>
      </c>
      <c r="AD146" s="3">
        <v>0</v>
      </c>
      <c r="AE146" s="3"/>
    </row>
    <row r="147" spans="1:31" ht="16" customHeight="1" x14ac:dyDescent="0.2">
      <c r="A147" s="2" t="s">
        <v>447</v>
      </c>
      <c r="B147" s="3" t="s">
        <v>437</v>
      </c>
      <c r="C147" s="3" t="s">
        <v>346</v>
      </c>
      <c r="D147" s="3">
        <v>72</v>
      </c>
      <c r="E147" s="3" t="s">
        <v>215</v>
      </c>
      <c r="F147" s="3">
        <v>639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 t="s">
        <v>350</v>
      </c>
      <c r="X147" s="3" t="s">
        <v>350</v>
      </c>
      <c r="Y147" s="3" t="s">
        <v>343</v>
      </c>
      <c r="Z147" s="3">
        <v>1</v>
      </c>
      <c r="AA147" s="3">
        <v>0</v>
      </c>
      <c r="AB147" s="3">
        <v>1</v>
      </c>
      <c r="AC147" s="3">
        <v>1</v>
      </c>
      <c r="AD147" s="3">
        <v>0</v>
      </c>
      <c r="AE147" s="3"/>
    </row>
    <row r="148" spans="1:31" ht="16" customHeight="1" x14ac:dyDescent="0.2">
      <c r="A148" s="2" t="s">
        <v>399</v>
      </c>
      <c r="B148" s="3" t="s">
        <v>389</v>
      </c>
      <c r="C148" s="3" t="s">
        <v>346</v>
      </c>
      <c r="D148" s="3">
        <v>72</v>
      </c>
      <c r="E148" s="3" t="s">
        <v>216</v>
      </c>
      <c r="F148" s="3">
        <v>7759</v>
      </c>
      <c r="G148" s="3">
        <v>1</v>
      </c>
      <c r="H148" s="3">
        <v>1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1</v>
      </c>
      <c r="Q148" s="3">
        <v>3</v>
      </c>
      <c r="R148" s="3">
        <v>1</v>
      </c>
      <c r="S148" s="3">
        <v>0</v>
      </c>
      <c r="T148" s="3">
        <v>0</v>
      </c>
      <c r="U148" s="3">
        <v>0</v>
      </c>
      <c r="V148" s="3">
        <v>0</v>
      </c>
      <c r="W148" s="3" t="s">
        <v>341</v>
      </c>
      <c r="X148" s="3" t="s">
        <v>347</v>
      </c>
      <c r="Y148" s="3" t="s">
        <v>343</v>
      </c>
      <c r="Z148" s="3">
        <v>1</v>
      </c>
      <c r="AA148" s="3">
        <v>0</v>
      </c>
      <c r="AB148" s="3">
        <v>1</v>
      </c>
      <c r="AC148" s="3">
        <v>0</v>
      </c>
      <c r="AD148" s="3">
        <v>0</v>
      </c>
      <c r="AE148" s="3"/>
    </row>
    <row r="149" spans="1:31" ht="16" customHeight="1" x14ac:dyDescent="0.2">
      <c r="A149" s="2" t="s">
        <v>399</v>
      </c>
      <c r="B149" s="3" t="s">
        <v>401</v>
      </c>
      <c r="C149" s="3" t="s">
        <v>340</v>
      </c>
      <c r="D149" s="3">
        <v>72</v>
      </c>
      <c r="E149" s="3" t="s">
        <v>216</v>
      </c>
      <c r="F149" s="3">
        <v>3838</v>
      </c>
      <c r="G149" s="3">
        <v>1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1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2</v>
      </c>
      <c r="W149" s="3" t="s">
        <v>350</v>
      </c>
      <c r="X149" s="3" t="s">
        <v>342</v>
      </c>
      <c r="Y149" s="3" t="s">
        <v>348</v>
      </c>
      <c r="Z149" s="3">
        <v>1</v>
      </c>
      <c r="AA149" s="3">
        <v>0</v>
      </c>
      <c r="AB149" s="3">
        <v>1</v>
      </c>
      <c r="AC149" s="3">
        <v>0</v>
      </c>
      <c r="AD149" s="3">
        <v>0</v>
      </c>
      <c r="AE149" s="3"/>
    </row>
    <row r="150" spans="1:31" ht="16" customHeight="1" x14ac:dyDescent="0.2">
      <c r="A150" s="2" t="s">
        <v>363</v>
      </c>
      <c r="B150" s="3" t="s">
        <v>345</v>
      </c>
      <c r="C150" s="3" t="s">
        <v>346</v>
      </c>
      <c r="D150" s="3">
        <v>72</v>
      </c>
      <c r="E150" s="3" t="s">
        <v>217</v>
      </c>
      <c r="F150" s="3">
        <v>3173</v>
      </c>
      <c r="G150" s="3">
        <v>0</v>
      </c>
      <c r="H150" s="3">
        <v>1</v>
      </c>
      <c r="I150" s="3">
        <v>2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1</v>
      </c>
      <c r="P150" s="3">
        <v>6</v>
      </c>
      <c r="Q150" s="3">
        <v>1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 t="s">
        <v>341</v>
      </c>
      <c r="X150" s="3" t="s">
        <v>342</v>
      </c>
      <c r="Y150" s="3" t="s">
        <v>343</v>
      </c>
      <c r="Z150" s="3">
        <v>1</v>
      </c>
      <c r="AA150" s="3">
        <v>0</v>
      </c>
      <c r="AB150" s="3">
        <v>1</v>
      </c>
      <c r="AC150" s="3">
        <v>0</v>
      </c>
      <c r="AD150" s="3">
        <v>1</v>
      </c>
      <c r="AE150" s="3"/>
    </row>
    <row r="151" spans="1:31" ht="16" customHeight="1" x14ac:dyDescent="0.2">
      <c r="A151" s="2" t="s">
        <v>542</v>
      </c>
      <c r="B151" s="3" t="s">
        <v>401</v>
      </c>
      <c r="C151" s="3" t="s">
        <v>346</v>
      </c>
      <c r="D151" s="3">
        <v>72</v>
      </c>
      <c r="E151" s="3" t="s">
        <v>31</v>
      </c>
      <c r="F151" s="3">
        <v>8067</v>
      </c>
      <c r="G151" s="3">
        <v>1</v>
      </c>
      <c r="H151" s="3">
        <v>1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1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 t="s">
        <v>350</v>
      </c>
      <c r="X151" s="3" t="s">
        <v>347</v>
      </c>
      <c r="Y151" s="3" t="s">
        <v>348</v>
      </c>
      <c r="Z151" s="3">
        <v>1</v>
      </c>
      <c r="AA151" s="3">
        <v>0</v>
      </c>
      <c r="AB151" s="3">
        <v>0</v>
      </c>
      <c r="AC151" s="3">
        <v>0</v>
      </c>
      <c r="AD151" s="3">
        <v>0</v>
      </c>
      <c r="AE151" s="3"/>
    </row>
    <row r="152" spans="1:31" ht="16" customHeight="1" x14ac:dyDescent="0.2">
      <c r="A152" s="2" t="s">
        <v>424</v>
      </c>
      <c r="B152" s="3" t="s">
        <v>448</v>
      </c>
      <c r="C152" s="3" t="s">
        <v>346</v>
      </c>
      <c r="D152" s="3">
        <v>73</v>
      </c>
      <c r="E152" s="3" t="s">
        <v>215</v>
      </c>
      <c r="F152" s="3">
        <v>2869</v>
      </c>
      <c r="G152" s="3">
        <v>1</v>
      </c>
      <c r="H152" s="3">
        <v>1</v>
      </c>
      <c r="I152" s="3">
        <v>1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3</v>
      </c>
      <c r="Q152" s="3">
        <v>0</v>
      </c>
      <c r="R152" s="3">
        <v>1</v>
      </c>
      <c r="S152" s="3">
        <v>0</v>
      </c>
      <c r="T152" s="3">
        <v>0</v>
      </c>
      <c r="U152" s="3">
        <v>0</v>
      </c>
      <c r="V152" s="3">
        <v>5</v>
      </c>
      <c r="W152" s="3" t="s">
        <v>341</v>
      </c>
      <c r="X152" s="3" t="s">
        <v>342</v>
      </c>
      <c r="Y152" s="3" t="s">
        <v>348</v>
      </c>
      <c r="Z152" s="3">
        <v>1</v>
      </c>
      <c r="AA152" s="3">
        <v>0</v>
      </c>
      <c r="AB152" s="3">
        <v>1</v>
      </c>
      <c r="AC152" s="3">
        <v>0</v>
      </c>
      <c r="AD152" s="3">
        <v>0</v>
      </c>
    </row>
    <row r="153" spans="1:31" ht="16" customHeight="1" x14ac:dyDescent="0.2">
      <c r="A153" s="2" t="s">
        <v>452</v>
      </c>
      <c r="B153" s="3" t="s">
        <v>453</v>
      </c>
      <c r="C153" s="3" t="s">
        <v>346</v>
      </c>
      <c r="D153" s="3">
        <v>73</v>
      </c>
      <c r="E153" s="3" t="s">
        <v>216</v>
      </c>
      <c r="F153" s="3">
        <v>229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1</v>
      </c>
      <c r="Q153" s="3">
        <v>2</v>
      </c>
      <c r="R153" s="3">
        <v>1</v>
      </c>
      <c r="S153" s="3">
        <v>0</v>
      </c>
      <c r="T153" s="3">
        <v>0</v>
      </c>
      <c r="U153" s="3">
        <v>0</v>
      </c>
      <c r="V153" s="3">
        <v>0</v>
      </c>
      <c r="W153" s="3" t="s">
        <v>350</v>
      </c>
      <c r="X153" s="3" t="s">
        <v>350</v>
      </c>
      <c r="Y153" s="3" t="s">
        <v>348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3"/>
    </row>
    <row r="154" spans="1:31" ht="16" customHeight="1" x14ac:dyDescent="0.2">
      <c r="A154" s="2" t="s">
        <v>364</v>
      </c>
      <c r="B154" s="3" t="s">
        <v>345</v>
      </c>
      <c r="C154" s="3" t="s">
        <v>340</v>
      </c>
      <c r="D154" s="3">
        <v>73</v>
      </c>
      <c r="E154" s="3" t="s">
        <v>217</v>
      </c>
      <c r="F154" s="3">
        <v>378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1</v>
      </c>
      <c r="Q154" s="3">
        <v>1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 t="s">
        <v>350</v>
      </c>
      <c r="X154" s="3" t="s">
        <v>347</v>
      </c>
      <c r="Y154" s="3" t="s">
        <v>343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/>
    </row>
    <row r="155" spans="1:31" ht="16" customHeight="1" x14ac:dyDescent="0.2">
      <c r="A155" s="2" t="s">
        <v>364</v>
      </c>
      <c r="B155" s="3" t="s">
        <v>492</v>
      </c>
      <c r="C155" s="3" t="s">
        <v>346</v>
      </c>
      <c r="D155" s="3">
        <v>73</v>
      </c>
      <c r="E155" s="3" t="s">
        <v>217</v>
      </c>
      <c r="F155" s="3">
        <v>870</v>
      </c>
      <c r="G155" s="3">
        <v>1</v>
      </c>
      <c r="H155" s="3">
        <v>1</v>
      </c>
      <c r="I155" s="3">
        <v>2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1</v>
      </c>
      <c r="Q155" s="3">
        <v>5</v>
      </c>
      <c r="R155" s="3">
        <v>0</v>
      </c>
      <c r="S155" s="3">
        <v>3</v>
      </c>
      <c r="T155" s="3">
        <v>0</v>
      </c>
      <c r="U155" s="3">
        <v>0</v>
      </c>
      <c r="V155" s="3">
        <v>0</v>
      </c>
      <c r="W155" s="3" t="s">
        <v>341</v>
      </c>
      <c r="X155" s="3" t="s">
        <v>342</v>
      </c>
      <c r="Y155" s="3" t="s">
        <v>348</v>
      </c>
      <c r="Z155" s="3">
        <v>1</v>
      </c>
      <c r="AA155" s="3">
        <v>0</v>
      </c>
      <c r="AB155" s="3">
        <v>1</v>
      </c>
      <c r="AC155" s="3">
        <v>0</v>
      </c>
      <c r="AD155" s="3">
        <v>0</v>
      </c>
      <c r="AE155" s="3"/>
    </row>
    <row r="156" spans="1:31" ht="16" customHeight="1" x14ac:dyDescent="0.2">
      <c r="A156" s="2" t="s">
        <v>543</v>
      </c>
      <c r="B156" s="3" t="s">
        <v>376</v>
      </c>
      <c r="C156" s="3" t="s">
        <v>346</v>
      </c>
      <c r="D156" s="3">
        <v>73</v>
      </c>
      <c r="E156" s="3" t="s">
        <v>31</v>
      </c>
      <c r="F156" s="3">
        <v>334</v>
      </c>
      <c r="G156" s="3">
        <v>1</v>
      </c>
      <c r="H156" s="3">
        <v>1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3</v>
      </c>
      <c r="Q156" s="3">
        <v>0</v>
      </c>
      <c r="R156" s="3">
        <v>0</v>
      </c>
      <c r="S156" s="3">
        <v>1</v>
      </c>
      <c r="T156" s="3">
        <v>0</v>
      </c>
      <c r="U156" s="3">
        <v>0</v>
      </c>
      <c r="V156" s="3">
        <v>1</v>
      </c>
      <c r="W156" s="3" t="s">
        <v>356</v>
      </c>
      <c r="X156" s="3" t="s">
        <v>347</v>
      </c>
      <c r="Y156" s="3" t="s">
        <v>343</v>
      </c>
      <c r="Z156" s="3">
        <v>1</v>
      </c>
      <c r="AA156" s="3">
        <v>0</v>
      </c>
      <c r="AB156" s="3">
        <v>0</v>
      </c>
      <c r="AC156" s="3">
        <v>0</v>
      </c>
      <c r="AD156" s="3">
        <v>1</v>
      </c>
      <c r="AE156" s="3"/>
    </row>
    <row r="157" spans="1:31" ht="16" customHeight="1" x14ac:dyDescent="0.2">
      <c r="A157" s="2" t="s">
        <v>425</v>
      </c>
      <c r="B157" s="3" t="s">
        <v>448</v>
      </c>
      <c r="C157" s="3" t="s">
        <v>346</v>
      </c>
      <c r="D157" s="3">
        <v>74</v>
      </c>
      <c r="E157" s="3" t="s">
        <v>215</v>
      </c>
      <c r="F157" s="3">
        <v>3550</v>
      </c>
      <c r="G157" s="3">
        <v>1</v>
      </c>
      <c r="H157" s="3">
        <v>1</v>
      </c>
      <c r="I157" s="3">
        <v>2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3</v>
      </c>
      <c r="Q157" s="3">
        <v>3</v>
      </c>
      <c r="R157" s="3">
        <v>1</v>
      </c>
      <c r="S157" s="3">
        <v>0</v>
      </c>
      <c r="T157" s="3">
        <v>2</v>
      </c>
      <c r="U157" s="3">
        <v>0</v>
      </c>
      <c r="V157" s="3">
        <v>1</v>
      </c>
      <c r="W157" s="3" t="s">
        <v>341</v>
      </c>
      <c r="X157" s="3" t="s">
        <v>347</v>
      </c>
      <c r="Y157" s="3" t="s">
        <v>343</v>
      </c>
      <c r="Z157" s="3">
        <v>1</v>
      </c>
      <c r="AA157" s="3">
        <v>0</v>
      </c>
      <c r="AB157" s="3">
        <v>0</v>
      </c>
      <c r="AC157" s="3">
        <v>0</v>
      </c>
      <c r="AD157" s="3">
        <v>0</v>
      </c>
    </row>
    <row r="158" spans="1:31" ht="16" customHeight="1" x14ac:dyDescent="0.2">
      <c r="A158" s="2" t="s">
        <v>454</v>
      </c>
      <c r="B158" s="3" t="s">
        <v>453</v>
      </c>
      <c r="C158" s="3" t="s">
        <v>346</v>
      </c>
      <c r="D158" s="3">
        <v>74</v>
      </c>
      <c r="E158" s="3" t="s">
        <v>216</v>
      </c>
      <c r="F158" s="3">
        <v>5149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1</v>
      </c>
      <c r="Q158" s="3">
        <v>2</v>
      </c>
      <c r="R158" s="3">
        <v>2</v>
      </c>
      <c r="S158" s="3">
        <v>2</v>
      </c>
      <c r="T158" s="3">
        <v>1</v>
      </c>
      <c r="U158" s="3">
        <v>2</v>
      </c>
      <c r="V158" s="3">
        <v>3</v>
      </c>
      <c r="W158" s="3" t="s">
        <v>350</v>
      </c>
      <c r="X158" s="3" t="s">
        <v>350</v>
      </c>
      <c r="Y158" s="3" t="s">
        <v>348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/>
    </row>
    <row r="159" spans="1:31" ht="16" customHeight="1" x14ac:dyDescent="0.2">
      <c r="A159" s="2" t="s">
        <v>365</v>
      </c>
      <c r="B159" s="3" t="s">
        <v>345</v>
      </c>
      <c r="C159" s="3" t="s">
        <v>340</v>
      </c>
      <c r="D159" s="3">
        <v>74</v>
      </c>
      <c r="E159" s="3" t="s">
        <v>217</v>
      </c>
      <c r="F159" s="3">
        <v>10223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 t="s">
        <v>350</v>
      </c>
      <c r="X159" s="3" t="s">
        <v>350</v>
      </c>
      <c r="Y159" s="3" t="s">
        <v>348</v>
      </c>
      <c r="Z159" s="3">
        <v>0</v>
      </c>
      <c r="AA159" s="3">
        <v>0</v>
      </c>
      <c r="AB159" s="3">
        <v>0</v>
      </c>
      <c r="AC159" s="3">
        <v>0</v>
      </c>
      <c r="AD159" s="3">
        <v>0</v>
      </c>
      <c r="AE159" s="3"/>
    </row>
    <row r="160" spans="1:31" ht="16" customHeight="1" x14ac:dyDescent="0.2">
      <c r="A160" s="2" t="s">
        <v>365</v>
      </c>
      <c r="B160" s="3" t="s">
        <v>492</v>
      </c>
      <c r="C160" s="3" t="s">
        <v>346</v>
      </c>
      <c r="D160" s="3">
        <v>74</v>
      </c>
      <c r="E160" s="3" t="s">
        <v>217</v>
      </c>
      <c r="F160" s="3">
        <v>5881</v>
      </c>
      <c r="G160" s="3">
        <v>1</v>
      </c>
      <c r="H160" s="3">
        <v>1</v>
      </c>
      <c r="I160" s="3">
        <v>0</v>
      </c>
      <c r="J160" s="3">
        <v>0</v>
      </c>
      <c r="K160" s="3">
        <v>0</v>
      </c>
      <c r="L160" s="3">
        <v>1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 t="s">
        <v>350</v>
      </c>
      <c r="X160" s="3" t="s">
        <v>350</v>
      </c>
      <c r="Y160" s="3" t="s">
        <v>348</v>
      </c>
      <c r="Z160" s="3">
        <v>0</v>
      </c>
      <c r="AA160" s="3">
        <v>0</v>
      </c>
      <c r="AB160" s="3">
        <v>0</v>
      </c>
      <c r="AC160" s="3">
        <v>1</v>
      </c>
      <c r="AD160" s="3">
        <v>0</v>
      </c>
      <c r="AE160" s="3"/>
    </row>
    <row r="161" spans="1:31" ht="16" customHeight="1" x14ac:dyDescent="0.2">
      <c r="A161" s="2" t="s">
        <v>544</v>
      </c>
      <c r="B161" s="3" t="s">
        <v>376</v>
      </c>
      <c r="C161" s="3" t="s">
        <v>346</v>
      </c>
      <c r="D161" s="3">
        <v>74</v>
      </c>
      <c r="E161" s="3" t="s">
        <v>31</v>
      </c>
      <c r="F161" s="3">
        <v>250</v>
      </c>
      <c r="G161" s="3">
        <v>1</v>
      </c>
      <c r="H161" s="3">
        <v>1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1</v>
      </c>
      <c r="T161" s="3">
        <v>2</v>
      </c>
      <c r="U161" s="3">
        <v>0</v>
      </c>
      <c r="V161" s="3">
        <v>1</v>
      </c>
      <c r="W161" s="3" t="s">
        <v>341</v>
      </c>
      <c r="X161" s="3" t="s">
        <v>342</v>
      </c>
      <c r="Y161" s="3" t="s">
        <v>348</v>
      </c>
      <c r="Z161" s="3">
        <v>1</v>
      </c>
      <c r="AA161" s="3">
        <v>0</v>
      </c>
      <c r="AB161" s="3">
        <v>1</v>
      </c>
      <c r="AC161" s="3">
        <v>0</v>
      </c>
      <c r="AD161" s="3">
        <v>0</v>
      </c>
      <c r="AE161" s="3"/>
    </row>
    <row r="162" spans="1:31" ht="16" customHeight="1" x14ac:dyDescent="0.2">
      <c r="A162" s="2" t="s">
        <v>426</v>
      </c>
      <c r="B162" s="3" t="s">
        <v>448</v>
      </c>
      <c r="C162" s="3" t="s">
        <v>346</v>
      </c>
      <c r="D162" s="3">
        <v>75</v>
      </c>
      <c r="E162" s="3" t="s">
        <v>215</v>
      </c>
      <c r="F162" s="3">
        <v>6911</v>
      </c>
      <c r="G162" s="3">
        <v>1</v>
      </c>
      <c r="H162" s="3">
        <v>1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2</v>
      </c>
      <c r="Q162" s="3">
        <v>0</v>
      </c>
      <c r="R162" s="3">
        <v>0</v>
      </c>
      <c r="S162" s="3">
        <v>0</v>
      </c>
      <c r="T162" s="3">
        <v>0</v>
      </c>
      <c r="U162" s="3">
        <v>3</v>
      </c>
      <c r="V162" s="3">
        <v>2</v>
      </c>
      <c r="W162" s="3" t="s">
        <v>341</v>
      </c>
      <c r="X162" s="3" t="s">
        <v>342</v>
      </c>
      <c r="Y162" s="3" t="s">
        <v>348</v>
      </c>
      <c r="Z162" s="3">
        <v>1</v>
      </c>
      <c r="AA162" s="3">
        <v>1</v>
      </c>
      <c r="AB162" s="3">
        <v>1</v>
      </c>
      <c r="AC162" s="3">
        <v>0</v>
      </c>
      <c r="AD162" s="3">
        <v>1</v>
      </c>
    </row>
    <row r="163" spans="1:31" ht="16" customHeight="1" x14ac:dyDescent="0.2">
      <c r="A163" s="2" t="s">
        <v>455</v>
      </c>
      <c r="B163" s="3" t="s">
        <v>453</v>
      </c>
      <c r="C163" s="3" t="s">
        <v>346</v>
      </c>
      <c r="D163" s="3">
        <v>75</v>
      </c>
      <c r="E163" s="3" t="s">
        <v>216</v>
      </c>
      <c r="F163" s="3">
        <v>6401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2</v>
      </c>
      <c r="Q163" s="3">
        <v>2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 t="s">
        <v>350</v>
      </c>
      <c r="X163" s="3" t="s">
        <v>350</v>
      </c>
      <c r="Y163" s="3" t="s">
        <v>348</v>
      </c>
      <c r="Z163" s="3">
        <v>1</v>
      </c>
      <c r="AA163" s="3">
        <v>1</v>
      </c>
      <c r="AB163" s="3">
        <v>0</v>
      </c>
      <c r="AC163" s="3">
        <v>0</v>
      </c>
      <c r="AD163" s="3">
        <v>0</v>
      </c>
      <c r="AE163" s="3"/>
    </row>
    <row r="164" spans="1:31" ht="16" customHeight="1" x14ac:dyDescent="0.2">
      <c r="A164" s="2" t="s">
        <v>493</v>
      </c>
      <c r="B164" s="3" t="s">
        <v>492</v>
      </c>
      <c r="C164" s="3" t="s">
        <v>346</v>
      </c>
      <c r="D164" s="3">
        <v>75</v>
      </c>
      <c r="E164" s="3" t="s">
        <v>217</v>
      </c>
      <c r="F164" s="3">
        <v>6621</v>
      </c>
      <c r="G164" s="3">
        <v>1</v>
      </c>
      <c r="H164" s="3">
        <v>1</v>
      </c>
      <c r="I164" s="3">
        <v>2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4</v>
      </c>
      <c r="Q164" s="3">
        <v>3</v>
      </c>
      <c r="R164" s="3">
        <v>3</v>
      </c>
      <c r="S164" s="3">
        <v>4</v>
      </c>
      <c r="T164" s="3">
        <v>0</v>
      </c>
      <c r="U164" s="3">
        <v>0</v>
      </c>
      <c r="V164" s="3">
        <v>1</v>
      </c>
      <c r="W164" s="3" t="s">
        <v>341</v>
      </c>
      <c r="X164" s="3" t="s">
        <v>342</v>
      </c>
      <c r="Y164" s="3" t="s">
        <v>348</v>
      </c>
      <c r="Z164" s="3">
        <v>1</v>
      </c>
      <c r="AA164" s="3">
        <v>1</v>
      </c>
      <c r="AB164" s="3">
        <v>1</v>
      </c>
      <c r="AC164" s="3">
        <v>0</v>
      </c>
      <c r="AD164" s="3">
        <v>1</v>
      </c>
      <c r="AE164" s="3"/>
    </row>
    <row r="165" spans="1:31" ht="16" customHeight="1" x14ac:dyDescent="0.2">
      <c r="A165" s="2" t="s">
        <v>545</v>
      </c>
      <c r="B165" s="3" t="s">
        <v>376</v>
      </c>
      <c r="C165" s="3" t="s">
        <v>346</v>
      </c>
      <c r="D165" s="3">
        <v>75</v>
      </c>
      <c r="E165" s="3" t="s">
        <v>31</v>
      </c>
      <c r="F165" s="3">
        <v>9624</v>
      </c>
      <c r="G165" s="3">
        <v>1</v>
      </c>
      <c r="H165" s="3">
        <v>1</v>
      </c>
      <c r="I165" s="3">
        <v>1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1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 t="s">
        <v>341</v>
      </c>
      <c r="X165" s="3" t="s">
        <v>350</v>
      </c>
      <c r="Y165" s="3" t="s">
        <v>343</v>
      </c>
      <c r="Z165" s="3">
        <v>1</v>
      </c>
      <c r="AA165" s="3">
        <v>0</v>
      </c>
      <c r="AB165" s="3">
        <v>1</v>
      </c>
      <c r="AC165" s="3">
        <v>1</v>
      </c>
      <c r="AD165" s="3">
        <v>1</v>
      </c>
      <c r="AE165" s="3"/>
    </row>
    <row r="166" spans="1:31" ht="16" customHeight="1" x14ac:dyDescent="0.2">
      <c r="A166" s="2" t="s">
        <v>427</v>
      </c>
      <c r="B166" s="3" t="s">
        <v>448</v>
      </c>
      <c r="C166" s="3" t="s">
        <v>346</v>
      </c>
      <c r="D166" s="3">
        <v>76</v>
      </c>
      <c r="E166" s="3" t="s">
        <v>215</v>
      </c>
      <c r="F166" s="3">
        <v>3117</v>
      </c>
      <c r="G166" s="3">
        <v>1</v>
      </c>
      <c r="H166" s="3">
        <v>1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4</v>
      </c>
      <c r="Q166" s="3">
        <v>0</v>
      </c>
      <c r="R166" s="3">
        <v>3</v>
      </c>
      <c r="S166" s="3">
        <v>0</v>
      </c>
      <c r="T166" s="3">
        <v>0</v>
      </c>
      <c r="U166" s="3">
        <v>0</v>
      </c>
      <c r="V166" s="3">
        <v>0</v>
      </c>
      <c r="W166" s="3" t="s">
        <v>341</v>
      </c>
      <c r="X166" s="3" t="s">
        <v>342</v>
      </c>
      <c r="Y166" s="3" t="s">
        <v>348</v>
      </c>
      <c r="Z166" s="3">
        <v>1</v>
      </c>
      <c r="AA166" s="3">
        <v>1</v>
      </c>
      <c r="AB166" s="3">
        <v>1</v>
      </c>
      <c r="AC166" s="3">
        <v>0</v>
      </c>
      <c r="AD166" s="3">
        <v>0</v>
      </c>
    </row>
    <row r="167" spans="1:31" ht="16" customHeight="1" x14ac:dyDescent="0.2">
      <c r="A167" s="2" t="s">
        <v>456</v>
      </c>
      <c r="B167" s="3" t="s">
        <v>453</v>
      </c>
      <c r="C167" s="3" t="s">
        <v>457</v>
      </c>
      <c r="D167" s="3">
        <v>76</v>
      </c>
      <c r="E167" s="3" t="s">
        <v>216</v>
      </c>
      <c r="F167" s="3">
        <v>10714</v>
      </c>
      <c r="G167" s="3">
        <v>1</v>
      </c>
      <c r="H167" s="3">
        <v>0</v>
      </c>
      <c r="I167" s="3">
        <v>2</v>
      </c>
      <c r="J167" s="3">
        <v>0</v>
      </c>
      <c r="K167" s="3">
        <v>1</v>
      </c>
      <c r="L167" s="3">
        <v>0</v>
      </c>
      <c r="M167" s="3">
        <v>0</v>
      </c>
      <c r="N167" s="3">
        <v>0</v>
      </c>
      <c r="O167" s="3">
        <v>0</v>
      </c>
      <c r="P167" s="3">
        <v>4</v>
      </c>
      <c r="Q167" s="3">
        <v>6</v>
      </c>
      <c r="R167" s="3">
        <v>3</v>
      </c>
      <c r="S167" s="3">
        <v>3</v>
      </c>
      <c r="T167" s="3">
        <v>3</v>
      </c>
      <c r="U167" s="3">
        <v>3</v>
      </c>
      <c r="V167" s="3">
        <v>5</v>
      </c>
      <c r="W167" s="3" t="s">
        <v>350</v>
      </c>
      <c r="X167" s="3" t="s">
        <v>341</v>
      </c>
      <c r="Y167" s="3" t="s">
        <v>348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/>
    </row>
    <row r="168" spans="1:31" ht="16" customHeight="1" x14ac:dyDescent="0.2">
      <c r="A168" s="2" t="s">
        <v>366</v>
      </c>
      <c r="B168" s="3" t="s">
        <v>345</v>
      </c>
      <c r="C168" s="3" t="s">
        <v>340</v>
      </c>
      <c r="D168" s="3">
        <v>76</v>
      </c>
      <c r="E168" s="3" t="s">
        <v>217</v>
      </c>
      <c r="F168" s="3">
        <v>1559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2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 t="s">
        <v>341</v>
      </c>
      <c r="X168" s="3" t="s">
        <v>342</v>
      </c>
      <c r="Y168" s="3" t="s">
        <v>348</v>
      </c>
      <c r="Z168" s="3">
        <v>1</v>
      </c>
      <c r="AA168" s="3">
        <v>1</v>
      </c>
      <c r="AB168" s="3">
        <v>1</v>
      </c>
      <c r="AC168" s="3">
        <v>0</v>
      </c>
      <c r="AD168" s="3">
        <v>0</v>
      </c>
      <c r="AE168" s="3"/>
    </row>
    <row r="169" spans="1:31" ht="16" customHeight="1" x14ac:dyDescent="0.2">
      <c r="A169" s="2" t="s">
        <v>366</v>
      </c>
      <c r="B169" s="3" t="s">
        <v>492</v>
      </c>
      <c r="C169" s="3" t="s">
        <v>346</v>
      </c>
      <c r="D169" s="3">
        <v>76</v>
      </c>
      <c r="E169" s="3" t="s">
        <v>217</v>
      </c>
      <c r="F169" s="3">
        <v>3044</v>
      </c>
      <c r="G169" s="3">
        <v>1</v>
      </c>
      <c r="H169" s="3">
        <v>1</v>
      </c>
      <c r="I169" s="3">
        <v>2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7</v>
      </c>
      <c r="Q169" s="3">
        <v>5</v>
      </c>
      <c r="R169" s="3">
        <v>0</v>
      </c>
      <c r="S169" s="3">
        <v>0</v>
      </c>
      <c r="T169" s="3">
        <v>0</v>
      </c>
      <c r="U169" s="3">
        <v>0</v>
      </c>
      <c r="V169" s="3">
        <v>2</v>
      </c>
      <c r="W169" s="3" t="s">
        <v>341</v>
      </c>
      <c r="X169" s="3" t="s">
        <v>342</v>
      </c>
      <c r="Y169" s="3" t="s">
        <v>348</v>
      </c>
      <c r="Z169" s="3">
        <v>1</v>
      </c>
      <c r="AA169" s="3">
        <v>1</v>
      </c>
      <c r="AB169" s="3">
        <v>1</v>
      </c>
      <c r="AC169" s="3">
        <v>0</v>
      </c>
      <c r="AD169" s="3">
        <v>0</v>
      </c>
      <c r="AE169" s="3"/>
    </row>
    <row r="170" spans="1:31" ht="16" customHeight="1" x14ac:dyDescent="0.2">
      <c r="A170" s="2" t="s">
        <v>546</v>
      </c>
      <c r="B170" s="3" t="s">
        <v>376</v>
      </c>
      <c r="C170" s="3" t="s">
        <v>346</v>
      </c>
      <c r="D170" s="3">
        <v>76</v>
      </c>
      <c r="E170" s="3" t="s">
        <v>31</v>
      </c>
      <c r="F170" s="3">
        <v>7504</v>
      </c>
      <c r="G170" s="3">
        <v>1</v>
      </c>
      <c r="H170" s="3">
        <v>1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5</v>
      </c>
      <c r="Q170" s="3">
        <v>0</v>
      </c>
      <c r="R170" s="3">
        <v>1</v>
      </c>
      <c r="S170" s="3">
        <v>0</v>
      </c>
      <c r="T170" s="3">
        <v>0</v>
      </c>
      <c r="U170" s="3">
        <v>0</v>
      </c>
      <c r="V170" s="3">
        <v>0</v>
      </c>
      <c r="W170" s="3" t="s">
        <v>341</v>
      </c>
      <c r="X170" s="3" t="s">
        <v>347</v>
      </c>
      <c r="Y170" s="3" t="s">
        <v>343</v>
      </c>
      <c r="Z170" s="3">
        <v>1</v>
      </c>
      <c r="AA170" s="3">
        <v>0</v>
      </c>
      <c r="AB170" s="3">
        <v>0</v>
      </c>
      <c r="AC170" s="3">
        <v>0</v>
      </c>
      <c r="AD170" s="3">
        <v>1</v>
      </c>
      <c r="AE170" s="3"/>
    </row>
    <row r="171" spans="1:31" ht="16" customHeight="1" x14ac:dyDescent="0.2">
      <c r="A171" s="2" t="s">
        <v>428</v>
      </c>
      <c r="B171" s="3" t="s">
        <v>448</v>
      </c>
      <c r="C171" s="3" t="s">
        <v>346</v>
      </c>
      <c r="D171" s="3">
        <v>77</v>
      </c>
      <c r="E171" s="3" t="s">
        <v>215</v>
      </c>
      <c r="F171" s="3">
        <v>7031</v>
      </c>
      <c r="G171" s="3">
        <v>1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1</v>
      </c>
      <c r="S171" s="3">
        <v>0</v>
      </c>
      <c r="T171" s="3">
        <v>0</v>
      </c>
      <c r="U171" s="3">
        <v>0</v>
      </c>
      <c r="V171" s="3">
        <v>2</v>
      </c>
      <c r="W171" s="3" t="s">
        <v>341</v>
      </c>
      <c r="X171" s="3" t="s">
        <v>350</v>
      </c>
      <c r="Y171" s="3" t="s">
        <v>343</v>
      </c>
      <c r="Z171" s="3">
        <v>0</v>
      </c>
      <c r="AA171" s="3">
        <v>0</v>
      </c>
      <c r="AB171" s="3">
        <v>0</v>
      </c>
      <c r="AC171" s="3">
        <v>1</v>
      </c>
      <c r="AD171" s="3">
        <v>0</v>
      </c>
    </row>
    <row r="172" spans="1:31" ht="16" customHeight="1" x14ac:dyDescent="0.2">
      <c r="A172" s="2" t="s">
        <v>458</v>
      </c>
      <c r="B172" s="3" t="s">
        <v>453</v>
      </c>
      <c r="C172" s="3" t="s">
        <v>457</v>
      </c>
      <c r="D172" s="3">
        <v>77</v>
      </c>
      <c r="E172" s="3" t="s">
        <v>216</v>
      </c>
      <c r="F172" s="3">
        <v>1468</v>
      </c>
      <c r="G172" s="3">
        <v>0</v>
      </c>
      <c r="H172" s="3">
        <v>1</v>
      </c>
      <c r="I172" s="3">
        <v>46</v>
      </c>
      <c r="J172" s="3">
        <v>4</v>
      </c>
      <c r="K172" s="3">
        <v>6</v>
      </c>
      <c r="L172" s="3">
        <v>14</v>
      </c>
      <c r="M172" s="3">
        <v>16</v>
      </c>
      <c r="N172" s="3">
        <v>24</v>
      </c>
      <c r="O172" s="3">
        <v>26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 t="s">
        <v>350</v>
      </c>
      <c r="X172" s="3" t="s">
        <v>350</v>
      </c>
      <c r="Y172" s="3" t="s">
        <v>348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/>
    </row>
    <row r="173" spans="1:31" ht="16" customHeight="1" x14ac:dyDescent="0.2">
      <c r="A173" s="2" t="s">
        <v>494</v>
      </c>
      <c r="B173" s="3" t="s">
        <v>492</v>
      </c>
      <c r="C173" s="3" t="s">
        <v>346</v>
      </c>
      <c r="D173" s="3">
        <v>77</v>
      </c>
      <c r="E173" s="3" t="s">
        <v>217</v>
      </c>
      <c r="F173" s="3">
        <v>6300</v>
      </c>
      <c r="G173" s="3">
        <v>1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 t="s">
        <v>350</v>
      </c>
      <c r="X173" s="3" t="s">
        <v>347</v>
      </c>
      <c r="Y173" s="3" t="s">
        <v>343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E173" s="3"/>
    </row>
    <row r="174" spans="1:31" ht="16" customHeight="1" x14ac:dyDescent="0.2">
      <c r="A174" s="2" t="s">
        <v>547</v>
      </c>
      <c r="B174" s="3" t="s">
        <v>376</v>
      </c>
      <c r="C174" s="3" t="s">
        <v>346</v>
      </c>
      <c r="D174" s="3">
        <v>77</v>
      </c>
      <c r="E174" s="3" t="s">
        <v>31</v>
      </c>
      <c r="F174" s="3">
        <v>6648</v>
      </c>
      <c r="G174" s="3">
        <v>1</v>
      </c>
      <c r="H174" s="3">
        <v>1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1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 t="s">
        <v>350</v>
      </c>
      <c r="X174" s="3" t="s">
        <v>350</v>
      </c>
      <c r="Y174" s="3" t="s">
        <v>348</v>
      </c>
      <c r="Z174" s="3">
        <v>1</v>
      </c>
      <c r="AA174" s="3">
        <v>0</v>
      </c>
      <c r="AB174" s="3">
        <v>0</v>
      </c>
      <c r="AC174" s="3">
        <v>1</v>
      </c>
      <c r="AD174" s="3">
        <v>0</v>
      </c>
      <c r="AE174" s="3"/>
    </row>
    <row r="175" spans="1:31" ht="16" customHeight="1" x14ac:dyDescent="0.2">
      <c r="A175" s="2" t="s">
        <v>429</v>
      </c>
      <c r="B175" s="3" t="s">
        <v>448</v>
      </c>
      <c r="C175" s="3" t="s">
        <v>346</v>
      </c>
      <c r="D175" s="3">
        <v>78</v>
      </c>
      <c r="E175" s="3" t="s">
        <v>215</v>
      </c>
      <c r="F175" s="3">
        <v>810</v>
      </c>
      <c r="G175" s="3">
        <v>1</v>
      </c>
      <c r="H175" s="3">
        <v>1</v>
      </c>
      <c r="I175" s="3">
        <v>2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3</v>
      </c>
      <c r="Q175" s="3">
        <v>0</v>
      </c>
      <c r="R175" s="3">
        <v>0</v>
      </c>
      <c r="S175" s="3">
        <v>1</v>
      </c>
      <c r="T175" s="3">
        <v>0</v>
      </c>
      <c r="U175" s="3">
        <v>5</v>
      </c>
      <c r="V175" s="3">
        <v>1</v>
      </c>
      <c r="W175" s="3" t="s">
        <v>341</v>
      </c>
      <c r="X175" s="3" t="s">
        <v>347</v>
      </c>
      <c r="Y175" s="3" t="s">
        <v>348</v>
      </c>
      <c r="Z175" s="3">
        <v>1</v>
      </c>
      <c r="AA175" s="3">
        <v>0</v>
      </c>
      <c r="AB175" s="3">
        <v>0</v>
      </c>
      <c r="AC175" s="3">
        <v>0</v>
      </c>
      <c r="AD175" s="3">
        <v>1</v>
      </c>
    </row>
    <row r="176" spans="1:31" ht="16" customHeight="1" x14ac:dyDescent="0.2">
      <c r="A176" s="2" t="s">
        <v>459</v>
      </c>
      <c r="B176" s="3" t="s">
        <v>453</v>
      </c>
      <c r="C176" s="3" t="s">
        <v>460</v>
      </c>
      <c r="D176" s="3">
        <v>78</v>
      </c>
      <c r="E176" s="3" t="s">
        <v>216</v>
      </c>
      <c r="F176" s="3">
        <v>358</v>
      </c>
      <c r="G176" s="3">
        <v>0</v>
      </c>
      <c r="H176" s="3">
        <v>1</v>
      </c>
      <c r="I176" s="3">
        <v>3</v>
      </c>
      <c r="J176" s="3">
        <v>3</v>
      </c>
      <c r="K176" s="3">
        <v>2</v>
      </c>
      <c r="L176" s="3">
        <v>3</v>
      </c>
      <c r="M176" s="3">
        <v>3</v>
      </c>
      <c r="N176" s="3">
        <v>2</v>
      </c>
      <c r="O176" s="3">
        <v>3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 t="s">
        <v>350</v>
      </c>
      <c r="X176" s="3" t="s">
        <v>350</v>
      </c>
      <c r="Y176" s="3" t="s">
        <v>348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/>
    </row>
    <row r="177" spans="1:31" ht="16" customHeight="1" x14ac:dyDescent="0.2">
      <c r="A177" s="2" t="s">
        <v>367</v>
      </c>
      <c r="B177" s="3" t="s">
        <v>345</v>
      </c>
      <c r="C177" s="3" t="s">
        <v>340</v>
      </c>
      <c r="D177" s="3">
        <v>78</v>
      </c>
      <c r="E177" s="3" t="s">
        <v>217</v>
      </c>
      <c r="F177" s="3">
        <v>1405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1</v>
      </c>
      <c r="P177" s="3">
        <v>3</v>
      </c>
      <c r="Q177" s="3">
        <v>0</v>
      </c>
      <c r="R177" s="3">
        <v>1</v>
      </c>
      <c r="S177" s="3">
        <v>0</v>
      </c>
      <c r="T177" s="3">
        <v>0</v>
      </c>
      <c r="U177" s="3">
        <v>0</v>
      </c>
      <c r="V177" s="3">
        <v>0</v>
      </c>
      <c r="W177" s="3" t="s">
        <v>341</v>
      </c>
      <c r="X177" s="3" t="s">
        <v>342</v>
      </c>
      <c r="Y177" s="3" t="s">
        <v>348</v>
      </c>
      <c r="Z177" s="3">
        <v>1</v>
      </c>
      <c r="AA177" s="3">
        <v>0</v>
      </c>
      <c r="AB177" s="3">
        <v>1</v>
      </c>
      <c r="AC177" s="3">
        <v>0</v>
      </c>
      <c r="AD177" s="3">
        <v>0</v>
      </c>
      <c r="AE177" s="3"/>
    </row>
    <row r="178" spans="1:31" ht="16" customHeight="1" x14ac:dyDescent="0.2">
      <c r="A178" s="2" t="s">
        <v>367</v>
      </c>
      <c r="B178" s="3" t="s">
        <v>492</v>
      </c>
      <c r="C178" s="3" t="s">
        <v>346</v>
      </c>
      <c r="D178" s="3">
        <v>78</v>
      </c>
      <c r="E178" s="3" t="s">
        <v>217</v>
      </c>
      <c r="F178" s="3">
        <v>4458</v>
      </c>
      <c r="G178" s="3">
        <v>1</v>
      </c>
      <c r="H178" s="3">
        <v>1</v>
      </c>
      <c r="I178" s="3">
        <v>1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4</v>
      </c>
      <c r="Q178" s="3">
        <v>5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 t="s">
        <v>341</v>
      </c>
      <c r="X178" s="3" t="s">
        <v>350</v>
      </c>
      <c r="Y178" s="3" t="s">
        <v>348</v>
      </c>
      <c r="Z178" s="3">
        <v>1</v>
      </c>
      <c r="AA178" s="3">
        <v>1</v>
      </c>
      <c r="AB178" s="3">
        <v>1</v>
      </c>
      <c r="AC178" s="3">
        <v>0</v>
      </c>
      <c r="AD178" s="3">
        <v>0</v>
      </c>
      <c r="AE178" s="3"/>
    </row>
    <row r="179" spans="1:31" ht="16" customHeight="1" x14ac:dyDescent="0.2">
      <c r="A179" s="2" t="s">
        <v>548</v>
      </c>
      <c r="B179" s="3" t="s">
        <v>376</v>
      </c>
      <c r="C179" s="3" t="s">
        <v>346</v>
      </c>
      <c r="D179" s="3">
        <v>78</v>
      </c>
      <c r="E179" s="3" t="s">
        <v>31</v>
      </c>
      <c r="F179" s="3">
        <v>7030</v>
      </c>
      <c r="G179" s="3">
        <v>1</v>
      </c>
      <c r="H179" s="3">
        <v>1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 t="s">
        <v>350</v>
      </c>
      <c r="X179" s="3" t="s">
        <v>347</v>
      </c>
      <c r="Y179" s="3" t="s">
        <v>343</v>
      </c>
      <c r="Z179" s="3">
        <v>1</v>
      </c>
      <c r="AA179" s="3">
        <v>0</v>
      </c>
      <c r="AB179" s="3">
        <v>0</v>
      </c>
      <c r="AC179" s="3">
        <v>0</v>
      </c>
      <c r="AD179" s="3">
        <v>0</v>
      </c>
      <c r="AE179" s="3"/>
    </row>
    <row r="180" spans="1:31" ht="16" customHeight="1" x14ac:dyDescent="0.2">
      <c r="A180" s="2" t="s">
        <v>430</v>
      </c>
      <c r="B180" s="3" t="s">
        <v>448</v>
      </c>
      <c r="C180" s="3" t="s">
        <v>346</v>
      </c>
      <c r="D180" s="3">
        <v>79</v>
      </c>
      <c r="E180" s="3" t="s">
        <v>215</v>
      </c>
      <c r="F180" s="3">
        <v>191</v>
      </c>
      <c r="G180" s="3">
        <v>1</v>
      </c>
      <c r="H180" s="3">
        <v>1</v>
      </c>
      <c r="I180" s="3">
        <v>3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9</v>
      </c>
      <c r="Q180" s="3">
        <v>3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 t="s">
        <v>341</v>
      </c>
      <c r="X180" s="3" t="s">
        <v>342</v>
      </c>
      <c r="Y180" s="3" t="s">
        <v>348</v>
      </c>
      <c r="Z180" s="3">
        <v>1</v>
      </c>
      <c r="AA180" s="3">
        <v>0</v>
      </c>
      <c r="AB180" s="3">
        <v>1</v>
      </c>
      <c r="AC180" s="3">
        <v>0</v>
      </c>
      <c r="AD180" s="3">
        <v>1</v>
      </c>
    </row>
    <row r="181" spans="1:31" ht="16" customHeight="1" x14ac:dyDescent="0.2">
      <c r="A181" s="2" t="s">
        <v>461</v>
      </c>
      <c r="B181" s="3" t="s">
        <v>453</v>
      </c>
      <c r="C181" s="3" t="s">
        <v>460</v>
      </c>
      <c r="D181" s="3">
        <v>79</v>
      </c>
      <c r="E181" s="3" t="s">
        <v>216</v>
      </c>
      <c r="F181" s="3">
        <v>7759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1</v>
      </c>
      <c r="Q181" s="3">
        <v>3</v>
      </c>
      <c r="R181" s="3">
        <v>0</v>
      </c>
      <c r="S181" s="3">
        <v>0</v>
      </c>
      <c r="T181" s="3">
        <v>3</v>
      </c>
      <c r="U181" s="3">
        <v>0</v>
      </c>
      <c r="V181" s="3">
        <v>0</v>
      </c>
      <c r="W181" s="3" t="s">
        <v>350</v>
      </c>
      <c r="X181" s="3" t="s">
        <v>350</v>
      </c>
      <c r="Y181" s="3" t="s">
        <v>348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3"/>
    </row>
    <row r="182" spans="1:31" ht="16" customHeight="1" x14ac:dyDescent="0.2">
      <c r="A182" s="2" t="s">
        <v>495</v>
      </c>
      <c r="B182" s="3" t="s">
        <v>492</v>
      </c>
      <c r="C182" s="3" t="s">
        <v>346</v>
      </c>
      <c r="D182" s="3">
        <v>79</v>
      </c>
      <c r="E182" s="3" t="s">
        <v>217</v>
      </c>
      <c r="F182" s="3">
        <v>1880</v>
      </c>
      <c r="G182" s="3">
        <v>1</v>
      </c>
      <c r="H182" s="3">
        <v>1</v>
      </c>
      <c r="I182" s="3">
        <v>3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4</v>
      </c>
      <c r="Q182" s="3">
        <v>2</v>
      </c>
      <c r="R182" s="3">
        <v>3</v>
      </c>
      <c r="S182" s="3">
        <v>0</v>
      </c>
      <c r="T182" s="3">
        <v>1</v>
      </c>
      <c r="U182" s="3">
        <v>0</v>
      </c>
      <c r="V182" s="3">
        <v>0</v>
      </c>
      <c r="W182" s="3" t="s">
        <v>341</v>
      </c>
      <c r="X182" s="3" t="s">
        <v>347</v>
      </c>
      <c r="Y182" s="3" t="s">
        <v>348</v>
      </c>
      <c r="Z182" s="3">
        <v>1</v>
      </c>
      <c r="AA182" s="3">
        <v>0</v>
      </c>
      <c r="AB182" s="3">
        <v>1</v>
      </c>
      <c r="AC182" s="3">
        <v>0</v>
      </c>
      <c r="AD182" s="3">
        <v>0</v>
      </c>
      <c r="AE182" s="3"/>
    </row>
    <row r="183" spans="1:31" ht="16" customHeight="1" x14ac:dyDescent="0.2">
      <c r="A183" s="2" t="s">
        <v>549</v>
      </c>
      <c r="B183" s="3" t="s">
        <v>376</v>
      </c>
      <c r="C183" s="3" t="s">
        <v>346</v>
      </c>
      <c r="D183" s="3">
        <v>79</v>
      </c>
      <c r="E183" s="3" t="s">
        <v>31</v>
      </c>
      <c r="F183" s="3">
        <v>5528</v>
      </c>
      <c r="G183" s="3">
        <v>1</v>
      </c>
      <c r="H183" s="3">
        <v>1</v>
      </c>
      <c r="I183" s="3">
        <v>1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7</v>
      </c>
      <c r="Q183" s="3">
        <v>1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 t="s">
        <v>341</v>
      </c>
      <c r="X183" s="3" t="s">
        <v>347</v>
      </c>
      <c r="Y183" s="3" t="s">
        <v>343</v>
      </c>
      <c r="Z183" s="3">
        <v>1</v>
      </c>
      <c r="AA183" s="3">
        <v>0</v>
      </c>
      <c r="AB183" s="3">
        <v>1</v>
      </c>
      <c r="AC183" s="3">
        <v>0</v>
      </c>
      <c r="AD183" s="3">
        <v>1</v>
      </c>
      <c r="AE183" s="3"/>
    </row>
    <row r="184" spans="1:31" ht="16" customHeight="1" x14ac:dyDescent="0.2">
      <c r="A184" s="2" t="s">
        <v>431</v>
      </c>
      <c r="B184" s="3" t="s">
        <v>448</v>
      </c>
      <c r="C184" s="3" t="s">
        <v>346</v>
      </c>
      <c r="D184" s="3">
        <v>80</v>
      </c>
      <c r="E184" s="3" t="s">
        <v>215</v>
      </c>
      <c r="F184" s="3">
        <v>9468</v>
      </c>
      <c r="G184" s="3">
        <v>1</v>
      </c>
      <c r="H184" s="3">
        <v>1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 t="s">
        <v>350</v>
      </c>
      <c r="X184" s="3" t="s">
        <v>347</v>
      </c>
      <c r="Y184" s="3" t="s">
        <v>348</v>
      </c>
      <c r="Z184" s="3">
        <v>0</v>
      </c>
      <c r="AA184" s="3">
        <v>0</v>
      </c>
      <c r="AB184" s="3">
        <v>0</v>
      </c>
      <c r="AC184" s="3">
        <v>0</v>
      </c>
      <c r="AD184" s="3">
        <v>0</v>
      </c>
    </row>
    <row r="185" spans="1:31" ht="16" customHeight="1" x14ac:dyDescent="0.2">
      <c r="A185" s="2" t="s">
        <v>462</v>
      </c>
      <c r="B185" s="3" t="s">
        <v>453</v>
      </c>
      <c r="C185" s="3" t="s">
        <v>463</v>
      </c>
      <c r="D185" s="3">
        <v>80</v>
      </c>
      <c r="E185" s="3" t="s">
        <v>216</v>
      </c>
      <c r="F185" s="3">
        <v>3550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 t="s">
        <v>350</v>
      </c>
      <c r="X185" s="3" t="s">
        <v>350</v>
      </c>
      <c r="Y185" s="3" t="s">
        <v>348</v>
      </c>
      <c r="Z185" s="3">
        <v>0</v>
      </c>
      <c r="AA185" s="3">
        <v>0</v>
      </c>
      <c r="AB185" s="3">
        <v>0</v>
      </c>
      <c r="AC185" s="3">
        <v>0</v>
      </c>
      <c r="AD185" s="3">
        <v>0</v>
      </c>
      <c r="AE185" s="3"/>
    </row>
    <row r="186" spans="1:31" ht="16" customHeight="1" x14ac:dyDescent="0.2">
      <c r="A186" s="2" t="s">
        <v>496</v>
      </c>
      <c r="B186" s="3" t="s">
        <v>492</v>
      </c>
      <c r="C186" s="3" t="s">
        <v>346</v>
      </c>
      <c r="D186" s="3">
        <v>80</v>
      </c>
      <c r="E186" s="3" t="s">
        <v>217</v>
      </c>
      <c r="F186" s="3">
        <v>4122</v>
      </c>
      <c r="G186" s="3">
        <v>1</v>
      </c>
      <c r="H186" s="3">
        <v>1</v>
      </c>
      <c r="I186" s="3">
        <v>2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6</v>
      </c>
      <c r="Q186" s="3">
        <v>0</v>
      </c>
      <c r="R186" s="3">
        <v>0</v>
      </c>
      <c r="S186" s="3">
        <v>0</v>
      </c>
      <c r="T186" s="3">
        <v>0</v>
      </c>
      <c r="U186" s="3">
        <v>4</v>
      </c>
      <c r="V186" s="3">
        <v>1</v>
      </c>
      <c r="W186" s="3" t="s">
        <v>341</v>
      </c>
      <c r="X186" s="3" t="s">
        <v>342</v>
      </c>
      <c r="Y186" s="3" t="s">
        <v>348</v>
      </c>
      <c r="Z186" s="3">
        <v>1</v>
      </c>
      <c r="AA186" s="3">
        <v>0</v>
      </c>
      <c r="AB186" s="3">
        <v>1</v>
      </c>
      <c r="AC186" s="3">
        <v>0</v>
      </c>
      <c r="AD186" s="3">
        <v>0</v>
      </c>
      <c r="AE186" s="3"/>
    </row>
    <row r="187" spans="1:31" ht="16" customHeight="1" x14ac:dyDescent="0.2">
      <c r="A187" s="2" t="s">
        <v>550</v>
      </c>
      <c r="B187" s="3" t="s">
        <v>376</v>
      </c>
      <c r="C187" s="3" t="s">
        <v>346</v>
      </c>
      <c r="D187" s="3">
        <v>80</v>
      </c>
      <c r="E187" s="3" t="s">
        <v>31</v>
      </c>
      <c r="F187" s="3">
        <v>870</v>
      </c>
      <c r="G187" s="3">
        <v>1</v>
      </c>
      <c r="H187" s="3">
        <v>1</v>
      </c>
      <c r="I187" s="3">
        <v>3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4</v>
      </c>
      <c r="Q187" s="3">
        <v>2</v>
      </c>
      <c r="R187" s="3">
        <v>0</v>
      </c>
      <c r="S187" s="3">
        <v>0</v>
      </c>
      <c r="T187" s="3">
        <v>0</v>
      </c>
      <c r="U187" s="3">
        <v>0</v>
      </c>
      <c r="V187" s="3">
        <v>2</v>
      </c>
      <c r="W187" s="3" t="s">
        <v>341</v>
      </c>
      <c r="X187" s="3" t="s">
        <v>342</v>
      </c>
      <c r="Y187" s="3" t="s">
        <v>343</v>
      </c>
      <c r="Z187" s="3">
        <v>1</v>
      </c>
      <c r="AA187" s="3">
        <v>0</v>
      </c>
      <c r="AB187" s="3">
        <v>1</v>
      </c>
      <c r="AC187" s="3">
        <v>0</v>
      </c>
      <c r="AD187" s="3">
        <v>1</v>
      </c>
      <c r="AE187" s="3"/>
    </row>
    <row r="188" spans="1:31" ht="16" customHeight="1" x14ac:dyDescent="0.2">
      <c r="A188" s="2" t="s">
        <v>432</v>
      </c>
      <c r="B188" s="3" t="s">
        <v>448</v>
      </c>
      <c r="C188" s="3" t="s">
        <v>346</v>
      </c>
      <c r="D188" s="3">
        <v>81</v>
      </c>
      <c r="E188" s="3" t="s">
        <v>215</v>
      </c>
      <c r="F188" s="3">
        <v>3950</v>
      </c>
      <c r="G188" s="3">
        <v>1</v>
      </c>
      <c r="H188" s="3">
        <v>1</v>
      </c>
      <c r="I188" s="3">
        <v>2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1</v>
      </c>
      <c r="P188" s="3">
        <v>8</v>
      </c>
      <c r="Q188" s="3">
        <v>0</v>
      </c>
      <c r="R188" s="3">
        <v>1</v>
      </c>
      <c r="S188" s="3">
        <v>0</v>
      </c>
      <c r="T188" s="3">
        <v>0</v>
      </c>
      <c r="U188" s="3">
        <v>0</v>
      </c>
      <c r="V188" s="3">
        <v>4</v>
      </c>
      <c r="W188" s="3" t="s">
        <v>341</v>
      </c>
      <c r="X188" s="3" t="s">
        <v>347</v>
      </c>
      <c r="Y188" s="3" t="s">
        <v>343</v>
      </c>
      <c r="Z188" s="3">
        <v>1</v>
      </c>
      <c r="AA188" s="3">
        <v>0</v>
      </c>
      <c r="AB188" s="3">
        <v>0</v>
      </c>
      <c r="AC188" s="3">
        <v>0</v>
      </c>
      <c r="AD188" s="3">
        <v>0</v>
      </c>
    </row>
    <row r="189" spans="1:31" ht="16" customHeight="1" x14ac:dyDescent="0.2">
      <c r="A189" s="2" t="s">
        <v>464</v>
      </c>
      <c r="B189" s="3" t="s">
        <v>453</v>
      </c>
      <c r="C189" s="3" t="s">
        <v>463</v>
      </c>
      <c r="D189" s="3">
        <v>81</v>
      </c>
      <c r="E189" s="3" t="s">
        <v>216</v>
      </c>
      <c r="F189" s="3">
        <v>639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3</v>
      </c>
      <c r="Q189" s="3">
        <v>2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 t="s">
        <v>350</v>
      </c>
      <c r="X189" s="3" t="s">
        <v>350</v>
      </c>
      <c r="Y189" s="3" t="s">
        <v>348</v>
      </c>
      <c r="Z189" s="3">
        <v>0</v>
      </c>
      <c r="AA189" s="3">
        <v>0</v>
      </c>
      <c r="AB189" s="3">
        <v>0</v>
      </c>
      <c r="AC189" s="3">
        <v>0</v>
      </c>
      <c r="AD189" s="3">
        <v>0</v>
      </c>
      <c r="AE189" s="3"/>
    </row>
    <row r="190" spans="1:31" ht="16" customHeight="1" x14ac:dyDescent="0.2">
      <c r="A190" s="2" t="s">
        <v>497</v>
      </c>
      <c r="B190" s="3" t="s">
        <v>492</v>
      </c>
      <c r="C190" s="3" t="s">
        <v>346</v>
      </c>
      <c r="D190" s="3">
        <v>81</v>
      </c>
      <c r="E190" s="3" t="s">
        <v>217</v>
      </c>
      <c r="F190" s="3">
        <v>229</v>
      </c>
      <c r="G190" s="3">
        <v>1</v>
      </c>
      <c r="H190" s="3">
        <v>1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 t="s">
        <v>350</v>
      </c>
      <c r="X190" s="3" t="s">
        <v>347</v>
      </c>
      <c r="Y190" s="3" t="s">
        <v>348</v>
      </c>
      <c r="Z190" s="3">
        <v>1</v>
      </c>
      <c r="AA190" s="3">
        <v>0</v>
      </c>
      <c r="AB190" s="3">
        <v>0</v>
      </c>
      <c r="AC190" s="3">
        <v>0</v>
      </c>
      <c r="AD190" s="3">
        <v>0</v>
      </c>
      <c r="AE190" s="3"/>
    </row>
    <row r="191" spans="1:31" ht="16" customHeight="1" x14ac:dyDescent="0.2">
      <c r="A191" s="2" t="s">
        <v>551</v>
      </c>
      <c r="B191" s="3" t="s">
        <v>376</v>
      </c>
      <c r="C191" s="3" t="s">
        <v>346</v>
      </c>
      <c r="D191" s="3">
        <v>81</v>
      </c>
      <c r="E191" s="3" t="s">
        <v>31</v>
      </c>
      <c r="F191" s="3">
        <v>1796</v>
      </c>
      <c r="G191" s="3">
        <v>1</v>
      </c>
      <c r="H191" s="3">
        <v>1</v>
      </c>
      <c r="I191" s="3">
        <v>3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1</v>
      </c>
      <c r="P191" s="3">
        <v>1</v>
      </c>
      <c r="Q191" s="3">
        <v>5</v>
      </c>
      <c r="R191" s="3">
        <v>3</v>
      </c>
      <c r="S191" s="3">
        <v>1</v>
      </c>
      <c r="T191" s="3">
        <v>4</v>
      </c>
      <c r="U191" s="3">
        <v>0</v>
      </c>
      <c r="V191" s="3">
        <v>1</v>
      </c>
      <c r="W191" s="3" t="s">
        <v>341</v>
      </c>
      <c r="X191" s="3" t="s">
        <v>342</v>
      </c>
      <c r="Y191" s="3" t="s">
        <v>348</v>
      </c>
      <c r="Z191" s="3">
        <v>1</v>
      </c>
      <c r="AA191" s="3">
        <v>1</v>
      </c>
      <c r="AB191" s="3">
        <v>1</v>
      </c>
      <c r="AC191" s="3">
        <v>0</v>
      </c>
      <c r="AD191" s="3">
        <v>1</v>
      </c>
      <c r="AE191" s="3"/>
    </row>
    <row r="192" spans="1:31" ht="16" customHeight="1" x14ac:dyDescent="0.2">
      <c r="A192" s="2" t="s">
        <v>433</v>
      </c>
      <c r="B192" s="3" t="s">
        <v>448</v>
      </c>
      <c r="C192" s="3" t="s">
        <v>346</v>
      </c>
      <c r="D192" s="3">
        <v>82</v>
      </c>
      <c r="E192" s="3" t="s">
        <v>215</v>
      </c>
      <c r="F192" s="3">
        <v>2875</v>
      </c>
      <c r="G192" s="3">
        <v>1</v>
      </c>
      <c r="H192" s="3">
        <v>1</v>
      </c>
      <c r="I192" s="3">
        <v>2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3</v>
      </c>
      <c r="Q192" s="3">
        <v>3</v>
      </c>
      <c r="R192" s="3">
        <v>2</v>
      </c>
      <c r="S192" s="3">
        <v>0</v>
      </c>
      <c r="T192" s="3">
        <v>2</v>
      </c>
      <c r="U192" s="3">
        <v>0</v>
      </c>
      <c r="V192" s="3">
        <v>3</v>
      </c>
      <c r="W192" s="3" t="s">
        <v>341</v>
      </c>
      <c r="X192" s="3" t="s">
        <v>347</v>
      </c>
      <c r="Y192" s="3" t="s">
        <v>348</v>
      </c>
      <c r="Z192" s="3">
        <v>1</v>
      </c>
      <c r="AA192" s="3">
        <v>1</v>
      </c>
      <c r="AB192" s="3">
        <v>1</v>
      </c>
      <c r="AC192" s="3">
        <v>0</v>
      </c>
      <c r="AD192" s="3">
        <v>1</v>
      </c>
    </row>
    <row r="193" spans="1:31" ht="16" customHeight="1" x14ac:dyDescent="0.2">
      <c r="A193" s="2" t="s">
        <v>465</v>
      </c>
      <c r="B193" s="3" t="s">
        <v>453</v>
      </c>
      <c r="C193" s="3" t="s">
        <v>463</v>
      </c>
      <c r="D193" s="3">
        <v>82</v>
      </c>
      <c r="E193" s="3" t="s">
        <v>216</v>
      </c>
      <c r="F193" s="3">
        <v>2791</v>
      </c>
      <c r="G193" s="3">
        <v>0</v>
      </c>
      <c r="H193" s="3">
        <v>1</v>
      </c>
      <c r="I193" s="3">
        <v>1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 t="s">
        <v>350</v>
      </c>
      <c r="X193" s="3" t="s">
        <v>350</v>
      </c>
      <c r="Y193" s="3" t="s">
        <v>343</v>
      </c>
      <c r="Z193" s="3">
        <v>0</v>
      </c>
      <c r="AA193" s="3">
        <v>0</v>
      </c>
      <c r="AB193" s="3">
        <v>0</v>
      </c>
      <c r="AC193" s="3">
        <v>0</v>
      </c>
      <c r="AD193" s="3">
        <v>0</v>
      </c>
      <c r="AE193" s="3"/>
    </row>
    <row r="194" spans="1:31" ht="16" customHeight="1" x14ac:dyDescent="0.2">
      <c r="A194" s="2" t="s">
        <v>498</v>
      </c>
      <c r="B194" s="3" t="s">
        <v>492</v>
      </c>
      <c r="C194" s="3" t="s">
        <v>346</v>
      </c>
      <c r="D194" s="3">
        <v>82</v>
      </c>
      <c r="E194" s="3" t="s">
        <v>217</v>
      </c>
      <c r="F194" s="3">
        <v>3173</v>
      </c>
      <c r="G194" s="3">
        <v>1</v>
      </c>
      <c r="H194" s="3">
        <v>1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1</v>
      </c>
      <c r="P194" s="3">
        <v>2</v>
      </c>
      <c r="Q194" s="3">
        <v>2</v>
      </c>
      <c r="R194" s="3">
        <v>3</v>
      </c>
      <c r="S194" s="3">
        <v>2</v>
      </c>
      <c r="T194" s="3">
        <v>1</v>
      </c>
      <c r="U194" s="3">
        <v>2</v>
      </c>
      <c r="V194" s="3">
        <v>3</v>
      </c>
      <c r="W194" s="3" t="s">
        <v>341</v>
      </c>
      <c r="X194" s="3" t="s">
        <v>342</v>
      </c>
      <c r="Y194" s="3" t="s">
        <v>348</v>
      </c>
      <c r="Z194" s="3">
        <v>1</v>
      </c>
      <c r="AA194" s="3">
        <v>1</v>
      </c>
      <c r="AB194" s="3">
        <v>1</v>
      </c>
      <c r="AC194" s="3">
        <v>0</v>
      </c>
      <c r="AD194" s="3">
        <v>0</v>
      </c>
      <c r="AE194" s="3"/>
    </row>
    <row r="195" spans="1:31" ht="16" customHeight="1" x14ac:dyDescent="0.2">
      <c r="A195" s="2" t="s">
        <v>552</v>
      </c>
      <c r="B195" s="3" t="s">
        <v>376</v>
      </c>
      <c r="C195" s="3" t="s">
        <v>346</v>
      </c>
      <c r="D195" s="3">
        <v>82</v>
      </c>
      <c r="E195" s="3" t="s">
        <v>31</v>
      </c>
      <c r="F195" s="3">
        <v>7718</v>
      </c>
      <c r="G195" s="3">
        <v>1</v>
      </c>
      <c r="H195" s="3">
        <v>1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1</v>
      </c>
      <c r="Q195" s="3">
        <v>0</v>
      </c>
      <c r="R195" s="3">
        <v>2</v>
      </c>
      <c r="S195" s="3">
        <v>0</v>
      </c>
      <c r="T195" s="3">
        <v>0</v>
      </c>
      <c r="U195" s="3">
        <v>0</v>
      </c>
      <c r="V195" s="3">
        <v>3</v>
      </c>
      <c r="W195" s="3" t="s">
        <v>341</v>
      </c>
      <c r="X195" s="3" t="s">
        <v>347</v>
      </c>
      <c r="Y195" s="3" t="s">
        <v>343</v>
      </c>
      <c r="Z195" s="3">
        <v>1</v>
      </c>
      <c r="AA195" s="3">
        <v>0</v>
      </c>
      <c r="AB195" s="3">
        <v>1</v>
      </c>
      <c r="AC195" s="3">
        <v>0</v>
      </c>
      <c r="AD195" s="3">
        <v>0</v>
      </c>
      <c r="AE195" s="3"/>
    </row>
    <row r="196" spans="1:31" ht="16" customHeight="1" x14ac:dyDescent="0.2">
      <c r="A196" s="2" t="s">
        <v>434</v>
      </c>
      <c r="B196" s="3" t="s">
        <v>448</v>
      </c>
      <c r="C196" s="3" t="s">
        <v>346</v>
      </c>
      <c r="D196" s="3">
        <v>83</v>
      </c>
      <c r="E196" s="3" t="s">
        <v>215</v>
      </c>
      <c r="F196" s="3">
        <v>20</v>
      </c>
      <c r="G196" s="3">
        <v>1</v>
      </c>
      <c r="H196" s="3">
        <v>1</v>
      </c>
      <c r="I196" s="3">
        <v>2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4</v>
      </c>
      <c r="Q196" s="3">
        <v>4</v>
      </c>
      <c r="R196" s="3">
        <v>1</v>
      </c>
      <c r="S196" s="3">
        <v>0</v>
      </c>
      <c r="T196" s="3">
        <v>2</v>
      </c>
      <c r="U196" s="3">
        <v>0</v>
      </c>
      <c r="V196" s="3">
        <v>1</v>
      </c>
      <c r="W196" s="3" t="s">
        <v>341</v>
      </c>
      <c r="X196" s="3" t="s">
        <v>342</v>
      </c>
      <c r="Y196" s="3" t="s">
        <v>343</v>
      </c>
      <c r="Z196" s="3">
        <v>1</v>
      </c>
      <c r="AA196" s="3">
        <v>1</v>
      </c>
      <c r="AB196" s="3">
        <v>1</v>
      </c>
      <c r="AC196" s="3">
        <v>0</v>
      </c>
      <c r="AD196" s="3">
        <v>1</v>
      </c>
    </row>
    <row r="197" spans="1:31" ht="16" customHeight="1" x14ac:dyDescent="0.2">
      <c r="A197" s="2" t="s">
        <v>466</v>
      </c>
      <c r="B197" s="3" t="s">
        <v>467</v>
      </c>
      <c r="C197" s="3" t="s">
        <v>468</v>
      </c>
      <c r="D197" s="3">
        <v>83</v>
      </c>
      <c r="E197" s="3" t="s">
        <v>216</v>
      </c>
      <c r="F197" s="3">
        <v>1126</v>
      </c>
      <c r="G197" s="3">
        <v>0</v>
      </c>
      <c r="H197" s="3">
        <v>1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 t="s">
        <v>350</v>
      </c>
      <c r="X197" s="3" t="s">
        <v>350</v>
      </c>
      <c r="Y197" s="3" t="s">
        <v>348</v>
      </c>
      <c r="Z197" s="3">
        <v>0</v>
      </c>
      <c r="AA197" s="3">
        <v>0</v>
      </c>
      <c r="AB197" s="3">
        <v>0</v>
      </c>
      <c r="AC197" s="3">
        <v>0</v>
      </c>
      <c r="AD197" s="3">
        <v>0</v>
      </c>
      <c r="AE197" s="3"/>
    </row>
    <row r="198" spans="1:31" ht="16" customHeight="1" x14ac:dyDescent="0.2">
      <c r="A198" s="2" t="s">
        <v>499</v>
      </c>
      <c r="B198" s="3" t="s">
        <v>492</v>
      </c>
      <c r="C198" s="3" t="s">
        <v>346</v>
      </c>
      <c r="D198" s="3">
        <v>83</v>
      </c>
      <c r="E198" s="3" t="s">
        <v>217</v>
      </c>
      <c r="F198" s="3">
        <v>5149</v>
      </c>
      <c r="G198" s="3">
        <v>1</v>
      </c>
      <c r="H198" s="3">
        <v>1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4</v>
      </c>
      <c r="S198" s="3">
        <v>0</v>
      </c>
      <c r="T198" s="3">
        <v>0</v>
      </c>
      <c r="U198" s="3">
        <v>0</v>
      </c>
      <c r="V198" s="3">
        <v>1</v>
      </c>
      <c r="W198" s="3" t="s">
        <v>341</v>
      </c>
      <c r="X198" s="3" t="s">
        <v>347</v>
      </c>
      <c r="Y198" s="3" t="s">
        <v>343</v>
      </c>
      <c r="Z198" s="3">
        <v>1</v>
      </c>
      <c r="AA198" s="3">
        <v>1</v>
      </c>
      <c r="AB198" s="3">
        <v>1</v>
      </c>
      <c r="AC198" s="3">
        <v>0</v>
      </c>
      <c r="AD198" s="3">
        <v>0</v>
      </c>
      <c r="AE198" s="3"/>
    </row>
    <row r="199" spans="1:31" ht="16" customHeight="1" x14ac:dyDescent="0.2">
      <c r="A199" s="2" t="s">
        <v>553</v>
      </c>
      <c r="B199" s="3" t="s">
        <v>376</v>
      </c>
      <c r="C199" s="3" t="s">
        <v>346</v>
      </c>
      <c r="D199" s="3">
        <v>83</v>
      </c>
      <c r="E199" s="3" t="s">
        <v>31</v>
      </c>
      <c r="F199" s="3">
        <v>6621</v>
      </c>
      <c r="G199" s="3">
        <v>1</v>
      </c>
      <c r="H199" s="3">
        <v>1</v>
      </c>
      <c r="I199" s="3">
        <v>1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1</v>
      </c>
      <c r="P199" s="3">
        <v>4</v>
      </c>
      <c r="Q199" s="3">
        <v>7</v>
      </c>
      <c r="R199" s="3">
        <v>6</v>
      </c>
      <c r="S199" s="3">
        <v>0</v>
      </c>
      <c r="T199" s="3">
        <v>0</v>
      </c>
      <c r="U199" s="3">
        <v>0</v>
      </c>
      <c r="V199" s="3">
        <v>0</v>
      </c>
      <c r="W199" s="3" t="s">
        <v>341</v>
      </c>
      <c r="X199" s="3" t="s">
        <v>342</v>
      </c>
      <c r="Y199" s="3" t="s">
        <v>348</v>
      </c>
      <c r="Z199" s="3">
        <v>1</v>
      </c>
      <c r="AA199" s="3">
        <v>1</v>
      </c>
      <c r="AB199" s="3">
        <v>1</v>
      </c>
      <c r="AC199" s="3">
        <v>0</v>
      </c>
      <c r="AD199" s="3">
        <v>1</v>
      </c>
      <c r="AE199" s="3"/>
    </row>
    <row r="200" spans="1:31" ht="16" customHeight="1" x14ac:dyDescent="0.2">
      <c r="A200" s="2" t="s">
        <v>435</v>
      </c>
      <c r="B200" s="3" t="s">
        <v>448</v>
      </c>
      <c r="C200" s="3" t="s">
        <v>346</v>
      </c>
      <c r="D200" s="3">
        <v>84</v>
      </c>
      <c r="E200" s="3" t="s">
        <v>215</v>
      </c>
      <c r="F200" s="3">
        <v>250</v>
      </c>
      <c r="G200" s="3">
        <v>1</v>
      </c>
      <c r="H200" s="3">
        <v>1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1</v>
      </c>
      <c r="R200" s="3">
        <v>0</v>
      </c>
      <c r="S200" s="3">
        <v>0</v>
      </c>
      <c r="T200" s="3">
        <v>1</v>
      </c>
      <c r="U200" s="3">
        <v>0</v>
      </c>
      <c r="V200" s="3">
        <v>3</v>
      </c>
      <c r="W200" s="3" t="s">
        <v>341</v>
      </c>
      <c r="X200" s="3" t="s">
        <v>342</v>
      </c>
      <c r="Y200" s="3" t="s">
        <v>343</v>
      </c>
      <c r="Z200" s="3">
        <v>1</v>
      </c>
      <c r="AA200" s="3">
        <v>0</v>
      </c>
      <c r="AB200" s="3">
        <v>1</v>
      </c>
      <c r="AC200" s="3">
        <v>0</v>
      </c>
      <c r="AD200" s="3">
        <v>0</v>
      </c>
    </row>
    <row r="201" spans="1:31" ht="16" customHeight="1" x14ac:dyDescent="0.2">
      <c r="A201" s="2" t="s">
        <v>469</v>
      </c>
      <c r="B201" s="3" t="s">
        <v>470</v>
      </c>
      <c r="D201" s="3">
        <v>84</v>
      </c>
      <c r="E201" s="3" t="s">
        <v>216</v>
      </c>
      <c r="F201" s="3">
        <v>5881</v>
      </c>
      <c r="G201" s="3">
        <v>0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 t="s">
        <v>350</v>
      </c>
      <c r="X201" s="3" t="s">
        <v>350</v>
      </c>
      <c r="Y201" s="3" t="s">
        <v>348</v>
      </c>
      <c r="Z201" s="3">
        <v>1</v>
      </c>
      <c r="AA201" s="3">
        <v>1</v>
      </c>
      <c r="AB201" s="3">
        <v>1</v>
      </c>
      <c r="AC201" s="3">
        <v>0</v>
      </c>
      <c r="AD201" s="3">
        <v>0</v>
      </c>
      <c r="AE201" s="3"/>
    </row>
    <row r="202" spans="1:31" ht="16" customHeight="1" x14ac:dyDescent="0.2">
      <c r="A202" s="2" t="s">
        <v>500</v>
      </c>
      <c r="B202" s="3" t="s">
        <v>492</v>
      </c>
      <c r="C202" s="3" t="s">
        <v>346</v>
      </c>
      <c r="D202" s="3">
        <v>84</v>
      </c>
      <c r="E202" s="3" t="s">
        <v>217</v>
      </c>
      <c r="F202" s="3">
        <v>3003</v>
      </c>
      <c r="G202" s="3">
        <v>1</v>
      </c>
      <c r="H202" s="3">
        <v>1</v>
      </c>
      <c r="I202" s="3">
        <v>2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4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2</v>
      </c>
      <c r="W202" s="3" t="s">
        <v>341</v>
      </c>
      <c r="X202" s="3" t="s">
        <v>342</v>
      </c>
      <c r="Y202" s="3" t="s">
        <v>343</v>
      </c>
      <c r="Z202" s="3">
        <v>1</v>
      </c>
      <c r="AA202" s="3">
        <v>0</v>
      </c>
      <c r="AB202" s="3">
        <v>1</v>
      </c>
      <c r="AC202" s="3">
        <v>0</v>
      </c>
      <c r="AD202" s="3">
        <v>0</v>
      </c>
      <c r="AE202" s="3"/>
    </row>
    <row r="203" spans="1:31" ht="16" customHeight="1" x14ac:dyDescent="0.2">
      <c r="A203" s="2" t="s">
        <v>554</v>
      </c>
      <c r="B203" s="3" t="s">
        <v>376</v>
      </c>
      <c r="C203" s="3" t="s">
        <v>346</v>
      </c>
      <c r="D203" s="3">
        <v>84</v>
      </c>
      <c r="E203" s="3" t="s">
        <v>31</v>
      </c>
      <c r="F203" s="3">
        <v>6463</v>
      </c>
      <c r="G203" s="3">
        <v>1</v>
      </c>
      <c r="H203" s="3">
        <v>1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3</v>
      </c>
      <c r="Q203" s="3">
        <v>3</v>
      </c>
      <c r="R203" s="3">
        <v>0</v>
      </c>
      <c r="S203" s="3">
        <v>0</v>
      </c>
      <c r="T203" s="3">
        <v>0</v>
      </c>
      <c r="U203" s="3">
        <v>0</v>
      </c>
      <c r="V203" s="3">
        <v>4</v>
      </c>
      <c r="W203" s="3" t="s">
        <v>341</v>
      </c>
      <c r="X203" s="3" t="s">
        <v>350</v>
      </c>
      <c r="Y203" s="3" t="s">
        <v>348</v>
      </c>
      <c r="Z203" s="3">
        <v>0</v>
      </c>
      <c r="AA203" s="3">
        <v>0</v>
      </c>
      <c r="AB203" s="3">
        <v>0</v>
      </c>
      <c r="AC203" s="3">
        <v>0</v>
      </c>
      <c r="AD203" s="3">
        <v>0</v>
      </c>
      <c r="AE203" s="3"/>
    </row>
    <row r="204" spans="1:31" ht="16" customHeight="1" x14ac:dyDescent="0.2">
      <c r="A204" s="2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</row>
    <row r="205" spans="1:31" ht="16" customHeight="1" x14ac:dyDescent="0.2">
      <c r="A205" s="2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</row>
    <row r="206" spans="1:31" ht="16" customHeight="1" x14ac:dyDescent="0.2">
      <c r="A206" s="2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</row>
    <row r="207" spans="1:31" ht="16" customHeight="1" x14ac:dyDescent="0.2">
      <c r="A207" s="2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</row>
    <row r="208" spans="1:31" ht="16" customHeight="1" x14ac:dyDescent="0.2">
      <c r="A208" s="2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 spans="1:31" ht="16" customHeight="1" x14ac:dyDescent="0.2">
      <c r="A209" s="2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</row>
    <row r="210" spans="1:31" ht="16" customHeight="1" x14ac:dyDescent="0.2">
      <c r="A210" s="2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</row>
    <row r="211" spans="1:31" ht="16" customHeight="1" x14ac:dyDescent="0.2">
      <c r="A211" s="2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</row>
    <row r="212" spans="1:31" ht="16" customHeight="1" x14ac:dyDescent="0.2">
      <c r="A212" s="2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</row>
    <row r="213" spans="1:31" ht="16" customHeight="1" x14ac:dyDescent="0.2">
      <c r="A213" s="2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</row>
    <row r="214" spans="1:31" ht="16" customHeight="1" x14ac:dyDescent="0.2">
      <c r="A214" s="2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</row>
    <row r="215" spans="1:31" ht="16" customHeight="1" x14ac:dyDescent="0.2">
      <c r="A215" s="2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</row>
    <row r="216" spans="1:31" ht="16" customHeight="1" x14ac:dyDescent="0.2">
      <c r="A216" s="2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 spans="1:31" ht="16" customHeight="1" x14ac:dyDescent="0.2">
      <c r="A217" s="2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</row>
    <row r="218" spans="1:31" ht="16" customHeight="1" x14ac:dyDescent="0.2">
      <c r="A218" s="2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</row>
    <row r="219" spans="1:31" ht="16" customHeight="1" x14ac:dyDescent="0.2">
      <c r="A219" s="2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</row>
    <row r="220" spans="1:31" ht="16" customHeight="1" x14ac:dyDescent="0.2">
      <c r="A220" s="2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</row>
    <row r="221" spans="1:31" ht="16" customHeight="1" x14ac:dyDescent="0.2">
      <c r="A221" s="2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</row>
    <row r="222" spans="1:31" ht="16" customHeight="1" x14ac:dyDescent="0.2">
      <c r="A222" s="2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</row>
    <row r="223" spans="1:31" ht="16" customHeight="1" x14ac:dyDescent="0.2">
      <c r="A223" s="2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</row>
    <row r="224" spans="1:31" ht="16" customHeight="1" x14ac:dyDescent="0.2">
      <c r="A224" s="2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</row>
    <row r="225" spans="1:31" ht="16" customHeight="1" x14ac:dyDescent="0.2">
      <c r="A225" s="2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</row>
    <row r="226" spans="1:31" ht="16" customHeight="1" x14ac:dyDescent="0.2">
      <c r="A226" s="2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</row>
    <row r="227" spans="1:31" ht="16" customHeight="1" x14ac:dyDescent="0.2">
      <c r="A227" s="2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</row>
    <row r="228" spans="1:31" ht="16" customHeight="1" x14ac:dyDescent="0.2">
      <c r="A228" s="2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</row>
    <row r="229" spans="1:31" ht="16" customHeight="1" x14ac:dyDescent="0.2">
      <c r="A229" s="2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</row>
    <row r="230" spans="1:31" ht="16" customHeight="1" x14ac:dyDescent="0.2">
      <c r="A230" s="2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</row>
    <row r="231" spans="1:31" ht="16" customHeight="1" x14ac:dyDescent="0.2">
      <c r="A231" s="2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</row>
    <row r="232" spans="1:31" ht="16" customHeight="1" x14ac:dyDescent="0.2">
      <c r="A232" s="2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</row>
    <row r="233" spans="1:31" ht="16" customHeight="1" x14ac:dyDescent="0.2">
      <c r="A233" s="2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</row>
    <row r="234" spans="1:31" ht="16" customHeight="1" x14ac:dyDescent="0.2">
      <c r="A234" s="2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</row>
    <row r="235" spans="1:31" ht="16" customHeight="1" x14ac:dyDescent="0.2">
      <c r="A235" s="2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</row>
    <row r="236" spans="1:31" ht="16" customHeight="1" x14ac:dyDescent="0.2">
      <c r="A236" s="2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</row>
    <row r="237" spans="1:31" ht="16" customHeight="1" x14ac:dyDescent="0.2">
      <c r="A237" s="2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</row>
    <row r="238" spans="1:31" ht="16" customHeight="1" x14ac:dyDescent="0.2">
      <c r="A238" s="2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</row>
    <row r="239" spans="1:31" ht="16" customHeight="1" x14ac:dyDescent="0.2">
      <c r="A239" s="2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</row>
    <row r="240" spans="1:31" ht="16" customHeight="1" x14ac:dyDescent="0.2">
      <c r="A240" s="2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</row>
    <row r="241" spans="1:31" ht="16" customHeight="1" x14ac:dyDescent="0.2">
      <c r="A241" s="2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</row>
    <row r="242" spans="1:31" ht="16" customHeight="1" x14ac:dyDescent="0.2">
      <c r="A242" s="2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</row>
    <row r="243" spans="1:31" ht="16" customHeight="1" x14ac:dyDescent="0.2">
      <c r="A243" s="2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</row>
    <row r="244" spans="1:31" ht="16" customHeight="1" x14ac:dyDescent="0.2">
      <c r="A244" s="2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</row>
    <row r="245" spans="1:31" ht="16" customHeight="1" x14ac:dyDescent="0.2">
      <c r="A245" s="2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</row>
    <row r="246" spans="1:31" ht="16" customHeight="1" x14ac:dyDescent="0.2">
      <c r="A246" s="2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</row>
    <row r="247" spans="1:31" ht="16" customHeight="1" x14ac:dyDescent="0.2">
      <c r="A247" s="2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</row>
    <row r="248" spans="1:31" ht="16" customHeight="1" x14ac:dyDescent="0.2">
      <c r="A248" s="2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</row>
    <row r="249" spans="1:31" ht="16" customHeight="1" x14ac:dyDescent="0.2">
      <c r="A249" s="2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</row>
    <row r="250" spans="1:31" ht="16" customHeight="1" x14ac:dyDescent="0.2">
      <c r="A250" s="2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</row>
    <row r="251" spans="1:31" ht="16" customHeight="1" x14ac:dyDescent="0.2">
      <c r="A251" s="2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</row>
    <row r="252" spans="1:31" ht="16" customHeight="1" x14ac:dyDescent="0.2">
      <c r="A252" s="2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</row>
    <row r="253" spans="1:31" ht="16" customHeight="1" x14ac:dyDescent="0.2">
      <c r="A253" s="2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</row>
    <row r="254" spans="1:31" ht="16" customHeight="1" x14ac:dyDescent="0.2">
      <c r="A254" s="2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</row>
    <row r="255" spans="1:31" ht="16" customHeight="1" x14ac:dyDescent="0.2">
      <c r="A255" s="2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</row>
    <row r="256" spans="1:31" ht="16" customHeight="1" x14ac:dyDescent="0.2">
      <c r="A256" s="2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</row>
    <row r="257" spans="1:31" ht="16" customHeight="1" x14ac:dyDescent="0.2">
      <c r="A257" s="2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</row>
    <row r="258" spans="1:31" ht="16" customHeight="1" x14ac:dyDescent="0.2">
      <c r="A258" s="2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</row>
    <row r="259" spans="1:31" ht="16" customHeight="1" x14ac:dyDescent="0.2">
      <c r="A259" s="2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</row>
    <row r="260" spans="1:31" ht="16" customHeight="1" x14ac:dyDescent="0.2">
      <c r="A260" s="2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</row>
    <row r="261" spans="1:31" ht="16" customHeight="1" x14ac:dyDescent="0.2">
      <c r="A261" s="2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</row>
    <row r="262" spans="1:31" ht="16" customHeight="1" x14ac:dyDescent="0.2">
      <c r="A262" s="2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</row>
    <row r="263" spans="1:31" ht="16" customHeight="1" x14ac:dyDescent="0.2">
      <c r="A263" s="2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</row>
    <row r="264" spans="1:31" ht="16" customHeight="1" x14ac:dyDescent="0.2">
      <c r="A264" s="2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</row>
    <row r="265" spans="1:31" ht="16" customHeight="1" x14ac:dyDescent="0.2">
      <c r="A265" s="2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</row>
    <row r="266" spans="1:31" ht="16" customHeight="1" x14ac:dyDescent="0.2">
      <c r="A266" s="2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</row>
    <row r="267" spans="1:31" ht="16" customHeight="1" x14ac:dyDescent="0.2">
      <c r="A267" s="2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</row>
    <row r="268" spans="1:31" ht="16" customHeight="1" x14ac:dyDescent="0.2">
      <c r="A268" s="2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</row>
    <row r="269" spans="1:31" ht="16" customHeight="1" x14ac:dyDescent="0.2">
      <c r="A269" s="2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</row>
    <row r="270" spans="1:31" ht="16" customHeight="1" x14ac:dyDescent="0.2">
      <c r="A270" s="2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</row>
    <row r="271" spans="1:31" ht="16" customHeight="1" x14ac:dyDescent="0.2">
      <c r="A271" s="2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</row>
    <row r="272" spans="1:31" ht="16" customHeight="1" x14ac:dyDescent="0.2">
      <c r="A272" s="2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</row>
    <row r="273" spans="1:31" ht="16" customHeight="1" x14ac:dyDescent="0.2">
      <c r="A273" s="2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</row>
    <row r="274" spans="1:31" ht="16" customHeight="1" x14ac:dyDescent="0.2">
      <c r="A274" s="2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</row>
    <row r="275" spans="1:31" ht="16" customHeight="1" x14ac:dyDescent="0.2">
      <c r="A275" s="2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</row>
    <row r="276" spans="1:31" ht="16" customHeight="1" x14ac:dyDescent="0.2">
      <c r="A276" s="2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</row>
    <row r="277" spans="1:31" ht="16" customHeight="1" x14ac:dyDescent="0.2">
      <c r="A277" s="2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</row>
    <row r="278" spans="1:31" ht="16" customHeight="1" x14ac:dyDescent="0.2">
      <c r="A278" s="2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</row>
    <row r="279" spans="1:31" ht="16" customHeight="1" x14ac:dyDescent="0.2">
      <c r="A279" s="2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</row>
    <row r="280" spans="1:31" ht="16" customHeight="1" x14ac:dyDescent="0.2">
      <c r="A280" s="2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</row>
    <row r="281" spans="1:31" ht="16" customHeight="1" x14ac:dyDescent="0.2">
      <c r="A281" s="2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</row>
    <row r="282" spans="1:31" ht="16" customHeight="1" x14ac:dyDescent="0.2">
      <c r="A282" s="2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</row>
    <row r="283" spans="1:31" ht="16" customHeight="1" x14ac:dyDescent="0.2">
      <c r="A283" s="2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</row>
    <row r="284" spans="1:31" ht="16" customHeight="1" x14ac:dyDescent="0.2">
      <c r="A284" s="2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</row>
    <row r="285" spans="1:31" ht="16" customHeight="1" x14ac:dyDescent="0.2">
      <c r="A285" s="2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</row>
    <row r="286" spans="1:31" ht="16" customHeight="1" x14ac:dyDescent="0.2">
      <c r="A286" s="2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</row>
    <row r="287" spans="1:31" ht="16" customHeight="1" x14ac:dyDescent="0.2">
      <c r="A287" s="2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</row>
    <row r="288" spans="1:31" ht="16" customHeight="1" x14ac:dyDescent="0.2">
      <c r="A288" s="2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</row>
    <row r="289" spans="1:31" ht="16" customHeight="1" x14ac:dyDescent="0.2">
      <c r="A289" s="2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</row>
    <row r="290" spans="1:31" ht="16" customHeight="1" x14ac:dyDescent="0.2">
      <c r="A290" s="2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</row>
    <row r="291" spans="1:31" ht="16" customHeight="1" x14ac:dyDescent="0.2">
      <c r="A291" s="2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</row>
    <row r="292" spans="1:31" ht="16" customHeight="1" x14ac:dyDescent="0.2">
      <c r="A292" s="2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</row>
    <row r="293" spans="1:31" ht="16" customHeight="1" x14ac:dyDescent="0.2">
      <c r="A293" s="2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</row>
    <row r="294" spans="1:31" ht="16" customHeight="1" x14ac:dyDescent="0.2">
      <c r="A294" s="2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</row>
    <row r="295" spans="1:31" ht="16" customHeight="1" x14ac:dyDescent="0.2">
      <c r="A295" s="2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</row>
    <row r="296" spans="1:31" ht="16" customHeight="1" x14ac:dyDescent="0.2">
      <c r="A296" s="2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</row>
    <row r="297" spans="1:31" ht="16" customHeight="1" x14ac:dyDescent="0.2">
      <c r="A297" s="2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</row>
    <row r="298" spans="1:31" ht="16" customHeight="1" x14ac:dyDescent="0.2">
      <c r="A298" s="2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</row>
    <row r="299" spans="1:31" ht="16" customHeight="1" x14ac:dyDescent="0.2">
      <c r="A299" s="2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</row>
    <row r="300" spans="1:31" ht="16" customHeight="1" x14ac:dyDescent="0.2">
      <c r="A300" s="2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</row>
    <row r="301" spans="1:31" ht="16" customHeight="1" x14ac:dyDescent="0.2">
      <c r="A301" s="2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</row>
    <row r="302" spans="1:31" ht="16" customHeight="1" x14ac:dyDescent="0.2">
      <c r="A302" s="2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</row>
    <row r="303" spans="1:31" ht="16" customHeight="1" x14ac:dyDescent="0.2">
      <c r="A303" s="2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</row>
    <row r="304" spans="1:31" ht="16" customHeight="1" x14ac:dyDescent="0.2">
      <c r="A304" s="2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</row>
    <row r="305" spans="1:31" ht="16" customHeight="1" x14ac:dyDescent="0.2">
      <c r="A305" s="2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</row>
    <row r="306" spans="1:31" ht="16" customHeight="1" x14ac:dyDescent="0.2">
      <c r="A306" s="2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</row>
    <row r="307" spans="1:31" ht="16" customHeight="1" x14ac:dyDescent="0.2">
      <c r="A307" s="2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</row>
    <row r="308" spans="1:31" ht="16" customHeight="1" x14ac:dyDescent="0.2">
      <c r="A308" s="2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</row>
    <row r="309" spans="1:31" ht="16" customHeight="1" x14ac:dyDescent="0.2">
      <c r="A309" s="2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</row>
    <row r="310" spans="1:31" ht="16" customHeight="1" x14ac:dyDescent="0.2">
      <c r="A310" s="2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</row>
    <row r="311" spans="1:31" ht="16" customHeight="1" x14ac:dyDescent="0.2">
      <c r="A311" s="2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</row>
    <row r="312" spans="1:31" ht="16" customHeight="1" x14ac:dyDescent="0.2">
      <c r="A312" s="2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</row>
    <row r="313" spans="1:31" ht="16" customHeight="1" x14ac:dyDescent="0.2">
      <c r="A313" s="2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</row>
    <row r="314" spans="1:31" ht="16" customHeight="1" x14ac:dyDescent="0.2">
      <c r="A314" s="2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</row>
    <row r="315" spans="1:31" ht="16" customHeight="1" x14ac:dyDescent="0.2">
      <c r="A315" s="2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</row>
    <row r="316" spans="1:31" ht="16" customHeight="1" x14ac:dyDescent="0.2">
      <c r="A316" s="2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</row>
    <row r="317" spans="1:31" ht="16" customHeight="1" x14ac:dyDescent="0.2">
      <c r="A317" s="2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</row>
    <row r="318" spans="1:31" ht="16" customHeight="1" x14ac:dyDescent="0.2">
      <c r="A318" s="2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</row>
    <row r="319" spans="1:31" ht="16" customHeight="1" x14ac:dyDescent="0.2">
      <c r="A319" s="2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</row>
    <row r="320" spans="1:31" ht="16" customHeight="1" x14ac:dyDescent="0.2">
      <c r="A320" s="2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</row>
    <row r="321" spans="1:31" ht="16" customHeight="1" x14ac:dyDescent="0.2">
      <c r="A321" s="2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</row>
    <row r="322" spans="1:31" ht="16" customHeight="1" x14ac:dyDescent="0.2">
      <c r="A322" s="2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</row>
    <row r="323" spans="1:31" ht="16" customHeight="1" x14ac:dyDescent="0.2">
      <c r="A323" s="2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</row>
    <row r="324" spans="1:31" ht="16" customHeight="1" x14ac:dyDescent="0.2">
      <c r="A324" s="2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</row>
    <row r="325" spans="1:31" ht="16" customHeight="1" x14ac:dyDescent="0.2">
      <c r="A325" s="2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</row>
    <row r="326" spans="1:31" ht="16" customHeight="1" x14ac:dyDescent="0.2">
      <c r="A326" s="2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</row>
    <row r="327" spans="1:31" ht="16" customHeight="1" x14ac:dyDescent="0.2">
      <c r="A327" s="2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</row>
    <row r="328" spans="1:31" ht="16" customHeight="1" x14ac:dyDescent="0.2">
      <c r="A328" s="2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</row>
    <row r="329" spans="1:31" ht="16" customHeight="1" x14ac:dyDescent="0.2">
      <c r="A329" s="2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</row>
    <row r="330" spans="1:31" ht="16" customHeight="1" x14ac:dyDescent="0.2">
      <c r="A330" s="2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</row>
    <row r="331" spans="1:31" ht="16" customHeight="1" x14ac:dyDescent="0.2">
      <c r="A331" s="2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</row>
    <row r="332" spans="1:31" ht="16" customHeight="1" x14ac:dyDescent="0.2">
      <c r="A332" s="2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</row>
    <row r="333" spans="1:31" ht="16" customHeight="1" x14ac:dyDescent="0.2">
      <c r="A333" s="2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</row>
    <row r="334" spans="1:31" ht="16" customHeight="1" x14ac:dyDescent="0.2">
      <c r="A334" s="2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</row>
    <row r="335" spans="1:31" ht="16" customHeight="1" x14ac:dyDescent="0.2">
      <c r="A335" s="2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</row>
    <row r="336" spans="1:31" ht="16" customHeight="1" x14ac:dyDescent="0.2">
      <c r="A336" s="2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</row>
    <row r="337" spans="1:31" ht="16" customHeight="1" x14ac:dyDescent="0.2">
      <c r="A337" s="2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</row>
    <row r="338" spans="1:31" ht="16" customHeight="1" x14ac:dyDescent="0.2">
      <c r="A338" s="2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</row>
    <row r="339" spans="1:31" ht="16" customHeight="1" x14ac:dyDescent="0.2">
      <c r="A339" s="2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</row>
    <row r="340" spans="1:31" ht="16" customHeight="1" x14ac:dyDescent="0.2">
      <c r="A340" s="2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</row>
    <row r="341" spans="1:31" ht="16" customHeight="1" x14ac:dyDescent="0.2">
      <c r="A341" s="2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</row>
    <row r="342" spans="1:31" ht="16" customHeight="1" x14ac:dyDescent="0.2">
      <c r="A342" s="2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</row>
    <row r="343" spans="1:31" ht="16" customHeight="1" x14ac:dyDescent="0.2">
      <c r="A343" s="2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</row>
    <row r="344" spans="1:31" ht="16" customHeight="1" x14ac:dyDescent="0.2">
      <c r="A344" s="2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</row>
    <row r="345" spans="1:31" ht="16" customHeight="1" x14ac:dyDescent="0.2">
      <c r="A345" s="2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</row>
    <row r="346" spans="1:31" ht="16" customHeight="1" x14ac:dyDescent="0.2">
      <c r="A346" s="2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</row>
    <row r="347" spans="1:31" ht="16" customHeight="1" x14ac:dyDescent="0.2">
      <c r="A347" s="2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</row>
    <row r="348" spans="1:31" ht="16" customHeight="1" x14ac:dyDescent="0.2">
      <c r="A348" s="2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</row>
    <row r="349" spans="1:31" ht="16" customHeight="1" x14ac:dyDescent="0.2">
      <c r="A349" s="2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</row>
    <row r="350" spans="1:31" ht="16" customHeight="1" x14ac:dyDescent="0.2">
      <c r="A350" s="2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</row>
    <row r="351" spans="1:31" ht="16" customHeight="1" x14ac:dyDescent="0.2">
      <c r="A351" s="2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</row>
    <row r="352" spans="1:31" ht="16" customHeight="1" x14ac:dyDescent="0.2">
      <c r="A352" s="2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</row>
    <row r="353" spans="1:31" ht="16" customHeight="1" x14ac:dyDescent="0.2">
      <c r="A353" s="2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</row>
    <row r="354" spans="1:31" ht="16" customHeight="1" x14ac:dyDescent="0.2">
      <c r="A354" s="2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</row>
    <row r="355" spans="1:31" ht="16" customHeight="1" x14ac:dyDescent="0.2">
      <c r="A355" s="2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</row>
    <row r="356" spans="1:31" ht="16" customHeight="1" x14ac:dyDescent="0.2">
      <c r="A356" s="2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</row>
    <row r="357" spans="1:31" ht="16" customHeight="1" x14ac:dyDescent="0.2">
      <c r="A357" s="2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</row>
    <row r="358" spans="1:31" ht="16" customHeight="1" x14ac:dyDescent="0.2">
      <c r="A358" s="2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</row>
    <row r="359" spans="1:31" ht="16" customHeight="1" x14ac:dyDescent="0.2">
      <c r="A359" s="2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</row>
    <row r="360" spans="1:31" ht="16" customHeight="1" x14ac:dyDescent="0.2">
      <c r="A360" s="2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</row>
    <row r="361" spans="1:31" ht="16" customHeight="1" x14ac:dyDescent="0.2">
      <c r="A361" s="2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</row>
    <row r="362" spans="1:31" ht="16" customHeight="1" x14ac:dyDescent="0.2">
      <c r="A362" s="2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</row>
    <row r="363" spans="1:31" ht="16" customHeight="1" x14ac:dyDescent="0.2">
      <c r="A363" s="2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</row>
    <row r="364" spans="1:31" ht="16" customHeight="1" x14ac:dyDescent="0.2">
      <c r="A364" s="2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</row>
    <row r="365" spans="1:31" ht="16" customHeight="1" x14ac:dyDescent="0.2">
      <c r="A365" s="2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</row>
    <row r="366" spans="1:31" ht="16" customHeight="1" x14ac:dyDescent="0.2">
      <c r="A366" s="2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</row>
    <row r="367" spans="1:31" ht="16" customHeight="1" x14ac:dyDescent="0.2">
      <c r="A367" s="2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</row>
    <row r="368" spans="1:31" ht="16" customHeight="1" x14ac:dyDescent="0.2">
      <c r="A368" s="2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</row>
    <row r="369" spans="1:31" ht="16" customHeight="1" x14ac:dyDescent="0.2">
      <c r="A369" s="2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</row>
    <row r="370" spans="1:31" ht="16" customHeight="1" x14ac:dyDescent="0.2">
      <c r="A370" s="2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</row>
    <row r="371" spans="1:31" ht="16" customHeight="1" x14ac:dyDescent="0.2">
      <c r="A371" s="2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</row>
    <row r="372" spans="1:31" ht="16" customHeight="1" x14ac:dyDescent="0.2">
      <c r="A372" s="2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</row>
    <row r="373" spans="1:31" ht="16" customHeight="1" x14ac:dyDescent="0.2">
      <c r="A373" s="2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</row>
    <row r="374" spans="1:31" ht="16" customHeight="1" x14ac:dyDescent="0.2">
      <c r="A374" s="2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</row>
    <row r="375" spans="1:31" ht="16" customHeight="1" x14ac:dyDescent="0.2">
      <c r="A375" s="2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</row>
    <row r="376" spans="1:31" ht="16" customHeight="1" x14ac:dyDescent="0.2">
      <c r="A376" s="2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</row>
    <row r="377" spans="1:31" ht="16" customHeight="1" x14ac:dyDescent="0.2">
      <c r="A377" s="2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</row>
    <row r="378" spans="1:31" ht="16" customHeight="1" x14ac:dyDescent="0.2">
      <c r="A378" s="2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</row>
    <row r="379" spans="1:31" ht="16" customHeight="1" x14ac:dyDescent="0.2">
      <c r="A379" s="2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</row>
    <row r="380" spans="1:31" ht="16" customHeight="1" x14ac:dyDescent="0.2">
      <c r="A380" s="2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</row>
    <row r="381" spans="1:31" ht="16" customHeight="1" x14ac:dyDescent="0.2">
      <c r="A381" s="2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</row>
    <row r="382" spans="1:31" ht="16" customHeight="1" x14ac:dyDescent="0.2">
      <c r="A382" s="2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</row>
    <row r="383" spans="1:31" ht="16" customHeight="1" x14ac:dyDescent="0.2">
      <c r="A383" s="2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</row>
    <row r="384" spans="1:31" ht="16" customHeight="1" x14ac:dyDescent="0.2">
      <c r="A384" s="2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</row>
    <row r="385" spans="1:31" ht="16" customHeight="1" x14ac:dyDescent="0.2">
      <c r="A385" s="2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</row>
    <row r="386" spans="1:31" ht="16" customHeight="1" x14ac:dyDescent="0.2">
      <c r="A386" s="2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</row>
    <row r="387" spans="1:31" ht="16" customHeight="1" x14ac:dyDescent="0.2">
      <c r="A387" s="2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</row>
    <row r="388" spans="1:31" ht="16" customHeight="1" x14ac:dyDescent="0.2">
      <c r="A388" s="2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</row>
    <row r="389" spans="1:31" ht="16" customHeight="1" x14ac:dyDescent="0.2">
      <c r="A389" s="2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</row>
    <row r="390" spans="1:31" ht="16" customHeight="1" x14ac:dyDescent="0.2">
      <c r="A390" s="2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</row>
    <row r="391" spans="1:31" ht="16" customHeight="1" x14ac:dyDescent="0.2">
      <c r="A391" s="2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</row>
    <row r="392" spans="1:31" ht="16" customHeight="1" x14ac:dyDescent="0.2">
      <c r="A392" s="2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</row>
    <row r="393" spans="1:31" ht="16" customHeight="1" x14ac:dyDescent="0.2">
      <c r="A393" s="2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</row>
    <row r="394" spans="1:31" ht="16" customHeight="1" x14ac:dyDescent="0.2">
      <c r="A394" s="2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</row>
    <row r="395" spans="1:31" ht="16" customHeight="1" x14ac:dyDescent="0.2">
      <c r="A395" s="2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</row>
    <row r="396" spans="1:31" ht="16" customHeight="1" x14ac:dyDescent="0.2">
      <c r="A396" s="2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</row>
    <row r="397" spans="1:31" ht="16" customHeight="1" x14ac:dyDescent="0.2">
      <c r="A397" s="2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</row>
    <row r="398" spans="1:31" ht="16" customHeight="1" x14ac:dyDescent="0.2">
      <c r="A398" s="2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</row>
    <row r="399" spans="1:31" ht="16" customHeight="1" x14ac:dyDescent="0.2">
      <c r="A399" s="2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</row>
    <row r="400" spans="1:31" ht="16" customHeight="1" x14ac:dyDescent="0.2">
      <c r="A400" s="2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</row>
    <row r="401" spans="1:31" ht="16" customHeight="1" x14ac:dyDescent="0.2">
      <c r="A401" s="2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</row>
    <row r="402" spans="1:31" ht="16" customHeight="1" x14ac:dyDescent="0.2">
      <c r="A402" s="2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</row>
    <row r="403" spans="1:31" ht="16" customHeight="1" x14ac:dyDescent="0.2">
      <c r="A403" s="2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</row>
    <row r="404" spans="1:31" ht="16" customHeight="1" x14ac:dyDescent="0.2">
      <c r="A404" s="2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</row>
    <row r="405" spans="1:31" ht="16" customHeight="1" x14ac:dyDescent="0.2">
      <c r="A405" s="2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</row>
    <row r="406" spans="1:31" ht="16" customHeight="1" x14ac:dyDescent="0.2">
      <c r="A406" s="2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</row>
    <row r="407" spans="1:31" ht="16" customHeight="1" x14ac:dyDescent="0.2">
      <c r="A407" s="2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</row>
    <row r="408" spans="1:31" ht="16" customHeight="1" x14ac:dyDescent="0.2">
      <c r="A408" s="2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</row>
    <row r="409" spans="1:31" ht="16" customHeight="1" x14ac:dyDescent="0.2">
      <c r="A409" s="2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</row>
    <row r="410" spans="1:31" ht="16" customHeight="1" x14ac:dyDescent="0.2">
      <c r="A410" s="2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</row>
    <row r="411" spans="1:31" ht="16" customHeight="1" x14ac:dyDescent="0.2">
      <c r="A411" s="2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</row>
    <row r="412" spans="1:31" ht="16" customHeight="1" x14ac:dyDescent="0.2">
      <c r="A412" s="2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</row>
    <row r="413" spans="1:31" ht="16" customHeight="1" x14ac:dyDescent="0.2">
      <c r="A413" s="2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</row>
    <row r="414" spans="1:31" ht="16" customHeight="1" x14ac:dyDescent="0.2">
      <c r="A414" s="2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</row>
    <row r="415" spans="1:31" ht="16" customHeight="1" x14ac:dyDescent="0.2">
      <c r="A415" s="2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</row>
    <row r="416" spans="1:31" ht="16" customHeight="1" x14ac:dyDescent="0.2">
      <c r="A416" s="2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</row>
    <row r="417" spans="1:31" ht="16" customHeight="1" x14ac:dyDescent="0.2">
      <c r="A417" s="2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</row>
    <row r="418" spans="1:31" ht="16" customHeight="1" x14ac:dyDescent="0.2">
      <c r="A418" s="2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</row>
    <row r="419" spans="1:31" ht="16" customHeight="1" x14ac:dyDescent="0.2">
      <c r="A419" s="2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</row>
    <row r="420" spans="1:31" ht="16" customHeight="1" x14ac:dyDescent="0.2">
      <c r="A420" s="2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</row>
    <row r="421" spans="1:31" ht="16" customHeight="1" x14ac:dyDescent="0.2">
      <c r="A421" s="2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</row>
    <row r="422" spans="1:31" ht="16" customHeight="1" x14ac:dyDescent="0.2">
      <c r="A422" s="2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</row>
    <row r="423" spans="1:31" ht="16" customHeight="1" x14ac:dyDescent="0.2">
      <c r="A423" s="2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</row>
    <row r="424" spans="1:31" ht="16" customHeight="1" x14ac:dyDescent="0.2">
      <c r="A424" s="2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</row>
    <row r="425" spans="1:31" ht="16" customHeight="1" x14ac:dyDescent="0.2">
      <c r="A425" s="2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</row>
    <row r="426" spans="1:31" ht="16" customHeight="1" x14ac:dyDescent="0.2">
      <c r="A426" s="2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</row>
    <row r="427" spans="1:31" ht="16" customHeight="1" x14ac:dyDescent="0.2">
      <c r="A427" s="2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</row>
    <row r="428" spans="1:31" ht="16" customHeight="1" x14ac:dyDescent="0.2">
      <c r="A428" s="2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</row>
    <row r="429" spans="1:31" ht="16" customHeight="1" x14ac:dyDescent="0.2">
      <c r="A429" s="2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</row>
    <row r="430" spans="1:31" ht="16" customHeight="1" x14ac:dyDescent="0.2">
      <c r="A430" s="2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</row>
    <row r="431" spans="1:31" ht="16" customHeight="1" x14ac:dyDescent="0.2">
      <c r="A431" s="2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</row>
    <row r="432" spans="1:31" ht="16" customHeight="1" x14ac:dyDescent="0.2">
      <c r="A432" s="2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</row>
    <row r="433" spans="1:31" ht="16" customHeight="1" x14ac:dyDescent="0.2">
      <c r="A433" s="2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</row>
    <row r="434" spans="1:31" ht="16" customHeight="1" x14ac:dyDescent="0.2">
      <c r="A434" s="2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</row>
    <row r="435" spans="1:31" ht="16" customHeight="1" x14ac:dyDescent="0.2">
      <c r="A435" s="2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</row>
    <row r="436" spans="1:31" ht="16" customHeight="1" x14ac:dyDescent="0.2">
      <c r="A436" s="2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</row>
    <row r="437" spans="1:31" ht="16" customHeight="1" x14ac:dyDescent="0.2">
      <c r="A437" s="2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</row>
    <row r="438" spans="1:31" ht="16" customHeight="1" x14ac:dyDescent="0.2">
      <c r="A438" s="2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</row>
    <row r="439" spans="1:31" ht="16" customHeight="1" x14ac:dyDescent="0.2">
      <c r="A439" s="2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</row>
    <row r="440" spans="1:31" ht="16" customHeight="1" x14ac:dyDescent="0.2">
      <c r="A440" s="2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</row>
    <row r="441" spans="1:31" ht="16" customHeight="1" x14ac:dyDescent="0.2">
      <c r="A441" s="2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</row>
    <row r="442" spans="1:31" ht="16" customHeight="1" x14ac:dyDescent="0.2">
      <c r="A442" s="2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</row>
    <row r="443" spans="1:31" ht="16" customHeight="1" x14ac:dyDescent="0.2">
      <c r="A443" s="2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</row>
    <row r="444" spans="1:31" ht="16" customHeight="1" x14ac:dyDescent="0.2">
      <c r="A444" s="2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</row>
    <row r="445" spans="1:31" ht="16" customHeight="1" x14ac:dyDescent="0.2">
      <c r="A445" s="2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</row>
    <row r="446" spans="1:31" ht="16" customHeight="1" x14ac:dyDescent="0.2">
      <c r="A446" s="2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</row>
    <row r="447" spans="1:31" ht="16" customHeight="1" x14ac:dyDescent="0.2">
      <c r="A447" s="2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</row>
    <row r="448" spans="1:31" ht="16" customHeight="1" x14ac:dyDescent="0.2">
      <c r="A448" s="2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</row>
    <row r="449" spans="1:31" ht="16" customHeight="1" x14ac:dyDescent="0.2">
      <c r="A449" s="2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</row>
    <row r="450" spans="1:31" ht="16" customHeight="1" x14ac:dyDescent="0.2">
      <c r="A450" s="2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</row>
    <row r="451" spans="1:31" ht="16" customHeight="1" x14ac:dyDescent="0.2">
      <c r="A451" s="2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</row>
    <row r="452" spans="1:31" ht="16" customHeight="1" x14ac:dyDescent="0.2">
      <c r="A452" s="2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</row>
    <row r="453" spans="1:31" ht="16" customHeight="1" x14ac:dyDescent="0.2">
      <c r="A453" s="2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</row>
    <row r="454" spans="1:31" ht="16" customHeight="1" x14ac:dyDescent="0.2">
      <c r="A454" s="2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</row>
    <row r="455" spans="1:31" ht="16" customHeight="1" x14ac:dyDescent="0.2">
      <c r="A455" s="2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</row>
    <row r="456" spans="1:31" ht="16" customHeight="1" x14ac:dyDescent="0.2">
      <c r="A456" s="2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</row>
    <row r="457" spans="1:31" ht="16" customHeight="1" x14ac:dyDescent="0.2">
      <c r="A457" s="2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</row>
    <row r="458" spans="1:31" ht="16" customHeight="1" x14ac:dyDescent="0.2">
      <c r="A458" s="2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</row>
    <row r="459" spans="1:31" ht="16" customHeight="1" x14ac:dyDescent="0.2">
      <c r="A459" s="2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</row>
    <row r="460" spans="1:31" ht="16" customHeight="1" x14ac:dyDescent="0.2">
      <c r="A460" s="2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</row>
    <row r="461" spans="1:31" ht="16" customHeight="1" x14ac:dyDescent="0.2">
      <c r="A461" s="2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</row>
    <row r="462" spans="1:31" ht="16" customHeight="1" x14ac:dyDescent="0.2">
      <c r="A462" s="2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</row>
    <row r="463" spans="1:31" ht="16" customHeight="1" x14ac:dyDescent="0.2">
      <c r="A463" s="2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</row>
    <row r="464" spans="1:31" ht="16" customHeight="1" x14ac:dyDescent="0.2">
      <c r="A464" s="2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</row>
    <row r="465" spans="1:31" ht="16" customHeight="1" x14ac:dyDescent="0.2">
      <c r="A465" s="2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</row>
    <row r="466" spans="1:31" ht="16" customHeight="1" x14ac:dyDescent="0.2">
      <c r="A466" s="2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</row>
    <row r="467" spans="1:31" ht="16" customHeight="1" x14ac:dyDescent="0.2">
      <c r="A467" s="2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</row>
    <row r="468" spans="1:31" ht="16" customHeight="1" x14ac:dyDescent="0.2">
      <c r="A468" s="2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</row>
    <row r="469" spans="1:31" ht="16" customHeight="1" x14ac:dyDescent="0.2">
      <c r="A469" s="2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</row>
    <row r="470" spans="1:31" ht="16" customHeight="1" x14ac:dyDescent="0.2">
      <c r="A470" s="2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</row>
    <row r="471" spans="1:31" ht="16" customHeight="1" x14ac:dyDescent="0.2">
      <c r="A471" s="2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</row>
    <row r="472" spans="1:31" ht="16" customHeight="1" x14ac:dyDescent="0.2">
      <c r="A472" s="2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</row>
    <row r="473" spans="1:31" ht="16" customHeight="1" x14ac:dyDescent="0.2">
      <c r="A473" s="2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</row>
    <row r="474" spans="1:31" ht="16" customHeight="1" x14ac:dyDescent="0.2">
      <c r="A474" s="2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</row>
    <row r="475" spans="1:31" ht="16" customHeight="1" x14ac:dyDescent="0.2">
      <c r="A475" s="2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</row>
    <row r="476" spans="1:31" ht="16" customHeight="1" x14ac:dyDescent="0.2">
      <c r="A476" s="2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</row>
    <row r="477" spans="1:31" ht="16" customHeight="1" x14ac:dyDescent="0.2">
      <c r="A477" s="2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</row>
    <row r="478" spans="1:31" ht="16" customHeight="1" x14ac:dyDescent="0.2">
      <c r="A478" s="2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</row>
    <row r="479" spans="1:31" ht="16" customHeight="1" x14ac:dyDescent="0.2">
      <c r="A479" s="2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</row>
    <row r="480" spans="1:31" ht="16" customHeight="1" x14ac:dyDescent="0.2">
      <c r="A480" s="2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</row>
    <row r="481" spans="1:31" ht="16" customHeight="1" x14ac:dyDescent="0.2">
      <c r="A481" s="2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</row>
    <row r="482" spans="1:31" ht="16" customHeight="1" x14ac:dyDescent="0.2">
      <c r="A482" s="2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</row>
    <row r="483" spans="1:31" ht="16" customHeight="1" x14ac:dyDescent="0.2">
      <c r="A483" s="2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</row>
    <row r="484" spans="1:31" ht="16" customHeight="1" x14ac:dyDescent="0.2">
      <c r="A484" s="2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</row>
    <row r="485" spans="1:31" ht="16" customHeight="1" x14ac:dyDescent="0.2">
      <c r="A485" s="2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</row>
    <row r="486" spans="1:31" ht="16" customHeight="1" x14ac:dyDescent="0.2">
      <c r="A486" s="2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</row>
    <row r="487" spans="1:31" ht="16" customHeight="1" x14ac:dyDescent="0.2">
      <c r="A487" s="2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</row>
    <row r="488" spans="1:31" ht="16" customHeight="1" x14ac:dyDescent="0.2">
      <c r="A488" s="2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</row>
    <row r="489" spans="1:31" ht="16" customHeight="1" x14ac:dyDescent="0.2">
      <c r="A489" s="2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</row>
    <row r="490" spans="1:31" ht="16" customHeight="1" x14ac:dyDescent="0.2">
      <c r="A490" s="2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</row>
    <row r="491" spans="1:31" ht="16" customHeight="1" x14ac:dyDescent="0.2">
      <c r="A491" s="2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</row>
    <row r="492" spans="1:31" ht="16" customHeight="1" x14ac:dyDescent="0.2">
      <c r="A492" s="2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</row>
    <row r="493" spans="1:31" ht="16" customHeight="1" x14ac:dyDescent="0.2">
      <c r="A493" s="2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</row>
    <row r="494" spans="1:31" ht="16" customHeight="1" x14ac:dyDescent="0.2">
      <c r="A494" s="2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</row>
    <row r="495" spans="1:31" ht="16" customHeight="1" x14ac:dyDescent="0.2">
      <c r="A495" s="2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</row>
    <row r="496" spans="1:31" ht="16" customHeight="1" x14ac:dyDescent="0.2">
      <c r="A496" s="2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</row>
    <row r="497" spans="1:31" ht="16" customHeight="1" x14ac:dyDescent="0.2">
      <c r="A497" s="2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</row>
    <row r="498" spans="1:31" ht="16" customHeight="1" x14ac:dyDescent="0.2">
      <c r="A498" s="2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</row>
    <row r="499" spans="1:31" ht="16" customHeight="1" x14ac:dyDescent="0.2">
      <c r="A499" s="2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</row>
    <row r="500" spans="1:31" ht="16" customHeight="1" x14ac:dyDescent="0.2">
      <c r="A500" s="2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</row>
    <row r="501" spans="1:31" ht="16" customHeight="1" x14ac:dyDescent="0.2">
      <c r="A501" s="2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</row>
    <row r="502" spans="1:31" ht="16" customHeight="1" x14ac:dyDescent="0.2">
      <c r="A502" s="2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</row>
    <row r="503" spans="1:31" ht="16" customHeight="1" x14ac:dyDescent="0.2">
      <c r="A503" s="2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</row>
    <row r="504" spans="1:31" ht="16" customHeight="1" x14ac:dyDescent="0.2">
      <c r="A504" s="2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</row>
    <row r="505" spans="1:31" ht="16" customHeight="1" x14ac:dyDescent="0.2">
      <c r="A505" s="2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</row>
    <row r="506" spans="1:31" ht="16" customHeight="1" x14ac:dyDescent="0.2">
      <c r="A506" s="2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</row>
    <row r="507" spans="1:31" ht="16" customHeight="1" x14ac:dyDescent="0.2">
      <c r="A507" s="2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</row>
    <row r="508" spans="1:31" ht="16" customHeight="1" x14ac:dyDescent="0.2">
      <c r="A508" s="2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</row>
    <row r="509" spans="1:31" ht="16" customHeight="1" x14ac:dyDescent="0.2">
      <c r="A509" s="2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</row>
    <row r="510" spans="1:31" ht="16" customHeight="1" x14ac:dyDescent="0.2">
      <c r="A510" s="2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</row>
    <row r="511" spans="1:31" ht="16" customHeight="1" x14ac:dyDescent="0.2">
      <c r="A511" s="2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</row>
    <row r="512" spans="1:31" ht="16" customHeight="1" x14ac:dyDescent="0.2">
      <c r="A512" s="2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</row>
    <row r="513" spans="1:31" ht="16" customHeight="1" x14ac:dyDescent="0.2">
      <c r="A513" s="2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</row>
    <row r="514" spans="1:31" ht="16" customHeight="1" x14ac:dyDescent="0.2">
      <c r="A514" s="2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</row>
    <row r="515" spans="1:31" ht="16" customHeight="1" x14ac:dyDescent="0.2">
      <c r="A515" s="2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</row>
    <row r="516" spans="1:31" ht="16" customHeight="1" x14ac:dyDescent="0.2">
      <c r="A516" s="2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</row>
    <row r="517" spans="1:31" ht="16" customHeight="1" x14ac:dyDescent="0.2">
      <c r="A517" s="2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</row>
    <row r="518" spans="1:31" ht="16" customHeight="1" x14ac:dyDescent="0.2">
      <c r="A518" s="2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</row>
    <row r="519" spans="1:31" ht="16" customHeight="1" x14ac:dyDescent="0.2">
      <c r="A519" s="2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</row>
    <row r="520" spans="1:31" ht="16" customHeight="1" x14ac:dyDescent="0.2">
      <c r="A520" s="2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</row>
    <row r="521" spans="1:31" ht="16" customHeight="1" x14ac:dyDescent="0.2">
      <c r="A521" s="2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</row>
    <row r="522" spans="1:31" ht="16" customHeight="1" x14ac:dyDescent="0.2">
      <c r="A522" s="2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</row>
    <row r="523" spans="1:31" ht="16" customHeight="1" x14ac:dyDescent="0.2">
      <c r="A523" s="2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</row>
    <row r="524" spans="1:31" ht="16" customHeight="1" x14ac:dyDescent="0.2">
      <c r="A524" s="2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</row>
    <row r="525" spans="1:31" ht="16" customHeight="1" x14ac:dyDescent="0.2">
      <c r="A525" s="2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</row>
    <row r="526" spans="1:31" ht="16" customHeight="1" x14ac:dyDescent="0.2">
      <c r="A526" s="2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</row>
    <row r="527" spans="1:31" ht="16" customHeight="1" x14ac:dyDescent="0.2">
      <c r="A527" s="2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</row>
    <row r="528" spans="1:31" ht="16" customHeight="1" x14ac:dyDescent="0.2">
      <c r="A528" s="2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</row>
    <row r="529" spans="1:31" ht="16" customHeight="1" x14ac:dyDescent="0.2">
      <c r="A529" s="2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</row>
    <row r="530" spans="1:31" ht="16" customHeight="1" x14ac:dyDescent="0.2">
      <c r="A530" s="2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</row>
    <row r="531" spans="1:31" ht="16" customHeight="1" x14ac:dyDescent="0.2">
      <c r="A531" s="2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</row>
    <row r="532" spans="1:31" ht="16" customHeight="1" x14ac:dyDescent="0.2">
      <c r="A532" s="2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</row>
    <row r="533" spans="1:31" ht="16" customHeight="1" x14ac:dyDescent="0.2">
      <c r="A533" s="2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</row>
    <row r="534" spans="1:31" ht="16" customHeight="1" x14ac:dyDescent="0.2">
      <c r="A534" s="2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</row>
    <row r="535" spans="1:31" ht="16" customHeight="1" x14ac:dyDescent="0.2">
      <c r="A535" s="2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</row>
    <row r="536" spans="1:31" ht="16" customHeight="1" x14ac:dyDescent="0.2">
      <c r="A536" s="2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</row>
    <row r="537" spans="1:31" ht="16" customHeight="1" x14ac:dyDescent="0.2">
      <c r="A537" s="2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</row>
    <row r="538" spans="1:31" ht="16" customHeight="1" x14ac:dyDescent="0.2">
      <c r="A538" s="2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</row>
    <row r="539" spans="1:31" ht="16" customHeight="1" x14ac:dyDescent="0.2">
      <c r="A539" s="2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</row>
    <row r="540" spans="1:31" ht="16" customHeight="1" x14ac:dyDescent="0.2">
      <c r="A540" s="2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</row>
    <row r="541" spans="1:31" ht="16" customHeight="1" x14ac:dyDescent="0.2">
      <c r="A541" s="2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</row>
    <row r="542" spans="1:31" ht="16" customHeight="1" x14ac:dyDescent="0.2">
      <c r="A542" s="2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</row>
    <row r="543" spans="1:31" ht="16" customHeight="1" x14ac:dyDescent="0.2">
      <c r="A543" s="2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</row>
    <row r="544" spans="1:31" ht="16" customHeight="1" x14ac:dyDescent="0.2">
      <c r="A544" s="2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</row>
    <row r="545" spans="1:31" ht="16" customHeight="1" x14ac:dyDescent="0.2">
      <c r="A545" s="2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</row>
    <row r="546" spans="1:31" ht="16" customHeight="1" x14ac:dyDescent="0.2">
      <c r="A546" s="2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</row>
    <row r="547" spans="1:31" ht="16" customHeight="1" x14ac:dyDescent="0.2">
      <c r="A547" s="2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</row>
    <row r="548" spans="1:31" ht="16" customHeight="1" x14ac:dyDescent="0.2">
      <c r="A548" s="2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</row>
    <row r="549" spans="1:31" ht="16" customHeight="1" x14ac:dyDescent="0.2">
      <c r="A549" s="2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</row>
    <row r="550" spans="1:31" ht="16" customHeight="1" x14ac:dyDescent="0.2">
      <c r="A550" s="2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</row>
    <row r="551" spans="1:31" ht="16" customHeight="1" x14ac:dyDescent="0.2">
      <c r="A551" s="2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</row>
    <row r="552" spans="1:31" ht="16" customHeight="1" x14ac:dyDescent="0.2">
      <c r="A552" s="2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</row>
    <row r="553" spans="1:31" ht="16" customHeight="1" x14ac:dyDescent="0.2">
      <c r="A553" s="2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</row>
    <row r="554" spans="1:31" ht="16" customHeight="1" x14ac:dyDescent="0.2">
      <c r="A554" s="2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</row>
    <row r="555" spans="1:31" ht="16" customHeight="1" x14ac:dyDescent="0.2">
      <c r="A555" s="2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</row>
    <row r="556" spans="1:31" ht="16" customHeight="1" x14ac:dyDescent="0.2">
      <c r="A556" s="2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</row>
    <row r="557" spans="1:31" ht="16" customHeight="1" x14ac:dyDescent="0.2">
      <c r="A557" s="2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</row>
    <row r="558" spans="1:31" ht="16" customHeight="1" x14ac:dyDescent="0.2">
      <c r="A558" s="2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</row>
    <row r="559" spans="1:31" ht="16" customHeight="1" x14ac:dyDescent="0.2">
      <c r="A559" s="2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</row>
    <row r="560" spans="1:31" ht="16" customHeight="1" x14ac:dyDescent="0.2">
      <c r="A560" s="2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</row>
    <row r="561" spans="1:31" ht="16" customHeight="1" x14ac:dyDescent="0.2">
      <c r="A561" s="2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</row>
    <row r="562" spans="1:31" ht="16" customHeight="1" x14ac:dyDescent="0.2">
      <c r="A562" s="2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</row>
    <row r="563" spans="1:31" ht="16" customHeight="1" x14ac:dyDescent="0.2">
      <c r="A563" s="2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</row>
    <row r="564" spans="1:31" ht="16" customHeight="1" x14ac:dyDescent="0.2">
      <c r="A564" s="2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</row>
    <row r="565" spans="1:31" ht="16" customHeight="1" x14ac:dyDescent="0.2">
      <c r="A565" s="2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</row>
    <row r="566" spans="1:31" ht="16" customHeight="1" x14ac:dyDescent="0.2">
      <c r="A566" s="2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</row>
    <row r="567" spans="1:31" ht="16" customHeight="1" x14ac:dyDescent="0.2">
      <c r="A567" s="2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</row>
    <row r="568" spans="1:31" ht="16" customHeight="1" x14ac:dyDescent="0.2">
      <c r="A568" s="2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</row>
    <row r="569" spans="1:31" ht="16" customHeight="1" x14ac:dyDescent="0.2">
      <c r="A569" s="2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</row>
    <row r="570" spans="1:31" ht="16" customHeight="1" x14ac:dyDescent="0.2">
      <c r="A570" s="2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</row>
    <row r="571" spans="1:31" ht="16" customHeight="1" x14ac:dyDescent="0.2">
      <c r="A571" s="2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</row>
    <row r="572" spans="1:31" ht="16" customHeight="1" x14ac:dyDescent="0.2">
      <c r="A572" s="2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</row>
    <row r="573" spans="1:31" ht="16" customHeight="1" x14ac:dyDescent="0.2">
      <c r="A573" s="2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</row>
    <row r="574" spans="1:31" ht="16" customHeight="1" x14ac:dyDescent="0.2">
      <c r="A574" s="2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</row>
    <row r="575" spans="1:31" ht="16" customHeight="1" x14ac:dyDescent="0.2">
      <c r="A575" s="2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</row>
    <row r="576" spans="1:31" ht="16" customHeight="1" x14ac:dyDescent="0.2">
      <c r="A576" s="2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</row>
    <row r="577" spans="1:31" ht="16" customHeight="1" x14ac:dyDescent="0.2">
      <c r="A577" s="2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</row>
    <row r="578" spans="1:31" ht="16" customHeight="1" x14ac:dyDescent="0.2">
      <c r="A578" s="2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</row>
    <row r="579" spans="1:31" ht="16" customHeight="1" x14ac:dyDescent="0.2">
      <c r="A579" s="2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</row>
    <row r="580" spans="1:31" ht="16" customHeight="1" x14ac:dyDescent="0.2">
      <c r="A580" s="2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</row>
    <row r="581" spans="1:31" ht="16" customHeight="1" x14ac:dyDescent="0.2">
      <c r="A581" s="2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</row>
    <row r="582" spans="1:31" ht="16" customHeight="1" x14ac:dyDescent="0.2">
      <c r="A582" s="2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</row>
    <row r="583" spans="1:31" ht="16" customHeight="1" x14ac:dyDescent="0.2">
      <c r="A583" s="2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</row>
    <row r="584" spans="1:31" ht="16" customHeight="1" x14ac:dyDescent="0.2">
      <c r="A584" s="2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</row>
    <row r="585" spans="1:31" ht="16" customHeight="1" x14ac:dyDescent="0.2">
      <c r="A585" s="2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</row>
    <row r="586" spans="1:31" ht="16" customHeight="1" x14ac:dyDescent="0.2">
      <c r="A586" s="2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</row>
    <row r="587" spans="1:31" ht="16" customHeight="1" x14ac:dyDescent="0.2">
      <c r="A587" s="2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</row>
    <row r="588" spans="1:31" ht="16" customHeight="1" x14ac:dyDescent="0.2">
      <c r="A588" s="2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</row>
    <row r="589" spans="1:31" ht="16" customHeight="1" x14ac:dyDescent="0.2">
      <c r="A589" s="2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</row>
    <row r="590" spans="1:31" ht="16" customHeight="1" x14ac:dyDescent="0.2">
      <c r="A590" s="2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</row>
    <row r="591" spans="1:31" ht="16" customHeight="1" x14ac:dyDescent="0.2">
      <c r="A591" s="2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</row>
    <row r="592" spans="1:31" ht="16" customHeight="1" x14ac:dyDescent="0.2">
      <c r="A592" s="2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</row>
    <row r="593" spans="1:31" ht="16" customHeight="1" x14ac:dyDescent="0.2">
      <c r="A593" s="2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</row>
    <row r="594" spans="1:31" ht="16" customHeight="1" x14ac:dyDescent="0.2">
      <c r="A594" s="2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</row>
    <row r="595" spans="1:31" ht="16" customHeight="1" x14ac:dyDescent="0.2">
      <c r="A595" s="2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</row>
    <row r="596" spans="1:31" ht="16" customHeight="1" x14ac:dyDescent="0.2">
      <c r="A596" s="2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</row>
    <row r="597" spans="1:31" ht="16" customHeight="1" x14ac:dyDescent="0.2">
      <c r="A597" s="2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</row>
    <row r="598" spans="1:31" ht="16" customHeight="1" x14ac:dyDescent="0.2">
      <c r="A598" s="2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</row>
    <row r="599" spans="1:31" ht="16" customHeight="1" x14ac:dyDescent="0.2">
      <c r="A599" s="2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</row>
    <row r="600" spans="1:31" ht="16" customHeight="1" x14ac:dyDescent="0.2">
      <c r="A600" s="2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</row>
    <row r="601" spans="1:31" ht="16" customHeight="1" x14ac:dyDescent="0.2">
      <c r="A601" s="2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</row>
    <row r="602" spans="1:31" ht="16" customHeight="1" x14ac:dyDescent="0.2">
      <c r="A602" s="2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</row>
    <row r="603" spans="1:31" ht="16" customHeight="1" x14ac:dyDescent="0.2">
      <c r="A603" s="2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</row>
    <row r="604" spans="1:31" ht="16" customHeight="1" x14ac:dyDescent="0.2">
      <c r="A604" s="2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</row>
    <row r="605" spans="1:31" ht="16" customHeight="1" x14ac:dyDescent="0.2">
      <c r="A605" s="2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</row>
    <row r="606" spans="1:31" ht="16" customHeight="1" x14ac:dyDescent="0.2">
      <c r="A606" s="2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</row>
    <row r="607" spans="1:31" ht="16" customHeight="1" x14ac:dyDescent="0.2">
      <c r="A607" s="2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</row>
    <row r="608" spans="1:31" ht="16" customHeight="1" x14ac:dyDescent="0.2">
      <c r="A608" s="2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</row>
    <row r="609" spans="1:31" ht="16" customHeight="1" x14ac:dyDescent="0.2">
      <c r="A609" s="2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</row>
    <row r="610" spans="1:31" ht="16" customHeight="1" x14ac:dyDescent="0.2">
      <c r="A610" s="2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</row>
    <row r="611" spans="1:31" ht="16" customHeight="1" x14ac:dyDescent="0.2">
      <c r="A611" s="2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</row>
    <row r="612" spans="1:31" ht="16" customHeight="1" x14ac:dyDescent="0.2">
      <c r="A612" s="2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</row>
    <row r="613" spans="1:31" ht="16" customHeight="1" x14ac:dyDescent="0.2">
      <c r="A613" s="2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</row>
    <row r="614" spans="1:31" ht="16" customHeight="1" x14ac:dyDescent="0.2">
      <c r="A614" s="2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</row>
    <row r="615" spans="1:31" ht="16" customHeight="1" x14ac:dyDescent="0.2">
      <c r="A615" s="2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</row>
    <row r="616" spans="1:31" ht="16" customHeight="1" x14ac:dyDescent="0.2">
      <c r="A616" s="2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</row>
    <row r="617" spans="1:31" ht="16" customHeight="1" x14ac:dyDescent="0.2">
      <c r="A617" s="2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</row>
    <row r="618" spans="1:31" ht="16" customHeight="1" x14ac:dyDescent="0.2">
      <c r="A618" s="2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</row>
    <row r="619" spans="1:31" ht="16" customHeight="1" x14ac:dyDescent="0.2">
      <c r="A619" s="2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</row>
    <row r="620" spans="1:31" ht="16" customHeight="1" x14ac:dyDescent="0.2">
      <c r="A620" s="2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</row>
    <row r="621" spans="1:31" ht="16" customHeight="1" x14ac:dyDescent="0.2">
      <c r="A621" s="2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</row>
    <row r="622" spans="1:31" ht="16" customHeight="1" x14ac:dyDescent="0.2">
      <c r="A622" s="2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</row>
    <row r="623" spans="1:31" ht="16" customHeight="1" x14ac:dyDescent="0.2">
      <c r="A623" s="2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</row>
    <row r="624" spans="1:31" ht="16" customHeight="1" x14ac:dyDescent="0.2">
      <c r="A624" s="2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</row>
    <row r="625" spans="1:31" ht="16" customHeight="1" x14ac:dyDescent="0.2">
      <c r="A625" s="2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</row>
    <row r="626" spans="1:31" ht="16" customHeight="1" x14ac:dyDescent="0.2">
      <c r="A626" s="2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</row>
    <row r="627" spans="1:31" ht="16" customHeight="1" x14ac:dyDescent="0.2">
      <c r="A627" s="2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</row>
    <row r="628" spans="1:31" ht="16" customHeight="1" x14ac:dyDescent="0.2">
      <c r="A628" s="2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</row>
    <row r="629" spans="1:31" ht="16" customHeight="1" x14ac:dyDescent="0.2">
      <c r="A629" s="2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</row>
    <row r="630" spans="1:31" ht="16" customHeight="1" x14ac:dyDescent="0.2">
      <c r="A630" s="2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</row>
    <row r="631" spans="1:31" ht="16" customHeight="1" x14ac:dyDescent="0.2">
      <c r="A631" s="2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</row>
    <row r="632" spans="1:31" ht="16" customHeight="1" x14ac:dyDescent="0.2">
      <c r="A632" s="2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</row>
    <row r="633" spans="1:31" ht="16" customHeight="1" x14ac:dyDescent="0.2">
      <c r="A633" s="2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</row>
    <row r="634" spans="1:31" ht="16" customHeight="1" x14ac:dyDescent="0.2">
      <c r="A634" s="2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</row>
    <row r="635" spans="1:31" ht="16" customHeight="1" x14ac:dyDescent="0.2">
      <c r="A635" s="2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</row>
    <row r="636" spans="1:31" ht="16" customHeight="1" x14ac:dyDescent="0.2">
      <c r="A636" s="2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</row>
    <row r="637" spans="1:31" ht="16" customHeight="1" x14ac:dyDescent="0.2">
      <c r="A637" s="2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</row>
    <row r="638" spans="1:31" ht="16" customHeight="1" x14ac:dyDescent="0.2">
      <c r="A638" s="2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</row>
    <row r="639" spans="1:31" ht="16" customHeight="1" x14ac:dyDescent="0.2">
      <c r="A639" s="2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</row>
    <row r="640" spans="1:31" ht="16" customHeight="1" x14ac:dyDescent="0.2">
      <c r="A640" s="2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</row>
    <row r="641" spans="1:31" ht="16" customHeight="1" x14ac:dyDescent="0.2">
      <c r="A641" s="2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</row>
    <row r="642" spans="1:31" ht="16" customHeight="1" x14ac:dyDescent="0.2">
      <c r="A642" s="2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</row>
    <row r="643" spans="1:31" ht="16" customHeight="1" x14ac:dyDescent="0.2">
      <c r="A643" s="2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</row>
    <row r="644" spans="1:31" ht="16" customHeight="1" x14ac:dyDescent="0.2">
      <c r="A644" s="2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</row>
    <row r="645" spans="1:31" ht="16" customHeight="1" x14ac:dyDescent="0.2">
      <c r="A645" s="2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</row>
    <row r="646" spans="1:31" ht="16" customHeight="1" x14ac:dyDescent="0.2">
      <c r="A646" s="2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</row>
    <row r="647" spans="1:31" ht="16" customHeight="1" x14ac:dyDescent="0.2">
      <c r="A647" s="2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</row>
    <row r="648" spans="1:31" ht="16" customHeight="1" x14ac:dyDescent="0.2">
      <c r="A648" s="2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</row>
    <row r="649" spans="1:31" ht="16" customHeight="1" x14ac:dyDescent="0.2">
      <c r="A649" s="2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</row>
    <row r="650" spans="1:31" ht="16" customHeight="1" x14ac:dyDescent="0.2">
      <c r="A650" s="2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</row>
    <row r="651" spans="1:31" ht="16" customHeight="1" x14ac:dyDescent="0.2">
      <c r="A651" s="2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</row>
    <row r="652" spans="1:31" ht="16" customHeight="1" x14ac:dyDescent="0.2">
      <c r="A652" s="2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</row>
    <row r="653" spans="1:31" ht="16" customHeight="1" x14ac:dyDescent="0.2">
      <c r="A653" s="2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</row>
    <row r="654" spans="1:31" ht="16" customHeight="1" x14ac:dyDescent="0.2">
      <c r="A654" s="2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</row>
    <row r="655" spans="1:31" ht="16" customHeight="1" x14ac:dyDescent="0.2">
      <c r="A655" s="2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</row>
    <row r="656" spans="1:31" ht="16" customHeight="1" x14ac:dyDescent="0.2">
      <c r="A656" s="2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</row>
    <row r="657" spans="1:31" ht="16" customHeight="1" x14ac:dyDescent="0.2">
      <c r="A657" s="2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</row>
    <row r="658" spans="1:31" ht="16" customHeight="1" x14ac:dyDescent="0.2">
      <c r="A658" s="2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</row>
    <row r="659" spans="1:31" ht="16" customHeight="1" x14ac:dyDescent="0.2">
      <c r="A659" s="2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</row>
    <row r="660" spans="1:31" ht="16" customHeight="1" x14ac:dyDescent="0.2">
      <c r="A660" s="2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</row>
    <row r="661" spans="1:31" ht="16" customHeight="1" x14ac:dyDescent="0.2">
      <c r="A661" s="2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</row>
    <row r="662" spans="1:31" ht="16" customHeight="1" x14ac:dyDescent="0.2">
      <c r="A662" s="2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</row>
    <row r="663" spans="1:31" ht="16" customHeight="1" x14ac:dyDescent="0.2">
      <c r="A663" s="2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</row>
    <row r="664" spans="1:31" ht="16" customHeight="1" x14ac:dyDescent="0.2">
      <c r="A664" s="2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</row>
    <row r="665" spans="1:31" ht="16" customHeight="1" x14ac:dyDescent="0.2">
      <c r="A665" s="2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</row>
    <row r="666" spans="1:31" ht="16" customHeight="1" x14ac:dyDescent="0.2">
      <c r="A666" s="2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</row>
    <row r="667" spans="1:31" ht="16" customHeight="1" x14ac:dyDescent="0.2">
      <c r="A667" s="2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</row>
    <row r="668" spans="1:31" ht="16" customHeight="1" x14ac:dyDescent="0.2">
      <c r="A668" s="2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</row>
    <row r="669" spans="1:31" ht="16" customHeight="1" x14ac:dyDescent="0.2">
      <c r="A669" s="2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</row>
    <row r="670" spans="1:31" ht="16" customHeight="1" x14ac:dyDescent="0.2">
      <c r="A670" s="2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</row>
    <row r="671" spans="1:31" ht="16" customHeight="1" x14ac:dyDescent="0.2">
      <c r="A671" s="2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</row>
    <row r="672" spans="1:31" ht="16" customHeight="1" x14ac:dyDescent="0.2">
      <c r="A672" s="2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</row>
    <row r="673" spans="1:31" ht="16" customHeight="1" x14ac:dyDescent="0.2">
      <c r="A673" s="2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</row>
    <row r="674" spans="1:31" ht="16" customHeight="1" x14ac:dyDescent="0.2">
      <c r="A674" s="2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</row>
    <row r="675" spans="1:31" ht="16" customHeight="1" x14ac:dyDescent="0.2">
      <c r="A675" s="2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</row>
    <row r="676" spans="1:31" ht="16" customHeight="1" x14ac:dyDescent="0.2">
      <c r="A676" s="2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</row>
    <row r="677" spans="1:31" ht="16" customHeight="1" x14ac:dyDescent="0.2">
      <c r="A677" s="2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</row>
    <row r="678" spans="1:31" ht="16" customHeight="1" x14ac:dyDescent="0.2">
      <c r="A678" s="2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</row>
    <row r="679" spans="1:31" ht="16" customHeight="1" x14ac:dyDescent="0.2">
      <c r="A679" s="2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</row>
    <row r="680" spans="1:31" ht="16" customHeight="1" x14ac:dyDescent="0.2">
      <c r="A680" s="2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</row>
    <row r="681" spans="1:31" ht="16" customHeight="1" x14ac:dyDescent="0.2">
      <c r="A681" s="2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</row>
    <row r="682" spans="1:31" ht="16" customHeight="1" x14ac:dyDescent="0.2">
      <c r="A682" s="2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</row>
    <row r="683" spans="1:31" ht="16" customHeight="1" x14ac:dyDescent="0.2">
      <c r="A683" s="2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</row>
    <row r="684" spans="1:31" ht="16" customHeight="1" x14ac:dyDescent="0.2">
      <c r="A684" s="2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</row>
    <row r="685" spans="1:31" ht="16" customHeight="1" x14ac:dyDescent="0.2">
      <c r="A685" s="2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</row>
    <row r="686" spans="1:31" ht="16" customHeight="1" x14ac:dyDescent="0.2">
      <c r="A686" s="2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</row>
    <row r="687" spans="1:31" ht="16" customHeight="1" x14ac:dyDescent="0.2">
      <c r="A687" s="2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</row>
    <row r="688" spans="1:31" ht="16" customHeight="1" x14ac:dyDescent="0.2">
      <c r="A688" s="2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</row>
    <row r="689" spans="1:31" ht="16" customHeight="1" x14ac:dyDescent="0.2">
      <c r="A689" s="2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</row>
    <row r="690" spans="1:31" ht="16" customHeight="1" x14ac:dyDescent="0.2">
      <c r="A690" s="2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</row>
    <row r="691" spans="1:31" ht="16" customHeight="1" x14ac:dyDescent="0.2">
      <c r="A691" s="2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</row>
    <row r="692" spans="1:31" ht="16" customHeight="1" x14ac:dyDescent="0.2">
      <c r="A692" s="2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</row>
    <row r="693" spans="1:31" ht="16" customHeight="1" x14ac:dyDescent="0.2">
      <c r="A693" s="2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</row>
    <row r="694" spans="1:31" ht="16" customHeight="1" x14ac:dyDescent="0.2">
      <c r="A694" s="2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</row>
    <row r="695" spans="1:31" ht="16" customHeight="1" x14ac:dyDescent="0.2">
      <c r="A695" s="2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</row>
    <row r="696" spans="1:31" ht="16" customHeight="1" x14ac:dyDescent="0.2">
      <c r="A696" s="2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</row>
    <row r="697" spans="1:31" ht="16" customHeight="1" x14ac:dyDescent="0.2">
      <c r="A697" s="2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</row>
    <row r="698" spans="1:31" ht="16" customHeight="1" x14ac:dyDescent="0.2">
      <c r="A698" s="2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</row>
    <row r="699" spans="1:31" ht="16" customHeight="1" x14ac:dyDescent="0.2">
      <c r="A699" s="2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</row>
    <row r="700" spans="1:31" ht="16" customHeight="1" x14ac:dyDescent="0.2">
      <c r="A700" s="2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</row>
    <row r="701" spans="1:31" ht="16" customHeight="1" x14ac:dyDescent="0.2">
      <c r="A701" s="2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</row>
    <row r="702" spans="1:31" ht="16" customHeight="1" x14ac:dyDescent="0.2">
      <c r="A702" s="2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</row>
    <row r="703" spans="1:31" ht="16" customHeight="1" x14ac:dyDescent="0.2">
      <c r="A703" s="2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</row>
    <row r="704" spans="1:31" ht="16" customHeight="1" x14ac:dyDescent="0.2">
      <c r="A704" s="2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</row>
    <row r="705" spans="1:31" ht="16" customHeight="1" x14ac:dyDescent="0.2">
      <c r="A705" s="2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</row>
    <row r="706" spans="1:31" ht="16" customHeight="1" x14ac:dyDescent="0.2">
      <c r="A706" s="2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</row>
    <row r="707" spans="1:31" ht="16" customHeight="1" x14ac:dyDescent="0.2">
      <c r="A707" s="2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</row>
    <row r="708" spans="1:31" ht="16" customHeight="1" x14ac:dyDescent="0.2">
      <c r="A708" s="2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</row>
    <row r="709" spans="1:31" ht="16" customHeight="1" x14ac:dyDescent="0.2">
      <c r="A709" s="2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</row>
    <row r="710" spans="1:31" ht="16" customHeight="1" x14ac:dyDescent="0.2">
      <c r="A710" s="2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</row>
    <row r="711" spans="1:31" ht="16" customHeight="1" x14ac:dyDescent="0.2">
      <c r="A711" s="2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</row>
    <row r="712" spans="1:31" ht="16" customHeight="1" x14ac:dyDescent="0.2">
      <c r="A712" s="2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</row>
    <row r="713" spans="1:31" ht="16" customHeight="1" x14ac:dyDescent="0.2">
      <c r="A713" s="2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</row>
    <row r="714" spans="1:31" ht="16" customHeight="1" x14ac:dyDescent="0.2">
      <c r="A714" s="2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</row>
    <row r="715" spans="1:31" ht="16" customHeight="1" x14ac:dyDescent="0.2">
      <c r="A715" s="2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</row>
    <row r="716" spans="1:31" ht="16" customHeight="1" x14ac:dyDescent="0.2">
      <c r="A716" s="2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</row>
    <row r="717" spans="1:31" ht="16" customHeight="1" x14ac:dyDescent="0.2">
      <c r="A717" s="2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</row>
    <row r="718" spans="1:31" ht="16" customHeight="1" x14ac:dyDescent="0.2">
      <c r="A718" s="2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</row>
    <row r="719" spans="1:31" ht="16" customHeight="1" x14ac:dyDescent="0.2">
      <c r="A719" s="2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</row>
    <row r="720" spans="1:31" ht="16" customHeight="1" x14ac:dyDescent="0.2">
      <c r="A720" s="2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</row>
    <row r="721" spans="1:31" ht="16" customHeight="1" x14ac:dyDescent="0.2">
      <c r="A721" s="2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</row>
    <row r="722" spans="1:31" ht="16" customHeight="1" x14ac:dyDescent="0.2">
      <c r="A722" s="2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</row>
    <row r="723" spans="1:31" ht="16" customHeight="1" x14ac:dyDescent="0.2">
      <c r="A723" s="2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</row>
    <row r="724" spans="1:31" ht="16" customHeight="1" x14ac:dyDescent="0.2">
      <c r="A724" s="2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</row>
    <row r="725" spans="1:31" ht="16" customHeight="1" x14ac:dyDescent="0.2">
      <c r="A725" s="2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</row>
    <row r="726" spans="1:31" ht="16" customHeight="1" x14ac:dyDescent="0.2">
      <c r="A726" s="2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</row>
    <row r="727" spans="1:31" ht="16" customHeight="1" x14ac:dyDescent="0.2">
      <c r="A727" s="2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</row>
    <row r="728" spans="1:31" ht="16" customHeight="1" x14ac:dyDescent="0.2">
      <c r="A728" s="2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</row>
    <row r="729" spans="1:31" ht="16" customHeight="1" x14ac:dyDescent="0.2">
      <c r="A729" s="2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</row>
    <row r="730" spans="1:31" ht="16" customHeight="1" x14ac:dyDescent="0.2">
      <c r="A730" s="2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</row>
    <row r="731" spans="1:31" ht="16" customHeight="1" x14ac:dyDescent="0.2">
      <c r="A731" s="2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</row>
    <row r="732" spans="1:31" ht="16" customHeight="1" x14ac:dyDescent="0.2">
      <c r="A732" s="2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</row>
    <row r="733" spans="1:31" ht="16" customHeight="1" x14ac:dyDescent="0.2">
      <c r="A733" s="2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</row>
    <row r="734" spans="1:31" ht="16" customHeight="1" x14ac:dyDescent="0.2">
      <c r="A734" s="2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</row>
    <row r="735" spans="1:31" ht="16" customHeight="1" x14ac:dyDescent="0.2">
      <c r="A735" s="2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</row>
    <row r="736" spans="1:31" ht="16" customHeight="1" x14ac:dyDescent="0.2">
      <c r="A736" s="2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</row>
    <row r="737" spans="1:31" ht="16" customHeight="1" x14ac:dyDescent="0.2">
      <c r="A737" s="2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</row>
    <row r="738" spans="1:31" ht="16" customHeight="1" x14ac:dyDescent="0.2">
      <c r="A738" s="2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</row>
    <row r="739" spans="1:31" ht="16" customHeight="1" x14ac:dyDescent="0.2">
      <c r="A739" s="2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</row>
    <row r="740" spans="1:31" ht="16" customHeight="1" x14ac:dyDescent="0.2">
      <c r="A740" s="2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</row>
    <row r="741" spans="1:31" ht="16" customHeight="1" x14ac:dyDescent="0.2">
      <c r="A741" s="2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</row>
    <row r="742" spans="1:31" ht="16" customHeight="1" x14ac:dyDescent="0.2">
      <c r="A742" s="2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</row>
    <row r="743" spans="1:31" ht="16" customHeight="1" x14ac:dyDescent="0.2">
      <c r="A743" s="2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</row>
    <row r="744" spans="1:31" ht="16" customHeight="1" x14ac:dyDescent="0.2">
      <c r="A744" s="2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</row>
    <row r="745" spans="1:31" ht="16" customHeight="1" x14ac:dyDescent="0.2">
      <c r="A745" s="2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</row>
    <row r="746" spans="1:31" ht="16" customHeight="1" x14ac:dyDescent="0.2">
      <c r="A746" s="2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</row>
    <row r="747" spans="1:31" ht="16" customHeight="1" x14ac:dyDescent="0.2">
      <c r="A747" s="2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</row>
    <row r="748" spans="1:31" ht="16" customHeight="1" x14ac:dyDescent="0.2">
      <c r="A748" s="2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</row>
    <row r="749" spans="1:31" ht="16" customHeight="1" x14ac:dyDescent="0.2">
      <c r="A749" s="2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</row>
    <row r="750" spans="1:31" ht="16" customHeight="1" x14ac:dyDescent="0.2">
      <c r="A750" s="2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</row>
    <row r="751" spans="1:31" ht="16" customHeight="1" x14ac:dyDescent="0.2">
      <c r="A751" s="2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</row>
    <row r="752" spans="1:31" ht="16" customHeight="1" x14ac:dyDescent="0.2">
      <c r="A752" s="2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</row>
    <row r="753" spans="1:31" ht="16" customHeight="1" x14ac:dyDescent="0.2">
      <c r="A753" s="2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</row>
    <row r="754" spans="1:31" ht="16" customHeight="1" x14ac:dyDescent="0.2">
      <c r="A754" s="2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</row>
    <row r="755" spans="1:31" ht="16" customHeight="1" x14ac:dyDescent="0.2">
      <c r="A755" s="2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</row>
    <row r="756" spans="1:31" ht="16" customHeight="1" x14ac:dyDescent="0.2">
      <c r="A756" s="2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</row>
    <row r="757" spans="1:31" ht="16" customHeight="1" x14ac:dyDescent="0.2">
      <c r="A757" s="2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</row>
    <row r="758" spans="1:31" ht="16" customHeight="1" x14ac:dyDescent="0.2">
      <c r="A758" s="2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</row>
    <row r="759" spans="1:31" ht="16" customHeight="1" x14ac:dyDescent="0.2">
      <c r="A759" s="2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</row>
    <row r="760" spans="1:31" ht="16" customHeight="1" x14ac:dyDescent="0.2">
      <c r="A760" s="2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</row>
    <row r="761" spans="1:31" ht="16" customHeight="1" x14ac:dyDescent="0.2">
      <c r="A761" s="2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</row>
    <row r="762" spans="1:31" ht="16" customHeight="1" x14ac:dyDescent="0.2">
      <c r="A762" s="2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</row>
    <row r="763" spans="1:31" ht="16" customHeight="1" x14ac:dyDescent="0.2">
      <c r="A763" s="2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</row>
    <row r="764" spans="1:31" ht="16" customHeight="1" x14ac:dyDescent="0.2">
      <c r="A764" s="2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</row>
    <row r="765" spans="1:31" ht="16" customHeight="1" x14ac:dyDescent="0.2">
      <c r="A765" s="2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</row>
    <row r="766" spans="1:31" ht="16" customHeight="1" x14ac:dyDescent="0.2">
      <c r="A766" s="2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</row>
    <row r="767" spans="1:31" ht="16" customHeight="1" x14ac:dyDescent="0.2">
      <c r="A767" s="2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</row>
    <row r="768" spans="1:31" ht="16" customHeight="1" x14ac:dyDescent="0.2">
      <c r="A768" s="2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</row>
    <row r="769" spans="1:31" ht="16" customHeight="1" x14ac:dyDescent="0.2">
      <c r="A769" s="2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</row>
    <row r="770" spans="1:31" ht="16" customHeight="1" x14ac:dyDescent="0.2">
      <c r="A770" s="2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</row>
    <row r="771" spans="1:31" ht="16" customHeight="1" x14ac:dyDescent="0.2">
      <c r="A771" s="2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</row>
    <row r="772" spans="1:31" ht="16" customHeight="1" x14ac:dyDescent="0.2">
      <c r="A772" s="2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</row>
    <row r="773" spans="1:31" ht="16" customHeight="1" x14ac:dyDescent="0.2">
      <c r="A773" s="2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</row>
    <row r="774" spans="1:31" ht="16" customHeight="1" x14ac:dyDescent="0.2">
      <c r="A774" s="2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</row>
    <row r="775" spans="1:31" ht="16" customHeight="1" x14ac:dyDescent="0.2">
      <c r="A775" s="2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</row>
    <row r="776" spans="1:31" ht="16" customHeight="1" x14ac:dyDescent="0.2">
      <c r="A776" s="2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</row>
    <row r="777" spans="1:31" ht="16" customHeight="1" x14ac:dyDescent="0.2">
      <c r="A777" s="2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</row>
    <row r="778" spans="1:31" ht="16" customHeight="1" x14ac:dyDescent="0.2">
      <c r="A778" s="2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</row>
    <row r="779" spans="1:31" ht="16" customHeight="1" x14ac:dyDescent="0.2">
      <c r="A779" s="2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</row>
    <row r="780" spans="1:31" ht="16" customHeight="1" x14ac:dyDescent="0.2">
      <c r="A780" s="2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</row>
    <row r="781" spans="1:31" ht="16" customHeight="1" x14ac:dyDescent="0.2">
      <c r="A781" s="2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</row>
    <row r="782" spans="1:31" ht="16" customHeight="1" x14ac:dyDescent="0.2">
      <c r="A782" s="2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</row>
    <row r="783" spans="1:31" ht="16" customHeight="1" x14ac:dyDescent="0.2">
      <c r="A783" s="2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</row>
    <row r="784" spans="1:31" ht="16" customHeight="1" x14ac:dyDescent="0.2">
      <c r="A784" s="2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</row>
    <row r="785" spans="1:31" ht="16" customHeight="1" x14ac:dyDescent="0.2">
      <c r="A785" s="2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</row>
    <row r="786" spans="1:31" ht="16" customHeight="1" x14ac:dyDescent="0.2">
      <c r="A786" s="2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</row>
    <row r="787" spans="1:31" ht="16" customHeight="1" x14ac:dyDescent="0.2">
      <c r="A787" s="2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</row>
    <row r="788" spans="1:31" ht="16" customHeight="1" x14ac:dyDescent="0.2">
      <c r="A788" s="2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</row>
    <row r="789" spans="1:31" ht="16" customHeight="1" x14ac:dyDescent="0.2">
      <c r="A789" s="2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</row>
    <row r="790" spans="1:31" ht="16" customHeight="1" x14ac:dyDescent="0.2">
      <c r="A790" s="2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</row>
    <row r="791" spans="1:31" ht="16" customHeight="1" x14ac:dyDescent="0.2">
      <c r="A791" s="2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</row>
    <row r="792" spans="1:31" ht="16" customHeight="1" x14ac:dyDescent="0.2">
      <c r="A792" s="2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</row>
    <row r="793" spans="1:31" ht="16" customHeight="1" x14ac:dyDescent="0.2">
      <c r="A793" s="2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</row>
    <row r="794" spans="1:31" ht="16" customHeight="1" x14ac:dyDescent="0.2">
      <c r="A794" s="2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</row>
    <row r="795" spans="1:31" ht="16" customHeight="1" x14ac:dyDescent="0.2">
      <c r="A795" s="2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</row>
    <row r="796" spans="1:31" ht="16" customHeight="1" x14ac:dyDescent="0.2">
      <c r="A796" s="2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</row>
    <row r="797" spans="1:31" ht="16" customHeight="1" x14ac:dyDescent="0.2">
      <c r="A797" s="2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</row>
    <row r="798" spans="1:31" ht="16" customHeight="1" x14ac:dyDescent="0.2">
      <c r="A798" s="2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</row>
    <row r="799" spans="1:31" ht="16" customHeight="1" x14ac:dyDescent="0.2">
      <c r="A799" s="2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</row>
    <row r="800" spans="1:31" ht="16" customHeight="1" x14ac:dyDescent="0.2">
      <c r="A800" s="2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</row>
    <row r="801" spans="1:31" ht="16" customHeight="1" x14ac:dyDescent="0.2">
      <c r="A801" s="2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</row>
    <row r="802" spans="1:31" ht="16" customHeight="1" x14ac:dyDescent="0.2">
      <c r="A802" s="2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</row>
    <row r="803" spans="1:31" ht="16" customHeight="1" x14ac:dyDescent="0.2">
      <c r="A803" s="2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</row>
    <row r="804" spans="1:31" ht="16" customHeight="1" x14ac:dyDescent="0.2">
      <c r="A804" s="2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</row>
    <row r="805" spans="1:31" ht="16" customHeight="1" x14ac:dyDescent="0.2">
      <c r="A805" s="2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</row>
    <row r="806" spans="1:31" ht="16" customHeight="1" x14ac:dyDescent="0.2">
      <c r="A806" s="2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</row>
    <row r="807" spans="1:31" ht="16" customHeight="1" x14ac:dyDescent="0.2">
      <c r="A807" s="2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</row>
    <row r="808" spans="1:31" ht="16" customHeight="1" x14ac:dyDescent="0.2">
      <c r="A808" s="2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</row>
    <row r="809" spans="1:31" ht="16" customHeight="1" x14ac:dyDescent="0.2">
      <c r="A809" s="2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</row>
    <row r="810" spans="1:31" ht="16" customHeight="1" x14ac:dyDescent="0.2">
      <c r="A810" s="2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</row>
    <row r="811" spans="1:31" ht="16" customHeight="1" x14ac:dyDescent="0.2">
      <c r="A811" s="2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</row>
    <row r="812" spans="1:31" ht="16" customHeight="1" x14ac:dyDescent="0.2">
      <c r="A812" s="2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</row>
    <row r="813" spans="1:31" ht="16" customHeight="1" x14ac:dyDescent="0.2">
      <c r="A813" s="2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</row>
    <row r="814" spans="1:31" ht="16" customHeight="1" x14ac:dyDescent="0.2">
      <c r="A814" s="2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</row>
    <row r="815" spans="1:31" ht="16" customHeight="1" x14ac:dyDescent="0.2">
      <c r="A815" s="2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</row>
    <row r="816" spans="1:31" ht="16" customHeight="1" x14ac:dyDescent="0.2">
      <c r="A816" s="2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</row>
    <row r="817" spans="1:31" ht="16" customHeight="1" x14ac:dyDescent="0.2">
      <c r="A817" s="2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</row>
    <row r="818" spans="1:31" ht="16" customHeight="1" x14ac:dyDescent="0.2">
      <c r="A818" s="2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</row>
    <row r="819" spans="1:31" ht="16" customHeight="1" x14ac:dyDescent="0.2">
      <c r="A819" s="2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</row>
    <row r="820" spans="1:31" ht="16" customHeight="1" x14ac:dyDescent="0.2">
      <c r="A820" s="2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</row>
    <row r="821" spans="1:31" ht="16" customHeight="1" x14ac:dyDescent="0.2">
      <c r="A821" s="2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</row>
    <row r="822" spans="1:31" ht="16" customHeight="1" x14ac:dyDescent="0.2">
      <c r="A822" s="2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</row>
    <row r="823" spans="1:31" ht="16" customHeight="1" x14ac:dyDescent="0.2">
      <c r="A823" s="2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</row>
    <row r="824" spans="1:31" ht="16" customHeight="1" x14ac:dyDescent="0.2">
      <c r="A824" s="2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</row>
    <row r="825" spans="1:31" ht="16" customHeight="1" x14ac:dyDescent="0.2">
      <c r="A825" s="2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</row>
    <row r="826" spans="1:31" ht="16" customHeight="1" x14ac:dyDescent="0.2">
      <c r="A826" s="2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</row>
    <row r="827" spans="1:31" ht="16" customHeight="1" x14ac:dyDescent="0.2">
      <c r="A827" s="2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</row>
    <row r="828" spans="1:31" ht="16" customHeight="1" x14ac:dyDescent="0.2">
      <c r="A828" s="2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</row>
    <row r="829" spans="1:31" ht="16" customHeight="1" x14ac:dyDescent="0.2">
      <c r="A829" s="2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</row>
    <row r="830" spans="1:31" ht="16" customHeight="1" x14ac:dyDescent="0.2">
      <c r="A830" s="2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</row>
    <row r="831" spans="1:31" ht="16" customHeight="1" x14ac:dyDescent="0.2">
      <c r="A831" s="2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</row>
    <row r="832" spans="1:31" ht="16" customHeight="1" x14ac:dyDescent="0.2">
      <c r="A832" s="2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</row>
    <row r="833" spans="1:31" ht="16" customHeight="1" x14ac:dyDescent="0.2">
      <c r="A833" s="2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</row>
    <row r="834" spans="1:31" ht="16" customHeight="1" x14ac:dyDescent="0.2">
      <c r="A834" s="2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</row>
    <row r="835" spans="1:31" ht="16" customHeight="1" x14ac:dyDescent="0.2">
      <c r="A835" s="2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</row>
    <row r="836" spans="1:31" ht="16" customHeight="1" x14ac:dyDescent="0.2">
      <c r="A836" s="2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</row>
    <row r="837" spans="1:31" ht="16" customHeight="1" x14ac:dyDescent="0.2">
      <c r="A837" s="2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</row>
    <row r="838" spans="1:31" ht="16" customHeight="1" x14ac:dyDescent="0.2">
      <c r="A838" s="2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</row>
    <row r="839" spans="1:31" ht="16" customHeight="1" x14ac:dyDescent="0.2">
      <c r="A839" s="2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</row>
    <row r="840" spans="1:31" ht="16" customHeight="1" x14ac:dyDescent="0.2">
      <c r="A840" s="2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</row>
    <row r="841" spans="1:31" ht="16" customHeight="1" x14ac:dyDescent="0.2">
      <c r="A841" s="2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</row>
    <row r="842" spans="1:31" ht="16" customHeight="1" x14ac:dyDescent="0.2">
      <c r="A842" s="2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</row>
    <row r="843" spans="1:31" ht="16" customHeight="1" x14ac:dyDescent="0.2">
      <c r="A843" s="2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</row>
    <row r="844" spans="1:31" ht="16" customHeight="1" x14ac:dyDescent="0.2">
      <c r="A844" s="2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</row>
    <row r="845" spans="1:31" ht="16" customHeight="1" x14ac:dyDescent="0.2">
      <c r="A845" s="2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</row>
    <row r="846" spans="1:31" ht="16" customHeight="1" x14ac:dyDescent="0.2">
      <c r="A846" s="2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</row>
    <row r="847" spans="1:31" ht="16" customHeight="1" x14ac:dyDescent="0.2">
      <c r="A847" s="2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</row>
    <row r="848" spans="1:31" ht="16" customHeight="1" x14ac:dyDescent="0.2">
      <c r="A848" s="2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</row>
    <row r="849" spans="1:31" ht="16" customHeight="1" x14ac:dyDescent="0.2">
      <c r="A849" s="2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</row>
    <row r="850" spans="1:31" ht="16" customHeight="1" x14ac:dyDescent="0.2">
      <c r="A850" s="2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</row>
    <row r="851" spans="1:31" ht="16" customHeight="1" x14ac:dyDescent="0.2">
      <c r="A851" s="2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</row>
    <row r="852" spans="1:31" ht="16" customHeight="1" x14ac:dyDescent="0.2">
      <c r="A852" s="2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</row>
    <row r="853" spans="1:31" ht="16" customHeight="1" x14ac:dyDescent="0.2">
      <c r="A853" s="2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</row>
    <row r="854" spans="1:31" ht="16" customHeight="1" x14ac:dyDescent="0.2">
      <c r="A854" s="2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</row>
    <row r="855" spans="1:31" ht="16" customHeight="1" x14ac:dyDescent="0.2">
      <c r="A855" s="2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</row>
    <row r="856" spans="1:31" ht="16" customHeight="1" x14ac:dyDescent="0.2">
      <c r="A856" s="2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</row>
    <row r="857" spans="1:31" ht="16" customHeight="1" x14ac:dyDescent="0.2">
      <c r="A857" s="2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</row>
    <row r="858" spans="1:31" ht="16" customHeight="1" x14ac:dyDescent="0.2">
      <c r="A858" s="2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</row>
    <row r="859" spans="1:31" ht="16" customHeight="1" x14ac:dyDescent="0.2">
      <c r="A859" s="2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</row>
    <row r="860" spans="1:31" ht="16" customHeight="1" x14ac:dyDescent="0.2">
      <c r="A860" s="2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</row>
    <row r="861" spans="1:31" ht="16" customHeight="1" x14ac:dyDescent="0.2">
      <c r="A861" s="2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</row>
    <row r="862" spans="1:31" ht="16" customHeight="1" x14ac:dyDescent="0.2">
      <c r="A862" s="2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</row>
    <row r="863" spans="1:31" ht="16" customHeight="1" x14ac:dyDescent="0.2">
      <c r="A863" s="2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</row>
    <row r="864" spans="1:31" ht="16" customHeight="1" x14ac:dyDescent="0.2">
      <c r="A864" s="2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</row>
    <row r="865" spans="1:31" ht="16" customHeight="1" x14ac:dyDescent="0.2">
      <c r="A865" s="2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</row>
    <row r="866" spans="1:31" ht="16" customHeight="1" x14ac:dyDescent="0.2">
      <c r="A866" s="2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</row>
    <row r="867" spans="1:31" ht="16" customHeight="1" x14ac:dyDescent="0.2">
      <c r="A867" s="2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</row>
    <row r="868" spans="1:31" ht="16" customHeight="1" x14ac:dyDescent="0.2">
      <c r="A868" s="2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</row>
    <row r="869" spans="1:31" ht="16" customHeight="1" x14ac:dyDescent="0.2">
      <c r="A869" s="2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</row>
    <row r="870" spans="1:31" ht="16" customHeight="1" x14ac:dyDescent="0.2">
      <c r="A870" s="2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</row>
    <row r="871" spans="1:31" ht="16" customHeight="1" x14ac:dyDescent="0.2">
      <c r="A871" s="2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</row>
    <row r="872" spans="1:31" ht="16" customHeight="1" x14ac:dyDescent="0.2">
      <c r="A872" s="2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</row>
    <row r="873" spans="1:31" ht="16" customHeight="1" x14ac:dyDescent="0.2">
      <c r="A873" s="2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</row>
    <row r="874" spans="1:31" ht="16" customHeight="1" x14ac:dyDescent="0.2">
      <c r="A874" s="2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</row>
    <row r="875" spans="1:31" ht="16" customHeight="1" x14ac:dyDescent="0.2">
      <c r="A875" s="2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</row>
    <row r="876" spans="1:31" ht="16" customHeight="1" x14ac:dyDescent="0.2">
      <c r="A876" s="2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</row>
    <row r="877" spans="1:31" ht="16" customHeight="1" x14ac:dyDescent="0.2">
      <c r="A877" s="2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</row>
    <row r="878" spans="1:31" ht="16" customHeight="1" x14ac:dyDescent="0.2">
      <c r="A878" s="2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</row>
    <row r="879" spans="1:31" ht="16" customHeight="1" x14ac:dyDescent="0.2">
      <c r="A879" s="2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</row>
    <row r="880" spans="1:31" ht="16" customHeight="1" x14ac:dyDescent="0.2">
      <c r="A880" s="2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</row>
    <row r="881" spans="1:31" ht="16" customHeight="1" x14ac:dyDescent="0.2">
      <c r="A881" s="2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</row>
    <row r="882" spans="1:31" ht="16" customHeight="1" x14ac:dyDescent="0.2">
      <c r="A882" s="2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</row>
    <row r="883" spans="1:31" ht="16" customHeight="1" x14ac:dyDescent="0.2">
      <c r="A883" s="2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</row>
    <row r="884" spans="1:31" ht="16" customHeight="1" x14ac:dyDescent="0.2">
      <c r="A884" s="2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</row>
    <row r="885" spans="1:31" ht="16" customHeight="1" x14ac:dyDescent="0.2">
      <c r="A885" s="2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</row>
    <row r="886" spans="1:31" ht="16" customHeight="1" x14ac:dyDescent="0.2">
      <c r="A886" s="2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</row>
    <row r="887" spans="1:31" ht="16" customHeight="1" x14ac:dyDescent="0.2">
      <c r="A887" s="2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</row>
    <row r="888" spans="1:31" ht="16" customHeight="1" x14ac:dyDescent="0.2">
      <c r="A888" s="2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</row>
    <row r="889" spans="1:31" ht="16" customHeight="1" x14ac:dyDescent="0.2">
      <c r="A889" s="2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</row>
    <row r="890" spans="1:31" ht="16" customHeight="1" x14ac:dyDescent="0.2">
      <c r="A890" s="2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</row>
    <row r="891" spans="1:31" ht="16" customHeight="1" x14ac:dyDescent="0.2">
      <c r="A891" s="2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</row>
    <row r="892" spans="1:31" ht="16" customHeight="1" x14ac:dyDescent="0.2">
      <c r="A892" s="2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</row>
    <row r="893" spans="1:31" ht="16" customHeight="1" x14ac:dyDescent="0.2">
      <c r="A893" s="2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</row>
    <row r="894" spans="1:31" ht="16" customHeight="1" x14ac:dyDescent="0.2">
      <c r="A894" s="2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</row>
    <row r="895" spans="1:31" ht="16" customHeight="1" x14ac:dyDescent="0.2">
      <c r="A895" s="2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</row>
    <row r="896" spans="1:31" ht="16" customHeight="1" x14ac:dyDescent="0.2">
      <c r="A896" s="2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</row>
    <row r="897" spans="1:31" ht="16" customHeight="1" x14ac:dyDescent="0.2">
      <c r="A897" s="2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</row>
    <row r="898" spans="1:31" ht="16" customHeight="1" x14ac:dyDescent="0.2">
      <c r="A898" s="2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</row>
    <row r="899" spans="1:31" ht="16" customHeight="1" x14ac:dyDescent="0.2">
      <c r="A899" s="2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</row>
    <row r="900" spans="1:31" ht="16" customHeight="1" x14ac:dyDescent="0.2">
      <c r="A900" s="2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</row>
    <row r="901" spans="1:31" ht="16" customHeight="1" x14ac:dyDescent="0.2">
      <c r="A901" s="2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</row>
    <row r="902" spans="1:31" ht="16" customHeight="1" x14ac:dyDescent="0.2">
      <c r="A902" s="2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</row>
    <row r="903" spans="1:31" ht="16" customHeight="1" x14ac:dyDescent="0.2">
      <c r="A903" s="2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</row>
    <row r="904" spans="1:31" ht="16" customHeight="1" x14ac:dyDescent="0.2">
      <c r="A904" s="2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</row>
    <row r="905" spans="1:31" ht="16" customHeight="1" x14ac:dyDescent="0.2">
      <c r="A905" s="2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</row>
    <row r="906" spans="1:31" ht="16" customHeight="1" x14ac:dyDescent="0.2">
      <c r="A906" s="2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</row>
    <row r="907" spans="1:31" ht="16" customHeight="1" x14ac:dyDescent="0.2">
      <c r="A907" s="2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</row>
    <row r="908" spans="1:31" ht="16" customHeight="1" x14ac:dyDescent="0.2">
      <c r="A908" s="2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</row>
    <row r="909" spans="1:31" ht="16" customHeight="1" x14ac:dyDescent="0.2">
      <c r="A909" s="2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</row>
    <row r="910" spans="1:31" ht="16" customHeight="1" x14ac:dyDescent="0.2">
      <c r="A910" s="2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</row>
    <row r="911" spans="1:31" ht="16" customHeight="1" x14ac:dyDescent="0.2">
      <c r="A911" s="2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</row>
    <row r="912" spans="1:31" ht="16" customHeight="1" x14ac:dyDescent="0.2">
      <c r="A912" s="2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</row>
    <row r="913" spans="1:31" ht="16" customHeight="1" x14ac:dyDescent="0.2">
      <c r="A913" s="2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</row>
    <row r="914" spans="1:31" ht="16" customHeight="1" x14ac:dyDescent="0.2">
      <c r="A914" s="2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</row>
    <row r="915" spans="1:31" ht="16" customHeight="1" x14ac:dyDescent="0.2">
      <c r="A915" s="2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</row>
    <row r="916" spans="1:31" ht="16" customHeight="1" x14ac:dyDescent="0.2">
      <c r="A916" s="2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</row>
    <row r="917" spans="1:31" ht="16" customHeight="1" x14ac:dyDescent="0.2">
      <c r="A917" s="2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</row>
    <row r="918" spans="1:31" ht="16" customHeight="1" x14ac:dyDescent="0.2">
      <c r="A918" s="2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</row>
    <row r="919" spans="1:31" ht="16" customHeight="1" x14ac:dyDescent="0.2">
      <c r="A919" s="2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</row>
    <row r="920" spans="1:31" ht="16" customHeight="1" x14ac:dyDescent="0.2">
      <c r="A920" s="2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</row>
    <row r="921" spans="1:31" ht="16" customHeight="1" x14ac:dyDescent="0.2">
      <c r="A921" s="2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</row>
    <row r="922" spans="1:31" ht="16" customHeight="1" x14ac:dyDescent="0.2">
      <c r="A922" s="2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</row>
    <row r="923" spans="1:31" ht="16" customHeight="1" x14ac:dyDescent="0.2">
      <c r="A923" s="2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</row>
    <row r="924" spans="1:31" ht="16" customHeight="1" x14ac:dyDescent="0.2">
      <c r="A924" s="2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</row>
    <row r="925" spans="1:31" ht="16" customHeight="1" x14ac:dyDescent="0.2">
      <c r="A925" s="2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</row>
    <row r="926" spans="1:31" ht="16" customHeight="1" x14ac:dyDescent="0.2">
      <c r="A926" s="2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</row>
    <row r="927" spans="1:31" ht="16" customHeight="1" x14ac:dyDescent="0.2">
      <c r="A927" s="2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</row>
    <row r="928" spans="1:31" ht="16" customHeight="1" x14ac:dyDescent="0.2">
      <c r="A928" s="2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</row>
    <row r="929" spans="1:31" ht="16" customHeight="1" x14ac:dyDescent="0.2">
      <c r="A929" s="2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</row>
    <row r="930" spans="1:31" ht="16" customHeight="1" x14ac:dyDescent="0.2">
      <c r="A930" s="2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</row>
    <row r="931" spans="1:31" ht="16" customHeight="1" x14ac:dyDescent="0.2">
      <c r="A931" s="2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</row>
    <row r="932" spans="1:31" ht="16" customHeight="1" x14ac:dyDescent="0.2">
      <c r="A932" s="2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</row>
    <row r="933" spans="1:31" ht="16" customHeight="1" x14ac:dyDescent="0.2">
      <c r="A933" s="2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</row>
    <row r="934" spans="1:31" ht="16" customHeight="1" x14ac:dyDescent="0.2">
      <c r="A934" s="2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</row>
    <row r="935" spans="1:31" ht="16" customHeight="1" x14ac:dyDescent="0.2">
      <c r="A935" s="2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</row>
    <row r="936" spans="1:31" ht="16" customHeight="1" x14ac:dyDescent="0.2">
      <c r="A936" s="2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</row>
    <row r="937" spans="1:31" ht="16" customHeight="1" x14ac:dyDescent="0.2">
      <c r="A937" s="2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</row>
    <row r="938" spans="1:31" ht="16" customHeight="1" x14ac:dyDescent="0.2">
      <c r="A938" s="2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</row>
    <row r="939" spans="1:31" ht="16" customHeight="1" x14ac:dyDescent="0.2">
      <c r="A939" s="2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</row>
    <row r="940" spans="1:31" ht="16" customHeight="1" x14ac:dyDescent="0.2">
      <c r="A940" s="2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</row>
    <row r="941" spans="1:31" ht="16" customHeight="1" x14ac:dyDescent="0.2">
      <c r="A941" s="2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</row>
    <row r="942" spans="1:31" ht="16" customHeight="1" x14ac:dyDescent="0.2">
      <c r="A942" s="2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</row>
    <row r="943" spans="1:31" ht="16" customHeight="1" x14ac:dyDescent="0.2">
      <c r="A943" s="2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</row>
    <row r="944" spans="1:31" ht="16" customHeight="1" x14ac:dyDescent="0.2">
      <c r="A944" s="2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</row>
    <row r="945" spans="1:31" ht="16" customHeight="1" x14ac:dyDescent="0.2">
      <c r="A945" s="2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</row>
    <row r="946" spans="1:31" ht="16" customHeight="1" x14ac:dyDescent="0.2">
      <c r="A946" s="2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</row>
    <row r="947" spans="1:31" ht="16" customHeight="1" x14ac:dyDescent="0.2">
      <c r="A947" s="2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</row>
    <row r="948" spans="1:31" ht="16" customHeight="1" x14ac:dyDescent="0.2">
      <c r="A948" s="2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</row>
    <row r="949" spans="1:31" ht="16" customHeight="1" x14ac:dyDescent="0.2">
      <c r="A949" s="2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</row>
    <row r="950" spans="1:31" ht="16" customHeight="1" x14ac:dyDescent="0.2">
      <c r="A950" s="2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</row>
    <row r="951" spans="1:31" ht="16" customHeight="1" x14ac:dyDescent="0.2">
      <c r="A951" s="2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</row>
    <row r="952" spans="1:31" ht="16" customHeight="1" x14ac:dyDescent="0.2">
      <c r="A952" s="2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</row>
    <row r="953" spans="1:31" ht="16" customHeight="1" x14ac:dyDescent="0.2">
      <c r="A953" s="2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</row>
    <row r="954" spans="1:31" ht="16" customHeight="1" x14ac:dyDescent="0.2">
      <c r="A954" s="2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</row>
    <row r="955" spans="1:31" ht="16" customHeight="1" x14ac:dyDescent="0.2">
      <c r="A955" s="2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</row>
    <row r="956" spans="1:31" ht="16" customHeight="1" x14ac:dyDescent="0.2">
      <c r="A956" s="2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</row>
    <row r="957" spans="1:31" ht="16" customHeight="1" x14ac:dyDescent="0.2">
      <c r="A957" s="2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</row>
    <row r="958" spans="1:31" ht="16" customHeight="1" x14ac:dyDescent="0.2">
      <c r="A958" s="2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</row>
    <row r="959" spans="1:31" ht="16" customHeight="1" x14ac:dyDescent="0.2">
      <c r="A959" s="2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</row>
    <row r="960" spans="1:31" ht="16" customHeight="1" x14ac:dyDescent="0.2">
      <c r="A960" s="2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</row>
    <row r="961" spans="1:31" ht="16" customHeight="1" x14ac:dyDescent="0.2">
      <c r="A961" s="2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</row>
    <row r="962" spans="1:31" ht="16" customHeight="1" x14ac:dyDescent="0.2">
      <c r="A962" s="2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</row>
    <row r="963" spans="1:31" ht="16" customHeight="1" x14ac:dyDescent="0.2">
      <c r="A963" s="2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</row>
    <row r="964" spans="1:31" ht="16" customHeight="1" x14ac:dyDescent="0.2">
      <c r="A964" s="2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</row>
    <row r="965" spans="1:31" ht="16" customHeight="1" x14ac:dyDescent="0.2">
      <c r="A965" s="2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</row>
    <row r="966" spans="1:31" ht="16" customHeight="1" x14ac:dyDescent="0.2">
      <c r="A966" s="2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</row>
    <row r="967" spans="1:31" ht="16" customHeight="1" x14ac:dyDescent="0.2">
      <c r="A967" s="2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</row>
    <row r="968" spans="1:31" ht="16" customHeight="1" x14ac:dyDescent="0.2">
      <c r="A968" s="2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</row>
    <row r="969" spans="1:31" ht="16" customHeight="1" x14ac:dyDescent="0.2">
      <c r="A969" s="2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</row>
    <row r="970" spans="1:31" ht="16" customHeight="1" x14ac:dyDescent="0.2">
      <c r="A970" s="2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</row>
    <row r="971" spans="1:31" ht="16" customHeight="1" x14ac:dyDescent="0.2">
      <c r="A971" s="2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</row>
    <row r="972" spans="1:31" ht="16" customHeight="1" x14ac:dyDescent="0.2">
      <c r="A972" s="2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</row>
    <row r="973" spans="1:31" ht="16" customHeight="1" x14ac:dyDescent="0.2">
      <c r="A973" s="2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</row>
    <row r="974" spans="1:31" ht="16" customHeight="1" x14ac:dyDescent="0.2">
      <c r="A974" s="2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</row>
    <row r="975" spans="1:31" ht="16" customHeight="1" x14ac:dyDescent="0.2">
      <c r="A975" s="2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</row>
    <row r="976" spans="1:31" ht="16" customHeight="1" x14ac:dyDescent="0.2">
      <c r="A976" s="2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</row>
    <row r="977" spans="1:31" ht="16" customHeight="1" x14ac:dyDescent="0.2">
      <c r="A977" s="2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</row>
    <row r="978" spans="1:31" ht="16" customHeight="1" x14ac:dyDescent="0.2">
      <c r="A978" s="2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</row>
    <row r="979" spans="1:31" ht="16" customHeight="1" x14ac:dyDescent="0.2">
      <c r="A979" s="2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</row>
    <row r="980" spans="1:31" ht="16" customHeight="1" x14ac:dyDescent="0.2">
      <c r="A980" s="2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</row>
    <row r="981" spans="1:31" ht="16" customHeight="1" x14ac:dyDescent="0.2">
      <c r="A981" s="2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</row>
    <row r="982" spans="1:31" ht="16" customHeight="1" x14ac:dyDescent="0.2">
      <c r="A982" s="2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</row>
    <row r="983" spans="1:31" ht="16" customHeight="1" x14ac:dyDescent="0.2">
      <c r="A983" s="2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</row>
    <row r="984" spans="1:31" ht="16" customHeight="1" x14ac:dyDescent="0.2">
      <c r="A984" s="2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</row>
    <row r="985" spans="1:31" ht="16" customHeight="1" x14ac:dyDescent="0.2">
      <c r="A985" s="2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</row>
    <row r="986" spans="1:31" ht="16" customHeight="1" x14ac:dyDescent="0.2">
      <c r="A986" s="2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</row>
    <row r="987" spans="1:31" ht="16" customHeight="1" x14ac:dyDescent="0.2">
      <c r="A987" s="2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</row>
    <row r="988" spans="1:31" ht="16" customHeight="1" x14ac:dyDescent="0.2">
      <c r="A988" s="2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</row>
    <row r="989" spans="1:31" ht="16" customHeight="1" x14ac:dyDescent="0.2">
      <c r="A989" s="2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</row>
    <row r="990" spans="1:31" ht="16" customHeight="1" x14ac:dyDescent="0.2">
      <c r="A990" s="2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</row>
    <row r="991" spans="1:31" ht="16" customHeight="1" x14ac:dyDescent="0.2">
      <c r="A991" s="2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</row>
    <row r="992" spans="1:31" ht="16" customHeight="1" x14ac:dyDescent="0.2">
      <c r="A992" s="2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</row>
    <row r="993" spans="1:31" ht="16" customHeight="1" x14ac:dyDescent="0.2">
      <c r="A993" s="2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</row>
    <row r="994" spans="1:31" ht="16" customHeight="1" x14ac:dyDescent="0.2">
      <c r="A994" s="2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</row>
    <row r="995" spans="1:31" ht="16" customHeight="1" x14ac:dyDescent="0.2">
      <c r="A995" s="2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</row>
    <row r="996" spans="1:31" ht="16" customHeight="1" x14ac:dyDescent="0.2">
      <c r="A996" s="2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</row>
    <row r="997" spans="1:31" ht="16" customHeight="1" x14ac:dyDescent="0.2">
      <c r="A997" s="2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</row>
    <row r="998" spans="1:31" ht="16" customHeight="1" x14ac:dyDescent="0.2">
      <c r="A998" s="2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</row>
  </sheetData>
  <autoFilter ref="A1:AE1" xr:uid="{00000000-0009-0000-0000-000000000000}">
    <sortState xmlns:xlrd2="http://schemas.microsoft.com/office/spreadsheetml/2017/richdata2" ref="A2:AE203">
      <sortCondition ref="D1:D203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zoomScale="150" zoomScaleNormal="150" workbookViewId="0">
      <selection activeCell="B1" sqref="B1"/>
    </sheetView>
  </sheetViews>
  <sheetFormatPr baseColWidth="10" defaultColWidth="8.83203125" defaultRowHeight="15" x14ac:dyDescent="0.2"/>
  <cols>
    <col min="1" max="1" width="15" customWidth="1"/>
    <col min="2" max="2" width="50" customWidth="1"/>
  </cols>
  <sheetData>
    <row r="1" spans="1:2" ht="16" customHeight="1" x14ac:dyDescent="0.2">
      <c r="A1" s="4" t="s">
        <v>32</v>
      </c>
      <c r="B1" s="30" t="s">
        <v>33</v>
      </c>
    </row>
    <row r="2" spans="1:2" ht="16" customHeight="1" x14ac:dyDescent="0.2">
      <c r="A2" s="4" t="s">
        <v>34</v>
      </c>
      <c r="B2" s="30" t="s">
        <v>35</v>
      </c>
    </row>
    <row r="3" spans="1:2" ht="16" customHeight="1" x14ac:dyDescent="0.2">
      <c r="A3" s="4" t="s">
        <v>36</v>
      </c>
      <c r="B3" s="30" t="s">
        <v>37</v>
      </c>
    </row>
    <row r="4" spans="1:2" ht="16" customHeight="1" x14ac:dyDescent="0.2">
      <c r="A4" s="4" t="s">
        <v>38</v>
      </c>
      <c r="B4" s="30" t="s">
        <v>39</v>
      </c>
    </row>
    <row r="5" spans="1:2" ht="16" customHeight="1" x14ac:dyDescent="0.2">
      <c r="A5" s="4" t="s">
        <v>40</v>
      </c>
      <c r="B5" s="30" t="s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57"/>
  <sheetViews>
    <sheetView zoomScale="150" zoomScaleNormal="15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6.5" customWidth="1"/>
    <col min="2" max="2" width="35" customWidth="1"/>
    <col min="3" max="3" width="50" customWidth="1"/>
    <col min="4" max="4" width="20" customWidth="1"/>
    <col min="5" max="5" width="15" customWidth="1"/>
  </cols>
  <sheetData>
    <row r="1" spans="1:31" ht="20" customHeight="1" x14ac:dyDescent="0.2">
      <c r="A1" s="5" t="s">
        <v>42</v>
      </c>
      <c r="B1" s="5" t="s">
        <v>43</v>
      </c>
      <c r="C1" s="5" t="s">
        <v>44</v>
      </c>
      <c r="D1" s="5" t="s">
        <v>45</v>
      </c>
      <c r="E1" s="5" t="s">
        <v>32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spans="1:31" ht="16" customHeight="1" x14ac:dyDescent="0.2">
      <c r="A2" s="30">
        <v>20</v>
      </c>
      <c r="B2" t="s">
        <v>46</v>
      </c>
      <c r="C2" t="s">
        <v>47</v>
      </c>
      <c r="D2">
        <v>1992</v>
      </c>
      <c r="E2" t="s">
        <v>48</v>
      </c>
    </row>
    <row r="3" spans="1:31" ht="16" customHeight="1" x14ac:dyDescent="0.2">
      <c r="A3" s="30">
        <v>191</v>
      </c>
      <c r="B3" t="s">
        <v>49</v>
      </c>
      <c r="C3" t="s">
        <v>50</v>
      </c>
      <c r="D3">
        <v>1992</v>
      </c>
      <c r="E3" t="s">
        <v>51</v>
      </c>
    </row>
    <row r="4" spans="1:31" ht="16" customHeight="1" x14ac:dyDescent="0.2">
      <c r="A4" s="30">
        <v>229</v>
      </c>
      <c r="B4" t="s">
        <v>52</v>
      </c>
      <c r="C4" t="s">
        <v>53</v>
      </c>
      <c r="D4">
        <v>1999</v>
      </c>
      <c r="E4" t="s">
        <v>54</v>
      </c>
    </row>
    <row r="5" spans="1:31" ht="16" customHeight="1" x14ac:dyDescent="0.2">
      <c r="A5" s="30">
        <v>250</v>
      </c>
      <c r="B5" t="s">
        <v>55</v>
      </c>
      <c r="C5" t="s">
        <v>56</v>
      </c>
      <c r="D5">
        <v>1999</v>
      </c>
      <c r="E5" t="s">
        <v>57</v>
      </c>
    </row>
    <row r="6" spans="1:31" ht="16" customHeight="1" x14ac:dyDescent="0.2">
      <c r="A6" s="30">
        <v>334</v>
      </c>
      <c r="B6" t="s">
        <v>58</v>
      </c>
      <c r="C6" t="s">
        <v>59</v>
      </c>
      <c r="D6">
        <v>1999</v>
      </c>
      <c r="E6" t="s">
        <v>60</v>
      </c>
    </row>
    <row r="7" spans="1:31" ht="16" customHeight="1" x14ac:dyDescent="0.2">
      <c r="A7" s="30">
        <v>358</v>
      </c>
      <c r="B7" t="s">
        <v>61</v>
      </c>
      <c r="C7" t="s">
        <v>62</v>
      </c>
      <c r="D7">
        <v>2000</v>
      </c>
      <c r="E7" t="s">
        <v>63</v>
      </c>
    </row>
    <row r="8" spans="1:31" ht="16" customHeight="1" x14ac:dyDescent="0.2">
      <c r="A8" s="30">
        <v>424</v>
      </c>
      <c r="B8" t="s">
        <v>64</v>
      </c>
      <c r="C8" t="s">
        <v>65</v>
      </c>
      <c r="D8">
        <v>2000</v>
      </c>
      <c r="E8" t="s">
        <v>66</v>
      </c>
    </row>
    <row r="9" spans="1:31" ht="16" customHeight="1" x14ac:dyDescent="0.2">
      <c r="A9" s="30">
        <v>578</v>
      </c>
      <c r="B9" t="s">
        <v>67</v>
      </c>
      <c r="C9" t="s">
        <v>68</v>
      </c>
      <c r="D9">
        <v>2001</v>
      </c>
      <c r="E9" t="s">
        <v>69</v>
      </c>
    </row>
    <row r="10" spans="1:31" ht="16" customHeight="1" x14ac:dyDescent="0.2">
      <c r="A10" s="30">
        <v>639</v>
      </c>
      <c r="B10" t="s">
        <v>70</v>
      </c>
      <c r="C10" t="s">
        <v>71</v>
      </c>
      <c r="D10">
        <v>2001</v>
      </c>
      <c r="E10" t="s">
        <v>72</v>
      </c>
    </row>
    <row r="11" spans="1:31" ht="16" customHeight="1" x14ac:dyDescent="0.2">
      <c r="A11" s="30">
        <v>810</v>
      </c>
      <c r="B11" t="s">
        <v>73</v>
      </c>
      <c r="C11" t="s">
        <v>74</v>
      </c>
      <c r="D11">
        <v>2002</v>
      </c>
      <c r="E11" t="s">
        <v>75</v>
      </c>
    </row>
    <row r="12" spans="1:31" ht="16" customHeight="1" x14ac:dyDescent="0.2">
      <c r="A12" s="30">
        <v>870</v>
      </c>
      <c r="B12" t="s">
        <v>76</v>
      </c>
      <c r="C12" t="s">
        <v>77</v>
      </c>
      <c r="D12">
        <v>2002</v>
      </c>
      <c r="E12" t="s">
        <v>78</v>
      </c>
    </row>
    <row r="13" spans="1:31" ht="16" customHeight="1" x14ac:dyDescent="0.2">
      <c r="A13" s="30">
        <v>1126</v>
      </c>
      <c r="B13" t="s">
        <v>79</v>
      </c>
      <c r="C13" t="s">
        <v>80</v>
      </c>
      <c r="D13">
        <v>2003</v>
      </c>
      <c r="E13" t="s">
        <v>81</v>
      </c>
    </row>
    <row r="14" spans="1:31" ht="16" customHeight="1" x14ac:dyDescent="0.2">
      <c r="A14" s="30">
        <v>1468</v>
      </c>
      <c r="B14" t="s">
        <v>82</v>
      </c>
      <c r="C14" t="s">
        <v>83</v>
      </c>
      <c r="D14">
        <v>2004</v>
      </c>
      <c r="E14" t="s">
        <v>84</v>
      </c>
    </row>
    <row r="15" spans="1:31" ht="16" customHeight="1" x14ac:dyDescent="0.2">
      <c r="A15" s="30">
        <v>1493</v>
      </c>
      <c r="B15" t="s">
        <v>85</v>
      </c>
      <c r="C15" t="s">
        <v>86</v>
      </c>
      <c r="D15">
        <v>2004</v>
      </c>
      <c r="E15" t="s">
        <v>87</v>
      </c>
    </row>
    <row r="16" spans="1:31" ht="16" customHeight="1" x14ac:dyDescent="0.2">
      <c r="A16" s="30">
        <v>1518</v>
      </c>
      <c r="B16" t="s">
        <v>88</v>
      </c>
      <c r="C16" t="s">
        <v>89</v>
      </c>
      <c r="D16">
        <v>2005</v>
      </c>
      <c r="E16" t="s">
        <v>90</v>
      </c>
    </row>
    <row r="17" spans="1:5" ht="16" customHeight="1" x14ac:dyDescent="0.2">
      <c r="A17" s="30">
        <v>1591</v>
      </c>
      <c r="B17" t="s">
        <v>91</v>
      </c>
      <c r="C17" t="s">
        <v>92</v>
      </c>
      <c r="D17">
        <v>2005</v>
      </c>
      <c r="E17" t="s">
        <v>93</v>
      </c>
    </row>
    <row r="18" spans="1:5" ht="16" customHeight="1" x14ac:dyDescent="0.2">
      <c r="A18" s="30">
        <v>1796</v>
      </c>
      <c r="B18" t="s">
        <v>94</v>
      </c>
      <c r="C18" t="s">
        <v>95</v>
      </c>
      <c r="D18">
        <v>2006</v>
      </c>
      <c r="E18" t="s">
        <v>96</v>
      </c>
    </row>
    <row r="19" spans="1:5" ht="16" customHeight="1" x14ac:dyDescent="0.2">
      <c r="A19" s="30">
        <v>1880</v>
      </c>
      <c r="B19" t="s">
        <v>97</v>
      </c>
      <c r="C19" t="s">
        <v>98</v>
      </c>
      <c r="D19">
        <v>2006</v>
      </c>
      <c r="E19" t="s">
        <v>99</v>
      </c>
    </row>
    <row r="20" spans="1:5" ht="16" customHeight="1" x14ac:dyDescent="0.2">
      <c r="A20" s="30">
        <v>2053</v>
      </c>
      <c r="B20" t="s">
        <v>100</v>
      </c>
      <c r="C20" t="s">
        <v>101</v>
      </c>
      <c r="D20">
        <v>2007</v>
      </c>
      <c r="E20" t="s">
        <v>102</v>
      </c>
    </row>
    <row r="21" spans="1:5" ht="16" customHeight="1" x14ac:dyDescent="0.2">
      <c r="A21" s="30">
        <v>2601</v>
      </c>
      <c r="B21" t="s">
        <v>103</v>
      </c>
      <c r="C21" t="s">
        <v>104</v>
      </c>
      <c r="D21">
        <v>2008</v>
      </c>
      <c r="E21" t="s">
        <v>105</v>
      </c>
    </row>
    <row r="22" spans="1:5" ht="16" customHeight="1" x14ac:dyDescent="0.2">
      <c r="A22" s="30">
        <v>2791</v>
      </c>
      <c r="B22" t="s">
        <v>106</v>
      </c>
      <c r="C22" t="s">
        <v>107</v>
      </c>
      <c r="D22">
        <v>2009</v>
      </c>
      <c r="E22" t="s">
        <v>108</v>
      </c>
    </row>
    <row r="23" spans="1:5" ht="16" customHeight="1" x14ac:dyDescent="0.2">
      <c r="A23" s="30">
        <v>2869</v>
      </c>
      <c r="B23" t="s">
        <v>109</v>
      </c>
      <c r="C23" t="s">
        <v>110</v>
      </c>
      <c r="D23">
        <v>2009</v>
      </c>
      <c r="E23" t="s">
        <v>111</v>
      </c>
    </row>
    <row r="24" spans="1:5" ht="16" customHeight="1" x14ac:dyDescent="0.2">
      <c r="A24" s="30">
        <v>2875</v>
      </c>
      <c r="B24" t="s">
        <v>112</v>
      </c>
      <c r="C24" t="s">
        <v>113</v>
      </c>
      <c r="D24">
        <v>2009</v>
      </c>
      <c r="E24" t="s">
        <v>114</v>
      </c>
    </row>
    <row r="25" spans="1:5" ht="16" customHeight="1" x14ac:dyDescent="0.2">
      <c r="A25" s="30">
        <v>3003</v>
      </c>
      <c r="B25" t="s">
        <v>115</v>
      </c>
      <c r="C25" t="s">
        <v>116</v>
      </c>
      <c r="D25">
        <v>2009</v>
      </c>
      <c r="E25" t="s">
        <v>117</v>
      </c>
    </row>
    <row r="26" spans="1:5" ht="16" customHeight="1" x14ac:dyDescent="0.2">
      <c r="A26" s="30">
        <v>3044</v>
      </c>
      <c r="B26" t="s">
        <v>118</v>
      </c>
      <c r="C26" t="s">
        <v>119</v>
      </c>
      <c r="D26">
        <v>2009</v>
      </c>
      <c r="E26" t="s">
        <v>120</v>
      </c>
    </row>
    <row r="27" spans="1:5" ht="16" customHeight="1" x14ac:dyDescent="0.2">
      <c r="A27" s="30">
        <v>3117</v>
      </c>
      <c r="B27" t="s">
        <v>121</v>
      </c>
      <c r="C27" t="s">
        <v>122</v>
      </c>
      <c r="D27">
        <v>2009</v>
      </c>
      <c r="E27" t="s">
        <v>123</v>
      </c>
    </row>
    <row r="28" spans="1:5" ht="16" customHeight="1" x14ac:dyDescent="0.2">
      <c r="A28" s="30">
        <v>3171</v>
      </c>
      <c r="B28" t="s">
        <v>124</v>
      </c>
      <c r="C28" t="s">
        <v>125</v>
      </c>
      <c r="D28">
        <v>2010</v>
      </c>
      <c r="E28" t="s">
        <v>126</v>
      </c>
    </row>
    <row r="29" spans="1:5" ht="16" customHeight="1" x14ac:dyDescent="0.2">
      <c r="A29" s="30">
        <v>3173</v>
      </c>
      <c r="B29" t="s">
        <v>127</v>
      </c>
      <c r="C29" t="s">
        <v>128</v>
      </c>
      <c r="D29">
        <v>2010</v>
      </c>
      <c r="E29" t="s">
        <v>129</v>
      </c>
    </row>
    <row r="30" spans="1:5" ht="16" customHeight="1" x14ac:dyDescent="0.2">
      <c r="A30" s="30">
        <v>3181</v>
      </c>
      <c r="B30" t="s">
        <v>130</v>
      </c>
      <c r="C30" t="s">
        <v>131</v>
      </c>
      <c r="D30">
        <v>2010</v>
      </c>
      <c r="E30" t="s">
        <v>132</v>
      </c>
    </row>
    <row r="31" spans="1:5" ht="16" customHeight="1" x14ac:dyDescent="0.2">
      <c r="A31" s="30">
        <v>3360</v>
      </c>
      <c r="B31" t="s">
        <v>133</v>
      </c>
      <c r="C31" t="s">
        <v>134</v>
      </c>
      <c r="D31">
        <v>2010</v>
      </c>
      <c r="E31" t="s">
        <v>135</v>
      </c>
    </row>
    <row r="32" spans="1:5" ht="16" customHeight="1" x14ac:dyDescent="0.2">
      <c r="A32" s="30">
        <v>3550</v>
      </c>
      <c r="B32" t="s">
        <v>136</v>
      </c>
      <c r="C32" t="s">
        <v>137</v>
      </c>
      <c r="D32">
        <v>2011</v>
      </c>
      <c r="E32" t="s">
        <v>138</v>
      </c>
    </row>
    <row r="33" spans="1:5" ht="16" x14ac:dyDescent="0.2">
      <c r="A33" s="30">
        <v>3950</v>
      </c>
      <c r="B33" t="s">
        <v>139</v>
      </c>
      <c r="C33" t="s">
        <v>140</v>
      </c>
      <c r="D33">
        <v>2012</v>
      </c>
      <c r="E33" t="s">
        <v>141</v>
      </c>
    </row>
    <row r="34" spans="1:5" ht="16" x14ac:dyDescent="0.2">
      <c r="A34" s="30">
        <v>4122</v>
      </c>
      <c r="B34" t="s">
        <v>142</v>
      </c>
      <c r="C34" t="s">
        <v>143</v>
      </c>
      <c r="D34">
        <v>2012</v>
      </c>
      <c r="E34" t="s">
        <v>144</v>
      </c>
    </row>
    <row r="35" spans="1:5" ht="16" x14ac:dyDescent="0.2">
      <c r="A35" s="30">
        <v>4458</v>
      </c>
      <c r="B35" t="s">
        <v>145</v>
      </c>
      <c r="C35" t="s">
        <v>146</v>
      </c>
      <c r="D35">
        <v>2013</v>
      </c>
      <c r="E35" t="s">
        <v>147</v>
      </c>
    </row>
    <row r="36" spans="1:5" ht="16" x14ac:dyDescent="0.2">
      <c r="A36" s="30">
        <v>4571</v>
      </c>
      <c r="B36" t="s">
        <v>148</v>
      </c>
      <c r="C36" t="s">
        <v>149</v>
      </c>
      <c r="D36">
        <v>2013</v>
      </c>
      <c r="E36" t="s">
        <v>150</v>
      </c>
    </row>
    <row r="37" spans="1:5" ht="16" x14ac:dyDescent="0.2">
      <c r="A37" s="30">
        <v>5149</v>
      </c>
      <c r="B37" t="s">
        <v>151</v>
      </c>
      <c r="C37" t="s">
        <v>152</v>
      </c>
      <c r="D37">
        <v>2014</v>
      </c>
      <c r="E37" t="s">
        <v>153</v>
      </c>
    </row>
    <row r="38" spans="1:5" ht="16" x14ac:dyDescent="0.2">
      <c r="A38" s="30">
        <v>5528</v>
      </c>
      <c r="B38" t="s">
        <v>154</v>
      </c>
      <c r="C38" t="s">
        <v>155</v>
      </c>
      <c r="D38">
        <v>2015</v>
      </c>
      <c r="E38" t="s">
        <v>156</v>
      </c>
    </row>
    <row r="39" spans="1:5" ht="16" x14ac:dyDescent="0.2">
      <c r="A39" s="30">
        <v>5881</v>
      </c>
      <c r="B39" t="s">
        <v>157</v>
      </c>
      <c r="C39" t="s">
        <v>158</v>
      </c>
      <c r="D39">
        <v>2016</v>
      </c>
      <c r="E39" t="s">
        <v>159</v>
      </c>
    </row>
    <row r="40" spans="1:5" ht="16" x14ac:dyDescent="0.2">
      <c r="A40" s="30">
        <v>6300</v>
      </c>
      <c r="B40" t="s">
        <v>160</v>
      </c>
      <c r="C40" t="s">
        <v>161</v>
      </c>
      <c r="D40">
        <v>2017</v>
      </c>
      <c r="E40" t="s">
        <v>162</v>
      </c>
    </row>
    <row r="41" spans="1:5" ht="16" x14ac:dyDescent="0.2">
      <c r="A41" s="30">
        <v>6401</v>
      </c>
      <c r="B41" t="s">
        <v>163</v>
      </c>
      <c r="C41" t="s">
        <v>164</v>
      </c>
      <c r="D41">
        <v>2017</v>
      </c>
      <c r="E41" t="s">
        <v>165</v>
      </c>
    </row>
    <row r="42" spans="1:5" ht="16" x14ac:dyDescent="0.2">
      <c r="A42" s="30">
        <v>6463</v>
      </c>
      <c r="B42" t="s">
        <v>166</v>
      </c>
      <c r="C42" t="s">
        <v>167</v>
      </c>
      <c r="D42">
        <v>2017</v>
      </c>
      <c r="E42" t="s">
        <v>168</v>
      </c>
    </row>
    <row r="43" spans="1:5" ht="16" x14ac:dyDescent="0.2">
      <c r="A43" s="30">
        <v>6621</v>
      </c>
      <c r="B43" t="s">
        <v>169</v>
      </c>
      <c r="C43" t="s">
        <v>170</v>
      </c>
      <c r="D43">
        <v>2017</v>
      </c>
      <c r="E43" t="s">
        <v>171</v>
      </c>
    </row>
    <row r="44" spans="1:5" ht="16" x14ac:dyDescent="0.2">
      <c r="A44" s="30">
        <v>6648</v>
      </c>
      <c r="B44" t="s">
        <v>172</v>
      </c>
      <c r="C44" t="s">
        <v>173</v>
      </c>
      <c r="D44">
        <v>2017</v>
      </c>
      <c r="E44" t="s">
        <v>174</v>
      </c>
    </row>
    <row r="45" spans="1:5" ht="16" x14ac:dyDescent="0.2">
      <c r="A45" s="30">
        <v>6806</v>
      </c>
      <c r="B45" t="s">
        <v>175</v>
      </c>
      <c r="C45" t="s">
        <v>176</v>
      </c>
      <c r="D45">
        <v>2018</v>
      </c>
      <c r="E45" t="s">
        <v>177</v>
      </c>
    </row>
    <row r="46" spans="1:5" ht="16" x14ac:dyDescent="0.2">
      <c r="A46" s="30">
        <v>6911</v>
      </c>
      <c r="B46" t="s">
        <v>178</v>
      </c>
      <c r="C46" t="s">
        <v>179</v>
      </c>
      <c r="D46">
        <v>2018</v>
      </c>
      <c r="E46" t="s">
        <v>180</v>
      </c>
    </row>
    <row r="47" spans="1:5" ht="16" x14ac:dyDescent="0.2">
      <c r="A47" s="30">
        <v>7030</v>
      </c>
      <c r="B47" t="s">
        <v>181</v>
      </c>
      <c r="C47" t="s">
        <v>182</v>
      </c>
      <c r="D47">
        <v>2018</v>
      </c>
      <c r="E47" t="s">
        <v>183</v>
      </c>
    </row>
    <row r="48" spans="1:5" ht="16" x14ac:dyDescent="0.2">
      <c r="A48" s="30">
        <v>7031</v>
      </c>
      <c r="B48" t="s">
        <v>184</v>
      </c>
      <c r="C48" t="s">
        <v>185</v>
      </c>
      <c r="D48">
        <v>2018</v>
      </c>
      <c r="E48" t="s">
        <v>186</v>
      </c>
    </row>
    <row r="49" spans="1:5" ht="16" x14ac:dyDescent="0.2">
      <c r="A49" s="30">
        <v>7504</v>
      </c>
      <c r="B49" t="s">
        <v>187</v>
      </c>
      <c r="C49" t="s">
        <v>188</v>
      </c>
      <c r="D49">
        <v>2019</v>
      </c>
      <c r="E49" t="s">
        <v>189</v>
      </c>
    </row>
    <row r="50" spans="1:5" ht="16" x14ac:dyDescent="0.2">
      <c r="A50" s="30">
        <v>7605</v>
      </c>
      <c r="B50" t="s">
        <v>190</v>
      </c>
      <c r="C50" t="s">
        <v>191</v>
      </c>
      <c r="D50">
        <v>2019</v>
      </c>
      <c r="E50" t="s">
        <v>192</v>
      </c>
    </row>
    <row r="51" spans="1:5" ht="16" x14ac:dyDescent="0.2">
      <c r="A51" s="30">
        <v>7718</v>
      </c>
      <c r="B51" t="s">
        <v>193</v>
      </c>
      <c r="C51" t="s">
        <v>194</v>
      </c>
      <c r="D51">
        <v>2019</v>
      </c>
      <c r="E51" t="s">
        <v>195</v>
      </c>
    </row>
    <row r="52" spans="1:5" ht="16" x14ac:dyDescent="0.2">
      <c r="A52" s="30">
        <v>7759</v>
      </c>
      <c r="B52" t="s">
        <v>196</v>
      </c>
      <c r="C52" t="s">
        <v>197</v>
      </c>
      <c r="D52">
        <v>2019</v>
      </c>
      <c r="E52" t="s">
        <v>198</v>
      </c>
    </row>
    <row r="53" spans="1:5" ht="16" x14ac:dyDescent="0.2">
      <c r="A53" s="30">
        <v>8067</v>
      </c>
      <c r="B53" t="s">
        <v>199</v>
      </c>
      <c r="C53" t="s">
        <v>200</v>
      </c>
      <c r="D53">
        <v>2020</v>
      </c>
      <c r="E53" t="s">
        <v>201</v>
      </c>
    </row>
    <row r="54" spans="1:5" ht="16" x14ac:dyDescent="0.2">
      <c r="A54" s="30">
        <v>9468</v>
      </c>
      <c r="B54" t="s">
        <v>202</v>
      </c>
      <c r="C54" t="s">
        <v>203</v>
      </c>
      <c r="D54">
        <v>2024</v>
      </c>
      <c r="E54" t="s">
        <v>204</v>
      </c>
    </row>
    <row r="55" spans="1:5" ht="16" x14ac:dyDescent="0.2">
      <c r="A55" s="30">
        <v>9624</v>
      </c>
      <c r="B55" t="s">
        <v>205</v>
      </c>
      <c r="C55" t="s">
        <v>206</v>
      </c>
      <c r="D55">
        <v>2024</v>
      </c>
      <c r="E55" t="s">
        <v>207</v>
      </c>
    </row>
    <row r="56" spans="1:5" ht="16" x14ac:dyDescent="0.2">
      <c r="A56" s="30">
        <v>10352</v>
      </c>
      <c r="B56" t="s">
        <v>208</v>
      </c>
      <c r="C56" t="s">
        <v>209</v>
      </c>
      <c r="D56">
        <v>2025</v>
      </c>
      <c r="E56" t="s">
        <v>210</v>
      </c>
    </row>
    <row r="57" spans="1:5" ht="16" x14ac:dyDescent="0.2">
      <c r="A57" s="30">
        <v>10714</v>
      </c>
      <c r="B57" t="s">
        <v>211</v>
      </c>
      <c r="C57" t="s">
        <v>212</v>
      </c>
      <c r="D57">
        <v>2025</v>
      </c>
      <c r="E57" t="s">
        <v>213</v>
      </c>
    </row>
  </sheetData>
  <autoFilter ref="A1:E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5"/>
  <sheetViews>
    <sheetView zoomScale="150" zoomScaleNormal="150" workbookViewId="0">
      <pane ySplit="1" topLeftCell="A25" activePane="bottomLeft" state="frozen"/>
      <selection pane="bottomLeft"/>
    </sheetView>
  </sheetViews>
  <sheetFormatPr baseColWidth="10" defaultColWidth="8.83203125" defaultRowHeight="15" x14ac:dyDescent="0.2"/>
  <cols>
    <col min="1" max="1" width="15" customWidth="1"/>
    <col min="2" max="2" width="25" customWidth="1"/>
    <col min="3" max="8" width="15" customWidth="1"/>
  </cols>
  <sheetData>
    <row r="1" spans="1:8" ht="20" customHeight="1" x14ac:dyDescent="0.2">
      <c r="A1" s="31" t="s">
        <v>3</v>
      </c>
      <c r="B1" s="31" t="s">
        <v>214</v>
      </c>
      <c r="C1" s="32" t="s">
        <v>215</v>
      </c>
      <c r="D1" s="32" t="s">
        <v>216</v>
      </c>
      <c r="E1" s="32" t="s">
        <v>217</v>
      </c>
      <c r="F1" s="33" t="s">
        <v>31</v>
      </c>
      <c r="G1" s="33" t="s">
        <v>218</v>
      </c>
      <c r="H1" s="33" t="s">
        <v>219</v>
      </c>
    </row>
    <row r="2" spans="1:8" ht="16" x14ac:dyDescent="0.2">
      <c r="A2" s="34">
        <v>1</v>
      </c>
      <c r="B2" s="34" t="s">
        <v>220</v>
      </c>
      <c r="C2" s="34">
        <v>358</v>
      </c>
      <c r="D2" s="34">
        <v>6621</v>
      </c>
      <c r="E2" s="34">
        <v>3950</v>
      </c>
      <c r="F2" s="34">
        <v>639</v>
      </c>
      <c r="G2" s="34">
        <v>7605</v>
      </c>
      <c r="H2" s="34">
        <v>3044</v>
      </c>
    </row>
    <row r="3" spans="1:8" ht="16" x14ac:dyDescent="0.2">
      <c r="A3" s="34">
        <v>2</v>
      </c>
      <c r="B3" s="34" t="s">
        <v>221</v>
      </c>
      <c r="C3" s="34">
        <v>1468</v>
      </c>
      <c r="D3" s="34">
        <v>1796</v>
      </c>
      <c r="E3" s="34">
        <v>9468</v>
      </c>
      <c r="F3" s="34">
        <v>3173</v>
      </c>
      <c r="G3" s="34">
        <v>4458</v>
      </c>
      <c r="H3" s="34">
        <v>6401</v>
      </c>
    </row>
    <row r="4" spans="1:8" ht="16" x14ac:dyDescent="0.2">
      <c r="A4" s="34">
        <v>3</v>
      </c>
      <c r="B4" s="34" t="s">
        <v>222</v>
      </c>
      <c r="C4" s="34">
        <v>7031</v>
      </c>
      <c r="D4" s="34">
        <v>191</v>
      </c>
      <c r="E4" s="34">
        <v>7718</v>
      </c>
      <c r="F4" s="34">
        <v>6463</v>
      </c>
      <c r="G4" s="34">
        <v>3117</v>
      </c>
      <c r="H4" s="34">
        <v>3171</v>
      </c>
    </row>
    <row r="5" spans="1:8" ht="16" x14ac:dyDescent="0.2">
      <c r="A5" s="34">
        <v>4</v>
      </c>
      <c r="B5" s="34" t="s">
        <v>223</v>
      </c>
      <c r="C5" s="34">
        <v>229</v>
      </c>
      <c r="D5" s="34">
        <v>10714</v>
      </c>
      <c r="E5" s="34">
        <v>810</v>
      </c>
      <c r="F5" s="34">
        <v>2053</v>
      </c>
      <c r="G5" s="34">
        <v>250</v>
      </c>
      <c r="H5" s="34">
        <v>20</v>
      </c>
    </row>
    <row r="6" spans="1:8" ht="16" x14ac:dyDescent="0.2">
      <c r="A6" s="34">
        <v>5</v>
      </c>
      <c r="B6" s="34" t="s">
        <v>224</v>
      </c>
      <c r="C6" s="34">
        <v>7504</v>
      </c>
      <c r="D6" s="34">
        <v>8067</v>
      </c>
      <c r="E6" s="34">
        <v>7759</v>
      </c>
      <c r="F6" s="34">
        <v>6300</v>
      </c>
      <c r="G6" s="34">
        <v>870</v>
      </c>
      <c r="H6" s="34">
        <v>1126</v>
      </c>
    </row>
    <row r="7" spans="1:8" ht="16" x14ac:dyDescent="0.2">
      <c r="A7" s="34">
        <v>6</v>
      </c>
      <c r="B7" s="34" t="s">
        <v>225</v>
      </c>
      <c r="C7" s="34">
        <v>6648</v>
      </c>
      <c r="D7" s="34">
        <v>1518</v>
      </c>
      <c r="E7" s="34">
        <v>9624</v>
      </c>
      <c r="F7" s="34">
        <v>1591</v>
      </c>
      <c r="G7" s="34">
        <v>1880</v>
      </c>
      <c r="H7" s="34">
        <v>5149</v>
      </c>
    </row>
    <row r="8" spans="1:8" ht="16" x14ac:dyDescent="0.2">
      <c r="A8" s="34">
        <v>7</v>
      </c>
      <c r="B8" s="34" t="s">
        <v>226</v>
      </c>
      <c r="C8" s="34">
        <v>4571</v>
      </c>
      <c r="D8" s="34">
        <v>6806</v>
      </c>
      <c r="E8" s="34">
        <v>7030</v>
      </c>
      <c r="F8" s="34">
        <v>5881</v>
      </c>
      <c r="G8" s="34">
        <v>2791</v>
      </c>
      <c r="H8" s="34">
        <v>3181</v>
      </c>
    </row>
    <row r="9" spans="1:8" ht="16" x14ac:dyDescent="0.2">
      <c r="A9" s="34">
        <v>8</v>
      </c>
      <c r="B9" s="34" t="s">
        <v>227</v>
      </c>
      <c r="C9" s="34">
        <v>3360</v>
      </c>
      <c r="D9" s="34">
        <v>3003</v>
      </c>
      <c r="E9" s="34">
        <v>334</v>
      </c>
      <c r="F9" s="34">
        <v>2875</v>
      </c>
      <c r="G9" s="34">
        <v>1493</v>
      </c>
      <c r="H9" s="34">
        <v>10352</v>
      </c>
    </row>
    <row r="10" spans="1:8" ht="16" x14ac:dyDescent="0.2">
      <c r="A10" s="34">
        <v>9</v>
      </c>
      <c r="B10" s="34" t="s">
        <v>228</v>
      </c>
      <c r="C10" s="34">
        <v>2601</v>
      </c>
      <c r="D10" s="34">
        <v>578</v>
      </c>
      <c r="E10" s="34">
        <v>6911</v>
      </c>
      <c r="F10" s="34">
        <v>4122</v>
      </c>
      <c r="G10" s="34">
        <v>2869</v>
      </c>
      <c r="H10" s="34">
        <v>5528</v>
      </c>
    </row>
    <row r="11" spans="1:8" ht="16" x14ac:dyDescent="0.2">
      <c r="A11" s="34">
        <v>10</v>
      </c>
      <c r="B11" s="34" t="s">
        <v>229</v>
      </c>
      <c r="C11" s="34">
        <v>424</v>
      </c>
      <c r="D11" s="34">
        <v>7718</v>
      </c>
      <c r="E11" s="34">
        <v>639</v>
      </c>
      <c r="F11" s="34">
        <v>1468</v>
      </c>
      <c r="G11" s="34">
        <v>3550</v>
      </c>
      <c r="H11" s="34">
        <v>2053</v>
      </c>
    </row>
    <row r="12" spans="1:8" ht="16" x14ac:dyDescent="0.2">
      <c r="A12" s="34">
        <v>11</v>
      </c>
      <c r="B12" s="34" t="s">
        <v>230</v>
      </c>
      <c r="C12" s="34">
        <v>7605</v>
      </c>
      <c r="D12" s="34">
        <v>20</v>
      </c>
      <c r="E12" s="34">
        <v>3950</v>
      </c>
      <c r="F12" s="34">
        <v>191</v>
      </c>
      <c r="G12" s="34">
        <v>8067</v>
      </c>
      <c r="H12" s="34">
        <v>6401</v>
      </c>
    </row>
    <row r="13" spans="1:8" ht="16" x14ac:dyDescent="0.2">
      <c r="A13" s="34">
        <v>12</v>
      </c>
      <c r="B13" s="34" t="s">
        <v>231</v>
      </c>
      <c r="C13" s="34">
        <v>870</v>
      </c>
      <c r="D13" s="34">
        <v>6463</v>
      </c>
      <c r="E13" s="34">
        <v>10714</v>
      </c>
      <c r="F13" s="34">
        <v>3173</v>
      </c>
      <c r="G13" s="34">
        <v>5149</v>
      </c>
      <c r="H13" s="34">
        <v>6648</v>
      </c>
    </row>
    <row r="14" spans="1:8" ht="16" x14ac:dyDescent="0.2">
      <c r="A14" s="34">
        <v>13</v>
      </c>
      <c r="B14" s="34" t="s">
        <v>232</v>
      </c>
      <c r="C14" s="34">
        <v>4458</v>
      </c>
      <c r="D14" s="34">
        <v>1880</v>
      </c>
      <c r="E14" s="34">
        <v>229</v>
      </c>
      <c r="F14" s="34">
        <v>3181</v>
      </c>
      <c r="G14" s="34">
        <v>7759</v>
      </c>
      <c r="H14" s="34">
        <v>358</v>
      </c>
    </row>
    <row r="15" spans="1:8" ht="16" x14ac:dyDescent="0.2">
      <c r="A15" s="34">
        <v>14</v>
      </c>
      <c r="B15" s="34" t="s">
        <v>233</v>
      </c>
      <c r="C15" s="34">
        <v>6300</v>
      </c>
      <c r="D15" s="34">
        <v>334</v>
      </c>
      <c r="E15" s="34">
        <v>810</v>
      </c>
      <c r="F15" s="34">
        <v>4571</v>
      </c>
      <c r="G15" s="34">
        <v>9468</v>
      </c>
      <c r="H15" s="34">
        <v>3044</v>
      </c>
    </row>
    <row r="16" spans="1:8" ht="16" x14ac:dyDescent="0.2">
      <c r="A16" s="34">
        <v>15</v>
      </c>
      <c r="B16" s="34" t="s">
        <v>234</v>
      </c>
      <c r="C16" s="34">
        <v>3003</v>
      </c>
      <c r="D16" s="34">
        <v>7031</v>
      </c>
      <c r="E16" s="34">
        <v>6806</v>
      </c>
      <c r="F16" s="34">
        <v>578</v>
      </c>
      <c r="G16" s="34">
        <v>9624</v>
      </c>
      <c r="H16" s="34">
        <v>250</v>
      </c>
    </row>
    <row r="17" spans="1:8" ht="16" x14ac:dyDescent="0.2">
      <c r="A17" s="34">
        <v>16</v>
      </c>
      <c r="B17" s="34" t="s">
        <v>235</v>
      </c>
      <c r="C17" s="34">
        <v>1796</v>
      </c>
      <c r="D17" s="34">
        <v>2875</v>
      </c>
      <c r="E17" s="34">
        <v>7030</v>
      </c>
      <c r="F17" s="34">
        <v>2601</v>
      </c>
      <c r="G17" s="34">
        <v>7504</v>
      </c>
      <c r="H17" s="34">
        <v>2869</v>
      </c>
    </row>
    <row r="18" spans="1:8" ht="16" x14ac:dyDescent="0.2">
      <c r="A18" s="34">
        <v>17</v>
      </c>
      <c r="B18" s="34" t="s">
        <v>236</v>
      </c>
      <c r="C18" s="34">
        <v>1591</v>
      </c>
      <c r="D18" s="34">
        <v>2791</v>
      </c>
      <c r="E18" s="34">
        <v>424</v>
      </c>
      <c r="F18" s="34">
        <v>5528</v>
      </c>
      <c r="G18" s="34">
        <v>1126</v>
      </c>
      <c r="H18" s="34">
        <v>6911</v>
      </c>
    </row>
    <row r="19" spans="1:8" ht="16" x14ac:dyDescent="0.2">
      <c r="A19" s="34">
        <v>18</v>
      </c>
      <c r="B19" s="34" t="s">
        <v>237</v>
      </c>
      <c r="C19" s="34">
        <v>3171</v>
      </c>
      <c r="D19" s="34">
        <v>1493</v>
      </c>
      <c r="E19" s="34">
        <v>3360</v>
      </c>
      <c r="F19" s="34">
        <v>4122</v>
      </c>
      <c r="G19" s="34">
        <v>3117</v>
      </c>
      <c r="H19" s="34">
        <v>5881</v>
      </c>
    </row>
    <row r="20" spans="1:8" ht="16" x14ac:dyDescent="0.2">
      <c r="A20" s="34">
        <v>19</v>
      </c>
      <c r="B20" s="34" t="s">
        <v>238</v>
      </c>
      <c r="C20" s="34">
        <v>1518</v>
      </c>
      <c r="D20" s="34">
        <v>6621</v>
      </c>
      <c r="E20" s="34">
        <v>8067</v>
      </c>
      <c r="F20" s="34">
        <v>229</v>
      </c>
      <c r="G20" s="34">
        <v>10352</v>
      </c>
      <c r="H20" s="34">
        <v>3550</v>
      </c>
    </row>
    <row r="21" spans="1:8" ht="16" x14ac:dyDescent="0.2">
      <c r="A21" s="34">
        <v>20</v>
      </c>
      <c r="B21" s="34" t="s">
        <v>239</v>
      </c>
      <c r="C21" s="34">
        <v>6401</v>
      </c>
      <c r="D21" s="34">
        <v>6648</v>
      </c>
      <c r="E21" s="34">
        <v>870</v>
      </c>
      <c r="F21" s="34">
        <v>358</v>
      </c>
      <c r="G21" s="34">
        <v>191</v>
      </c>
      <c r="H21" s="34">
        <v>4571</v>
      </c>
    </row>
    <row r="22" spans="1:8" ht="16" x14ac:dyDescent="0.2">
      <c r="A22" s="34">
        <v>21</v>
      </c>
      <c r="B22" s="34" t="s">
        <v>240</v>
      </c>
      <c r="C22" s="34">
        <v>7718</v>
      </c>
      <c r="D22" s="34">
        <v>578</v>
      </c>
      <c r="E22" s="34">
        <v>6463</v>
      </c>
      <c r="F22" s="34">
        <v>6300</v>
      </c>
      <c r="G22" s="34">
        <v>3181</v>
      </c>
      <c r="H22" s="34">
        <v>639</v>
      </c>
    </row>
    <row r="23" spans="1:8" ht="16" x14ac:dyDescent="0.2">
      <c r="A23" s="34">
        <v>22</v>
      </c>
      <c r="B23" s="34" t="s">
        <v>241</v>
      </c>
      <c r="C23" s="34">
        <v>7759</v>
      </c>
      <c r="D23" s="34">
        <v>3044</v>
      </c>
      <c r="E23" s="34">
        <v>250</v>
      </c>
      <c r="F23" s="34">
        <v>3003</v>
      </c>
      <c r="G23" s="34">
        <v>1796</v>
      </c>
      <c r="H23" s="34">
        <v>2869</v>
      </c>
    </row>
    <row r="24" spans="1:8" ht="16" x14ac:dyDescent="0.2">
      <c r="A24" s="34">
        <v>23</v>
      </c>
      <c r="B24" s="34" t="s">
        <v>242</v>
      </c>
      <c r="C24" s="34">
        <v>9624</v>
      </c>
      <c r="D24" s="34">
        <v>9468</v>
      </c>
      <c r="E24" s="34">
        <v>1126</v>
      </c>
      <c r="F24" s="34">
        <v>10714</v>
      </c>
      <c r="G24" s="34">
        <v>2601</v>
      </c>
      <c r="H24" s="34">
        <v>2875</v>
      </c>
    </row>
    <row r="25" spans="1:8" ht="16" x14ac:dyDescent="0.2">
      <c r="A25" s="34">
        <v>24</v>
      </c>
      <c r="B25" s="34" t="s">
        <v>243</v>
      </c>
      <c r="C25" s="34">
        <v>334</v>
      </c>
      <c r="D25" s="34">
        <v>4122</v>
      </c>
      <c r="E25" s="34">
        <v>2791</v>
      </c>
      <c r="F25" s="34">
        <v>7605</v>
      </c>
      <c r="G25" s="34">
        <v>5149</v>
      </c>
      <c r="H25" s="34">
        <v>810</v>
      </c>
    </row>
    <row r="26" spans="1:8" ht="16" x14ac:dyDescent="0.2">
      <c r="A26" s="34">
        <v>25</v>
      </c>
      <c r="B26" s="34" t="s">
        <v>244</v>
      </c>
      <c r="C26" s="34">
        <v>1591</v>
      </c>
      <c r="D26" s="34">
        <v>5528</v>
      </c>
      <c r="E26" s="34">
        <v>7504</v>
      </c>
      <c r="F26" s="34">
        <v>1493</v>
      </c>
      <c r="G26" s="34">
        <v>7031</v>
      </c>
      <c r="H26" s="34">
        <v>3550</v>
      </c>
    </row>
    <row r="27" spans="1:8" ht="16" x14ac:dyDescent="0.2">
      <c r="A27" s="34">
        <v>26</v>
      </c>
      <c r="B27" s="34" t="s">
        <v>245</v>
      </c>
      <c r="C27" s="34">
        <v>3360</v>
      </c>
      <c r="D27" s="34">
        <v>424</v>
      </c>
      <c r="E27" s="34">
        <v>1518</v>
      </c>
      <c r="F27" s="34">
        <v>4458</v>
      </c>
      <c r="G27" s="34">
        <v>6806</v>
      </c>
      <c r="H27" s="34">
        <v>3950</v>
      </c>
    </row>
    <row r="28" spans="1:8" ht="16" x14ac:dyDescent="0.2">
      <c r="A28" s="34">
        <v>27</v>
      </c>
      <c r="B28" s="34" t="s">
        <v>246</v>
      </c>
      <c r="C28" s="34">
        <v>7030</v>
      </c>
      <c r="D28" s="34">
        <v>3173</v>
      </c>
      <c r="E28" s="34">
        <v>3117</v>
      </c>
      <c r="F28" s="34">
        <v>1880</v>
      </c>
      <c r="G28" s="34">
        <v>6911</v>
      </c>
      <c r="H28" s="34">
        <v>2053</v>
      </c>
    </row>
    <row r="29" spans="1:8" ht="16" x14ac:dyDescent="0.2">
      <c r="A29" s="34">
        <v>28</v>
      </c>
      <c r="B29" s="34" t="s">
        <v>247</v>
      </c>
      <c r="C29" s="34">
        <v>1468</v>
      </c>
      <c r="D29" s="34">
        <v>5881</v>
      </c>
      <c r="E29" s="34">
        <v>3171</v>
      </c>
      <c r="F29" s="34">
        <v>10352</v>
      </c>
      <c r="G29" s="34">
        <v>20</v>
      </c>
      <c r="H29" s="34">
        <v>6621</v>
      </c>
    </row>
    <row r="30" spans="1:8" ht="16" x14ac:dyDescent="0.2">
      <c r="A30" s="34">
        <v>29</v>
      </c>
      <c r="B30" s="34" t="s">
        <v>248</v>
      </c>
      <c r="C30" s="34">
        <v>8067</v>
      </c>
      <c r="D30" s="34">
        <v>2869</v>
      </c>
      <c r="E30" s="34">
        <v>4571</v>
      </c>
      <c r="F30" s="34">
        <v>9624</v>
      </c>
      <c r="G30" s="34">
        <v>7718</v>
      </c>
      <c r="H30" s="34">
        <v>358</v>
      </c>
    </row>
    <row r="31" spans="1:8" ht="16" x14ac:dyDescent="0.2">
      <c r="A31" s="34">
        <v>30</v>
      </c>
      <c r="B31" s="34" t="s">
        <v>249</v>
      </c>
      <c r="C31" s="34">
        <v>5149</v>
      </c>
      <c r="D31" s="34">
        <v>3181</v>
      </c>
      <c r="E31" s="34">
        <v>2601</v>
      </c>
      <c r="F31" s="34">
        <v>6401</v>
      </c>
      <c r="G31" s="34">
        <v>3003</v>
      </c>
      <c r="H31" s="34">
        <v>6300</v>
      </c>
    </row>
    <row r="32" spans="1:8" ht="16" x14ac:dyDescent="0.2">
      <c r="A32" s="34">
        <v>31</v>
      </c>
      <c r="B32" s="34" t="s">
        <v>250</v>
      </c>
      <c r="C32" s="34">
        <v>1126</v>
      </c>
      <c r="D32" s="34">
        <v>2875</v>
      </c>
      <c r="E32" s="34">
        <v>7605</v>
      </c>
      <c r="F32" s="34">
        <v>3044</v>
      </c>
      <c r="G32" s="34">
        <v>229</v>
      </c>
      <c r="H32" s="34">
        <v>6463</v>
      </c>
    </row>
    <row r="33" spans="1:8" ht="16" x14ac:dyDescent="0.2">
      <c r="A33" s="34">
        <v>32</v>
      </c>
      <c r="B33" s="34" t="s">
        <v>251</v>
      </c>
      <c r="C33" s="34">
        <v>3360</v>
      </c>
      <c r="D33" s="34">
        <v>870</v>
      </c>
      <c r="E33" s="34">
        <v>5528</v>
      </c>
      <c r="F33" s="34">
        <v>810</v>
      </c>
      <c r="G33" s="34">
        <v>424</v>
      </c>
      <c r="H33" s="34">
        <v>1796</v>
      </c>
    </row>
    <row r="34" spans="1:8" ht="16" x14ac:dyDescent="0.2">
      <c r="A34" s="34">
        <v>33</v>
      </c>
      <c r="B34" s="34" t="s">
        <v>252</v>
      </c>
      <c r="C34" s="34">
        <v>1518</v>
      </c>
      <c r="D34" s="34">
        <v>7030</v>
      </c>
      <c r="E34" s="34">
        <v>2791</v>
      </c>
      <c r="F34" s="34">
        <v>7759</v>
      </c>
      <c r="G34" s="34">
        <v>334</v>
      </c>
      <c r="H34" s="34">
        <v>7031</v>
      </c>
    </row>
    <row r="35" spans="1:8" ht="16" x14ac:dyDescent="0.2">
      <c r="A35" s="34">
        <v>34</v>
      </c>
      <c r="B35" s="34" t="s">
        <v>253</v>
      </c>
      <c r="C35" s="34">
        <v>3950</v>
      </c>
      <c r="D35" s="34">
        <v>3171</v>
      </c>
      <c r="E35" s="34">
        <v>1591</v>
      </c>
      <c r="F35" s="34">
        <v>1880</v>
      </c>
      <c r="G35" s="34">
        <v>1468</v>
      </c>
      <c r="H35" s="34">
        <v>10714</v>
      </c>
    </row>
    <row r="36" spans="1:8" ht="16" x14ac:dyDescent="0.2">
      <c r="A36" s="34">
        <v>35</v>
      </c>
      <c r="B36" s="34" t="s">
        <v>254</v>
      </c>
      <c r="C36" s="34">
        <v>6911</v>
      </c>
      <c r="D36" s="34">
        <v>3550</v>
      </c>
      <c r="E36" s="34">
        <v>3117</v>
      </c>
      <c r="F36" s="34">
        <v>6648</v>
      </c>
      <c r="G36" s="34">
        <v>4458</v>
      </c>
      <c r="H36" s="34">
        <v>20</v>
      </c>
    </row>
    <row r="37" spans="1:8" ht="16" x14ac:dyDescent="0.2">
      <c r="A37" s="34">
        <v>36</v>
      </c>
      <c r="B37" s="34" t="s">
        <v>255</v>
      </c>
      <c r="C37" s="34">
        <v>10352</v>
      </c>
      <c r="D37" s="34">
        <v>250</v>
      </c>
      <c r="E37" s="34">
        <v>3173</v>
      </c>
      <c r="F37" s="34">
        <v>578</v>
      </c>
      <c r="G37" s="34">
        <v>7504</v>
      </c>
      <c r="H37" s="34">
        <v>6621</v>
      </c>
    </row>
    <row r="38" spans="1:8" ht="16" x14ac:dyDescent="0.2">
      <c r="A38" s="34">
        <v>37</v>
      </c>
      <c r="B38" s="34" t="s">
        <v>256</v>
      </c>
      <c r="C38" s="34">
        <v>2053</v>
      </c>
      <c r="D38" s="34">
        <v>639</v>
      </c>
      <c r="E38" s="34">
        <v>9468</v>
      </c>
      <c r="F38" s="34">
        <v>6806</v>
      </c>
      <c r="G38" s="34">
        <v>1493</v>
      </c>
      <c r="H38" s="34">
        <v>191</v>
      </c>
    </row>
    <row r="39" spans="1:8" ht="16" x14ac:dyDescent="0.2">
      <c r="A39" s="34">
        <v>38</v>
      </c>
      <c r="B39" s="34" t="s">
        <v>257</v>
      </c>
      <c r="C39" s="34">
        <v>1796</v>
      </c>
      <c r="D39" s="34">
        <v>358</v>
      </c>
      <c r="E39" s="34">
        <v>4122</v>
      </c>
      <c r="F39" s="34">
        <v>6463</v>
      </c>
      <c r="G39" s="34">
        <v>5881</v>
      </c>
      <c r="H39" s="34">
        <v>424</v>
      </c>
    </row>
    <row r="40" spans="1:8" ht="16" x14ac:dyDescent="0.2">
      <c r="A40" s="34">
        <v>39</v>
      </c>
      <c r="B40" s="34" t="s">
        <v>258</v>
      </c>
      <c r="C40" s="34">
        <v>6401</v>
      </c>
      <c r="D40" s="34">
        <v>3360</v>
      </c>
      <c r="E40" s="34">
        <v>7031</v>
      </c>
      <c r="F40" s="34">
        <v>229</v>
      </c>
      <c r="G40" s="34">
        <v>7718</v>
      </c>
      <c r="H40" s="34">
        <v>334</v>
      </c>
    </row>
    <row r="41" spans="1:8" ht="16" x14ac:dyDescent="0.2">
      <c r="A41" s="34">
        <v>40</v>
      </c>
      <c r="B41" s="34" t="s">
        <v>259</v>
      </c>
      <c r="C41" s="34">
        <v>3044</v>
      </c>
      <c r="D41" s="34">
        <v>1468</v>
      </c>
      <c r="E41" s="34">
        <v>8067</v>
      </c>
      <c r="F41" s="34">
        <v>5149</v>
      </c>
      <c r="G41" s="34">
        <v>7030</v>
      </c>
      <c r="H41" s="34">
        <v>5528</v>
      </c>
    </row>
    <row r="42" spans="1:8" ht="16" x14ac:dyDescent="0.2">
      <c r="A42" s="34">
        <v>41</v>
      </c>
      <c r="B42" s="34" t="s">
        <v>260</v>
      </c>
      <c r="C42" s="34">
        <v>10714</v>
      </c>
      <c r="D42" s="34">
        <v>2869</v>
      </c>
      <c r="E42" s="34">
        <v>3171</v>
      </c>
      <c r="F42" s="34">
        <v>3550</v>
      </c>
      <c r="G42" s="34">
        <v>6300</v>
      </c>
      <c r="H42" s="34">
        <v>2791</v>
      </c>
    </row>
    <row r="43" spans="1:8" ht="16" x14ac:dyDescent="0.2">
      <c r="A43" s="34">
        <v>42</v>
      </c>
      <c r="B43" s="34" t="s">
        <v>261</v>
      </c>
      <c r="C43" s="34">
        <v>3950</v>
      </c>
      <c r="D43" s="34">
        <v>3181</v>
      </c>
      <c r="E43" s="34">
        <v>3117</v>
      </c>
      <c r="F43" s="34">
        <v>6621</v>
      </c>
      <c r="G43" s="34">
        <v>1591</v>
      </c>
      <c r="H43" s="34">
        <v>870</v>
      </c>
    </row>
    <row r="44" spans="1:8" ht="16" x14ac:dyDescent="0.2">
      <c r="A44" s="34">
        <v>43</v>
      </c>
      <c r="B44" s="34" t="s">
        <v>262</v>
      </c>
      <c r="C44" s="34">
        <v>10352</v>
      </c>
      <c r="D44" s="34">
        <v>2601</v>
      </c>
      <c r="E44" s="34">
        <v>6648</v>
      </c>
      <c r="F44" s="34">
        <v>4458</v>
      </c>
      <c r="G44" s="34">
        <v>2053</v>
      </c>
      <c r="H44" s="34">
        <v>7759</v>
      </c>
    </row>
    <row r="45" spans="1:8" ht="16" x14ac:dyDescent="0.2">
      <c r="A45" s="34">
        <v>44</v>
      </c>
      <c r="B45" s="34" t="s">
        <v>263</v>
      </c>
      <c r="C45" s="34">
        <v>1518</v>
      </c>
      <c r="D45" s="34">
        <v>20</v>
      </c>
      <c r="E45" s="34">
        <v>6911</v>
      </c>
      <c r="F45" s="34">
        <v>9468</v>
      </c>
      <c r="G45" s="34">
        <v>578</v>
      </c>
      <c r="H45" s="34">
        <v>2875</v>
      </c>
    </row>
    <row r="46" spans="1:8" ht="16" x14ac:dyDescent="0.2">
      <c r="A46" s="34">
        <v>45</v>
      </c>
      <c r="B46" s="34" t="s">
        <v>264</v>
      </c>
      <c r="C46" s="34">
        <v>5881</v>
      </c>
      <c r="D46" s="34">
        <v>9624</v>
      </c>
      <c r="E46" s="34">
        <v>1493</v>
      </c>
      <c r="F46" s="34">
        <v>810</v>
      </c>
      <c r="G46" s="34">
        <v>3173</v>
      </c>
      <c r="H46" s="34">
        <v>191</v>
      </c>
    </row>
    <row r="47" spans="1:8" ht="16" x14ac:dyDescent="0.2">
      <c r="A47" s="34">
        <v>46</v>
      </c>
      <c r="B47" s="34" t="s">
        <v>265</v>
      </c>
      <c r="C47" s="34">
        <v>7605</v>
      </c>
      <c r="D47" s="34">
        <v>7504</v>
      </c>
      <c r="E47" s="34">
        <v>1880</v>
      </c>
      <c r="F47" s="34">
        <v>3003</v>
      </c>
      <c r="G47" s="34">
        <v>4571</v>
      </c>
      <c r="H47" s="34">
        <v>639</v>
      </c>
    </row>
    <row r="48" spans="1:8" ht="16" x14ac:dyDescent="0.2">
      <c r="A48" s="34">
        <v>47</v>
      </c>
      <c r="B48" s="34" t="s">
        <v>266</v>
      </c>
      <c r="C48" s="34">
        <v>6806</v>
      </c>
      <c r="D48" s="34">
        <v>250</v>
      </c>
      <c r="E48" s="34">
        <v>358</v>
      </c>
      <c r="F48" s="34">
        <v>1126</v>
      </c>
      <c r="G48" s="34">
        <v>4122</v>
      </c>
      <c r="H48" s="34">
        <v>1468</v>
      </c>
    </row>
    <row r="49" spans="1:8" ht="16" x14ac:dyDescent="0.2">
      <c r="A49" s="34">
        <v>48</v>
      </c>
      <c r="B49" s="34" t="s">
        <v>267</v>
      </c>
      <c r="C49" s="34">
        <v>2869</v>
      </c>
      <c r="D49" s="34">
        <v>3044</v>
      </c>
      <c r="E49" s="34">
        <v>3181</v>
      </c>
      <c r="F49" s="34">
        <v>10714</v>
      </c>
      <c r="G49" s="34">
        <v>424</v>
      </c>
      <c r="H49" s="34">
        <v>7031</v>
      </c>
    </row>
    <row r="50" spans="1:8" ht="16" x14ac:dyDescent="0.2">
      <c r="A50" s="34">
        <v>49</v>
      </c>
      <c r="B50" s="34" t="s">
        <v>268</v>
      </c>
      <c r="C50" s="34">
        <v>6621</v>
      </c>
      <c r="D50" s="34">
        <v>6300</v>
      </c>
      <c r="E50" s="34">
        <v>6648</v>
      </c>
      <c r="F50" s="34">
        <v>2791</v>
      </c>
      <c r="G50" s="34">
        <v>1796</v>
      </c>
      <c r="H50" s="34">
        <v>3360</v>
      </c>
    </row>
    <row r="51" spans="1:8" ht="16" x14ac:dyDescent="0.2">
      <c r="A51" s="34">
        <v>50</v>
      </c>
      <c r="B51" s="34" t="s">
        <v>269</v>
      </c>
      <c r="C51" s="34">
        <v>578</v>
      </c>
      <c r="D51" s="34">
        <v>1591</v>
      </c>
      <c r="E51" s="34">
        <v>4458</v>
      </c>
      <c r="F51" s="34">
        <v>2053</v>
      </c>
      <c r="G51" s="34">
        <v>8067</v>
      </c>
      <c r="H51" s="34">
        <v>334</v>
      </c>
    </row>
    <row r="52" spans="1:8" ht="16" x14ac:dyDescent="0.2">
      <c r="A52" s="34">
        <v>51</v>
      </c>
      <c r="B52" s="34" t="s">
        <v>270</v>
      </c>
      <c r="C52" s="34">
        <v>1493</v>
      </c>
      <c r="D52" s="34">
        <v>810</v>
      </c>
      <c r="E52" s="34">
        <v>7718</v>
      </c>
      <c r="F52" s="34">
        <v>6911</v>
      </c>
      <c r="G52" s="34">
        <v>3950</v>
      </c>
      <c r="H52" s="34">
        <v>7759</v>
      </c>
    </row>
    <row r="53" spans="1:8" ht="16" x14ac:dyDescent="0.2">
      <c r="A53" s="34">
        <v>52</v>
      </c>
      <c r="B53" s="34" t="s">
        <v>271</v>
      </c>
      <c r="C53" s="34">
        <v>5528</v>
      </c>
      <c r="D53" s="34">
        <v>3171</v>
      </c>
      <c r="E53" s="34">
        <v>4571</v>
      </c>
      <c r="F53" s="34">
        <v>3173</v>
      </c>
      <c r="G53" s="34">
        <v>229</v>
      </c>
      <c r="H53" s="34">
        <v>3003</v>
      </c>
    </row>
    <row r="54" spans="1:8" ht="16" x14ac:dyDescent="0.2">
      <c r="A54" s="34">
        <v>53</v>
      </c>
      <c r="B54" s="34" t="s">
        <v>272</v>
      </c>
      <c r="C54" s="34">
        <v>250</v>
      </c>
      <c r="D54" s="34">
        <v>1126</v>
      </c>
      <c r="E54" s="34">
        <v>191</v>
      </c>
      <c r="F54" s="34">
        <v>639</v>
      </c>
      <c r="G54" s="34">
        <v>2875</v>
      </c>
      <c r="H54" s="34">
        <v>1518</v>
      </c>
    </row>
    <row r="55" spans="1:8" ht="16" x14ac:dyDescent="0.2">
      <c r="A55" s="34">
        <v>54</v>
      </c>
      <c r="B55" s="34" t="s">
        <v>273</v>
      </c>
      <c r="C55" s="34">
        <v>5149</v>
      </c>
      <c r="D55" s="34">
        <v>6463</v>
      </c>
      <c r="E55" s="34">
        <v>10352</v>
      </c>
      <c r="F55" s="34">
        <v>6806</v>
      </c>
      <c r="G55" s="34">
        <v>3117</v>
      </c>
      <c r="H55" s="34">
        <v>9468</v>
      </c>
    </row>
    <row r="56" spans="1:8" ht="16" x14ac:dyDescent="0.2">
      <c r="A56" s="34">
        <v>55</v>
      </c>
      <c r="B56" s="34" t="s">
        <v>274</v>
      </c>
      <c r="C56" s="34">
        <v>7504</v>
      </c>
      <c r="D56" s="34">
        <v>4122</v>
      </c>
      <c r="E56" s="34">
        <v>7030</v>
      </c>
      <c r="F56" s="34">
        <v>20</v>
      </c>
      <c r="G56" s="34">
        <v>6401</v>
      </c>
      <c r="H56" s="34">
        <v>9624</v>
      </c>
    </row>
    <row r="57" spans="1:8" ht="16" x14ac:dyDescent="0.2">
      <c r="A57" s="34">
        <v>56</v>
      </c>
      <c r="B57" s="34" t="s">
        <v>275</v>
      </c>
      <c r="C57" s="34">
        <v>1880</v>
      </c>
      <c r="D57" s="34">
        <v>870</v>
      </c>
      <c r="E57" s="34">
        <v>3550</v>
      </c>
      <c r="F57" s="34">
        <v>2601</v>
      </c>
      <c r="G57" s="34">
        <v>7605</v>
      </c>
      <c r="H57" s="34">
        <v>5881</v>
      </c>
    </row>
    <row r="58" spans="1:8" ht="16" x14ac:dyDescent="0.2">
      <c r="A58" s="34">
        <v>57</v>
      </c>
      <c r="B58" s="34" t="s">
        <v>276</v>
      </c>
      <c r="C58" s="34">
        <v>1493</v>
      </c>
      <c r="D58" s="34">
        <v>6911</v>
      </c>
      <c r="E58" s="34">
        <v>1796</v>
      </c>
      <c r="F58" s="34">
        <v>8067</v>
      </c>
      <c r="G58" s="34">
        <v>358</v>
      </c>
      <c r="H58" s="34">
        <v>10714</v>
      </c>
    </row>
    <row r="59" spans="1:8" ht="16" x14ac:dyDescent="0.2">
      <c r="A59" s="34">
        <v>58</v>
      </c>
      <c r="B59" s="34" t="s">
        <v>277</v>
      </c>
      <c r="C59" s="34">
        <v>2791</v>
      </c>
      <c r="D59" s="34">
        <v>2053</v>
      </c>
      <c r="E59" s="34">
        <v>578</v>
      </c>
      <c r="F59" s="34">
        <v>3044</v>
      </c>
      <c r="G59" s="34">
        <v>3950</v>
      </c>
      <c r="H59" s="34">
        <v>3360</v>
      </c>
    </row>
    <row r="60" spans="1:8" ht="16" x14ac:dyDescent="0.2">
      <c r="A60" s="34">
        <v>59</v>
      </c>
      <c r="B60" s="34" t="s">
        <v>278</v>
      </c>
      <c r="C60" s="34">
        <v>2869</v>
      </c>
      <c r="D60" s="34">
        <v>810</v>
      </c>
      <c r="E60" s="34">
        <v>1468</v>
      </c>
      <c r="F60" s="34">
        <v>3181</v>
      </c>
      <c r="G60" s="34">
        <v>191</v>
      </c>
      <c r="H60" s="34">
        <v>1518</v>
      </c>
    </row>
    <row r="61" spans="1:8" ht="16" x14ac:dyDescent="0.2">
      <c r="A61" s="34">
        <v>60</v>
      </c>
      <c r="B61" s="34" t="s">
        <v>279</v>
      </c>
      <c r="C61" s="34">
        <v>1126</v>
      </c>
      <c r="D61" s="34">
        <v>10352</v>
      </c>
      <c r="E61" s="34">
        <v>4458</v>
      </c>
      <c r="F61" s="34">
        <v>7031</v>
      </c>
      <c r="G61" s="34">
        <v>4571</v>
      </c>
      <c r="H61" s="34">
        <v>5149</v>
      </c>
    </row>
    <row r="62" spans="1:8" ht="16" x14ac:dyDescent="0.2">
      <c r="A62" s="34">
        <v>61</v>
      </c>
      <c r="B62" s="34" t="s">
        <v>280</v>
      </c>
      <c r="C62" s="34">
        <v>424</v>
      </c>
      <c r="D62" s="34">
        <v>3003</v>
      </c>
      <c r="E62" s="34">
        <v>7504</v>
      </c>
      <c r="F62" s="34">
        <v>7030</v>
      </c>
      <c r="G62" s="34">
        <v>6648</v>
      </c>
      <c r="H62" s="34">
        <v>229</v>
      </c>
    </row>
    <row r="63" spans="1:8" ht="16" x14ac:dyDescent="0.2">
      <c r="A63" s="34">
        <v>62</v>
      </c>
      <c r="B63" s="34" t="s">
        <v>281</v>
      </c>
      <c r="C63" s="34">
        <v>7759</v>
      </c>
      <c r="D63" s="34">
        <v>1591</v>
      </c>
      <c r="E63" s="34">
        <v>7605</v>
      </c>
      <c r="F63" s="34">
        <v>3171</v>
      </c>
      <c r="G63" s="34">
        <v>9468</v>
      </c>
      <c r="H63" s="34">
        <v>250</v>
      </c>
    </row>
    <row r="64" spans="1:8" ht="16" x14ac:dyDescent="0.2">
      <c r="A64" s="34">
        <v>63</v>
      </c>
      <c r="B64" s="34" t="s">
        <v>282</v>
      </c>
      <c r="C64" s="34">
        <v>5881</v>
      </c>
      <c r="D64" s="34">
        <v>5528</v>
      </c>
      <c r="E64" s="34">
        <v>6300</v>
      </c>
      <c r="F64" s="34">
        <v>3117</v>
      </c>
      <c r="G64" s="34">
        <v>639</v>
      </c>
      <c r="H64" s="34">
        <v>6401</v>
      </c>
    </row>
    <row r="65" spans="1:8" ht="16" x14ac:dyDescent="0.2">
      <c r="A65" s="34">
        <v>64</v>
      </c>
      <c r="B65" s="34" t="s">
        <v>283</v>
      </c>
      <c r="C65" s="34">
        <v>2875</v>
      </c>
      <c r="D65" s="34">
        <v>6621</v>
      </c>
      <c r="E65" s="34">
        <v>7718</v>
      </c>
      <c r="F65" s="34">
        <v>4122</v>
      </c>
      <c r="G65" s="34">
        <v>6806</v>
      </c>
      <c r="H65" s="34">
        <v>1880</v>
      </c>
    </row>
    <row r="66" spans="1:8" ht="16" x14ac:dyDescent="0.2">
      <c r="A66" s="34">
        <v>65</v>
      </c>
      <c r="B66" s="34" t="s">
        <v>284</v>
      </c>
      <c r="C66" s="34">
        <v>334</v>
      </c>
      <c r="D66" s="34">
        <v>3173</v>
      </c>
      <c r="E66" s="34">
        <v>6463</v>
      </c>
      <c r="F66" s="34">
        <v>3550</v>
      </c>
      <c r="G66" s="34">
        <v>2601</v>
      </c>
      <c r="H66" s="34">
        <v>20</v>
      </c>
    </row>
    <row r="67" spans="1:8" ht="16" x14ac:dyDescent="0.2">
      <c r="A67" s="34">
        <v>66</v>
      </c>
      <c r="B67" s="34" t="s">
        <v>285</v>
      </c>
      <c r="C67" s="34">
        <v>2791</v>
      </c>
      <c r="D67" s="34">
        <v>3044</v>
      </c>
      <c r="E67" s="34">
        <v>9624</v>
      </c>
      <c r="F67" s="34">
        <v>870</v>
      </c>
      <c r="G67" s="34">
        <v>4458</v>
      </c>
      <c r="H67" s="34">
        <v>1493</v>
      </c>
    </row>
    <row r="68" spans="1:8" ht="16" x14ac:dyDescent="0.2">
      <c r="A68" s="34">
        <v>67</v>
      </c>
      <c r="B68" s="34" t="s">
        <v>286</v>
      </c>
      <c r="C68" s="34">
        <v>4571</v>
      </c>
      <c r="D68" s="34">
        <v>10714</v>
      </c>
      <c r="E68" s="34">
        <v>578</v>
      </c>
      <c r="F68" s="34">
        <v>191</v>
      </c>
      <c r="G68" s="34">
        <v>7030</v>
      </c>
      <c r="H68" s="34">
        <v>1468</v>
      </c>
    </row>
    <row r="69" spans="1:8" ht="16" x14ac:dyDescent="0.2">
      <c r="A69" s="34">
        <v>68</v>
      </c>
      <c r="B69" s="34" t="s">
        <v>287</v>
      </c>
      <c r="C69" s="34">
        <v>3181</v>
      </c>
      <c r="D69" s="34">
        <v>2053</v>
      </c>
      <c r="E69" s="34">
        <v>1796</v>
      </c>
      <c r="F69" s="34">
        <v>3171</v>
      </c>
      <c r="G69" s="34">
        <v>1518</v>
      </c>
      <c r="H69" s="34">
        <v>7605</v>
      </c>
    </row>
    <row r="70" spans="1:8" ht="16" x14ac:dyDescent="0.2">
      <c r="A70" s="34">
        <v>69</v>
      </c>
      <c r="B70" s="34" t="s">
        <v>288</v>
      </c>
      <c r="C70" s="34">
        <v>424</v>
      </c>
      <c r="D70" s="34">
        <v>6401</v>
      </c>
      <c r="E70" s="34">
        <v>1126</v>
      </c>
      <c r="F70" s="34">
        <v>3117</v>
      </c>
      <c r="G70" s="34">
        <v>810</v>
      </c>
      <c r="H70" s="34">
        <v>3003</v>
      </c>
    </row>
    <row r="71" spans="1:8" ht="16" x14ac:dyDescent="0.2">
      <c r="A71" s="34">
        <v>70</v>
      </c>
      <c r="B71" s="34" t="s">
        <v>289</v>
      </c>
      <c r="C71" s="34">
        <v>7718</v>
      </c>
      <c r="D71" s="34">
        <v>5528</v>
      </c>
      <c r="E71" s="34">
        <v>6806</v>
      </c>
      <c r="F71" s="34">
        <v>9468</v>
      </c>
      <c r="G71" s="34">
        <v>6648</v>
      </c>
      <c r="H71" s="34">
        <v>7504</v>
      </c>
    </row>
    <row r="72" spans="1:8" ht="16" x14ac:dyDescent="0.2">
      <c r="A72" s="34">
        <v>71</v>
      </c>
      <c r="B72" s="34" t="s">
        <v>290</v>
      </c>
      <c r="C72" s="34">
        <v>358</v>
      </c>
      <c r="D72" s="34">
        <v>6300</v>
      </c>
      <c r="E72" s="34">
        <v>2601</v>
      </c>
      <c r="F72" s="34">
        <v>20</v>
      </c>
      <c r="G72" s="34">
        <v>7031</v>
      </c>
      <c r="H72" s="34">
        <v>1591</v>
      </c>
    </row>
    <row r="73" spans="1:8" ht="16" x14ac:dyDescent="0.2">
      <c r="A73" s="34">
        <v>72</v>
      </c>
      <c r="B73" s="34" t="s">
        <v>291</v>
      </c>
      <c r="C73" s="34">
        <v>639</v>
      </c>
      <c r="D73" s="34">
        <v>7759</v>
      </c>
      <c r="E73" s="34">
        <v>3173</v>
      </c>
      <c r="F73" s="34">
        <v>8067</v>
      </c>
      <c r="G73" s="34">
        <v>3360</v>
      </c>
      <c r="H73" s="34">
        <v>4122</v>
      </c>
    </row>
    <row r="74" spans="1:8" ht="16" x14ac:dyDescent="0.2">
      <c r="A74" s="34">
        <v>73</v>
      </c>
      <c r="B74" s="34" t="s">
        <v>292</v>
      </c>
      <c r="C74" s="34">
        <v>2869</v>
      </c>
      <c r="D74" s="34">
        <v>229</v>
      </c>
      <c r="E74" s="34">
        <v>870</v>
      </c>
      <c r="F74" s="34">
        <v>334</v>
      </c>
      <c r="G74" s="34">
        <v>1880</v>
      </c>
      <c r="H74" s="34">
        <v>10352</v>
      </c>
    </row>
    <row r="75" spans="1:8" ht="16" x14ac:dyDescent="0.2">
      <c r="A75" s="34">
        <v>74</v>
      </c>
      <c r="B75" s="34" t="s">
        <v>293</v>
      </c>
      <c r="C75" s="34">
        <v>3550</v>
      </c>
      <c r="D75" s="34">
        <v>5149</v>
      </c>
      <c r="E75" s="34">
        <v>5881</v>
      </c>
      <c r="F75" s="34">
        <v>250</v>
      </c>
      <c r="G75" s="34">
        <v>3950</v>
      </c>
      <c r="H75" s="34">
        <v>2875</v>
      </c>
    </row>
    <row r="76" spans="1:8" ht="16" x14ac:dyDescent="0.2">
      <c r="A76" s="34">
        <v>75</v>
      </c>
      <c r="B76" s="34" t="s">
        <v>294</v>
      </c>
      <c r="C76" s="34">
        <v>6911</v>
      </c>
      <c r="D76" s="34">
        <v>6401</v>
      </c>
      <c r="E76" s="34">
        <v>6621</v>
      </c>
      <c r="F76" s="34">
        <v>9624</v>
      </c>
      <c r="G76" s="34">
        <v>6463</v>
      </c>
      <c r="H76" s="34">
        <v>2053</v>
      </c>
    </row>
    <row r="77" spans="1:8" ht="16" x14ac:dyDescent="0.2">
      <c r="A77" s="34">
        <v>76</v>
      </c>
      <c r="B77" s="34" t="s">
        <v>295</v>
      </c>
      <c r="C77" s="34">
        <v>3117</v>
      </c>
      <c r="D77" s="34">
        <v>10714</v>
      </c>
      <c r="E77" s="34">
        <v>3044</v>
      </c>
      <c r="F77" s="34">
        <v>7504</v>
      </c>
      <c r="G77" s="34">
        <v>1518</v>
      </c>
      <c r="H77" s="34">
        <v>6806</v>
      </c>
    </row>
    <row r="78" spans="1:8" ht="16" x14ac:dyDescent="0.2">
      <c r="A78" s="34">
        <v>77</v>
      </c>
      <c r="B78" s="34" t="s">
        <v>296</v>
      </c>
      <c r="C78" s="34">
        <v>7031</v>
      </c>
      <c r="D78" s="34">
        <v>1468</v>
      </c>
      <c r="E78" s="34">
        <v>6300</v>
      </c>
      <c r="F78" s="34">
        <v>6648</v>
      </c>
      <c r="G78" s="34">
        <v>7605</v>
      </c>
      <c r="H78" s="34">
        <v>1493</v>
      </c>
    </row>
    <row r="79" spans="1:8" ht="16" x14ac:dyDescent="0.2">
      <c r="A79" s="34">
        <v>78</v>
      </c>
      <c r="B79" s="34" t="s">
        <v>297</v>
      </c>
      <c r="C79" s="34">
        <v>810</v>
      </c>
      <c r="D79" s="34">
        <v>358</v>
      </c>
      <c r="E79" s="34">
        <v>4458</v>
      </c>
      <c r="F79" s="34">
        <v>7030</v>
      </c>
      <c r="G79" s="34">
        <v>3171</v>
      </c>
      <c r="H79" s="34">
        <v>578</v>
      </c>
    </row>
    <row r="80" spans="1:8" ht="16" x14ac:dyDescent="0.2">
      <c r="A80" s="34">
        <v>79</v>
      </c>
      <c r="B80" s="34" t="s">
        <v>298</v>
      </c>
      <c r="C80" s="34">
        <v>191</v>
      </c>
      <c r="D80" s="34">
        <v>7759</v>
      </c>
      <c r="E80" s="34">
        <v>1880</v>
      </c>
      <c r="F80" s="34">
        <v>5528</v>
      </c>
      <c r="G80" s="34">
        <v>334</v>
      </c>
      <c r="H80" s="34">
        <v>424</v>
      </c>
    </row>
    <row r="81" spans="1:8" ht="16" x14ac:dyDescent="0.2">
      <c r="A81" s="34">
        <v>80</v>
      </c>
      <c r="B81" s="34" t="s">
        <v>299</v>
      </c>
      <c r="C81" s="34">
        <v>9468</v>
      </c>
      <c r="D81" s="34">
        <v>3550</v>
      </c>
      <c r="E81" s="34">
        <v>4122</v>
      </c>
      <c r="F81" s="34">
        <v>870</v>
      </c>
      <c r="G81" s="34">
        <v>4571</v>
      </c>
      <c r="H81" s="34">
        <v>3181</v>
      </c>
    </row>
    <row r="82" spans="1:8" ht="16" x14ac:dyDescent="0.2">
      <c r="A82" s="34">
        <v>81</v>
      </c>
      <c r="B82" s="34" t="s">
        <v>300</v>
      </c>
      <c r="C82" s="34">
        <v>3950</v>
      </c>
      <c r="D82" s="34">
        <v>639</v>
      </c>
      <c r="E82" s="34">
        <v>229</v>
      </c>
      <c r="F82" s="34">
        <v>1796</v>
      </c>
      <c r="G82" s="34">
        <v>9624</v>
      </c>
      <c r="H82" s="34">
        <v>2601</v>
      </c>
    </row>
    <row r="83" spans="1:8" ht="16" x14ac:dyDescent="0.2">
      <c r="A83" s="34">
        <v>82</v>
      </c>
      <c r="B83" s="34" t="s">
        <v>301</v>
      </c>
      <c r="C83" s="34">
        <v>2875</v>
      </c>
      <c r="D83" s="34">
        <v>2791</v>
      </c>
      <c r="E83" s="34">
        <v>3173</v>
      </c>
      <c r="F83" s="34">
        <v>7718</v>
      </c>
      <c r="G83" s="34">
        <v>10352</v>
      </c>
      <c r="H83" s="34">
        <v>1591</v>
      </c>
    </row>
    <row r="84" spans="1:8" ht="16" x14ac:dyDescent="0.2">
      <c r="A84" s="34">
        <v>83</v>
      </c>
      <c r="B84" s="34" t="s">
        <v>302</v>
      </c>
      <c r="C84" s="34">
        <v>20</v>
      </c>
      <c r="D84" s="34">
        <v>1126</v>
      </c>
      <c r="E84" s="34">
        <v>5149</v>
      </c>
      <c r="F84" s="34">
        <v>6621</v>
      </c>
      <c r="G84" s="34">
        <v>3360</v>
      </c>
      <c r="H84" s="34">
        <v>2869</v>
      </c>
    </row>
    <row r="85" spans="1:8" ht="16" x14ac:dyDescent="0.2">
      <c r="A85" s="34">
        <v>84</v>
      </c>
      <c r="B85" s="34" t="s">
        <v>303</v>
      </c>
      <c r="C85" s="34">
        <v>250</v>
      </c>
      <c r="D85" s="34">
        <v>5881</v>
      </c>
      <c r="E85" s="34">
        <v>3003</v>
      </c>
      <c r="F85" s="34">
        <v>6463</v>
      </c>
      <c r="G85" s="34">
        <v>6911</v>
      </c>
      <c r="H85" s="34">
        <v>8067</v>
      </c>
    </row>
  </sheetData>
  <autoFilter ref="A1:H1" xr:uid="{00000000-0009-0000-0000-000003000000}"/>
  <pageMargins left="0.75" right="0.75" top="1" bottom="1" header="0.5" footer="0.5"/>
  <pageSetup orientation="portrait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0-000E-0000-0300-000001000000}">
            <xm:f>COUNTIF(MatchScoutingData!$A$2:$A$1000,CONCATENATE($A2,".",C$1)) = 1</xm:f>
            <x14:dxf>
              <fill>
                <patternFill patternType="solid">
                  <fgColor rgb="FFC8D6A1"/>
                  <bgColor rgb="FFC8D6A1"/>
                </patternFill>
              </fill>
            </x14:dxf>
          </x14:cfRule>
          <x14:cfRule type="expression" priority="2" id="{00000000-000E-0000-0300-000002000000}">
            <xm:f>COUNTIF(MatchScoutingData!$A$2:$A$1000,CONCATENATE($A2,".",C$1)) &gt; 1</xm:f>
            <x14:dxf>
              <fill>
                <patternFill patternType="solid">
                  <fgColor rgb="FFD09996"/>
                  <bgColor rgb="FFD09996"/>
                </patternFill>
              </fill>
            </x14:dxf>
          </x14:cfRule>
          <xm:sqref>C2:H1000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S59"/>
  <sheetViews>
    <sheetView zoomScale="150" zoomScaleNormal="150" workbookViewId="0">
      <pane xSplit="1" ySplit="3" topLeftCell="B4" activePane="bottomRight" state="frozen"/>
      <selection pane="topRight"/>
      <selection pane="bottomLeft"/>
      <selection pane="bottomRight" activeCell="R4" sqref="R4"/>
    </sheetView>
  </sheetViews>
  <sheetFormatPr baseColWidth="10" defaultColWidth="8.83203125" defaultRowHeight="15" x14ac:dyDescent="0.2"/>
  <cols>
    <col min="2" max="45" width="5.6640625" customWidth="1"/>
  </cols>
  <sheetData>
    <row r="1" spans="1:45" ht="17" customHeight="1" thickBot="1" x14ac:dyDescent="0.25">
      <c r="A1" s="6"/>
      <c r="B1" s="6"/>
      <c r="C1" s="45" t="s">
        <v>304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7"/>
      <c r="R1" s="48" t="s">
        <v>305</v>
      </c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7"/>
      <c r="AF1" s="49" t="s">
        <v>306</v>
      </c>
      <c r="AG1" s="46"/>
      <c r="AH1" s="46"/>
      <c r="AI1" s="46"/>
      <c r="AJ1" s="46"/>
      <c r="AK1" s="46"/>
      <c r="AL1" s="46"/>
      <c r="AM1" s="47"/>
      <c r="AN1" s="50" t="s">
        <v>307</v>
      </c>
      <c r="AO1" s="51"/>
      <c r="AP1" s="42" t="s">
        <v>308</v>
      </c>
      <c r="AQ1" s="43"/>
      <c r="AR1" s="43"/>
      <c r="AS1" s="43"/>
    </row>
    <row r="2" spans="1:45" ht="17" customHeight="1" thickBot="1" x14ac:dyDescent="0.25">
      <c r="A2" s="7"/>
      <c r="B2" s="7"/>
      <c r="C2" s="45" t="s">
        <v>309</v>
      </c>
      <c r="D2" s="46"/>
      <c r="E2" s="46"/>
      <c r="F2" s="46"/>
      <c r="G2" s="46"/>
      <c r="H2" s="47"/>
      <c r="I2" s="45" t="s">
        <v>307</v>
      </c>
      <c r="J2" s="46"/>
      <c r="K2" s="46"/>
      <c r="L2" s="46"/>
      <c r="M2" s="46"/>
      <c r="N2" s="46"/>
      <c r="O2" s="46"/>
      <c r="P2" s="46"/>
      <c r="Q2" s="47"/>
      <c r="R2" s="48" t="s">
        <v>309</v>
      </c>
      <c r="S2" s="46"/>
      <c r="T2" s="46"/>
      <c r="U2" s="46"/>
      <c r="V2" s="46"/>
      <c r="W2" s="47"/>
      <c r="X2" s="48" t="s">
        <v>307</v>
      </c>
      <c r="Y2" s="46"/>
      <c r="Z2" s="46"/>
      <c r="AA2" s="46"/>
      <c r="AB2" s="46"/>
      <c r="AC2" s="46"/>
      <c r="AD2" s="46"/>
      <c r="AE2" s="47"/>
      <c r="AF2" s="49" t="s">
        <v>309</v>
      </c>
      <c r="AG2" s="46"/>
      <c r="AH2" s="47"/>
      <c r="AI2" s="49" t="s">
        <v>307</v>
      </c>
      <c r="AJ2" s="46"/>
      <c r="AK2" s="46"/>
      <c r="AL2" s="46"/>
      <c r="AM2" s="47"/>
      <c r="AN2" s="52"/>
      <c r="AO2" s="53"/>
      <c r="AP2" s="44"/>
      <c r="AQ2" s="43"/>
      <c r="AR2" s="43"/>
      <c r="AS2" s="43"/>
    </row>
    <row r="3" spans="1:45" ht="56" customHeight="1" thickBot="1" x14ac:dyDescent="0.25">
      <c r="A3" s="8" t="s">
        <v>5</v>
      </c>
      <c r="B3" s="8" t="s">
        <v>310</v>
      </c>
      <c r="C3" s="12" t="s">
        <v>311</v>
      </c>
      <c r="D3" s="12" t="s">
        <v>312</v>
      </c>
      <c r="E3" s="12" t="s">
        <v>313</v>
      </c>
      <c r="F3" s="12" t="s">
        <v>314</v>
      </c>
      <c r="G3" s="12" t="s">
        <v>315</v>
      </c>
      <c r="H3" s="12" t="s">
        <v>316</v>
      </c>
      <c r="I3" s="13" t="s">
        <v>311</v>
      </c>
      <c r="J3" s="12" t="s">
        <v>312</v>
      </c>
      <c r="K3" s="12" t="s">
        <v>313</v>
      </c>
      <c r="L3" s="12" t="s">
        <v>314</v>
      </c>
      <c r="M3" s="12" t="s">
        <v>315</v>
      </c>
      <c r="N3" s="12" t="s">
        <v>316</v>
      </c>
      <c r="O3" s="12" t="s">
        <v>317</v>
      </c>
      <c r="P3" s="12" t="s">
        <v>318</v>
      </c>
      <c r="Q3" s="12" t="s">
        <v>319</v>
      </c>
      <c r="R3" s="20" t="s">
        <v>311</v>
      </c>
      <c r="S3" s="20" t="s">
        <v>312</v>
      </c>
      <c r="T3" s="20" t="s">
        <v>313</v>
      </c>
      <c r="U3" s="20" t="s">
        <v>314</v>
      </c>
      <c r="V3" s="9" t="s">
        <v>315</v>
      </c>
      <c r="W3" s="9" t="s">
        <v>316</v>
      </c>
      <c r="X3" s="20" t="s">
        <v>311</v>
      </c>
      <c r="Y3" s="20" t="s">
        <v>312</v>
      </c>
      <c r="Z3" s="20" t="s">
        <v>313</v>
      </c>
      <c r="AA3" s="20" t="s">
        <v>314</v>
      </c>
      <c r="AB3" s="9" t="s">
        <v>315</v>
      </c>
      <c r="AC3" s="9" t="s">
        <v>316</v>
      </c>
      <c r="AD3" s="9" t="s">
        <v>318</v>
      </c>
      <c r="AE3" s="9" t="s">
        <v>319</v>
      </c>
      <c r="AF3" s="14" t="s">
        <v>320</v>
      </c>
      <c r="AG3" s="14" t="s">
        <v>321</v>
      </c>
      <c r="AH3" s="14" t="s">
        <v>322</v>
      </c>
      <c r="AI3" s="14" t="s">
        <v>320</v>
      </c>
      <c r="AJ3" s="14" t="s">
        <v>321</v>
      </c>
      <c r="AK3" s="14" t="s">
        <v>322</v>
      </c>
      <c r="AL3" s="10" t="s">
        <v>318</v>
      </c>
      <c r="AM3" s="10" t="s">
        <v>319</v>
      </c>
      <c r="AN3" s="11" t="s">
        <v>318</v>
      </c>
      <c r="AO3" s="11" t="s">
        <v>319</v>
      </c>
      <c r="AP3" s="1" t="s">
        <v>304</v>
      </c>
      <c r="AQ3" s="1" t="s">
        <v>323</v>
      </c>
      <c r="AR3" s="1" t="s">
        <v>324</v>
      </c>
      <c r="AS3" s="1" t="s">
        <v>318</v>
      </c>
    </row>
    <row r="4" spans="1:45" ht="16" x14ac:dyDescent="0.2">
      <c r="A4" s="35">
        <v>20</v>
      </c>
      <c r="B4" s="36">
        <f>COUNTIF(MatchScoutingData!F$2:F$1000, $A4)</f>
        <v>3</v>
      </c>
      <c r="C4" s="36">
        <f>SUMIF(MatchScoutingData!$F$2:$F$1000, $A4, MatchScoutingData!I$2:I$1000)</f>
        <v>2</v>
      </c>
      <c r="D4" s="36">
        <f>SUMIF(MatchScoutingData!$F$2:$F$1000, $A4, MatchScoutingData!J$2:J$1000)</f>
        <v>0</v>
      </c>
      <c r="E4" s="36">
        <f>SUMIF(MatchScoutingData!$F$2:$F$1000, $A4, MatchScoutingData!K$2:K$1000)</f>
        <v>0</v>
      </c>
      <c r="F4" s="36">
        <f>SUMIF(MatchScoutingData!$F$2:$F$1000, $A4, MatchScoutingData!L$2:L$1000)</f>
        <v>0</v>
      </c>
      <c r="G4" s="36">
        <f>SUMIF(MatchScoutingData!$F$2:$F$1000, $A4, MatchScoutingData!M$2:M$1000)</f>
        <v>0</v>
      </c>
      <c r="H4" s="36">
        <f>SUMIF(MatchScoutingData!$F$2:$F$1000, $A4, MatchScoutingData!N$2:N$1000)</f>
        <v>0</v>
      </c>
      <c r="I4" s="36">
        <f t="shared" ref="I4:I35" si="0">C4 * 7</f>
        <v>14</v>
      </c>
      <c r="J4" s="36">
        <f t="shared" ref="J4:J35" si="1">D4 * 6</f>
        <v>0</v>
      </c>
      <c r="K4" s="36">
        <f t="shared" ref="K4:K35" si="2">E4 * 4</f>
        <v>0</v>
      </c>
      <c r="L4" s="36">
        <f t="shared" ref="L4:L35" si="3">F4 * 3</f>
        <v>0</v>
      </c>
      <c r="M4" s="36">
        <f t="shared" ref="M4:M35" si="4">G4 * 6</f>
        <v>0</v>
      </c>
      <c r="N4" s="36">
        <f t="shared" ref="N4:N35" si="5">H4 * 4</f>
        <v>0</v>
      </c>
      <c r="O4" s="36">
        <f>SUMIF(MatchScoutingData!$F$2:$F$1000, $A4, MatchScoutingData!H$2:H$1000) * 3</f>
        <v>9</v>
      </c>
      <c r="P4" s="37">
        <f t="shared" ref="P4:P35" si="6">SUM(I4:O4)</f>
        <v>23</v>
      </c>
      <c r="Q4" s="37">
        <f t="shared" ref="Q4:Q35" si="7">IF(P4 &gt; 0, P4/B4, 0)</f>
        <v>7.666666666666667</v>
      </c>
      <c r="R4" s="36">
        <f>SUMIF(MatchScoutingData!$F$2:$F$1000, $A4, MatchScoutingData!P$2:P$1000)</f>
        <v>16</v>
      </c>
      <c r="S4" s="36">
        <f>SUMIF(MatchScoutingData!$F$2:$F$1000, $A4, MatchScoutingData!Q$2:Q$1000)</f>
        <v>11</v>
      </c>
      <c r="T4" s="36">
        <f>SUMIF(MatchScoutingData!$F$2:$F$1000, $A4, MatchScoutingData!R$2:R$1000)</f>
        <v>1</v>
      </c>
      <c r="U4" s="36">
        <f>SUMIF(MatchScoutingData!$F$2:$F$1000, $A4, MatchScoutingData!S$2:S$1000)</f>
        <v>1</v>
      </c>
      <c r="V4" s="36">
        <f>SUMIF(MatchScoutingData!$F$2:$F$1000, $A4, MatchScoutingData!T$2:T$1000)</f>
        <v>2</v>
      </c>
      <c r="W4" s="36">
        <f>SUMIF(MatchScoutingData!$F$2:$F$1000, $A4, MatchScoutingData!U$2:U$1000)</f>
        <v>0</v>
      </c>
      <c r="X4" s="36">
        <f t="shared" ref="X4:X35" si="8">R4 * 5</f>
        <v>80</v>
      </c>
      <c r="Y4" s="36">
        <f t="shared" ref="Y4:Y35" si="9">S4 * 4</f>
        <v>44</v>
      </c>
      <c r="Z4" s="36">
        <f t="shared" ref="Z4:Z35" si="10">T4 * 3</f>
        <v>3</v>
      </c>
      <c r="AA4" s="36">
        <f t="shared" ref="AA4:AA35" si="11">U4 * 2</f>
        <v>2</v>
      </c>
      <c r="AB4" s="36">
        <f t="shared" ref="AB4:AB35" si="12">V4 * 6</f>
        <v>12</v>
      </c>
      <c r="AC4" s="36">
        <f t="shared" ref="AC4:AC35" si="13">W4 * 4</f>
        <v>0</v>
      </c>
      <c r="AD4" s="38">
        <f t="shared" ref="AD4:AD35" si="14">SUM(X4:AC4)</f>
        <v>141</v>
      </c>
      <c r="AE4" s="38">
        <f t="shared" ref="AE4:AE35" si="15">IF(AD4 &gt; 0, AD4/B4, 0)</f>
        <v>47</v>
      </c>
      <c r="AF4" s="36">
        <f>COUNTIFS(MatchScoutingData!$F$2:$F$1000, $A4, MatchScoutingData!$X$2:$X$1000, "p")</f>
        <v>0</v>
      </c>
      <c r="AG4" s="36">
        <f>COUNTIFS(MatchScoutingData!$F$2:$F$1000, $A4, MatchScoutingData!$X$2:$X$1000, "s")</f>
        <v>0</v>
      </c>
      <c r="AH4" s="36">
        <f>COUNTIFS(MatchScoutingData!$F$2:$F$1000, $A4, MatchScoutingData!$X$2:$X$1000, "d")</f>
        <v>3</v>
      </c>
      <c r="AI4" s="36">
        <f t="shared" ref="AI4:AI35" si="16">AF4 * 2</f>
        <v>0</v>
      </c>
      <c r="AJ4" s="36">
        <f t="shared" ref="AJ4:AJ35" si="17">AG4 * 6</f>
        <v>0</v>
      </c>
      <c r="AK4" s="36">
        <f t="shared" ref="AK4:AK35" si="18">AH4 * 12</f>
        <v>36</v>
      </c>
      <c r="AL4" s="39">
        <f t="shared" ref="AL4:AL35" si="19">SUM(AI4:AK4)</f>
        <v>36</v>
      </c>
      <c r="AM4" s="39">
        <f t="shared" ref="AM4:AM35" si="20">IF(AD4 &gt; 0, AL4/B4, 0)</f>
        <v>12</v>
      </c>
      <c r="AN4" s="40">
        <f t="shared" ref="AN4:AN35" si="21">SUM(P4, AD4, AL4)</f>
        <v>200</v>
      </c>
      <c r="AO4" s="40">
        <f t="shared" ref="AO4:AO35" si="22">IF(AN4 &gt; 0, AN4/B4, 0)</f>
        <v>66.666666666666671</v>
      </c>
      <c r="AP4" s="36">
        <f>SUMIF(MatchScoutingData!$F$2:$F$1000, $A4, MatchScoutingData!Z$2:Z$1000)</f>
        <v>2</v>
      </c>
      <c r="AQ4" s="36">
        <f>SUMIF(MatchScoutingData!$F$2:$F$1000, $A4, MatchScoutingData!AA$2:AA$1000)</f>
        <v>1</v>
      </c>
      <c r="AR4" s="36">
        <f>SUMIF(MatchScoutingData!$F$2:$F$1000, $A4, MatchScoutingData!AB$2:AB$1000)</f>
        <v>3</v>
      </c>
      <c r="AS4" s="36">
        <f t="shared" ref="AS4:AS35" si="23">SUM(AP4, AQ4, AR4)</f>
        <v>6</v>
      </c>
    </row>
    <row r="5" spans="1:45" ht="16" x14ac:dyDescent="0.2">
      <c r="A5" s="35">
        <v>191</v>
      </c>
      <c r="B5" s="36">
        <f>COUNTIF(MatchScoutingData!F$2:F$1000, $A5)</f>
        <v>5</v>
      </c>
      <c r="C5" s="36">
        <f>SUMIF(MatchScoutingData!$F$2:$F$1000, $A5, MatchScoutingData!I$2:I$1000)</f>
        <v>9</v>
      </c>
      <c r="D5" s="36">
        <f>SUMIF(MatchScoutingData!$F$2:$F$1000, $A5, MatchScoutingData!J$2:J$1000)</f>
        <v>0</v>
      </c>
      <c r="E5" s="36">
        <f>SUMIF(MatchScoutingData!$F$2:$F$1000, $A5, MatchScoutingData!K$2:K$1000)</f>
        <v>0</v>
      </c>
      <c r="F5" s="36">
        <f>SUMIF(MatchScoutingData!$F$2:$F$1000, $A5, MatchScoutingData!L$2:L$1000)</f>
        <v>0</v>
      </c>
      <c r="G5" s="36">
        <f>SUMIF(MatchScoutingData!$F$2:$F$1000, $A5, MatchScoutingData!M$2:M$1000)</f>
        <v>0</v>
      </c>
      <c r="H5" s="36">
        <f>SUMIF(MatchScoutingData!$F$2:$F$1000, $A5, MatchScoutingData!N$2:N$1000)</f>
        <v>2</v>
      </c>
      <c r="I5" s="36">
        <f t="shared" si="0"/>
        <v>63</v>
      </c>
      <c r="J5" s="36">
        <f t="shared" si="1"/>
        <v>0</v>
      </c>
      <c r="K5" s="36">
        <f t="shared" si="2"/>
        <v>0</v>
      </c>
      <c r="L5" s="36">
        <f t="shared" si="3"/>
        <v>0</v>
      </c>
      <c r="M5" s="36">
        <f t="shared" si="4"/>
        <v>0</v>
      </c>
      <c r="N5" s="36">
        <f t="shared" si="5"/>
        <v>8</v>
      </c>
      <c r="O5" s="36">
        <f>SUMIF(MatchScoutingData!$F$2:$F$1000, $A5, MatchScoutingData!H$2:H$1000) * 3</f>
        <v>15</v>
      </c>
      <c r="P5" s="37">
        <f t="shared" si="6"/>
        <v>86</v>
      </c>
      <c r="Q5" s="37">
        <f t="shared" si="7"/>
        <v>17.2</v>
      </c>
      <c r="R5" s="36">
        <f>SUMIF(MatchScoutingData!$F$2:$F$1000, $A5, MatchScoutingData!P$2:P$1000)</f>
        <v>18</v>
      </c>
      <c r="S5" s="36">
        <f>SUMIF(MatchScoutingData!$F$2:$F$1000, $A5, MatchScoutingData!Q$2:Q$1000)</f>
        <v>11</v>
      </c>
      <c r="T5" s="36">
        <f>SUMIF(MatchScoutingData!$F$2:$F$1000, $A5, MatchScoutingData!R$2:R$1000)</f>
        <v>3</v>
      </c>
      <c r="U5" s="36">
        <f>SUMIF(MatchScoutingData!$F$2:$F$1000, $A5, MatchScoutingData!S$2:S$1000)</f>
        <v>0</v>
      </c>
      <c r="V5" s="36">
        <f>SUMIF(MatchScoutingData!$F$2:$F$1000, $A5, MatchScoutingData!T$2:T$1000)</f>
        <v>0</v>
      </c>
      <c r="W5" s="36">
        <f>SUMIF(MatchScoutingData!$F$2:$F$1000, $A5, MatchScoutingData!U$2:U$1000)</f>
        <v>0</v>
      </c>
      <c r="X5" s="36">
        <f t="shared" si="8"/>
        <v>90</v>
      </c>
      <c r="Y5" s="36">
        <f t="shared" si="9"/>
        <v>44</v>
      </c>
      <c r="Z5" s="36">
        <f t="shared" si="10"/>
        <v>9</v>
      </c>
      <c r="AA5" s="36">
        <f t="shared" si="11"/>
        <v>0</v>
      </c>
      <c r="AB5" s="36">
        <f t="shared" si="12"/>
        <v>0</v>
      </c>
      <c r="AC5" s="36">
        <f t="shared" si="13"/>
        <v>0</v>
      </c>
      <c r="AD5" s="38">
        <f t="shared" si="14"/>
        <v>143</v>
      </c>
      <c r="AE5" s="38">
        <f t="shared" si="15"/>
        <v>28.6</v>
      </c>
      <c r="AF5" s="36">
        <f>COUNTIFS(MatchScoutingData!$F$2:$F$1000, $A5, MatchScoutingData!$X$2:$X$1000, "p")</f>
        <v>3</v>
      </c>
      <c r="AG5" s="36">
        <f>COUNTIFS(MatchScoutingData!$F$2:$F$1000, $A5, MatchScoutingData!$X$2:$X$1000, "s")</f>
        <v>0</v>
      </c>
      <c r="AH5" s="36">
        <f>COUNTIFS(MatchScoutingData!$F$2:$F$1000, $A5, MatchScoutingData!$X$2:$X$1000, "d")</f>
        <v>2</v>
      </c>
      <c r="AI5" s="36">
        <f t="shared" si="16"/>
        <v>6</v>
      </c>
      <c r="AJ5" s="36">
        <f t="shared" si="17"/>
        <v>0</v>
      </c>
      <c r="AK5" s="36">
        <f t="shared" si="18"/>
        <v>24</v>
      </c>
      <c r="AL5" s="39">
        <f t="shared" si="19"/>
        <v>30</v>
      </c>
      <c r="AM5" s="39">
        <f t="shared" si="20"/>
        <v>6</v>
      </c>
      <c r="AN5" s="40">
        <f t="shared" si="21"/>
        <v>259</v>
      </c>
      <c r="AO5" s="40">
        <f t="shared" si="22"/>
        <v>51.8</v>
      </c>
      <c r="AP5" s="36">
        <f>SUMIF(MatchScoutingData!$F$2:$F$1000, $A5, MatchScoutingData!Z$2:Z$1000)</f>
        <v>5</v>
      </c>
      <c r="AQ5" s="36">
        <f>SUMIF(MatchScoutingData!$F$2:$F$1000, $A5, MatchScoutingData!AA$2:AA$1000)</f>
        <v>0</v>
      </c>
      <c r="AR5" s="36">
        <f>SUMIF(MatchScoutingData!$F$2:$F$1000, $A5, MatchScoutingData!AB$2:AB$1000)</f>
        <v>2</v>
      </c>
      <c r="AS5" s="36">
        <f t="shared" si="23"/>
        <v>7</v>
      </c>
    </row>
    <row r="6" spans="1:45" ht="16" x14ac:dyDescent="0.2">
      <c r="A6" s="35">
        <v>229</v>
      </c>
      <c r="B6" s="36">
        <f>COUNTIF(MatchScoutingData!F$2:F$1000, $A6)</f>
        <v>5</v>
      </c>
      <c r="C6" s="36">
        <f>SUMIF(MatchScoutingData!$F$2:$F$1000, $A6, MatchScoutingData!I$2:I$1000)</f>
        <v>0</v>
      </c>
      <c r="D6" s="36">
        <f>SUMIF(MatchScoutingData!$F$2:$F$1000, $A6, MatchScoutingData!J$2:J$1000)</f>
        <v>0</v>
      </c>
      <c r="E6" s="36">
        <f>SUMIF(MatchScoutingData!$F$2:$F$1000, $A6, MatchScoutingData!K$2:K$1000)</f>
        <v>0</v>
      </c>
      <c r="F6" s="36">
        <f>SUMIF(MatchScoutingData!$F$2:$F$1000, $A6, MatchScoutingData!L$2:L$1000)</f>
        <v>0</v>
      </c>
      <c r="G6" s="36">
        <f>SUMIF(MatchScoutingData!$F$2:$F$1000, $A6, MatchScoutingData!M$2:M$1000)</f>
        <v>0</v>
      </c>
      <c r="H6" s="36">
        <f>SUMIF(MatchScoutingData!$F$2:$F$1000, $A6, MatchScoutingData!N$2:N$1000)</f>
        <v>0</v>
      </c>
      <c r="I6" s="36">
        <f t="shared" si="0"/>
        <v>0</v>
      </c>
      <c r="J6" s="36">
        <f t="shared" si="1"/>
        <v>0</v>
      </c>
      <c r="K6" s="36">
        <f t="shared" si="2"/>
        <v>0</v>
      </c>
      <c r="L6" s="36">
        <f t="shared" si="3"/>
        <v>0</v>
      </c>
      <c r="M6" s="36">
        <f t="shared" si="4"/>
        <v>0</v>
      </c>
      <c r="N6" s="36">
        <f t="shared" si="5"/>
        <v>0</v>
      </c>
      <c r="O6" s="36">
        <f>SUMIF(MatchScoutingData!$F$2:$F$1000, $A6, MatchScoutingData!H$2:H$1000) * 3</f>
        <v>6</v>
      </c>
      <c r="P6" s="37">
        <f t="shared" si="6"/>
        <v>6</v>
      </c>
      <c r="Q6" s="37">
        <f t="shared" si="7"/>
        <v>1.2</v>
      </c>
      <c r="R6" s="36">
        <f>SUMIF(MatchScoutingData!$F$2:$F$1000, $A6, MatchScoutingData!P$2:P$1000)</f>
        <v>3</v>
      </c>
      <c r="S6" s="36">
        <f>SUMIF(MatchScoutingData!$F$2:$F$1000, $A6, MatchScoutingData!Q$2:Q$1000)</f>
        <v>3</v>
      </c>
      <c r="T6" s="36">
        <f>SUMIF(MatchScoutingData!$F$2:$F$1000, $A6, MatchScoutingData!R$2:R$1000)</f>
        <v>1</v>
      </c>
      <c r="U6" s="36">
        <f>SUMIF(MatchScoutingData!$F$2:$F$1000, $A6, MatchScoutingData!S$2:S$1000)</f>
        <v>0</v>
      </c>
      <c r="V6" s="36">
        <f>SUMIF(MatchScoutingData!$F$2:$F$1000, $A6, MatchScoutingData!T$2:T$1000)</f>
        <v>1</v>
      </c>
      <c r="W6" s="36">
        <f>SUMIF(MatchScoutingData!$F$2:$F$1000, $A6, MatchScoutingData!U$2:U$1000)</f>
        <v>0</v>
      </c>
      <c r="X6" s="36">
        <f t="shared" si="8"/>
        <v>15</v>
      </c>
      <c r="Y6" s="36">
        <f t="shared" si="9"/>
        <v>12</v>
      </c>
      <c r="Z6" s="36">
        <f t="shared" si="10"/>
        <v>3</v>
      </c>
      <c r="AA6" s="36">
        <f t="shared" si="11"/>
        <v>0</v>
      </c>
      <c r="AB6" s="36">
        <f t="shared" si="12"/>
        <v>6</v>
      </c>
      <c r="AC6" s="36">
        <f t="shared" si="13"/>
        <v>0</v>
      </c>
      <c r="AD6" s="38">
        <f t="shared" si="14"/>
        <v>36</v>
      </c>
      <c r="AE6" s="38">
        <f t="shared" si="15"/>
        <v>7.2</v>
      </c>
      <c r="AF6" s="36">
        <f>COUNTIFS(MatchScoutingData!$F$2:$F$1000, $A6, MatchScoutingData!$X$2:$X$1000, "p")</f>
        <v>2</v>
      </c>
      <c r="AG6" s="36">
        <f>COUNTIFS(MatchScoutingData!$F$2:$F$1000, $A6, MatchScoutingData!$X$2:$X$1000, "s")</f>
        <v>0</v>
      </c>
      <c r="AH6" s="36">
        <f>COUNTIFS(MatchScoutingData!$F$2:$F$1000, $A6, MatchScoutingData!$X$2:$X$1000, "d")</f>
        <v>0</v>
      </c>
      <c r="AI6" s="36">
        <f t="shared" si="16"/>
        <v>4</v>
      </c>
      <c r="AJ6" s="36">
        <f t="shared" si="17"/>
        <v>0</v>
      </c>
      <c r="AK6" s="36">
        <f t="shared" si="18"/>
        <v>0</v>
      </c>
      <c r="AL6" s="39">
        <f t="shared" si="19"/>
        <v>4</v>
      </c>
      <c r="AM6" s="39">
        <f t="shared" si="20"/>
        <v>0.8</v>
      </c>
      <c r="AN6" s="40">
        <f t="shared" si="21"/>
        <v>46</v>
      </c>
      <c r="AO6" s="40">
        <f t="shared" si="22"/>
        <v>9.1999999999999993</v>
      </c>
      <c r="AP6" s="36">
        <f>SUMIF(MatchScoutingData!$F$2:$F$1000, $A6, MatchScoutingData!Z$2:Z$1000)</f>
        <v>1</v>
      </c>
      <c r="AQ6" s="36">
        <f>SUMIF(MatchScoutingData!$F$2:$F$1000, $A6, MatchScoutingData!AA$2:AA$1000)</f>
        <v>0</v>
      </c>
      <c r="AR6" s="36">
        <f>SUMIF(MatchScoutingData!$F$2:$F$1000, $A6, MatchScoutingData!AB$2:AB$1000)</f>
        <v>0</v>
      </c>
      <c r="AS6" s="36">
        <f t="shared" si="23"/>
        <v>1</v>
      </c>
    </row>
    <row r="7" spans="1:45" ht="16" x14ac:dyDescent="0.2">
      <c r="A7" s="35">
        <v>250</v>
      </c>
      <c r="B7" s="36">
        <f>COUNTIF(MatchScoutingData!F$2:F$1000, $A7)</f>
        <v>4</v>
      </c>
      <c r="C7" s="36">
        <f>SUMIF(MatchScoutingData!$F$2:$F$1000, $A7, MatchScoutingData!I$2:I$1000)</f>
        <v>0</v>
      </c>
      <c r="D7" s="36">
        <f>SUMIF(MatchScoutingData!$F$2:$F$1000, $A7, MatchScoutingData!J$2:J$1000)</f>
        <v>0</v>
      </c>
      <c r="E7" s="36">
        <f>SUMIF(MatchScoutingData!$F$2:$F$1000, $A7, MatchScoutingData!K$2:K$1000)</f>
        <v>0</v>
      </c>
      <c r="F7" s="36">
        <f>SUMIF(MatchScoutingData!$F$2:$F$1000, $A7, MatchScoutingData!L$2:L$1000)</f>
        <v>0</v>
      </c>
      <c r="G7" s="36">
        <f>SUMIF(MatchScoutingData!$F$2:$F$1000, $A7, MatchScoutingData!M$2:M$1000)</f>
        <v>0</v>
      </c>
      <c r="H7" s="36">
        <f>SUMIF(MatchScoutingData!$F$2:$F$1000, $A7, MatchScoutingData!N$2:N$1000)</f>
        <v>0</v>
      </c>
      <c r="I7" s="36">
        <f t="shared" si="0"/>
        <v>0</v>
      </c>
      <c r="J7" s="36">
        <f t="shared" si="1"/>
        <v>0</v>
      </c>
      <c r="K7" s="36">
        <f t="shared" si="2"/>
        <v>0</v>
      </c>
      <c r="L7" s="36">
        <f t="shared" si="3"/>
        <v>0</v>
      </c>
      <c r="M7" s="36">
        <f t="shared" si="4"/>
        <v>0</v>
      </c>
      <c r="N7" s="36">
        <f t="shared" si="5"/>
        <v>0</v>
      </c>
      <c r="O7" s="36">
        <f>SUMIF(MatchScoutingData!$F$2:$F$1000, $A7, MatchScoutingData!H$2:H$1000) * 3</f>
        <v>9</v>
      </c>
      <c r="P7" s="37">
        <f t="shared" si="6"/>
        <v>9</v>
      </c>
      <c r="Q7" s="37">
        <f t="shared" si="7"/>
        <v>2.25</v>
      </c>
      <c r="R7" s="36">
        <f>SUMIF(MatchScoutingData!$F$2:$F$1000, $A7, MatchScoutingData!P$2:P$1000)</f>
        <v>0</v>
      </c>
      <c r="S7" s="36">
        <f>SUMIF(MatchScoutingData!$F$2:$F$1000, $A7, MatchScoutingData!Q$2:Q$1000)</f>
        <v>1</v>
      </c>
      <c r="T7" s="36">
        <f>SUMIF(MatchScoutingData!$F$2:$F$1000, $A7, MatchScoutingData!R$2:R$1000)</f>
        <v>6</v>
      </c>
      <c r="U7" s="36">
        <f>SUMIF(MatchScoutingData!$F$2:$F$1000, $A7, MatchScoutingData!S$2:S$1000)</f>
        <v>1</v>
      </c>
      <c r="V7" s="36">
        <f>SUMIF(MatchScoutingData!$F$2:$F$1000, $A7, MatchScoutingData!T$2:T$1000)</f>
        <v>5</v>
      </c>
      <c r="W7" s="36">
        <f>SUMIF(MatchScoutingData!$F$2:$F$1000, $A7, MatchScoutingData!U$2:U$1000)</f>
        <v>0</v>
      </c>
      <c r="X7" s="36">
        <f t="shared" si="8"/>
        <v>0</v>
      </c>
      <c r="Y7" s="36">
        <f t="shared" si="9"/>
        <v>4</v>
      </c>
      <c r="Z7" s="36">
        <f t="shared" si="10"/>
        <v>18</v>
      </c>
      <c r="AA7" s="36">
        <f t="shared" si="11"/>
        <v>2</v>
      </c>
      <c r="AB7" s="36">
        <f t="shared" si="12"/>
        <v>30</v>
      </c>
      <c r="AC7" s="36">
        <f t="shared" si="13"/>
        <v>0</v>
      </c>
      <c r="AD7" s="38">
        <f t="shared" si="14"/>
        <v>54</v>
      </c>
      <c r="AE7" s="38">
        <f t="shared" si="15"/>
        <v>13.5</v>
      </c>
      <c r="AF7" s="36">
        <f>COUNTIFS(MatchScoutingData!$F$2:$F$1000, $A7, MatchScoutingData!$X$2:$X$1000, "p")</f>
        <v>1</v>
      </c>
      <c r="AG7" s="36">
        <f>COUNTIFS(MatchScoutingData!$F$2:$F$1000, $A7, MatchScoutingData!$X$2:$X$1000, "s")</f>
        <v>0</v>
      </c>
      <c r="AH7" s="36">
        <f>COUNTIFS(MatchScoutingData!$F$2:$F$1000, $A7, MatchScoutingData!$X$2:$X$1000, "d")</f>
        <v>3</v>
      </c>
      <c r="AI7" s="36">
        <f t="shared" si="16"/>
        <v>2</v>
      </c>
      <c r="AJ7" s="36">
        <f t="shared" si="17"/>
        <v>0</v>
      </c>
      <c r="AK7" s="36">
        <f t="shared" si="18"/>
        <v>36</v>
      </c>
      <c r="AL7" s="39">
        <f t="shared" si="19"/>
        <v>38</v>
      </c>
      <c r="AM7" s="39">
        <f t="shared" si="20"/>
        <v>9.5</v>
      </c>
      <c r="AN7" s="40">
        <f t="shared" si="21"/>
        <v>101</v>
      </c>
      <c r="AO7" s="40">
        <f t="shared" si="22"/>
        <v>25.25</v>
      </c>
      <c r="AP7" s="36">
        <f>SUMIF(MatchScoutingData!$F$2:$F$1000, $A7, MatchScoutingData!Z$2:Z$1000)</f>
        <v>3</v>
      </c>
      <c r="AQ7" s="36">
        <f>SUMIF(MatchScoutingData!$F$2:$F$1000, $A7, MatchScoutingData!AA$2:AA$1000)</f>
        <v>1</v>
      </c>
      <c r="AR7" s="36">
        <f>SUMIF(MatchScoutingData!$F$2:$F$1000, $A7, MatchScoutingData!AB$2:AB$1000)</f>
        <v>2</v>
      </c>
      <c r="AS7" s="36">
        <f t="shared" si="23"/>
        <v>6</v>
      </c>
    </row>
    <row r="8" spans="1:45" ht="16" x14ac:dyDescent="0.2">
      <c r="A8" s="35">
        <v>334</v>
      </c>
      <c r="B8" s="36">
        <f>COUNTIF(MatchScoutingData!F$2:F$1000, $A8)</f>
        <v>3</v>
      </c>
      <c r="C8" s="36">
        <f>SUMIF(MatchScoutingData!$F$2:$F$1000, $A8, MatchScoutingData!I$2:I$1000)</f>
        <v>0</v>
      </c>
      <c r="D8" s="36">
        <f>SUMIF(MatchScoutingData!$F$2:$F$1000, $A8, MatchScoutingData!J$2:J$1000)</f>
        <v>0</v>
      </c>
      <c r="E8" s="36">
        <f>SUMIF(MatchScoutingData!$F$2:$F$1000, $A8, MatchScoutingData!K$2:K$1000)</f>
        <v>0</v>
      </c>
      <c r="F8" s="36">
        <f>SUMIF(MatchScoutingData!$F$2:$F$1000, $A8, MatchScoutingData!L$2:L$1000)</f>
        <v>0</v>
      </c>
      <c r="G8" s="36">
        <f>SUMIF(MatchScoutingData!$F$2:$F$1000, $A8, MatchScoutingData!M$2:M$1000)</f>
        <v>0</v>
      </c>
      <c r="H8" s="36">
        <f>SUMIF(MatchScoutingData!$F$2:$F$1000, $A8, MatchScoutingData!N$2:N$1000)</f>
        <v>0</v>
      </c>
      <c r="I8" s="36">
        <f t="shared" si="0"/>
        <v>0</v>
      </c>
      <c r="J8" s="36">
        <f t="shared" si="1"/>
        <v>0</v>
      </c>
      <c r="K8" s="36">
        <f t="shared" si="2"/>
        <v>0</v>
      </c>
      <c r="L8" s="36">
        <f t="shared" si="3"/>
        <v>0</v>
      </c>
      <c r="M8" s="36">
        <f t="shared" si="4"/>
        <v>0</v>
      </c>
      <c r="N8" s="36">
        <f t="shared" si="5"/>
        <v>0</v>
      </c>
      <c r="O8" s="36">
        <f>SUMIF(MatchScoutingData!$F$2:$F$1000, $A8, MatchScoutingData!H$2:H$1000) * 3</f>
        <v>6</v>
      </c>
      <c r="P8" s="37">
        <f t="shared" si="6"/>
        <v>6</v>
      </c>
      <c r="Q8" s="37">
        <f t="shared" si="7"/>
        <v>2</v>
      </c>
      <c r="R8" s="36">
        <f>SUMIF(MatchScoutingData!$F$2:$F$1000, $A8, MatchScoutingData!P$2:P$1000)</f>
        <v>5</v>
      </c>
      <c r="S8" s="36">
        <f>SUMIF(MatchScoutingData!$F$2:$F$1000, $A8, MatchScoutingData!Q$2:Q$1000)</f>
        <v>1</v>
      </c>
      <c r="T8" s="36">
        <f>SUMIF(MatchScoutingData!$F$2:$F$1000, $A8, MatchScoutingData!R$2:R$1000)</f>
        <v>3</v>
      </c>
      <c r="U8" s="36">
        <f>SUMIF(MatchScoutingData!$F$2:$F$1000, $A8, MatchScoutingData!S$2:S$1000)</f>
        <v>1</v>
      </c>
      <c r="V8" s="36">
        <f>SUMIF(MatchScoutingData!$F$2:$F$1000, $A8, MatchScoutingData!T$2:T$1000)</f>
        <v>0</v>
      </c>
      <c r="W8" s="36">
        <f>SUMIF(MatchScoutingData!$F$2:$F$1000, $A8, MatchScoutingData!U$2:U$1000)</f>
        <v>0</v>
      </c>
      <c r="X8" s="36">
        <f t="shared" si="8"/>
        <v>25</v>
      </c>
      <c r="Y8" s="36">
        <f t="shared" si="9"/>
        <v>4</v>
      </c>
      <c r="Z8" s="36">
        <f t="shared" si="10"/>
        <v>9</v>
      </c>
      <c r="AA8" s="36">
        <f t="shared" si="11"/>
        <v>2</v>
      </c>
      <c r="AB8" s="36">
        <f t="shared" si="12"/>
        <v>0</v>
      </c>
      <c r="AC8" s="36">
        <f t="shared" si="13"/>
        <v>0</v>
      </c>
      <c r="AD8" s="38">
        <f t="shared" si="14"/>
        <v>40</v>
      </c>
      <c r="AE8" s="38">
        <f t="shared" si="15"/>
        <v>13.333333333333334</v>
      </c>
      <c r="AF8" s="36">
        <f>COUNTIFS(MatchScoutingData!$F$2:$F$1000, $A8, MatchScoutingData!$X$2:$X$1000, "p")</f>
        <v>2</v>
      </c>
      <c r="AG8" s="36">
        <f>COUNTIFS(MatchScoutingData!$F$2:$F$1000, $A8, MatchScoutingData!$X$2:$X$1000, "s")</f>
        <v>0</v>
      </c>
      <c r="AH8" s="36">
        <f>COUNTIFS(MatchScoutingData!$F$2:$F$1000, $A8, MatchScoutingData!$X$2:$X$1000, "d")</f>
        <v>0</v>
      </c>
      <c r="AI8" s="36">
        <f t="shared" si="16"/>
        <v>4</v>
      </c>
      <c r="AJ8" s="36">
        <f t="shared" si="17"/>
        <v>0</v>
      </c>
      <c r="AK8" s="36">
        <f t="shared" si="18"/>
        <v>0</v>
      </c>
      <c r="AL8" s="39">
        <f t="shared" si="19"/>
        <v>4</v>
      </c>
      <c r="AM8" s="39">
        <f t="shared" si="20"/>
        <v>1.3333333333333333</v>
      </c>
      <c r="AN8" s="40">
        <f t="shared" si="21"/>
        <v>50</v>
      </c>
      <c r="AO8" s="40">
        <f t="shared" si="22"/>
        <v>16.666666666666668</v>
      </c>
      <c r="AP8" s="36">
        <f>SUMIF(MatchScoutingData!$F$2:$F$1000, $A8, MatchScoutingData!Z$2:Z$1000)</f>
        <v>2</v>
      </c>
      <c r="AQ8" s="36">
        <f>SUMIF(MatchScoutingData!$F$2:$F$1000, $A8, MatchScoutingData!AA$2:AA$1000)</f>
        <v>0</v>
      </c>
      <c r="AR8" s="36">
        <f>SUMIF(MatchScoutingData!$F$2:$F$1000, $A8, MatchScoutingData!AB$2:AB$1000)</f>
        <v>1</v>
      </c>
      <c r="AS8" s="36">
        <f t="shared" si="23"/>
        <v>3</v>
      </c>
    </row>
    <row r="9" spans="1:45" ht="16" x14ac:dyDescent="0.2">
      <c r="A9" s="35">
        <v>358</v>
      </c>
      <c r="B9" s="36">
        <f>COUNTIF(MatchScoutingData!F$2:F$1000, $A9)</f>
        <v>2</v>
      </c>
      <c r="C9" s="36">
        <f>SUMIF(MatchScoutingData!$F$2:$F$1000, $A9, MatchScoutingData!I$2:I$1000)</f>
        <v>3</v>
      </c>
      <c r="D9" s="36">
        <f>SUMIF(MatchScoutingData!$F$2:$F$1000, $A9, MatchScoutingData!J$2:J$1000)</f>
        <v>3</v>
      </c>
      <c r="E9" s="36">
        <f>SUMIF(MatchScoutingData!$F$2:$F$1000, $A9, MatchScoutingData!K$2:K$1000)</f>
        <v>2</v>
      </c>
      <c r="F9" s="36">
        <f>SUMIF(MatchScoutingData!$F$2:$F$1000, $A9, MatchScoutingData!L$2:L$1000)</f>
        <v>3</v>
      </c>
      <c r="G9" s="36">
        <f>SUMIF(MatchScoutingData!$F$2:$F$1000, $A9, MatchScoutingData!M$2:M$1000)</f>
        <v>3</v>
      </c>
      <c r="H9" s="36">
        <f>SUMIF(MatchScoutingData!$F$2:$F$1000, $A9, MatchScoutingData!N$2:N$1000)</f>
        <v>2</v>
      </c>
      <c r="I9" s="36">
        <f t="shared" si="0"/>
        <v>21</v>
      </c>
      <c r="J9" s="36">
        <f t="shared" si="1"/>
        <v>18</v>
      </c>
      <c r="K9" s="36">
        <f t="shared" si="2"/>
        <v>8</v>
      </c>
      <c r="L9" s="36">
        <f t="shared" si="3"/>
        <v>9</v>
      </c>
      <c r="M9" s="36">
        <f t="shared" si="4"/>
        <v>18</v>
      </c>
      <c r="N9" s="36">
        <f t="shared" si="5"/>
        <v>8</v>
      </c>
      <c r="O9" s="36">
        <f>SUMIF(MatchScoutingData!$F$2:$F$1000, $A9, MatchScoutingData!H$2:H$1000) * 3</f>
        <v>6</v>
      </c>
      <c r="P9" s="37">
        <f t="shared" si="6"/>
        <v>88</v>
      </c>
      <c r="Q9" s="37">
        <f t="shared" si="7"/>
        <v>44</v>
      </c>
      <c r="R9" s="36">
        <f>SUMIF(MatchScoutingData!$F$2:$F$1000, $A9, MatchScoutingData!P$2:P$1000)</f>
        <v>5</v>
      </c>
      <c r="S9" s="36">
        <f>SUMIF(MatchScoutingData!$F$2:$F$1000, $A9, MatchScoutingData!Q$2:Q$1000)</f>
        <v>0</v>
      </c>
      <c r="T9" s="36">
        <f>SUMIF(MatchScoutingData!$F$2:$F$1000, $A9, MatchScoutingData!R$2:R$1000)</f>
        <v>1</v>
      </c>
      <c r="U9" s="36">
        <f>SUMIF(MatchScoutingData!$F$2:$F$1000, $A9, MatchScoutingData!S$2:S$1000)</f>
        <v>0</v>
      </c>
      <c r="V9" s="36">
        <f>SUMIF(MatchScoutingData!$F$2:$F$1000, $A9, MatchScoutingData!T$2:T$1000)</f>
        <v>0</v>
      </c>
      <c r="W9" s="36">
        <f>SUMIF(MatchScoutingData!$F$2:$F$1000, $A9, MatchScoutingData!U$2:U$1000)</f>
        <v>0</v>
      </c>
      <c r="X9" s="36">
        <f t="shared" si="8"/>
        <v>25</v>
      </c>
      <c r="Y9" s="36">
        <f t="shared" si="9"/>
        <v>0</v>
      </c>
      <c r="Z9" s="36">
        <f t="shared" si="10"/>
        <v>3</v>
      </c>
      <c r="AA9" s="36">
        <f t="shared" si="11"/>
        <v>0</v>
      </c>
      <c r="AB9" s="36">
        <f t="shared" si="12"/>
        <v>0</v>
      </c>
      <c r="AC9" s="36">
        <f t="shared" si="13"/>
        <v>0</v>
      </c>
      <c r="AD9" s="38">
        <f t="shared" si="14"/>
        <v>28</v>
      </c>
      <c r="AE9" s="38">
        <f t="shared" si="15"/>
        <v>14</v>
      </c>
      <c r="AF9" s="36">
        <f>COUNTIFS(MatchScoutingData!$F$2:$F$1000, $A9, MatchScoutingData!$X$2:$X$1000, "p")</f>
        <v>1</v>
      </c>
      <c r="AG9" s="36">
        <f>COUNTIFS(MatchScoutingData!$F$2:$F$1000, $A9, MatchScoutingData!$X$2:$X$1000, "s")</f>
        <v>0</v>
      </c>
      <c r="AH9" s="36">
        <f>COUNTIFS(MatchScoutingData!$F$2:$F$1000, $A9, MatchScoutingData!$X$2:$X$1000, "d")</f>
        <v>0</v>
      </c>
      <c r="AI9" s="36">
        <f t="shared" si="16"/>
        <v>2</v>
      </c>
      <c r="AJ9" s="36">
        <f t="shared" si="17"/>
        <v>0</v>
      </c>
      <c r="AK9" s="36">
        <f t="shared" si="18"/>
        <v>0</v>
      </c>
      <c r="AL9" s="39">
        <f t="shared" si="19"/>
        <v>2</v>
      </c>
      <c r="AM9" s="39">
        <f t="shared" si="20"/>
        <v>1</v>
      </c>
      <c r="AN9" s="40">
        <f t="shared" si="21"/>
        <v>118</v>
      </c>
      <c r="AO9" s="40">
        <f t="shared" si="22"/>
        <v>59</v>
      </c>
      <c r="AP9" s="36">
        <f>SUMIF(MatchScoutingData!$F$2:$F$1000, $A9, MatchScoutingData!Z$2:Z$1000)</f>
        <v>1</v>
      </c>
      <c r="AQ9" s="36">
        <f>SUMIF(MatchScoutingData!$F$2:$F$1000, $A9, MatchScoutingData!AA$2:AA$1000)</f>
        <v>0</v>
      </c>
      <c r="AR9" s="36">
        <f>SUMIF(MatchScoutingData!$F$2:$F$1000, $A9, MatchScoutingData!AB$2:AB$1000)</f>
        <v>1</v>
      </c>
      <c r="AS9" s="36">
        <f t="shared" si="23"/>
        <v>2</v>
      </c>
    </row>
    <row r="10" spans="1:45" ht="16" x14ac:dyDescent="0.2">
      <c r="A10" s="35">
        <v>424</v>
      </c>
      <c r="B10" s="36">
        <f>COUNTIF(MatchScoutingData!F$2:F$1000, $A10)</f>
        <v>3</v>
      </c>
      <c r="C10" s="36">
        <f>SUMIF(MatchScoutingData!$F$2:$F$1000, $A10, MatchScoutingData!I$2:I$1000)</f>
        <v>1</v>
      </c>
      <c r="D10" s="36">
        <f>SUMIF(MatchScoutingData!$F$2:$F$1000, $A10, MatchScoutingData!J$2:J$1000)</f>
        <v>0</v>
      </c>
      <c r="E10" s="36">
        <f>SUMIF(MatchScoutingData!$F$2:$F$1000, $A10, MatchScoutingData!K$2:K$1000)</f>
        <v>0</v>
      </c>
      <c r="F10" s="36">
        <f>SUMIF(MatchScoutingData!$F$2:$F$1000, $A10, MatchScoutingData!L$2:L$1000)</f>
        <v>0</v>
      </c>
      <c r="G10" s="36">
        <f>SUMIF(MatchScoutingData!$F$2:$F$1000, $A10, MatchScoutingData!M$2:M$1000)</f>
        <v>0</v>
      </c>
      <c r="H10" s="36">
        <f>SUMIF(MatchScoutingData!$F$2:$F$1000, $A10, MatchScoutingData!N$2:N$1000)</f>
        <v>0</v>
      </c>
      <c r="I10" s="36">
        <f t="shared" si="0"/>
        <v>7</v>
      </c>
      <c r="J10" s="36">
        <f t="shared" si="1"/>
        <v>0</v>
      </c>
      <c r="K10" s="36">
        <f t="shared" si="2"/>
        <v>0</v>
      </c>
      <c r="L10" s="36">
        <f t="shared" si="3"/>
        <v>0</v>
      </c>
      <c r="M10" s="36">
        <f t="shared" si="4"/>
        <v>0</v>
      </c>
      <c r="N10" s="36">
        <f t="shared" si="5"/>
        <v>0</v>
      </c>
      <c r="O10" s="36">
        <f>SUMIF(MatchScoutingData!$F$2:$F$1000, $A10, MatchScoutingData!H$2:H$1000) * 3</f>
        <v>9</v>
      </c>
      <c r="P10" s="37">
        <f t="shared" si="6"/>
        <v>16</v>
      </c>
      <c r="Q10" s="37">
        <f t="shared" si="7"/>
        <v>5.333333333333333</v>
      </c>
      <c r="R10" s="36">
        <f>SUMIF(MatchScoutingData!$F$2:$F$1000, $A10, MatchScoutingData!P$2:P$1000)</f>
        <v>2</v>
      </c>
      <c r="S10" s="36">
        <f>SUMIF(MatchScoutingData!$F$2:$F$1000, $A10, MatchScoutingData!Q$2:Q$1000)</f>
        <v>11</v>
      </c>
      <c r="T10" s="36">
        <f>SUMIF(MatchScoutingData!$F$2:$F$1000, $A10, MatchScoutingData!R$2:R$1000)</f>
        <v>3</v>
      </c>
      <c r="U10" s="36">
        <f>SUMIF(MatchScoutingData!$F$2:$F$1000, $A10, MatchScoutingData!S$2:S$1000)</f>
        <v>0</v>
      </c>
      <c r="V10" s="36">
        <f>SUMIF(MatchScoutingData!$F$2:$F$1000, $A10, MatchScoutingData!T$2:T$1000)</f>
        <v>0</v>
      </c>
      <c r="W10" s="36">
        <f>SUMIF(MatchScoutingData!$F$2:$F$1000, $A10, MatchScoutingData!U$2:U$1000)</f>
        <v>4</v>
      </c>
      <c r="X10" s="36">
        <f t="shared" si="8"/>
        <v>10</v>
      </c>
      <c r="Y10" s="36">
        <f t="shared" si="9"/>
        <v>44</v>
      </c>
      <c r="Z10" s="36">
        <f t="shared" si="10"/>
        <v>9</v>
      </c>
      <c r="AA10" s="36">
        <f t="shared" si="11"/>
        <v>0</v>
      </c>
      <c r="AB10" s="36">
        <f t="shared" si="12"/>
        <v>0</v>
      </c>
      <c r="AC10" s="36">
        <f t="shared" si="13"/>
        <v>16</v>
      </c>
      <c r="AD10" s="38">
        <f t="shared" si="14"/>
        <v>79</v>
      </c>
      <c r="AE10" s="38">
        <f t="shared" si="15"/>
        <v>26.333333333333332</v>
      </c>
      <c r="AF10" s="36">
        <f>COUNTIFS(MatchScoutingData!$F$2:$F$1000, $A10, MatchScoutingData!$X$2:$X$1000, "p")</f>
        <v>0</v>
      </c>
      <c r="AG10" s="36">
        <f>COUNTIFS(MatchScoutingData!$F$2:$F$1000, $A10, MatchScoutingData!$X$2:$X$1000, "s")</f>
        <v>0</v>
      </c>
      <c r="AH10" s="36">
        <f>COUNTIFS(MatchScoutingData!$F$2:$F$1000, $A10, MatchScoutingData!$X$2:$X$1000, "d")</f>
        <v>2</v>
      </c>
      <c r="AI10" s="36">
        <f t="shared" si="16"/>
        <v>0</v>
      </c>
      <c r="AJ10" s="36">
        <f t="shared" si="17"/>
        <v>0</v>
      </c>
      <c r="AK10" s="36">
        <f t="shared" si="18"/>
        <v>24</v>
      </c>
      <c r="AL10" s="39">
        <f t="shared" si="19"/>
        <v>24</v>
      </c>
      <c r="AM10" s="39">
        <f t="shared" si="20"/>
        <v>8</v>
      </c>
      <c r="AN10" s="40">
        <f t="shared" si="21"/>
        <v>119</v>
      </c>
      <c r="AO10" s="40">
        <f t="shared" si="22"/>
        <v>39.666666666666664</v>
      </c>
      <c r="AP10" s="36">
        <f>SUMIF(MatchScoutingData!$F$2:$F$1000, $A10, MatchScoutingData!Z$2:Z$1000)</f>
        <v>2</v>
      </c>
      <c r="AQ10" s="36">
        <f>SUMIF(MatchScoutingData!$F$2:$F$1000, $A10, MatchScoutingData!AA$2:AA$1000)</f>
        <v>1</v>
      </c>
      <c r="AR10" s="36">
        <f>SUMIF(MatchScoutingData!$F$2:$F$1000, $A10, MatchScoutingData!AB$2:AB$1000)</f>
        <v>2</v>
      </c>
      <c r="AS10" s="36">
        <f t="shared" si="23"/>
        <v>5</v>
      </c>
    </row>
    <row r="11" spans="1:45" ht="16" x14ac:dyDescent="0.2">
      <c r="A11" s="35">
        <v>578</v>
      </c>
      <c r="B11" s="36">
        <f>COUNTIF(MatchScoutingData!F$2:F$1000, $A11)</f>
        <v>5</v>
      </c>
      <c r="C11" s="36">
        <f>SUMIF(MatchScoutingData!$F$2:$F$1000, $A11, MatchScoutingData!I$2:I$1000)</f>
        <v>0</v>
      </c>
      <c r="D11" s="36">
        <f>SUMIF(MatchScoutingData!$F$2:$F$1000, $A11, MatchScoutingData!J$2:J$1000)</f>
        <v>0</v>
      </c>
      <c r="E11" s="36">
        <f>SUMIF(MatchScoutingData!$F$2:$F$1000, $A11, MatchScoutingData!K$2:K$1000)</f>
        <v>0</v>
      </c>
      <c r="F11" s="36">
        <f>SUMIF(MatchScoutingData!$F$2:$F$1000, $A11, MatchScoutingData!L$2:L$1000)</f>
        <v>0</v>
      </c>
      <c r="G11" s="36">
        <f>SUMIF(MatchScoutingData!$F$2:$F$1000, $A11, MatchScoutingData!M$2:M$1000)</f>
        <v>0</v>
      </c>
      <c r="H11" s="36">
        <f>SUMIF(MatchScoutingData!$F$2:$F$1000, $A11, MatchScoutingData!N$2:N$1000)</f>
        <v>0</v>
      </c>
      <c r="I11" s="36">
        <f t="shared" si="0"/>
        <v>0</v>
      </c>
      <c r="J11" s="36">
        <f t="shared" si="1"/>
        <v>0</v>
      </c>
      <c r="K11" s="36">
        <f t="shared" si="2"/>
        <v>0</v>
      </c>
      <c r="L11" s="36">
        <f t="shared" si="3"/>
        <v>0</v>
      </c>
      <c r="M11" s="36">
        <f t="shared" si="4"/>
        <v>0</v>
      </c>
      <c r="N11" s="36">
        <f t="shared" si="5"/>
        <v>0</v>
      </c>
      <c r="O11" s="36">
        <f>SUMIF(MatchScoutingData!$F$2:$F$1000, $A11, MatchScoutingData!H$2:H$1000) * 3</f>
        <v>9</v>
      </c>
      <c r="P11" s="37">
        <f t="shared" si="6"/>
        <v>9</v>
      </c>
      <c r="Q11" s="37">
        <f t="shared" si="7"/>
        <v>1.8</v>
      </c>
      <c r="R11" s="36">
        <f>SUMIF(MatchScoutingData!$F$2:$F$1000, $A11, MatchScoutingData!P$2:P$1000)</f>
        <v>7</v>
      </c>
      <c r="S11" s="36">
        <f>SUMIF(MatchScoutingData!$F$2:$F$1000, $A11, MatchScoutingData!Q$2:Q$1000)</f>
        <v>7</v>
      </c>
      <c r="T11" s="36">
        <f>SUMIF(MatchScoutingData!$F$2:$F$1000, $A11, MatchScoutingData!R$2:R$1000)</f>
        <v>0</v>
      </c>
      <c r="U11" s="36">
        <f>SUMIF(MatchScoutingData!$F$2:$F$1000, $A11, MatchScoutingData!S$2:S$1000)</f>
        <v>0</v>
      </c>
      <c r="V11" s="36">
        <f>SUMIF(MatchScoutingData!$F$2:$F$1000, $A11, MatchScoutingData!T$2:T$1000)</f>
        <v>0</v>
      </c>
      <c r="W11" s="36">
        <f>SUMIF(MatchScoutingData!$F$2:$F$1000, $A11, MatchScoutingData!U$2:U$1000)</f>
        <v>0</v>
      </c>
      <c r="X11" s="36">
        <f t="shared" si="8"/>
        <v>35</v>
      </c>
      <c r="Y11" s="36">
        <f t="shared" si="9"/>
        <v>28</v>
      </c>
      <c r="Z11" s="36">
        <f t="shared" si="10"/>
        <v>0</v>
      </c>
      <c r="AA11" s="36">
        <f t="shared" si="11"/>
        <v>0</v>
      </c>
      <c r="AB11" s="36">
        <f t="shared" si="12"/>
        <v>0</v>
      </c>
      <c r="AC11" s="36">
        <f t="shared" si="13"/>
        <v>0</v>
      </c>
      <c r="AD11" s="38">
        <f t="shared" si="14"/>
        <v>63</v>
      </c>
      <c r="AE11" s="38">
        <f t="shared" si="15"/>
        <v>12.6</v>
      </c>
      <c r="AF11" s="36">
        <f>COUNTIFS(MatchScoutingData!$F$2:$F$1000, $A11, MatchScoutingData!$X$2:$X$1000, "p")</f>
        <v>0</v>
      </c>
      <c r="AG11" s="36">
        <f>COUNTIFS(MatchScoutingData!$F$2:$F$1000, $A11, MatchScoutingData!$X$2:$X$1000, "s")</f>
        <v>0</v>
      </c>
      <c r="AH11" s="36">
        <f>COUNTIFS(MatchScoutingData!$F$2:$F$1000, $A11, MatchScoutingData!$X$2:$X$1000, "d")</f>
        <v>0</v>
      </c>
      <c r="AI11" s="36">
        <f t="shared" si="16"/>
        <v>0</v>
      </c>
      <c r="AJ11" s="36">
        <f t="shared" si="17"/>
        <v>0</v>
      </c>
      <c r="AK11" s="36">
        <f t="shared" si="18"/>
        <v>0</v>
      </c>
      <c r="AL11" s="39">
        <f t="shared" si="19"/>
        <v>0</v>
      </c>
      <c r="AM11" s="39">
        <f t="shared" si="20"/>
        <v>0</v>
      </c>
      <c r="AN11" s="40">
        <f t="shared" si="21"/>
        <v>72</v>
      </c>
      <c r="AO11" s="40">
        <f t="shared" si="22"/>
        <v>14.4</v>
      </c>
      <c r="AP11" s="36">
        <f>SUMIF(MatchScoutingData!$F$2:$F$1000, $A11, MatchScoutingData!Z$2:Z$1000)</f>
        <v>1</v>
      </c>
      <c r="AQ11" s="36">
        <f>SUMIF(MatchScoutingData!$F$2:$F$1000, $A11, MatchScoutingData!AA$2:AA$1000)</f>
        <v>1</v>
      </c>
      <c r="AR11" s="36">
        <f>SUMIF(MatchScoutingData!$F$2:$F$1000, $A11, MatchScoutingData!AB$2:AB$1000)</f>
        <v>1</v>
      </c>
      <c r="AS11" s="36">
        <f t="shared" si="23"/>
        <v>3</v>
      </c>
    </row>
    <row r="12" spans="1:45" ht="16" x14ac:dyDescent="0.2">
      <c r="A12" s="35">
        <v>639</v>
      </c>
      <c r="B12" s="36">
        <f>COUNTIF(MatchScoutingData!F$2:F$1000, $A12)</f>
        <v>3</v>
      </c>
      <c r="C12" s="36">
        <f>SUMIF(MatchScoutingData!$F$2:$F$1000, $A12, MatchScoutingData!I$2:I$1000)</f>
        <v>0</v>
      </c>
      <c r="D12" s="36">
        <f>SUMIF(MatchScoutingData!$F$2:$F$1000, $A12, MatchScoutingData!J$2:J$1000)</f>
        <v>0</v>
      </c>
      <c r="E12" s="36">
        <f>SUMIF(MatchScoutingData!$F$2:$F$1000, $A12, MatchScoutingData!K$2:K$1000)</f>
        <v>0</v>
      </c>
      <c r="F12" s="36">
        <f>SUMIF(MatchScoutingData!$F$2:$F$1000, $A12, MatchScoutingData!L$2:L$1000)</f>
        <v>0</v>
      </c>
      <c r="G12" s="36">
        <f>SUMIF(MatchScoutingData!$F$2:$F$1000, $A12, MatchScoutingData!M$2:M$1000)</f>
        <v>0</v>
      </c>
      <c r="H12" s="36">
        <f>SUMIF(MatchScoutingData!$F$2:$F$1000, $A12, MatchScoutingData!N$2:N$1000)</f>
        <v>0</v>
      </c>
      <c r="I12" s="36">
        <f t="shared" si="0"/>
        <v>0</v>
      </c>
      <c r="J12" s="36">
        <f t="shared" si="1"/>
        <v>0</v>
      </c>
      <c r="K12" s="36">
        <f t="shared" si="2"/>
        <v>0</v>
      </c>
      <c r="L12" s="36">
        <f t="shared" si="3"/>
        <v>0</v>
      </c>
      <c r="M12" s="36">
        <f t="shared" si="4"/>
        <v>0</v>
      </c>
      <c r="N12" s="36">
        <f t="shared" si="5"/>
        <v>0</v>
      </c>
      <c r="O12" s="36">
        <f>SUMIF(MatchScoutingData!$F$2:$F$1000, $A12, MatchScoutingData!H$2:H$1000) * 3</f>
        <v>0</v>
      </c>
      <c r="P12" s="37">
        <f t="shared" si="6"/>
        <v>0</v>
      </c>
      <c r="Q12" s="37">
        <f t="shared" si="7"/>
        <v>0</v>
      </c>
      <c r="R12" s="36">
        <f>SUMIF(MatchScoutingData!$F$2:$F$1000, $A12, MatchScoutingData!P$2:P$1000)</f>
        <v>3</v>
      </c>
      <c r="S12" s="36">
        <f>SUMIF(MatchScoutingData!$F$2:$F$1000, $A12, MatchScoutingData!Q$2:Q$1000)</f>
        <v>2</v>
      </c>
      <c r="T12" s="36">
        <f>SUMIF(MatchScoutingData!$F$2:$F$1000, $A12, MatchScoutingData!R$2:R$1000)</f>
        <v>0</v>
      </c>
      <c r="U12" s="36">
        <f>SUMIF(MatchScoutingData!$F$2:$F$1000, $A12, MatchScoutingData!S$2:S$1000)</f>
        <v>0</v>
      </c>
      <c r="V12" s="36">
        <f>SUMIF(MatchScoutingData!$F$2:$F$1000, $A12, MatchScoutingData!T$2:T$1000)</f>
        <v>0</v>
      </c>
      <c r="W12" s="36">
        <f>SUMIF(MatchScoutingData!$F$2:$F$1000, $A12, MatchScoutingData!U$2:U$1000)</f>
        <v>0</v>
      </c>
      <c r="X12" s="36">
        <f t="shared" si="8"/>
        <v>15</v>
      </c>
      <c r="Y12" s="36">
        <f t="shared" si="9"/>
        <v>8</v>
      </c>
      <c r="Z12" s="36">
        <f t="shared" si="10"/>
        <v>0</v>
      </c>
      <c r="AA12" s="36">
        <f t="shared" si="11"/>
        <v>0</v>
      </c>
      <c r="AB12" s="36">
        <f t="shared" si="12"/>
        <v>0</v>
      </c>
      <c r="AC12" s="36">
        <f t="shared" si="13"/>
        <v>0</v>
      </c>
      <c r="AD12" s="38">
        <f t="shared" si="14"/>
        <v>23</v>
      </c>
      <c r="AE12" s="38">
        <f t="shared" si="15"/>
        <v>7.666666666666667</v>
      </c>
      <c r="AF12" s="36">
        <f>COUNTIFS(MatchScoutingData!$F$2:$F$1000, $A12, MatchScoutingData!$X$2:$X$1000, "p")</f>
        <v>0</v>
      </c>
      <c r="AG12" s="36">
        <f>COUNTIFS(MatchScoutingData!$F$2:$F$1000, $A12, MatchScoutingData!$X$2:$X$1000, "s")</f>
        <v>0</v>
      </c>
      <c r="AH12" s="36">
        <f>COUNTIFS(MatchScoutingData!$F$2:$F$1000, $A12, MatchScoutingData!$X$2:$X$1000, "d")</f>
        <v>0</v>
      </c>
      <c r="AI12" s="36">
        <f t="shared" si="16"/>
        <v>0</v>
      </c>
      <c r="AJ12" s="36">
        <f t="shared" si="17"/>
        <v>0</v>
      </c>
      <c r="AK12" s="36">
        <f t="shared" si="18"/>
        <v>0</v>
      </c>
      <c r="AL12" s="39">
        <f t="shared" si="19"/>
        <v>0</v>
      </c>
      <c r="AM12" s="39">
        <f t="shared" si="20"/>
        <v>0</v>
      </c>
      <c r="AN12" s="40">
        <f t="shared" si="21"/>
        <v>23</v>
      </c>
      <c r="AO12" s="40">
        <f t="shared" si="22"/>
        <v>7.666666666666667</v>
      </c>
      <c r="AP12" s="36">
        <f>SUMIF(MatchScoutingData!$F$2:$F$1000, $A12, MatchScoutingData!Z$2:Z$1000)</f>
        <v>1</v>
      </c>
      <c r="AQ12" s="36">
        <f>SUMIF(MatchScoutingData!$F$2:$F$1000, $A12, MatchScoutingData!AA$2:AA$1000)</f>
        <v>0</v>
      </c>
      <c r="AR12" s="36">
        <f>SUMIF(MatchScoutingData!$F$2:$F$1000, $A12, MatchScoutingData!AB$2:AB$1000)</f>
        <v>1</v>
      </c>
      <c r="AS12" s="36">
        <f t="shared" si="23"/>
        <v>2</v>
      </c>
    </row>
    <row r="13" spans="1:45" ht="16" x14ac:dyDescent="0.2">
      <c r="A13" s="35">
        <v>810</v>
      </c>
      <c r="B13" s="36">
        <f>COUNTIF(MatchScoutingData!F$2:F$1000, $A13)</f>
        <v>4</v>
      </c>
      <c r="C13" s="36">
        <f>SUMIF(MatchScoutingData!$F$2:$F$1000, $A13, MatchScoutingData!I$2:I$1000)</f>
        <v>4</v>
      </c>
      <c r="D13" s="36">
        <f>SUMIF(MatchScoutingData!$F$2:$F$1000, $A13, MatchScoutingData!J$2:J$1000)</f>
        <v>0</v>
      </c>
      <c r="E13" s="36">
        <f>SUMIF(MatchScoutingData!$F$2:$F$1000, $A13, MatchScoutingData!K$2:K$1000)</f>
        <v>0</v>
      </c>
      <c r="F13" s="36">
        <f>SUMIF(MatchScoutingData!$F$2:$F$1000, $A13, MatchScoutingData!L$2:L$1000)</f>
        <v>1</v>
      </c>
      <c r="G13" s="36">
        <f>SUMIF(MatchScoutingData!$F$2:$F$1000, $A13, MatchScoutingData!M$2:M$1000)</f>
        <v>0</v>
      </c>
      <c r="H13" s="36">
        <f>SUMIF(MatchScoutingData!$F$2:$F$1000, $A13, MatchScoutingData!N$2:N$1000)</f>
        <v>0</v>
      </c>
      <c r="I13" s="36">
        <f t="shared" si="0"/>
        <v>28</v>
      </c>
      <c r="J13" s="36">
        <f t="shared" si="1"/>
        <v>0</v>
      </c>
      <c r="K13" s="36">
        <f t="shared" si="2"/>
        <v>0</v>
      </c>
      <c r="L13" s="36">
        <f t="shared" si="3"/>
        <v>3</v>
      </c>
      <c r="M13" s="36">
        <f t="shared" si="4"/>
        <v>0</v>
      </c>
      <c r="N13" s="36">
        <f t="shared" si="5"/>
        <v>0</v>
      </c>
      <c r="O13" s="36">
        <f>SUMIF(MatchScoutingData!$F$2:$F$1000, $A13, MatchScoutingData!H$2:H$1000) * 3</f>
        <v>12</v>
      </c>
      <c r="P13" s="37">
        <f t="shared" si="6"/>
        <v>43</v>
      </c>
      <c r="Q13" s="37">
        <f t="shared" si="7"/>
        <v>10.75</v>
      </c>
      <c r="R13" s="36">
        <f>SUMIF(MatchScoutingData!$F$2:$F$1000, $A13, MatchScoutingData!P$2:P$1000)</f>
        <v>11</v>
      </c>
      <c r="S13" s="36">
        <f>SUMIF(MatchScoutingData!$F$2:$F$1000, $A13, MatchScoutingData!Q$2:Q$1000)</f>
        <v>3</v>
      </c>
      <c r="T13" s="36">
        <f>SUMIF(MatchScoutingData!$F$2:$F$1000, $A13, MatchScoutingData!R$2:R$1000)</f>
        <v>3</v>
      </c>
      <c r="U13" s="36">
        <f>SUMIF(MatchScoutingData!$F$2:$F$1000, $A13, MatchScoutingData!S$2:S$1000)</f>
        <v>3</v>
      </c>
      <c r="V13" s="36">
        <f>SUMIF(MatchScoutingData!$F$2:$F$1000, $A13, MatchScoutingData!T$2:T$1000)</f>
        <v>2</v>
      </c>
      <c r="W13" s="36">
        <f>SUMIF(MatchScoutingData!$F$2:$F$1000, $A13, MatchScoutingData!U$2:U$1000)</f>
        <v>6</v>
      </c>
      <c r="X13" s="36">
        <f t="shared" si="8"/>
        <v>55</v>
      </c>
      <c r="Y13" s="36">
        <f t="shared" si="9"/>
        <v>12</v>
      </c>
      <c r="Z13" s="36">
        <f t="shared" si="10"/>
        <v>9</v>
      </c>
      <c r="AA13" s="36">
        <f t="shared" si="11"/>
        <v>6</v>
      </c>
      <c r="AB13" s="36">
        <f t="shared" si="12"/>
        <v>12</v>
      </c>
      <c r="AC13" s="36">
        <f t="shared" si="13"/>
        <v>24</v>
      </c>
      <c r="AD13" s="38">
        <f t="shared" si="14"/>
        <v>118</v>
      </c>
      <c r="AE13" s="38">
        <f t="shared" si="15"/>
        <v>29.5</v>
      </c>
      <c r="AF13" s="36">
        <f>COUNTIFS(MatchScoutingData!$F$2:$F$1000, $A13, MatchScoutingData!$X$2:$X$1000, "p")</f>
        <v>2</v>
      </c>
      <c r="AG13" s="36">
        <f>COUNTIFS(MatchScoutingData!$F$2:$F$1000, $A13, MatchScoutingData!$X$2:$X$1000, "s")</f>
        <v>0</v>
      </c>
      <c r="AH13" s="36">
        <f>COUNTIFS(MatchScoutingData!$F$2:$F$1000, $A13, MatchScoutingData!$X$2:$X$1000, "d")</f>
        <v>0</v>
      </c>
      <c r="AI13" s="36">
        <f t="shared" si="16"/>
        <v>4</v>
      </c>
      <c r="AJ13" s="36">
        <f t="shared" si="17"/>
        <v>0</v>
      </c>
      <c r="AK13" s="36">
        <f t="shared" si="18"/>
        <v>0</v>
      </c>
      <c r="AL13" s="39">
        <f t="shared" si="19"/>
        <v>4</v>
      </c>
      <c r="AM13" s="39">
        <f t="shared" si="20"/>
        <v>1</v>
      </c>
      <c r="AN13" s="40">
        <f t="shared" si="21"/>
        <v>165</v>
      </c>
      <c r="AO13" s="40">
        <f t="shared" si="22"/>
        <v>41.25</v>
      </c>
      <c r="AP13" s="36">
        <f>SUMIF(MatchScoutingData!$F$2:$F$1000, $A13, MatchScoutingData!Z$2:Z$1000)</f>
        <v>3</v>
      </c>
      <c r="AQ13" s="36">
        <f>SUMIF(MatchScoutingData!$F$2:$F$1000, $A13, MatchScoutingData!AA$2:AA$1000)</f>
        <v>1</v>
      </c>
      <c r="AR13" s="36">
        <f>SUMIF(MatchScoutingData!$F$2:$F$1000, $A13, MatchScoutingData!AB$2:AB$1000)</f>
        <v>2</v>
      </c>
      <c r="AS13" s="36">
        <f t="shared" si="23"/>
        <v>6</v>
      </c>
    </row>
    <row r="14" spans="1:45" ht="16" x14ac:dyDescent="0.2">
      <c r="A14" s="35">
        <v>870</v>
      </c>
      <c r="B14" s="36">
        <f>COUNTIF(MatchScoutingData!F$2:F$1000, $A14)</f>
        <v>4</v>
      </c>
      <c r="C14" s="36">
        <f>SUMIF(MatchScoutingData!$F$2:$F$1000, $A14, MatchScoutingData!I$2:I$1000)</f>
        <v>7</v>
      </c>
      <c r="D14" s="36">
        <f>SUMIF(MatchScoutingData!$F$2:$F$1000, $A14, MatchScoutingData!J$2:J$1000)</f>
        <v>0</v>
      </c>
      <c r="E14" s="36">
        <f>SUMIF(MatchScoutingData!$F$2:$F$1000, $A14, MatchScoutingData!K$2:K$1000)</f>
        <v>0</v>
      </c>
      <c r="F14" s="36">
        <f>SUMIF(MatchScoutingData!$F$2:$F$1000, $A14, MatchScoutingData!L$2:L$1000)</f>
        <v>0</v>
      </c>
      <c r="G14" s="36">
        <f>SUMIF(MatchScoutingData!$F$2:$F$1000, $A14, MatchScoutingData!M$2:M$1000)</f>
        <v>0</v>
      </c>
      <c r="H14" s="36">
        <f>SUMIF(MatchScoutingData!$F$2:$F$1000, $A14, MatchScoutingData!N$2:N$1000)</f>
        <v>0</v>
      </c>
      <c r="I14" s="36">
        <f t="shared" si="0"/>
        <v>49</v>
      </c>
      <c r="J14" s="36">
        <f t="shared" si="1"/>
        <v>0</v>
      </c>
      <c r="K14" s="36">
        <f t="shared" si="2"/>
        <v>0</v>
      </c>
      <c r="L14" s="36">
        <f t="shared" si="3"/>
        <v>0</v>
      </c>
      <c r="M14" s="36">
        <f t="shared" si="4"/>
        <v>0</v>
      </c>
      <c r="N14" s="36">
        <f t="shared" si="5"/>
        <v>0</v>
      </c>
      <c r="O14" s="36">
        <f>SUMIF(MatchScoutingData!$F$2:$F$1000, $A14, MatchScoutingData!H$2:H$1000) * 3</f>
        <v>12</v>
      </c>
      <c r="P14" s="37">
        <f t="shared" si="6"/>
        <v>61</v>
      </c>
      <c r="Q14" s="37">
        <f t="shared" si="7"/>
        <v>15.25</v>
      </c>
      <c r="R14" s="36">
        <f>SUMIF(MatchScoutingData!$F$2:$F$1000, $A14, MatchScoutingData!P$2:P$1000)</f>
        <v>11</v>
      </c>
      <c r="S14" s="36">
        <f>SUMIF(MatchScoutingData!$F$2:$F$1000, $A14, MatchScoutingData!Q$2:Q$1000)</f>
        <v>7</v>
      </c>
      <c r="T14" s="36">
        <f>SUMIF(MatchScoutingData!$F$2:$F$1000, $A14, MatchScoutingData!R$2:R$1000)</f>
        <v>2</v>
      </c>
      <c r="U14" s="36">
        <f>SUMIF(MatchScoutingData!$F$2:$F$1000, $A14, MatchScoutingData!S$2:S$1000)</f>
        <v>4</v>
      </c>
      <c r="V14" s="36">
        <f>SUMIF(MatchScoutingData!$F$2:$F$1000, $A14, MatchScoutingData!T$2:T$1000)</f>
        <v>1</v>
      </c>
      <c r="W14" s="36">
        <f>SUMIF(MatchScoutingData!$F$2:$F$1000, $A14, MatchScoutingData!U$2:U$1000)</f>
        <v>0</v>
      </c>
      <c r="X14" s="36">
        <f t="shared" si="8"/>
        <v>55</v>
      </c>
      <c r="Y14" s="36">
        <f t="shared" si="9"/>
        <v>28</v>
      </c>
      <c r="Z14" s="36">
        <f t="shared" si="10"/>
        <v>6</v>
      </c>
      <c r="AA14" s="36">
        <f t="shared" si="11"/>
        <v>8</v>
      </c>
      <c r="AB14" s="36">
        <f t="shared" si="12"/>
        <v>6</v>
      </c>
      <c r="AC14" s="36">
        <f t="shared" si="13"/>
        <v>0</v>
      </c>
      <c r="AD14" s="38">
        <f t="shared" si="14"/>
        <v>103</v>
      </c>
      <c r="AE14" s="38">
        <f t="shared" si="15"/>
        <v>25.75</v>
      </c>
      <c r="AF14" s="36">
        <f>COUNTIFS(MatchScoutingData!$F$2:$F$1000, $A14, MatchScoutingData!$X$2:$X$1000, "p")</f>
        <v>1</v>
      </c>
      <c r="AG14" s="36">
        <f>COUNTIFS(MatchScoutingData!$F$2:$F$1000, $A14, MatchScoutingData!$X$2:$X$1000, "s")</f>
        <v>0</v>
      </c>
      <c r="AH14" s="36">
        <f>COUNTIFS(MatchScoutingData!$F$2:$F$1000, $A14, MatchScoutingData!$X$2:$X$1000, "d")</f>
        <v>3</v>
      </c>
      <c r="AI14" s="36">
        <f t="shared" si="16"/>
        <v>2</v>
      </c>
      <c r="AJ14" s="36">
        <f t="shared" si="17"/>
        <v>0</v>
      </c>
      <c r="AK14" s="36">
        <f t="shared" si="18"/>
        <v>36</v>
      </c>
      <c r="AL14" s="39">
        <f t="shared" si="19"/>
        <v>38</v>
      </c>
      <c r="AM14" s="39">
        <f t="shared" si="20"/>
        <v>9.5</v>
      </c>
      <c r="AN14" s="40">
        <f t="shared" si="21"/>
        <v>202</v>
      </c>
      <c r="AO14" s="40">
        <f t="shared" si="22"/>
        <v>50.5</v>
      </c>
      <c r="AP14" s="36">
        <f>SUMIF(MatchScoutingData!$F$2:$F$1000, $A14, MatchScoutingData!Z$2:Z$1000)</f>
        <v>4</v>
      </c>
      <c r="AQ14" s="36">
        <f>SUMIF(MatchScoutingData!$F$2:$F$1000, $A14, MatchScoutingData!AA$2:AA$1000)</f>
        <v>1</v>
      </c>
      <c r="AR14" s="36">
        <f>SUMIF(MatchScoutingData!$F$2:$F$1000, $A14, MatchScoutingData!AB$2:AB$1000)</f>
        <v>3</v>
      </c>
      <c r="AS14" s="36">
        <f t="shared" si="23"/>
        <v>8</v>
      </c>
    </row>
    <row r="15" spans="1:45" ht="16" x14ac:dyDescent="0.2">
      <c r="A15" s="35">
        <v>1126</v>
      </c>
      <c r="B15" s="36">
        <f>COUNTIF(MatchScoutingData!F$2:F$1000, $A15)</f>
        <v>4</v>
      </c>
      <c r="C15" s="36">
        <f>SUMIF(MatchScoutingData!$F$2:$F$1000, $A15, MatchScoutingData!I$2:I$1000)</f>
        <v>0</v>
      </c>
      <c r="D15" s="36">
        <f>SUMIF(MatchScoutingData!$F$2:$F$1000, $A15, MatchScoutingData!J$2:J$1000)</f>
        <v>0</v>
      </c>
      <c r="E15" s="36">
        <f>SUMIF(MatchScoutingData!$F$2:$F$1000, $A15, MatchScoutingData!K$2:K$1000)</f>
        <v>0</v>
      </c>
      <c r="F15" s="36">
        <f>SUMIF(MatchScoutingData!$F$2:$F$1000, $A15, MatchScoutingData!L$2:L$1000)</f>
        <v>0</v>
      </c>
      <c r="G15" s="36">
        <f>SUMIF(MatchScoutingData!$F$2:$F$1000, $A15, MatchScoutingData!M$2:M$1000)</f>
        <v>0</v>
      </c>
      <c r="H15" s="36">
        <f>SUMIF(MatchScoutingData!$F$2:$F$1000, $A15, MatchScoutingData!N$2:N$1000)</f>
        <v>0</v>
      </c>
      <c r="I15" s="36">
        <f t="shared" si="0"/>
        <v>0</v>
      </c>
      <c r="J15" s="36">
        <f t="shared" si="1"/>
        <v>0</v>
      </c>
      <c r="K15" s="36">
        <f t="shared" si="2"/>
        <v>0</v>
      </c>
      <c r="L15" s="36">
        <f t="shared" si="3"/>
        <v>0</v>
      </c>
      <c r="M15" s="36">
        <f t="shared" si="4"/>
        <v>0</v>
      </c>
      <c r="N15" s="36">
        <f t="shared" si="5"/>
        <v>0</v>
      </c>
      <c r="O15" s="36">
        <f>SUMIF(MatchScoutingData!$F$2:$F$1000, $A15, MatchScoutingData!H$2:H$1000) * 3</f>
        <v>9</v>
      </c>
      <c r="P15" s="37">
        <f t="shared" si="6"/>
        <v>9</v>
      </c>
      <c r="Q15" s="37">
        <f t="shared" si="7"/>
        <v>2.25</v>
      </c>
      <c r="R15" s="36">
        <f>SUMIF(MatchScoutingData!$F$2:$F$1000, $A15, MatchScoutingData!P$2:P$1000)</f>
        <v>5</v>
      </c>
      <c r="S15" s="36">
        <f>SUMIF(MatchScoutingData!$F$2:$F$1000, $A15, MatchScoutingData!Q$2:Q$1000)</f>
        <v>0</v>
      </c>
      <c r="T15" s="36">
        <f>SUMIF(MatchScoutingData!$F$2:$F$1000, $A15, MatchScoutingData!R$2:R$1000)</f>
        <v>0</v>
      </c>
      <c r="U15" s="36">
        <f>SUMIF(MatchScoutingData!$F$2:$F$1000, $A15, MatchScoutingData!S$2:S$1000)</f>
        <v>0</v>
      </c>
      <c r="V15" s="36">
        <f>SUMIF(MatchScoutingData!$F$2:$F$1000, $A15, MatchScoutingData!T$2:T$1000)</f>
        <v>0</v>
      </c>
      <c r="W15" s="36">
        <f>SUMIF(MatchScoutingData!$F$2:$F$1000, $A15, MatchScoutingData!U$2:U$1000)</f>
        <v>0</v>
      </c>
      <c r="X15" s="36">
        <f t="shared" si="8"/>
        <v>25</v>
      </c>
      <c r="Y15" s="36">
        <f t="shared" si="9"/>
        <v>0</v>
      </c>
      <c r="Z15" s="36">
        <f t="shared" si="10"/>
        <v>0</v>
      </c>
      <c r="AA15" s="36">
        <f t="shared" si="11"/>
        <v>0</v>
      </c>
      <c r="AB15" s="36">
        <f t="shared" si="12"/>
        <v>0</v>
      </c>
      <c r="AC15" s="36">
        <f t="shared" si="13"/>
        <v>0</v>
      </c>
      <c r="AD15" s="38">
        <f t="shared" si="14"/>
        <v>25</v>
      </c>
      <c r="AE15" s="38">
        <f t="shared" si="15"/>
        <v>6.25</v>
      </c>
      <c r="AF15" s="36">
        <f>COUNTIFS(MatchScoutingData!$F$2:$F$1000, $A15, MatchScoutingData!$X$2:$X$1000, "p")</f>
        <v>1</v>
      </c>
      <c r="AG15" s="36">
        <f>COUNTIFS(MatchScoutingData!$F$2:$F$1000, $A15, MatchScoutingData!$X$2:$X$1000, "s")</f>
        <v>0</v>
      </c>
      <c r="AH15" s="36">
        <f>COUNTIFS(MatchScoutingData!$F$2:$F$1000, $A15, MatchScoutingData!$X$2:$X$1000, "d")</f>
        <v>1</v>
      </c>
      <c r="AI15" s="36">
        <f t="shared" si="16"/>
        <v>2</v>
      </c>
      <c r="AJ15" s="36">
        <f t="shared" si="17"/>
        <v>0</v>
      </c>
      <c r="AK15" s="36">
        <f t="shared" si="18"/>
        <v>12</v>
      </c>
      <c r="AL15" s="39">
        <f t="shared" si="19"/>
        <v>14</v>
      </c>
      <c r="AM15" s="39">
        <f t="shared" si="20"/>
        <v>3.5</v>
      </c>
      <c r="AN15" s="40">
        <f t="shared" si="21"/>
        <v>48</v>
      </c>
      <c r="AO15" s="40">
        <f t="shared" si="22"/>
        <v>12</v>
      </c>
      <c r="AP15" s="36">
        <f>SUMIF(MatchScoutingData!$F$2:$F$1000, $A15, MatchScoutingData!Z$2:Z$1000)</f>
        <v>2</v>
      </c>
      <c r="AQ15" s="36">
        <f>SUMIF(MatchScoutingData!$F$2:$F$1000, $A15, MatchScoutingData!AA$2:AA$1000)</f>
        <v>0</v>
      </c>
      <c r="AR15" s="36">
        <f>SUMIF(MatchScoutingData!$F$2:$F$1000, $A15, MatchScoutingData!AB$2:AB$1000)</f>
        <v>1</v>
      </c>
      <c r="AS15" s="36">
        <f t="shared" si="23"/>
        <v>3</v>
      </c>
    </row>
    <row r="16" spans="1:45" ht="16" x14ac:dyDescent="0.2">
      <c r="A16" s="35">
        <v>1468</v>
      </c>
      <c r="B16" s="36">
        <f>COUNTIF(MatchScoutingData!F$2:F$1000, $A16)</f>
        <v>2</v>
      </c>
      <c r="C16" s="36">
        <f>SUMIF(MatchScoutingData!$F$2:$F$1000, $A16, MatchScoutingData!I$2:I$1000)</f>
        <v>47</v>
      </c>
      <c r="D16" s="36">
        <f>SUMIF(MatchScoutingData!$F$2:$F$1000, $A16, MatchScoutingData!J$2:J$1000)</f>
        <v>4</v>
      </c>
      <c r="E16" s="36">
        <f>SUMIF(MatchScoutingData!$F$2:$F$1000, $A16, MatchScoutingData!K$2:K$1000)</f>
        <v>6</v>
      </c>
      <c r="F16" s="36">
        <f>SUMIF(MatchScoutingData!$F$2:$F$1000, $A16, MatchScoutingData!L$2:L$1000)</f>
        <v>14</v>
      </c>
      <c r="G16" s="36">
        <f>SUMIF(MatchScoutingData!$F$2:$F$1000, $A16, MatchScoutingData!M$2:M$1000)</f>
        <v>16</v>
      </c>
      <c r="H16" s="36">
        <f>SUMIF(MatchScoutingData!$F$2:$F$1000, $A16, MatchScoutingData!N$2:N$1000)</f>
        <v>24</v>
      </c>
      <c r="I16" s="36">
        <f t="shared" si="0"/>
        <v>329</v>
      </c>
      <c r="J16" s="36">
        <f t="shared" si="1"/>
        <v>24</v>
      </c>
      <c r="K16" s="36">
        <f t="shared" si="2"/>
        <v>24</v>
      </c>
      <c r="L16" s="36">
        <f t="shared" si="3"/>
        <v>42</v>
      </c>
      <c r="M16" s="36">
        <f t="shared" si="4"/>
        <v>96</v>
      </c>
      <c r="N16" s="36">
        <f t="shared" si="5"/>
        <v>96</v>
      </c>
      <c r="O16" s="36">
        <f>SUMIF(MatchScoutingData!$F$2:$F$1000, $A16, MatchScoutingData!H$2:H$1000) * 3</f>
        <v>3</v>
      </c>
      <c r="P16" s="37">
        <f t="shared" si="6"/>
        <v>614</v>
      </c>
      <c r="Q16" s="37">
        <f t="shared" si="7"/>
        <v>307</v>
      </c>
      <c r="R16" s="36">
        <f>SUMIF(MatchScoutingData!$F$2:$F$1000, $A16, MatchScoutingData!P$2:P$1000)</f>
        <v>3</v>
      </c>
      <c r="S16" s="36">
        <f>SUMIF(MatchScoutingData!$F$2:$F$1000, $A16, MatchScoutingData!Q$2:Q$1000)</f>
        <v>2</v>
      </c>
      <c r="T16" s="36">
        <f>SUMIF(MatchScoutingData!$F$2:$F$1000, $A16, MatchScoutingData!R$2:R$1000)</f>
        <v>1</v>
      </c>
      <c r="U16" s="36">
        <f>SUMIF(MatchScoutingData!$F$2:$F$1000, $A16, MatchScoutingData!S$2:S$1000)</f>
        <v>0</v>
      </c>
      <c r="V16" s="36">
        <f>SUMIF(MatchScoutingData!$F$2:$F$1000, $A16, MatchScoutingData!T$2:T$1000)</f>
        <v>0</v>
      </c>
      <c r="W16" s="36">
        <f>SUMIF(MatchScoutingData!$F$2:$F$1000, $A16, MatchScoutingData!U$2:U$1000)</f>
        <v>1</v>
      </c>
      <c r="X16" s="36">
        <f t="shared" si="8"/>
        <v>15</v>
      </c>
      <c r="Y16" s="36">
        <f t="shared" si="9"/>
        <v>8</v>
      </c>
      <c r="Z16" s="36">
        <f t="shared" si="10"/>
        <v>3</v>
      </c>
      <c r="AA16" s="36">
        <f t="shared" si="11"/>
        <v>0</v>
      </c>
      <c r="AB16" s="36">
        <f t="shared" si="12"/>
        <v>0</v>
      </c>
      <c r="AC16" s="36">
        <f t="shared" si="13"/>
        <v>4</v>
      </c>
      <c r="AD16" s="38">
        <f t="shared" si="14"/>
        <v>30</v>
      </c>
      <c r="AE16" s="38">
        <f t="shared" si="15"/>
        <v>15</v>
      </c>
      <c r="AF16" s="36">
        <f>COUNTIFS(MatchScoutingData!$F$2:$F$1000, $A16, MatchScoutingData!$X$2:$X$1000, "p")</f>
        <v>0</v>
      </c>
      <c r="AG16" s="36">
        <f>COUNTIFS(MatchScoutingData!$F$2:$F$1000, $A16, MatchScoutingData!$X$2:$X$1000, "s")</f>
        <v>1</v>
      </c>
      <c r="AH16" s="36">
        <f>COUNTIFS(MatchScoutingData!$F$2:$F$1000, $A16, MatchScoutingData!$X$2:$X$1000, "d")</f>
        <v>0</v>
      </c>
      <c r="AI16" s="36">
        <f t="shared" si="16"/>
        <v>0</v>
      </c>
      <c r="AJ16" s="36">
        <f t="shared" si="17"/>
        <v>6</v>
      </c>
      <c r="AK16" s="36">
        <f t="shared" si="18"/>
        <v>0</v>
      </c>
      <c r="AL16" s="39">
        <f t="shared" si="19"/>
        <v>6</v>
      </c>
      <c r="AM16" s="39">
        <f t="shared" si="20"/>
        <v>3</v>
      </c>
      <c r="AN16" s="40">
        <f t="shared" si="21"/>
        <v>650</v>
      </c>
      <c r="AO16" s="40">
        <f t="shared" si="22"/>
        <v>325</v>
      </c>
      <c r="AP16" s="36">
        <f>SUMIF(MatchScoutingData!$F$2:$F$1000, $A16, MatchScoutingData!Z$2:Z$1000)</f>
        <v>0</v>
      </c>
      <c r="AQ16" s="36">
        <f>SUMIF(MatchScoutingData!$F$2:$F$1000, $A16, MatchScoutingData!AA$2:AA$1000)</f>
        <v>0</v>
      </c>
      <c r="AR16" s="36">
        <f>SUMIF(MatchScoutingData!$F$2:$F$1000, $A16, MatchScoutingData!AB$2:AB$1000)</f>
        <v>0</v>
      </c>
      <c r="AS16" s="36">
        <f t="shared" si="23"/>
        <v>0</v>
      </c>
    </row>
    <row r="17" spans="1:45" ht="16" x14ac:dyDescent="0.2">
      <c r="A17" s="35">
        <v>1493</v>
      </c>
      <c r="B17" s="36">
        <f>COUNTIF(MatchScoutingData!F$2:F$1000, $A17)</f>
        <v>1</v>
      </c>
      <c r="C17" s="36">
        <f>SUMIF(MatchScoutingData!$F$2:$F$1000, $A17, MatchScoutingData!I$2:I$1000)</f>
        <v>2</v>
      </c>
      <c r="D17" s="36">
        <f>SUMIF(MatchScoutingData!$F$2:$F$1000, $A17, MatchScoutingData!J$2:J$1000)</f>
        <v>0</v>
      </c>
      <c r="E17" s="36">
        <f>SUMIF(MatchScoutingData!$F$2:$F$1000, $A17, MatchScoutingData!K$2:K$1000)</f>
        <v>0</v>
      </c>
      <c r="F17" s="36">
        <f>SUMIF(MatchScoutingData!$F$2:$F$1000, $A17, MatchScoutingData!L$2:L$1000)</f>
        <v>0</v>
      </c>
      <c r="G17" s="36">
        <f>SUMIF(MatchScoutingData!$F$2:$F$1000, $A17, MatchScoutingData!M$2:M$1000)</f>
        <v>0</v>
      </c>
      <c r="H17" s="36">
        <f>SUMIF(MatchScoutingData!$F$2:$F$1000, $A17, MatchScoutingData!N$2:N$1000)</f>
        <v>0</v>
      </c>
      <c r="I17" s="36">
        <f t="shared" si="0"/>
        <v>14</v>
      </c>
      <c r="J17" s="36">
        <f t="shared" si="1"/>
        <v>0</v>
      </c>
      <c r="K17" s="36">
        <f t="shared" si="2"/>
        <v>0</v>
      </c>
      <c r="L17" s="36">
        <f t="shared" si="3"/>
        <v>0</v>
      </c>
      <c r="M17" s="36">
        <f t="shared" si="4"/>
        <v>0</v>
      </c>
      <c r="N17" s="36">
        <f t="shared" si="5"/>
        <v>0</v>
      </c>
      <c r="O17" s="36">
        <f>SUMIF(MatchScoutingData!$F$2:$F$1000, $A17, MatchScoutingData!H$2:H$1000) * 3</f>
        <v>3</v>
      </c>
      <c r="P17" s="37">
        <f t="shared" si="6"/>
        <v>17</v>
      </c>
      <c r="Q17" s="37">
        <f t="shared" si="7"/>
        <v>17</v>
      </c>
      <c r="R17" s="36">
        <f>SUMIF(MatchScoutingData!$F$2:$F$1000, $A17, MatchScoutingData!P$2:P$1000)</f>
        <v>9</v>
      </c>
      <c r="S17" s="36">
        <f>SUMIF(MatchScoutingData!$F$2:$F$1000, $A17, MatchScoutingData!Q$2:Q$1000)</f>
        <v>6</v>
      </c>
      <c r="T17" s="36">
        <f>SUMIF(MatchScoutingData!$F$2:$F$1000, $A17, MatchScoutingData!R$2:R$1000)</f>
        <v>1</v>
      </c>
      <c r="U17" s="36">
        <f>SUMIF(MatchScoutingData!$F$2:$F$1000, $A17, MatchScoutingData!S$2:S$1000)</f>
        <v>0</v>
      </c>
      <c r="V17" s="36">
        <f>SUMIF(MatchScoutingData!$F$2:$F$1000, $A17, MatchScoutingData!T$2:T$1000)</f>
        <v>0</v>
      </c>
      <c r="W17" s="36">
        <f>SUMIF(MatchScoutingData!$F$2:$F$1000, $A17, MatchScoutingData!U$2:U$1000)</f>
        <v>0</v>
      </c>
      <c r="X17" s="36">
        <f t="shared" si="8"/>
        <v>45</v>
      </c>
      <c r="Y17" s="36">
        <f t="shared" si="9"/>
        <v>24</v>
      </c>
      <c r="Z17" s="36">
        <f t="shared" si="10"/>
        <v>3</v>
      </c>
      <c r="AA17" s="36">
        <f t="shared" si="11"/>
        <v>0</v>
      </c>
      <c r="AB17" s="36">
        <f t="shared" si="12"/>
        <v>0</v>
      </c>
      <c r="AC17" s="36">
        <f t="shared" si="13"/>
        <v>0</v>
      </c>
      <c r="AD17" s="38">
        <f t="shared" si="14"/>
        <v>72</v>
      </c>
      <c r="AE17" s="38">
        <f t="shared" si="15"/>
        <v>72</v>
      </c>
      <c r="AF17" s="36">
        <f>COUNTIFS(MatchScoutingData!$F$2:$F$1000, $A17, MatchScoutingData!$X$2:$X$1000, "p")</f>
        <v>0</v>
      </c>
      <c r="AG17" s="36">
        <f>COUNTIFS(MatchScoutingData!$F$2:$F$1000, $A17, MatchScoutingData!$X$2:$X$1000, "s")</f>
        <v>0</v>
      </c>
      <c r="AH17" s="36">
        <f>COUNTIFS(MatchScoutingData!$F$2:$F$1000, $A17, MatchScoutingData!$X$2:$X$1000, "d")</f>
        <v>0</v>
      </c>
      <c r="AI17" s="36">
        <f t="shared" si="16"/>
        <v>0</v>
      </c>
      <c r="AJ17" s="36">
        <f t="shared" si="17"/>
        <v>0</v>
      </c>
      <c r="AK17" s="36">
        <f t="shared" si="18"/>
        <v>0</v>
      </c>
      <c r="AL17" s="39">
        <f t="shared" si="19"/>
        <v>0</v>
      </c>
      <c r="AM17" s="39">
        <f t="shared" si="20"/>
        <v>0</v>
      </c>
      <c r="AN17" s="40">
        <f t="shared" si="21"/>
        <v>89</v>
      </c>
      <c r="AO17" s="40">
        <f t="shared" si="22"/>
        <v>89</v>
      </c>
      <c r="AP17" s="36">
        <f>SUMIF(MatchScoutingData!$F$2:$F$1000, $A17, MatchScoutingData!Z$2:Z$1000)</f>
        <v>1</v>
      </c>
      <c r="AQ17" s="36">
        <f>SUMIF(MatchScoutingData!$F$2:$F$1000, $A17, MatchScoutingData!AA$2:AA$1000)</f>
        <v>0</v>
      </c>
      <c r="AR17" s="36">
        <f>SUMIF(MatchScoutingData!$F$2:$F$1000, $A17, MatchScoutingData!AB$2:AB$1000)</f>
        <v>0</v>
      </c>
      <c r="AS17" s="36">
        <f t="shared" si="23"/>
        <v>1</v>
      </c>
    </row>
    <row r="18" spans="1:45" ht="16" x14ac:dyDescent="0.2">
      <c r="A18" s="35">
        <v>1518</v>
      </c>
      <c r="B18" s="36">
        <f>COUNTIF(MatchScoutingData!F$2:F$1000, $A18)</f>
        <v>1</v>
      </c>
      <c r="C18" s="36">
        <f>SUMIF(MatchScoutingData!$F$2:$F$1000, $A18, MatchScoutingData!I$2:I$1000)</f>
        <v>0</v>
      </c>
      <c r="D18" s="36">
        <f>SUMIF(MatchScoutingData!$F$2:$F$1000, $A18, MatchScoutingData!J$2:J$1000)</f>
        <v>0</v>
      </c>
      <c r="E18" s="36">
        <f>SUMIF(MatchScoutingData!$F$2:$F$1000, $A18, MatchScoutingData!K$2:K$1000)</f>
        <v>0</v>
      </c>
      <c r="F18" s="36">
        <f>SUMIF(MatchScoutingData!$F$2:$F$1000, $A18, MatchScoutingData!L$2:L$1000)</f>
        <v>0</v>
      </c>
      <c r="G18" s="36">
        <f>SUMIF(MatchScoutingData!$F$2:$F$1000, $A18, MatchScoutingData!M$2:M$1000)</f>
        <v>0</v>
      </c>
      <c r="H18" s="36">
        <f>SUMIF(MatchScoutingData!$F$2:$F$1000, $A18, MatchScoutingData!N$2:N$1000)</f>
        <v>0</v>
      </c>
      <c r="I18" s="36">
        <f t="shared" si="0"/>
        <v>0</v>
      </c>
      <c r="J18" s="36">
        <f t="shared" si="1"/>
        <v>0</v>
      </c>
      <c r="K18" s="36">
        <f t="shared" si="2"/>
        <v>0</v>
      </c>
      <c r="L18" s="36">
        <f t="shared" si="3"/>
        <v>0</v>
      </c>
      <c r="M18" s="36">
        <f t="shared" si="4"/>
        <v>0</v>
      </c>
      <c r="N18" s="36">
        <f t="shared" si="5"/>
        <v>0</v>
      </c>
      <c r="O18" s="36">
        <f>SUMIF(MatchScoutingData!$F$2:$F$1000, $A18, MatchScoutingData!H$2:H$1000) * 3</f>
        <v>0</v>
      </c>
      <c r="P18" s="37">
        <f t="shared" si="6"/>
        <v>0</v>
      </c>
      <c r="Q18" s="37">
        <f t="shared" si="7"/>
        <v>0</v>
      </c>
      <c r="R18" s="36">
        <f>SUMIF(MatchScoutingData!$F$2:$F$1000, $A18, MatchScoutingData!P$2:P$1000)</f>
        <v>0</v>
      </c>
      <c r="S18" s="36">
        <f>SUMIF(MatchScoutingData!$F$2:$F$1000, $A18, MatchScoutingData!Q$2:Q$1000)</f>
        <v>0</v>
      </c>
      <c r="T18" s="36">
        <f>SUMIF(MatchScoutingData!$F$2:$F$1000, $A18, MatchScoutingData!R$2:R$1000)</f>
        <v>0</v>
      </c>
      <c r="U18" s="36">
        <f>SUMIF(MatchScoutingData!$F$2:$F$1000, $A18, MatchScoutingData!S$2:S$1000)</f>
        <v>0</v>
      </c>
      <c r="V18" s="36">
        <f>SUMIF(MatchScoutingData!$F$2:$F$1000, $A18, MatchScoutingData!T$2:T$1000)</f>
        <v>0</v>
      </c>
      <c r="W18" s="36">
        <f>SUMIF(MatchScoutingData!$F$2:$F$1000, $A18, MatchScoutingData!U$2:U$1000)</f>
        <v>5</v>
      </c>
      <c r="X18" s="36">
        <f t="shared" si="8"/>
        <v>0</v>
      </c>
      <c r="Y18" s="36">
        <f t="shared" si="9"/>
        <v>0</v>
      </c>
      <c r="Z18" s="36">
        <f t="shared" si="10"/>
        <v>0</v>
      </c>
      <c r="AA18" s="36">
        <f t="shared" si="11"/>
        <v>0</v>
      </c>
      <c r="AB18" s="36">
        <f t="shared" si="12"/>
        <v>0</v>
      </c>
      <c r="AC18" s="36">
        <f t="shared" si="13"/>
        <v>20</v>
      </c>
      <c r="AD18" s="38">
        <f t="shared" si="14"/>
        <v>20</v>
      </c>
      <c r="AE18" s="38">
        <f t="shared" si="15"/>
        <v>20</v>
      </c>
      <c r="AF18" s="36">
        <f>COUNTIFS(MatchScoutingData!$F$2:$F$1000, $A18, MatchScoutingData!$X$2:$X$1000, "p")</f>
        <v>0</v>
      </c>
      <c r="AG18" s="36">
        <f>COUNTIFS(MatchScoutingData!$F$2:$F$1000, $A18, MatchScoutingData!$X$2:$X$1000, "s")</f>
        <v>0</v>
      </c>
      <c r="AH18" s="36">
        <f>COUNTIFS(MatchScoutingData!$F$2:$F$1000, $A18, MatchScoutingData!$X$2:$X$1000, "d")</f>
        <v>0</v>
      </c>
      <c r="AI18" s="36">
        <f t="shared" si="16"/>
        <v>0</v>
      </c>
      <c r="AJ18" s="36">
        <f t="shared" si="17"/>
        <v>0</v>
      </c>
      <c r="AK18" s="36">
        <f t="shared" si="18"/>
        <v>0</v>
      </c>
      <c r="AL18" s="39">
        <f t="shared" si="19"/>
        <v>0</v>
      </c>
      <c r="AM18" s="39">
        <f t="shared" si="20"/>
        <v>0</v>
      </c>
      <c r="AN18" s="40">
        <f t="shared" si="21"/>
        <v>20</v>
      </c>
      <c r="AO18" s="40">
        <f t="shared" si="22"/>
        <v>20</v>
      </c>
      <c r="AP18" s="36">
        <f>SUMIF(MatchScoutingData!$F$2:$F$1000, $A18, MatchScoutingData!Z$2:Z$1000)</f>
        <v>0</v>
      </c>
      <c r="AQ18" s="36">
        <f>SUMIF(MatchScoutingData!$F$2:$F$1000, $A18, MatchScoutingData!AA$2:AA$1000)</f>
        <v>0</v>
      </c>
      <c r="AR18" s="36">
        <f>SUMIF(MatchScoutingData!$F$2:$F$1000, $A18, MatchScoutingData!AB$2:AB$1000)</f>
        <v>0</v>
      </c>
      <c r="AS18" s="36">
        <f t="shared" si="23"/>
        <v>0</v>
      </c>
    </row>
    <row r="19" spans="1:45" ht="16" x14ac:dyDescent="0.2">
      <c r="A19" s="35">
        <v>1591</v>
      </c>
      <c r="B19" s="36">
        <f>COUNTIF(MatchScoutingData!F$2:F$1000, $A19)</f>
        <v>2</v>
      </c>
      <c r="C19" s="36">
        <f>SUMIF(MatchScoutingData!$F$2:$F$1000, $A19, MatchScoutingData!I$2:I$1000)</f>
        <v>1</v>
      </c>
      <c r="D19" s="36">
        <f>SUMIF(MatchScoutingData!$F$2:$F$1000, $A19, MatchScoutingData!J$2:J$1000)</f>
        <v>0</v>
      </c>
      <c r="E19" s="36">
        <f>SUMIF(MatchScoutingData!$F$2:$F$1000, $A19, MatchScoutingData!K$2:K$1000)</f>
        <v>0</v>
      </c>
      <c r="F19" s="36">
        <f>SUMIF(MatchScoutingData!$F$2:$F$1000, $A19, MatchScoutingData!L$2:L$1000)</f>
        <v>0</v>
      </c>
      <c r="G19" s="36">
        <f>SUMIF(MatchScoutingData!$F$2:$F$1000, $A19, MatchScoutingData!M$2:M$1000)</f>
        <v>0</v>
      </c>
      <c r="H19" s="36">
        <f>SUMIF(MatchScoutingData!$F$2:$F$1000, $A19, MatchScoutingData!N$2:N$1000)</f>
        <v>0</v>
      </c>
      <c r="I19" s="36">
        <f t="shared" si="0"/>
        <v>7</v>
      </c>
      <c r="J19" s="36">
        <f t="shared" si="1"/>
        <v>0</v>
      </c>
      <c r="K19" s="36">
        <f t="shared" si="2"/>
        <v>0</v>
      </c>
      <c r="L19" s="36">
        <f t="shared" si="3"/>
        <v>0</v>
      </c>
      <c r="M19" s="36">
        <f t="shared" si="4"/>
        <v>0</v>
      </c>
      <c r="N19" s="36">
        <f t="shared" si="5"/>
        <v>0</v>
      </c>
      <c r="O19" s="36">
        <f>SUMIF(MatchScoutingData!$F$2:$F$1000, $A19, MatchScoutingData!H$2:H$1000) * 3</f>
        <v>3</v>
      </c>
      <c r="P19" s="37">
        <f t="shared" si="6"/>
        <v>10</v>
      </c>
      <c r="Q19" s="37">
        <f t="shared" si="7"/>
        <v>5</v>
      </c>
      <c r="R19" s="36">
        <f>SUMIF(MatchScoutingData!$F$2:$F$1000, $A19, MatchScoutingData!P$2:P$1000)</f>
        <v>13</v>
      </c>
      <c r="S19" s="36">
        <f>SUMIF(MatchScoutingData!$F$2:$F$1000, $A19, MatchScoutingData!Q$2:Q$1000)</f>
        <v>0</v>
      </c>
      <c r="T19" s="36">
        <f>SUMIF(MatchScoutingData!$F$2:$F$1000, $A19, MatchScoutingData!R$2:R$1000)</f>
        <v>0</v>
      </c>
      <c r="U19" s="36">
        <f>SUMIF(MatchScoutingData!$F$2:$F$1000, $A19, MatchScoutingData!S$2:S$1000)</f>
        <v>0</v>
      </c>
      <c r="V19" s="36">
        <f>SUMIF(MatchScoutingData!$F$2:$F$1000, $A19, MatchScoutingData!T$2:T$1000)</f>
        <v>0</v>
      </c>
      <c r="W19" s="36">
        <f>SUMIF(MatchScoutingData!$F$2:$F$1000, $A19, MatchScoutingData!U$2:U$1000)</f>
        <v>0</v>
      </c>
      <c r="X19" s="36">
        <f t="shared" si="8"/>
        <v>65</v>
      </c>
      <c r="Y19" s="36">
        <f t="shared" si="9"/>
        <v>0</v>
      </c>
      <c r="Z19" s="36">
        <f t="shared" si="10"/>
        <v>0</v>
      </c>
      <c r="AA19" s="36">
        <f t="shared" si="11"/>
        <v>0</v>
      </c>
      <c r="AB19" s="36">
        <f t="shared" si="12"/>
        <v>0</v>
      </c>
      <c r="AC19" s="36">
        <f t="shared" si="13"/>
        <v>0</v>
      </c>
      <c r="AD19" s="38">
        <f t="shared" si="14"/>
        <v>65</v>
      </c>
      <c r="AE19" s="38">
        <f t="shared" si="15"/>
        <v>32.5</v>
      </c>
      <c r="AF19" s="36">
        <f>COUNTIFS(MatchScoutingData!$F$2:$F$1000, $A19, MatchScoutingData!$X$2:$X$1000, "p")</f>
        <v>0</v>
      </c>
      <c r="AG19" s="36">
        <f>COUNTIFS(MatchScoutingData!$F$2:$F$1000, $A19, MatchScoutingData!$X$2:$X$1000, "s")</f>
        <v>1</v>
      </c>
      <c r="AH19" s="36">
        <f>COUNTIFS(MatchScoutingData!$F$2:$F$1000, $A19, MatchScoutingData!$X$2:$X$1000, "d")</f>
        <v>0</v>
      </c>
      <c r="AI19" s="36">
        <f t="shared" si="16"/>
        <v>0</v>
      </c>
      <c r="AJ19" s="36">
        <f t="shared" si="17"/>
        <v>6</v>
      </c>
      <c r="AK19" s="36">
        <f t="shared" si="18"/>
        <v>0</v>
      </c>
      <c r="AL19" s="39">
        <f t="shared" si="19"/>
        <v>6</v>
      </c>
      <c r="AM19" s="39">
        <f t="shared" si="20"/>
        <v>3</v>
      </c>
      <c r="AN19" s="40">
        <f t="shared" si="21"/>
        <v>81</v>
      </c>
      <c r="AO19" s="40">
        <f t="shared" si="22"/>
        <v>40.5</v>
      </c>
      <c r="AP19" s="36">
        <f>SUMIF(MatchScoutingData!$F$2:$F$1000, $A19, MatchScoutingData!Z$2:Z$1000)</f>
        <v>1</v>
      </c>
      <c r="AQ19" s="36">
        <f>SUMIF(MatchScoutingData!$F$2:$F$1000, $A19, MatchScoutingData!AA$2:AA$1000)</f>
        <v>0</v>
      </c>
      <c r="AR19" s="36">
        <f>SUMIF(MatchScoutingData!$F$2:$F$1000, $A19, MatchScoutingData!AB$2:AB$1000)</f>
        <v>0</v>
      </c>
      <c r="AS19" s="36">
        <f t="shared" si="23"/>
        <v>1</v>
      </c>
    </row>
    <row r="20" spans="1:45" ht="16" x14ac:dyDescent="0.2">
      <c r="A20" s="35">
        <v>1796</v>
      </c>
      <c r="B20" s="36">
        <f>COUNTIF(MatchScoutingData!F$2:F$1000, $A20)</f>
        <v>2</v>
      </c>
      <c r="C20" s="36">
        <f>SUMIF(MatchScoutingData!$F$2:$F$1000, $A20, MatchScoutingData!I$2:I$1000)</f>
        <v>5</v>
      </c>
      <c r="D20" s="36">
        <f>SUMIF(MatchScoutingData!$F$2:$F$1000, $A20, MatchScoutingData!J$2:J$1000)</f>
        <v>0</v>
      </c>
      <c r="E20" s="36">
        <f>SUMIF(MatchScoutingData!$F$2:$F$1000, $A20, MatchScoutingData!K$2:K$1000)</f>
        <v>0</v>
      </c>
      <c r="F20" s="36">
        <f>SUMIF(MatchScoutingData!$F$2:$F$1000, $A20, MatchScoutingData!L$2:L$1000)</f>
        <v>0</v>
      </c>
      <c r="G20" s="36">
        <f>SUMIF(MatchScoutingData!$F$2:$F$1000, $A20, MatchScoutingData!M$2:M$1000)</f>
        <v>0</v>
      </c>
      <c r="H20" s="36">
        <f>SUMIF(MatchScoutingData!$F$2:$F$1000, $A20, MatchScoutingData!N$2:N$1000)</f>
        <v>0</v>
      </c>
      <c r="I20" s="36">
        <f t="shared" si="0"/>
        <v>35</v>
      </c>
      <c r="J20" s="36">
        <f t="shared" si="1"/>
        <v>0</v>
      </c>
      <c r="K20" s="36">
        <f t="shared" si="2"/>
        <v>0</v>
      </c>
      <c r="L20" s="36">
        <f t="shared" si="3"/>
        <v>0</v>
      </c>
      <c r="M20" s="36">
        <f t="shared" si="4"/>
        <v>0</v>
      </c>
      <c r="N20" s="36">
        <f t="shared" si="5"/>
        <v>0</v>
      </c>
      <c r="O20" s="36">
        <f>SUMIF(MatchScoutingData!$F$2:$F$1000, $A20, MatchScoutingData!H$2:H$1000) * 3</f>
        <v>6</v>
      </c>
      <c r="P20" s="37">
        <f t="shared" si="6"/>
        <v>41</v>
      </c>
      <c r="Q20" s="37">
        <f t="shared" si="7"/>
        <v>20.5</v>
      </c>
      <c r="R20" s="36">
        <f>SUMIF(MatchScoutingData!$F$2:$F$1000, $A20, MatchScoutingData!P$2:P$1000)</f>
        <v>5</v>
      </c>
      <c r="S20" s="36">
        <f>SUMIF(MatchScoutingData!$F$2:$F$1000, $A20, MatchScoutingData!Q$2:Q$1000)</f>
        <v>8</v>
      </c>
      <c r="T20" s="36">
        <f>SUMIF(MatchScoutingData!$F$2:$F$1000, $A20, MatchScoutingData!R$2:R$1000)</f>
        <v>3</v>
      </c>
      <c r="U20" s="36">
        <f>SUMIF(MatchScoutingData!$F$2:$F$1000, $A20, MatchScoutingData!S$2:S$1000)</f>
        <v>1</v>
      </c>
      <c r="V20" s="36">
        <f>SUMIF(MatchScoutingData!$F$2:$F$1000, $A20, MatchScoutingData!T$2:T$1000)</f>
        <v>6</v>
      </c>
      <c r="W20" s="36">
        <f>SUMIF(MatchScoutingData!$F$2:$F$1000, $A20, MatchScoutingData!U$2:U$1000)</f>
        <v>0</v>
      </c>
      <c r="X20" s="36">
        <f t="shared" si="8"/>
        <v>25</v>
      </c>
      <c r="Y20" s="36">
        <f t="shared" si="9"/>
        <v>32</v>
      </c>
      <c r="Z20" s="36">
        <f t="shared" si="10"/>
        <v>9</v>
      </c>
      <c r="AA20" s="36">
        <f t="shared" si="11"/>
        <v>2</v>
      </c>
      <c r="AB20" s="36">
        <f t="shared" si="12"/>
        <v>36</v>
      </c>
      <c r="AC20" s="36">
        <f t="shared" si="13"/>
        <v>0</v>
      </c>
      <c r="AD20" s="38">
        <f t="shared" si="14"/>
        <v>104</v>
      </c>
      <c r="AE20" s="38">
        <f t="shared" si="15"/>
        <v>52</v>
      </c>
      <c r="AF20" s="36">
        <f>COUNTIFS(MatchScoutingData!$F$2:$F$1000, $A20, MatchScoutingData!$X$2:$X$1000, "p")</f>
        <v>0</v>
      </c>
      <c r="AG20" s="36">
        <f>COUNTIFS(MatchScoutingData!$F$2:$F$1000, $A20, MatchScoutingData!$X$2:$X$1000, "s")</f>
        <v>0</v>
      </c>
      <c r="AH20" s="36">
        <f>COUNTIFS(MatchScoutingData!$F$2:$F$1000, $A20, MatchScoutingData!$X$2:$X$1000, "d")</f>
        <v>2</v>
      </c>
      <c r="AI20" s="36">
        <f t="shared" si="16"/>
        <v>0</v>
      </c>
      <c r="AJ20" s="36">
        <f t="shared" si="17"/>
        <v>0</v>
      </c>
      <c r="AK20" s="36">
        <f t="shared" si="18"/>
        <v>24</v>
      </c>
      <c r="AL20" s="39">
        <f t="shared" si="19"/>
        <v>24</v>
      </c>
      <c r="AM20" s="39">
        <f t="shared" si="20"/>
        <v>12</v>
      </c>
      <c r="AN20" s="40">
        <f t="shared" si="21"/>
        <v>169</v>
      </c>
      <c r="AO20" s="40">
        <f t="shared" si="22"/>
        <v>84.5</v>
      </c>
      <c r="AP20" s="36">
        <f>SUMIF(MatchScoutingData!$F$2:$F$1000, $A20, MatchScoutingData!Z$2:Z$1000)</f>
        <v>2</v>
      </c>
      <c r="AQ20" s="36">
        <f>SUMIF(MatchScoutingData!$F$2:$F$1000, $A20, MatchScoutingData!AA$2:AA$1000)</f>
        <v>2</v>
      </c>
      <c r="AR20" s="36">
        <f>SUMIF(MatchScoutingData!$F$2:$F$1000, $A20, MatchScoutingData!AB$2:AB$1000)</f>
        <v>2</v>
      </c>
      <c r="AS20" s="36">
        <f t="shared" si="23"/>
        <v>6</v>
      </c>
    </row>
    <row r="21" spans="1:45" ht="16" x14ac:dyDescent="0.2">
      <c r="A21" s="35">
        <v>1880</v>
      </c>
      <c r="B21" s="36">
        <f>COUNTIF(MatchScoutingData!F$2:F$1000, $A21)</f>
        <v>3</v>
      </c>
      <c r="C21" s="36">
        <f>SUMIF(MatchScoutingData!$F$2:$F$1000, $A21, MatchScoutingData!I$2:I$1000)</f>
        <v>3</v>
      </c>
      <c r="D21" s="36">
        <f>SUMIF(MatchScoutingData!$F$2:$F$1000, $A21, MatchScoutingData!J$2:J$1000)</f>
        <v>0</v>
      </c>
      <c r="E21" s="36">
        <f>SUMIF(MatchScoutingData!$F$2:$F$1000, $A21, MatchScoutingData!K$2:K$1000)</f>
        <v>0</v>
      </c>
      <c r="F21" s="36">
        <f>SUMIF(MatchScoutingData!$F$2:$F$1000, $A21, MatchScoutingData!L$2:L$1000)</f>
        <v>0</v>
      </c>
      <c r="G21" s="36">
        <f>SUMIF(MatchScoutingData!$F$2:$F$1000, $A21, MatchScoutingData!M$2:M$1000)</f>
        <v>0</v>
      </c>
      <c r="H21" s="36">
        <f>SUMIF(MatchScoutingData!$F$2:$F$1000, $A21, MatchScoutingData!N$2:N$1000)</f>
        <v>0</v>
      </c>
      <c r="I21" s="36">
        <f t="shared" si="0"/>
        <v>21</v>
      </c>
      <c r="J21" s="36">
        <f t="shared" si="1"/>
        <v>0</v>
      </c>
      <c r="K21" s="36">
        <f t="shared" si="2"/>
        <v>0</v>
      </c>
      <c r="L21" s="36">
        <f t="shared" si="3"/>
        <v>0</v>
      </c>
      <c r="M21" s="36">
        <f t="shared" si="4"/>
        <v>0</v>
      </c>
      <c r="N21" s="36">
        <f t="shared" si="5"/>
        <v>0</v>
      </c>
      <c r="O21" s="36">
        <f>SUMIF(MatchScoutingData!$F$2:$F$1000, $A21, MatchScoutingData!H$2:H$1000) * 3</f>
        <v>9</v>
      </c>
      <c r="P21" s="37">
        <f t="shared" si="6"/>
        <v>30</v>
      </c>
      <c r="Q21" s="37">
        <f t="shared" si="7"/>
        <v>10</v>
      </c>
      <c r="R21" s="36">
        <f>SUMIF(MatchScoutingData!$F$2:$F$1000, $A21, MatchScoutingData!P$2:P$1000)</f>
        <v>4</v>
      </c>
      <c r="S21" s="36">
        <f>SUMIF(MatchScoutingData!$F$2:$F$1000, $A21, MatchScoutingData!Q$2:Q$1000)</f>
        <v>6</v>
      </c>
      <c r="T21" s="36">
        <f>SUMIF(MatchScoutingData!$F$2:$F$1000, $A21, MatchScoutingData!R$2:R$1000)</f>
        <v>10</v>
      </c>
      <c r="U21" s="36">
        <f>SUMIF(MatchScoutingData!$F$2:$F$1000, $A21, MatchScoutingData!S$2:S$1000)</f>
        <v>1</v>
      </c>
      <c r="V21" s="36">
        <f>SUMIF(MatchScoutingData!$F$2:$F$1000, $A21, MatchScoutingData!T$2:T$1000)</f>
        <v>1</v>
      </c>
      <c r="W21" s="36">
        <f>SUMIF(MatchScoutingData!$F$2:$F$1000, $A21, MatchScoutingData!U$2:U$1000)</f>
        <v>0</v>
      </c>
      <c r="X21" s="36">
        <f t="shared" si="8"/>
        <v>20</v>
      </c>
      <c r="Y21" s="36">
        <f t="shared" si="9"/>
        <v>24</v>
      </c>
      <c r="Z21" s="36">
        <f t="shared" si="10"/>
        <v>30</v>
      </c>
      <c r="AA21" s="36">
        <f t="shared" si="11"/>
        <v>2</v>
      </c>
      <c r="AB21" s="36">
        <f t="shared" si="12"/>
        <v>6</v>
      </c>
      <c r="AC21" s="36">
        <f t="shared" si="13"/>
        <v>0</v>
      </c>
      <c r="AD21" s="38">
        <f t="shared" si="14"/>
        <v>82</v>
      </c>
      <c r="AE21" s="38">
        <f t="shared" si="15"/>
        <v>27.333333333333332</v>
      </c>
      <c r="AF21" s="36">
        <f>COUNTIFS(MatchScoutingData!$F$2:$F$1000, $A21, MatchScoutingData!$X$2:$X$1000, "p")</f>
        <v>3</v>
      </c>
      <c r="AG21" s="36">
        <f>COUNTIFS(MatchScoutingData!$F$2:$F$1000, $A21, MatchScoutingData!$X$2:$X$1000, "s")</f>
        <v>0</v>
      </c>
      <c r="AH21" s="36">
        <f>COUNTIFS(MatchScoutingData!$F$2:$F$1000, $A21, MatchScoutingData!$X$2:$X$1000, "d")</f>
        <v>0</v>
      </c>
      <c r="AI21" s="36">
        <f t="shared" si="16"/>
        <v>6</v>
      </c>
      <c r="AJ21" s="36">
        <f t="shared" si="17"/>
        <v>0</v>
      </c>
      <c r="AK21" s="36">
        <f t="shared" si="18"/>
        <v>0</v>
      </c>
      <c r="AL21" s="39">
        <f t="shared" si="19"/>
        <v>6</v>
      </c>
      <c r="AM21" s="39">
        <f t="shared" si="20"/>
        <v>2</v>
      </c>
      <c r="AN21" s="40">
        <f t="shared" si="21"/>
        <v>118</v>
      </c>
      <c r="AO21" s="40">
        <f t="shared" si="22"/>
        <v>39.333333333333336</v>
      </c>
      <c r="AP21" s="36">
        <f>SUMIF(MatchScoutingData!$F$2:$F$1000, $A21, MatchScoutingData!Z$2:Z$1000)</f>
        <v>3</v>
      </c>
      <c r="AQ21" s="36">
        <f>SUMIF(MatchScoutingData!$F$2:$F$1000, $A21, MatchScoutingData!AA$2:AA$1000)</f>
        <v>0</v>
      </c>
      <c r="AR21" s="36">
        <f>SUMIF(MatchScoutingData!$F$2:$F$1000, $A21, MatchScoutingData!AB$2:AB$1000)</f>
        <v>2</v>
      </c>
      <c r="AS21" s="36">
        <f t="shared" si="23"/>
        <v>5</v>
      </c>
    </row>
    <row r="22" spans="1:45" ht="16" x14ac:dyDescent="0.2">
      <c r="A22" s="35">
        <v>2053</v>
      </c>
      <c r="B22" s="36">
        <f>COUNTIF(MatchScoutingData!F$2:F$1000, $A22)</f>
        <v>1</v>
      </c>
      <c r="C22" s="36">
        <f>SUMIF(MatchScoutingData!$F$2:$F$1000, $A22, MatchScoutingData!I$2:I$1000)</f>
        <v>0</v>
      </c>
      <c r="D22" s="36">
        <f>SUMIF(MatchScoutingData!$F$2:$F$1000, $A22, MatchScoutingData!J$2:J$1000)</f>
        <v>0</v>
      </c>
      <c r="E22" s="36">
        <f>SUMIF(MatchScoutingData!$F$2:$F$1000, $A22, MatchScoutingData!K$2:K$1000)</f>
        <v>0</v>
      </c>
      <c r="F22" s="36">
        <f>SUMIF(MatchScoutingData!$F$2:$F$1000, $A22, MatchScoutingData!L$2:L$1000)</f>
        <v>0</v>
      </c>
      <c r="G22" s="36">
        <f>SUMIF(MatchScoutingData!$F$2:$F$1000, $A22, MatchScoutingData!M$2:M$1000)</f>
        <v>0</v>
      </c>
      <c r="H22" s="36">
        <f>SUMIF(MatchScoutingData!$F$2:$F$1000, $A22, MatchScoutingData!N$2:N$1000)</f>
        <v>0</v>
      </c>
      <c r="I22" s="36">
        <f t="shared" si="0"/>
        <v>0</v>
      </c>
      <c r="J22" s="36">
        <f t="shared" si="1"/>
        <v>0</v>
      </c>
      <c r="K22" s="36">
        <f t="shared" si="2"/>
        <v>0</v>
      </c>
      <c r="L22" s="36">
        <f t="shared" si="3"/>
        <v>0</v>
      </c>
      <c r="M22" s="36">
        <f t="shared" si="4"/>
        <v>0</v>
      </c>
      <c r="N22" s="36">
        <f t="shared" si="5"/>
        <v>0</v>
      </c>
      <c r="O22" s="36">
        <f>SUMIF(MatchScoutingData!$F$2:$F$1000, $A22, MatchScoutingData!H$2:H$1000) * 3</f>
        <v>0</v>
      </c>
      <c r="P22" s="37">
        <f t="shared" si="6"/>
        <v>0</v>
      </c>
      <c r="Q22" s="37">
        <f t="shared" si="7"/>
        <v>0</v>
      </c>
      <c r="R22" s="36">
        <f>SUMIF(MatchScoutingData!$F$2:$F$1000, $A22, MatchScoutingData!P$2:P$1000)</f>
        <v>1</v>
      </c>
      <c r="S22" s="36">
        <f>SUMIF(MatchScoutingData!$F$2:$F$1000, $A22, MatchScoutingData!Q$2:Q$1000)</f>
        <v>2</v>
      </c>
      <c r="T22" s="36">
        <f>SUMIF(MatchScoutingData!$F$2:$F$1000, $A22, MatchScoutingData!R$2:R$1000)</f>
        <v>0</v>
      </c>
      <c r="U22" s="36">
        <f>SUMIF(MatchScoutingData!$F$2:$F$1000, $A22, MatchScoutingData!S$2:S$1000)</f>
        <v>0</v>
      </c>
      <c r="V22" s="36">
        <f>SUMIF(MatchScoutingData!$F$2:$F$1000, $A22, MatchScoutingData!T$2:T$1000)</f>
        <v>0</v>
      </c>
      <c r="W22" s="36">
        <f>SUMIF(MatchScoutingData!$F$2:$F$1000, $A22, MatchScoutingData!U$2:U$1000)</f>
        <v>0</v>
      </c>
      <c r="X22" s="36">
        <f t="shared" si="8"/>
        <v>5</v>
      </c>
      <c r="Y22" s="36">
        <f t="shared" si="9"/>
        <v>8</v>
      </c>
      <c r="Z22" s="36">
        <f t="shared" si="10"/>
        <v>0</v>
      </c>
      <c r="AA22" s="36">
        <f t="shared" si="11"/>
        <v>0</v>
      </c>
      <c r="AB22" s="36">
        <f t="shared" si="12"/>
        <v>0</v>
      </c>
      <c r="AC22" s="36">
        <f t="shared" si="13"/>
        <v>0</v>
      </c>
      <c r="AD22" s="38">
        <f t="shared" si="14"/>
        <v>13</v>
      </c>
      <c r="AE22" s="38">
        <f t="shared" si="15"/>
        <v>13</v>
      </c>
      <c r="AF22" s="36">
        <f>COUNTIFS(MatchScoutingData!$F$2:$F$1000, $A22, MatchScoutingData!$X$2:$X$1000, "p")</f>
        <v>0</v>
      </c>
      <c r="AG22" s="36">
        <f>COUNTIFS(MatchScoutingData!$F$2:$F$1000, $A22, MatchScoutingData!$X$2:$X$1000, "s")</f>
        <v>0</v>
      </c>
      <c r="AH22" s="36">
        <f>COUNTIFS(MatchScoutingData!$F$2:$F$1000, $A22, MatchScoutingData!$X$2:$X$1000, "d")</f>
        <v>0</v>
      </c>
      <c r="AI22" s="36">
        <f t="shared" si="16"/>
        <v>0</v>
      </c>
      <c r="AJ22" s="36">
        <f t="shared" si="17"/>
        <v>0</v>
      </c>
      <c r="AK22" s="36">
        <f t="shared" si="18"/>
        <v>0</v>
      </c>
      <c r="AL22" s="39">
        <f t="shared" si="19"/>
        <v>0</v>
      </c>
      <c r="AM22" s="39">
        <f t="shared" si="20"/>
        <v>0</v>
      </c>
      <c r="AN22" s="40">
        <f t="shared" si="21"/>
        <v>13</v>
      </c>
      <c r="AO22" s="40">
        <f t="shared" si="22"/>
        <v>13</v>
      </c>
      <c r="AP22" s="36">
        <f>SUMIF(MatchScoutingData!$F$2:$F$1000, $A22, MatchScoutingData!Z$2:Z$1000)</f>
        <v>0</v>
      </c>
      <c r="AQ22" s="36">
        <f>SUMIF(MatchScoutingData!$F$2:$F$1000, $A22, MatchScoutingData!AA$2:AA$1000)</f>
        <v>0</v>
      </c>
      <c r="AR22" s="36">
        <f>SUMIF(MatchScoutingData!$F$2:$F$1000, $A22, MatchScoutingData!AB$2:AB$1000)</f>
        <v>0</v>
      </c>
      <c r="AS22" s="36">
        <f t="shared" si="23"/>
        <v>0</v>
      </c>
    </row>
    <row r="23" spans="1:45" ht="16" x14ac:dyDescent="0.2">
      <c r="A23" s="35">
        <v>2601</v>
      </c>
      <c r="B23" s="36">
        <f>COUNTIF(MatchScoutingData!F$2:F$1000, $A23)</f>
        <v>2</v>
      </c>
      <c r="C23" s="36">
        <f>SUMIF(MatchScoutingData!$F$2:$F$1000, $A23, MatchScoutingData!I$2:I$1000)</f>
        <v>1</v>
      </c>
      <c r="D23" s="36">
        <f>SUMIF(MatchScoutingData!$F$2:$F$1000, $A23, MatchScoutingData!J$2:J$1000)</f>
        <v>0</v>
      </c>
      <c r="E23" s="36">
        <f>SUMIF(MatchScoutingData!$F$2:$F$1000, $A23, MatchScoutingData!K$2:K$1000)</f>
        <v>0</v>
      </c>
      <c r="F23" s="36">
        <f>SUMIF(MatchScoutingData!$F$2:$F$1000, $A23, MatchScoutingData!L$2:L$1000)</f>
        <v>0</v>
      </c>
      <c r="G23" s="36">
        <f>SUMIF(MatchScoutingData!$F$2:$F$1000, $A23, MatchScoutingData!M$2:M$1000)</f>
        <v>0</v>
      </c>
      <c r="H23" s="36">
        <f>SUMIF(MatchScoutingData!$F$2:$F$1000, $A23, MatchScoutingData!N$2:N$1000)</f>
        <v>0</v>
      </c>
      <c r="I23" s="36">
        <f t="shared" si="0"/>
        <v>7</v>
      </c>
      <c r="J23" s="36">
        <f t="shared" si="1"/>
        <v>0</v>
      </c>
      <c r="K23" s="36">
        <f t="shared" si="2"/>
        <v>0</v>
      </c>
      <c r="L23" s="36">
        <f t="shared" si="3"/>
        <v>0</v>
      </c>
      <c r="M23" s="36">
        <f t="shared" si="4"/>
        <v>0</v>
      </c>
      <c r="N23" s="36">
        <f t="shared" si="5"/>
        <v>0</v>
      </c>
      <c r="O23" s="36">
        <f>SUMIF(MatchScoutingData!$F$2:$F$1000, $A23, MatchScoutingData!H$2:H$1000) * 3</f>
        <v>6</v>
      </c>
      <c r="P23" s="37">
        <f t="shared" si="6"/>
        <v>13</v>
      </c>
      <c r="Q23" s="37">
        <f t="shared" si="7"/>
        <v>6.5</v>
      </c>
      <c r="R23" s="36">
        <f>SUMIF(MatchScoutingData!$F$2:$F$1000, $A23, MatchScoutingData!P$2:P$1000)</f>
        <v>10</v>
      </c>
      <c r="S23" s="36">
        <f>SUMIF(MatchScoutingData!$F$2:$F$1000, $A23, MatchScoutingData!Q$2:Q$1000)</f>
        <v>2</v>
      </c>
      <c r="T23" s="36">
        <f>SUMIF(MatchScoutingData!$F$2:$F$1000, $A23, MatchScoutingData!R$2:R$1000)</f>
        <v>1</v>
      </c>
      <c r="U23" s="36">
        <f>SUMIF(MatchScoutingData!$F$2:$F$1000, $A23, MatchScoutingData!S$2:S$1000)</f>
        <v>0</v>
      </c>
      <c r="V23" s="36">
        <f>SUMIF(MatchScoutingData!$F$2:$F$1000, $A23, MatchScoutingData!T$2:T$1000)</f>
        <v>0</v>
      </c>
      <c r="W23" s="36">
        <f>SUMIF(MatchScoutingData!$F$2:$F$1000, $A23, MatchScoutingData!U$2:U$1000)</f>
        <v>0</v>
      </c>
      <c r="X23" s="36">
        <f t="shared" si="8"/>
        <v>50</v>
      </c>
      <c r="Y23" s="36">
        <f t="shared" si="9"/>
        <v>8</v>
      </c>
      <c r="Z23" s="36">
        <f t="shared" si="10"/>
        <v>3</v>
      </c>
      <c r="AA23" s="36">
        <f t="shared" si="11"/>
        <v>0</v>
      </c>
      <c r="AB23" s="36">
        <f t="shared" si="12"/>
        <v>0</v>
      </c>
      <c r="AC23" s="36">
        <f t="shared" si="13"/>
        <v>0</v>
      </c>
      <c r="AD23" s="38">
        <f t="shared" si="14"/>
        <v>61</v>
      </c>
      <c r="AE23" s="38">
        <f t="shared" si="15"/>
        <v>30.5</v>
      </c>
      <c r="AF23" s="36">
        <f>COUNTIFS(MatchScoutingData!$F$2:$F$1000, $A23, MatchScoutingData!$X$2:$X$1000, "p")</f>
        <v>0</v>
      </c>
      <c r="AG23" s="36">
        <f>COUNTIFS(MatchScoutingData!$F$2:$F$1000, $A23, MatchScoutingData!$X$2:$X$1000, "s")</f>
        <v>0</v>
      </c>
      <c r="AH23" s="36">
        <f>COUNTIFS(MatchScoutingData!$F$2:$F$1000, $A23, MatchScoutingData!$X$2:$X$1000, "d")</f>
        <v>0</v>
      </c>
      <c r="AI23" s="36">
        <f t="shared" si="16"/>
        <v>0</v>
      </c>
      <c r="AJ23" s="36">
        <f t="shared" si="17"/>
        <v>0</v>
      </c>
      <c r="AK23" s="36">
        <f t="shared" si="18"/>
        <v>0</v>
      </c>
      <c r="AL23" s="39">
        <f t="shared" si="19"/>
        <v>0</v>
      </c>
      <c r="AM23" s="39">
        <f t="shared" si="20"/>
        <v>0</v>
      </c>
      <c r="AN23" s="40">
        <f t="shared" si="21"/>
        <v>74</v>
      </c>
      <c r="AO23" s="40">
        <f t="shared" si="22"/>
        <v>37</v>
      </c>
      <c r="AP23" s="36">
        <f>SUMIF(MatchScoutingData!$F$2:$F$1000, $A23, MatchScoutingData!Z$2:Z$1000)</f>
        <v>2</v>
      </c>
      <c r="AQ23" s="36">
        <f>SUMIF(MatchScoutingData!$F$2:$F$1000, $A23, MatchScoutingData!AA$2:AA$1000)</f>
        <v>0</v>
      </c>
      <c r="AR23" s="36">
        <f>SUMIF(MatchScoutingData!$F$2:$F$1000, $A23, MatchScoutingData!AB$2:AB$1000)</f>
        <v>2</v>
      </c>
      <c r="AS23" s="36">
        <f t="shared" si="23"/>
        <v>4</v>
      </c>
    </row>
    <row r="24" spans="1:45" ht="16" x14ac:dyDescent="0.2">
      <c r="A24" s="35">
        <v>2791</v>
      </c>
      <c r="B24" s="36">
        <f>COUNTIF(MatchScoutingData!F$2:F$1000, $A24)</f>
        <v>3</v>
      </c>
      <c r="C24" s="36">
        <f>SUMIF(MatchScoutingData!$F$2:$F$1000, $A24, MatchScoutingData!I$2:I$1000)</f>
        <v>2</v>
      </c>
      <c r="D24" s="36">
        <f>SUMIF(MatchScoutingData!$F$2:$F$1000, $A24, MatchScoutingData!J$2:J$1000)</f>
        <v>0</v>
      </c>
      <c r="E24" s="36">
        <f>SUMIF(MatchScoutingData!$F$2:$F$1000, $A24, MatchScoutingData!K$2:K$1000)</f>
        <v>0</v>
      </c>
      <c r="F24" s="36">
        <f>SUMIF(MatchScoutingData!$F$2:$F$1000, $A24, MatchScoutingData!L$2:L$1000)</f>
        <v>0</v>
      </c>
      <c r="G24" s="36">
        <f>SUMIF(MatchScoutingData!$F$2:$F$1000, $A24, MatchScoutingData!M$2:M$1000)</f>
        <v>0</v>
      </c>
      <c r="H24" s="36">
        <f>SUMIF(MatchScoutingData!$F$2:$F$1000, $A24, MatchScoutingData!N$2:N$1000)</f>
        <v>0</v>
      </c>
      <c r="I24" s="36">
        <f t="shared" si="0"/>
        <v>14</v>
      </c>
      <c r="J24" s="36">
        <f t="shared" si="1"/>
        <v>0</v>
      </c>
      <c r="K24" s="36">
        <f t="shared" si="2"/>
        <v>0</v>
      </c>
      <c r="L24" s="36">
        <f t="shared" si="3"/>
        <v>0</v>
      </c>
      <c r="M24" s="36">
        <f t="shared" si="4"/>
        <v>0</v>
      </c>
      <c r="N24" s="36">
        <f t="shared" si="5"/>
        <v>0</v>
      </c>
      <c r="O24" s="36">
        <f>SUMIF(MatchScoutingData!$F$2:$F$1000, $A24, MatchScoutingData!H$2:H$1000) * 3</f>
        <v>6</v>
      </c>
      <c r="P24" s="37">
        <f t="shared" si="6"/>
        <v>20</v>
      </c>
      <c r="Q24" s="37">
        <f t="shared" si="7"/>
        <v>6.666666666666667</v>
      </c>
      <c r="R24" s="36">
        <f>SUMIF(MatchScoutingData!$F$2:$F$1000, $A24, MatchScoutingData!P$2:P$1000)</f>
        <v>2</v>
      </c>
      <c r="S24" s="36">
        <f>SUMIF(MatchScoutingData!$F$2:$F$1000, $A24, MatchScoutingData!Q$2:Q$1000)</f>
        <v>1</v>
      </c>
      <c r="T24" s="36">
        <f>SUMIF(MatchScoutingData!$F$2:$F$1000, $A24, MatchScoutingData!R$2:R$1000)</f>
        <v>6</v>
      </c>
      <c r="U24" s="36">
        <f>SUMIF(MatchScoutingData!$F$2:$F$1000, $A24, MatchScoutingData!S$2:S$1000)</f>
        <v>0</v>
      </c>
      <c r="V24" s="36">
        <f>SUMIF(MatchScoutingData!$F$2:$F$1000, $A24, MatchScoutingData!T$2:T$1000)</f>
        <v>0</v>
      </c>
      <c r="W24" s="36">
        <f>SUMIF(MatchScoutingData!$F$2:$F$1000, $A24, MatchScoutingData!U$2:U$1000)</f>
        <v>0</v>
      </c>
      <c r="X24" s="36">
        <f t="shared" si="8"/>
        <v>10</v>
      </c>
      <c r="Y24" s="36">
        <f t="shared" si="9"/>
        <v>4</v>
      </c>
      <c r="Z24" s="36">
        <f t="shared" si="10"/>
        <v>18</v>
      </c>
      <c r="AA24" s="36">
        <f t="shared" si="11"/>
        <v>0</v>
      </c>
      <c r="AB24" s="36">
        <f t="shared" si="12"/>
        <v>0</v>
      </c>
      <c r="AC24" s="36">
        <f t="shared" si="13"/>
        <v>0</v>
      </c>
      <c r="AD24" s="38">
        <f t="shared" si="14"/>
        <v>32</v>
      </c>
      <c r="AE24" s="38">
        <f t="shared" si="15"/>
        <v>10.666666666666666</v>
      </c>
      <c r="AF24" s="36">
        <f>COUNTIFS(MatchScoutingData!$F$2:$F$1000, $A24, MatchScoutingData!$X$2:$X$1000, "p")</f>
        <v>2</v>
      </c>
      <c r="AG24" s="36">
        <f>COUNTIFS(MatchScoutingData!$F$2:$F$1000, $A24, MatchScoutingData!$X$2:$X$1000, "s")</f>
        <v>0</v>
      </c>
      <c r="AH24" s="36">
        <f>COUNTIFS(MatchScoutingData!$F$2:$F$1000, $A24, MatchScoutingData!$X$2:$X$1000, "d")</f>
        <v>0</v>
      </c>
      <c r="AI24" s="36">
        <f t="shared" si="16"/>
        <v>4</v>
      </c>
      <c r="AJ24" s="36">
        <f t="shared" si="17"/>
        <v>0</v>
      </c>
      <c r="AK24" s="36">
        <f t="shared" si="18"/>
        <v>0</v>
      </c>
      <c r="AL24" s="39">
        <f t="shared" si="19"/>
        <v>4</v>
      </c>
      <c r="AM24" s="39">
        <f t="shared" si="20"/>
        <v>1.3333333333333333</v>
      </c>
      <c r="AN24" s="40">
        <f t="shared" si="21"/>
        <v>56</v>
      </c>
      <c r="AO24" s="40">
        <f t="shared" si="22"/>
        <v>18.666666666666668</v>
      </c>
      <c r="AP24" s="36">
        <f>SUMIF(MatchScoutingData!$F$2:$F$1000, $A24, MatchScoutingData!Z$2:Z$1000)</f>
        <v>1</v>
      </c>
      <c r="AQ24" s="36">
        <f>SUMIF(MatchScoutingData!$F$2:$F$1000, $A24, MatchScoutingData!AA$2:AA$1000)</f>
        <v>1</v>
      </c>
      <c r="AR24" s="36">
        <f>SUMIF(MatchScoutingData!$F$2:$F$1000, $A24, MatchScoutingData!AB$2:AB$1000)</f>
        <v>1</v>
      </c>
      <c r="AS24" s="36">
        <f t="shared" si="23"/>
        <v>3</v>
      </c>
    </row>
    <row r="25" spans="1:45" ht="16" x14ac:dyDescent="0.2">
      <c r="A25" s="35">
        <v>2869</v>
      </c>
      <c r="B25" s="36">
        <f>COUNTIF(MatchScoutingData!F$2:F$1000, $A25)</f>
        <v>1</v>
      </c>
      <c r="C25" s="36">
        <f>SUMIF(MatchScoutingData!$F$2:$F$1000, $A25, MatchScoutingData!I$2:I$1000)</f>
        <v>1</v>
      </c>
      <c r="D25" s="36">
        <f>SUMIF(MatchScoutingData!$F$2:$F$1000, $A25, MatchScoutingData!J$2:J$1000)</f>
        <v>0</v>
      </c>
      <c r="E25" s="36">
        <f>SUMIF(MatchScoutingData!$F$2:$F$1000, $A25, MatchScoutingData!K$2:K$1000)</f>
        <v>0</v>
      </c>
      <c r="F25" s="36">
        <f>SUMIF(MatchScoutingData!$F$2:$F$1000, $A25, MatchScoutingData!L$2:L$1000)</f>
        <v>0</v>
      </c>
      <c r="G25" s="36">
        <f>SUMIF(MatchScoutingData!$F$2:$F$1000, $A25, MatchScoutingData!M$2:M$1000)</f>
        <v>0</v>
      </c>
      <c r="H25" s="36">
        <f>SUMIF(MatchScoutingData!$F$2:$F$1000, $A25, MatchScoutingData!N$2:N$1000)</f>
        <v>0</v>
      </c>
      <c r="I25" s="36">
        <f t="shared" si="0"/>
        <v>7</v>
      </c>
      <c r="J25" s="36">
        <f t="shared" si="1"/>
        <v>0</v>
      </c>
      <c r="K25" s="36">
        <f t="shared" si="2"/>
        <v>0</v>
      </c>
      <c r="L25" s="36">
        <f t="shared" si="3"/>
        <v>0</v>
      </c>
      <c r="M25" s="36">
        <f t="shared" si="4"/>
        <v>0</v>
      </c>
      <c r="N25" s="36">
        <f t="shared" si="5"/>
        <v>0</v>
      </c>
      <c r="O25" s="36">
        <f>SUMIF(MatchScoutingData!$F$2:$F$1000, $A25, MatchScoutingData!H$2:H$1000) * 3</f>
        <v>3</v>
      </c>
      <c r="P25" s="37">
        <f t="shared" si="6"/>
        <v>10</v>
      </c>
      <c r="Q25" s="37">
        <f t="shared" si="7"/>
        <v>10</v>
      </c>
      <c r="R25" s="36">
        <f>SUMIF(MatchScoutingData!$F$2:$F$1000, $A25, MatchScoutingData!P$2:P$1000)</f>
        <v>3</v>
      </c>
      <c r="S25" s="36">
        <f>SUMIF(MatchScoutingData!$F$2:$F$1000, $A25, MatchScoutingData!Q$2:Q$1000)</f>
        <v>0</v>
      </c>
      <c r="T25" s="36">
        <f>SUMIF(MatchScoutingData!$F$2:$F$1000, $A25, MatchScoutingData!R$2:R$1000)</f>
        <v>1</v>
      </c>
      <c r="U25" s="36">
        <f>SUMIF(MatchScoutingData!$F$2:$F$1000, $A25, MatchScoutingData!S$2:S$1000)</f>
        <v>0</v>
      </c>
      <c r="V25" s="36">
        <f>SUMIF(MatchScoutingData!$F$2:$F$1000, $A25, MatchScoutingData!T$2:T$1000)</f>
        <v>0</v>
      </c>
      <c r="W25" s="36">
        <f>SUMIF(MatchScoutingData!$F$2:$F$1000, $A25, MatchScoutingData!U$2:U$1000)</f>
        <v>0</v>
      </c>
      <c r="X25" s="36">
        <f t="shared" si="8"/>
        <v>15</v>
      </c>
      <c r="Y25" s="36">
        <f t="shared" si="9"/>
        <v>0</v>
      </c>
      <c r="Z25" s="36">
        <f t="shared" si="10"/>
        <v>3</v>
      </c>
      <c r="AA25" s="36">
        <f t="shared" si="11"/>
        <v>0</v>
      </c>
      <c r="AB25" s="36">
        <f t="shared" si="12"/>
        <v>0</v>
      </c>
      <c r="AC25" s="36">
        <f t="shared" si="13"/>
        <v>0</v>
      </c>
      <c r="AD25" s="38">
        <f t="shared" si="14"/>
        <v>18</v>
      </c>
      <c r="AE25" s="38">
        <f t="shared" si="15"/>
        <v>18</v>
      </c>
      <c r="AF25" s="36">
        <f>COUNTIFS(MatchScoutingData!$F$2:$F$1000, $A25, MatchScoutingData!$X$2:$X$1000, "p")</f>
        <v>0</v>
      </c>
      <c r="AG25" s="36">
        <f>COUNTIFS(MatchScoutingData!$F$2:$F$1000, $A25, MatchScoutingData!$X$2:$X$1000, "s")</f>
        <v>0</v>
      </c>
      <c r="AH25" s="36">
        <f>COUNTIFS(MatchScoutingData!$F$2:$F$1000, $A25, MatchScoutingData!$X$2:$X$1000, "d")</f>
        <v>1</v>
      </c>
      <c r="AI25" s="36">
        <f t="shared" si="16"/>
        <v>0</v>
      </c>
      <c r="AJ25" s="36">
        <f t="shared" si="17"/>
        <v>0</v>
      </c>
      <c r="AK25" s="36">
        <f t="shared" si="18"/>
        <v>12</v>
      </c>
      <c r="AL25" s="39">
        <f t="shared" si="19"/>
        <v>12</v>
      </c>
      <c r="AM25" s="39">
        <f t="shared" si="20"/>
        <v>12</v>
      </c>
      <c r="AN25" s="40">
        <f t="shared" si="21"/>
        <v>40</v>
      </c>
      <c r="AO25" s="40">
        <f t="shared" si="22"/>
        <v>40</v>
      </c>
      <c r="AP25" s="36">
        <f>SUMIF(MatchScoutingData!$F$2:$F$1000, $A25, MatchScoutingData!Z$2:Z$1000)</f>
        <v>1</v>
      </c>
      <c r="AQ25" s="36">
        <f>SUMIF(MatchScoutingData!$F$2:$F$1000, $A25, MatchScoutingData!AA$2:AA$1000)</f>
        <v>0</v>
      </c>
      <c r="AR25" s="36">
        <f>SUMIF(MatchScoutingData!$F$2:$F$1000, $A25, MatchScoutingData!AB$2:AB$1000)</f>
        <v>1</v>
      </c>
      <c r="AS25" s="36">
        <f t="shared" si="23"/>
        <v>2</v>
      </c>
    </row>
    <row r="26" spans="1:45" ht="16" x14ac:dyDescent="0.2">
      <c r="A26" s="35">
        <v>2875</v>
      </c>
      <c r="B26" s="36">
        <f>COUNTIF(MatchScoutingData!F$2:F$1000, $A26)</f>
        <v>3</v>
      </c>
      <c r="C26" s="36">
        <f>SUMIF(MatchScoutingData!$F$2:$F$1000, $A26, MatchScoutingData!I$2:I$1000)</f>
        <v>5</v>
      </c>
      <c r="D26" s="36">
        <f>SUMIF(MatchScoutingData!$F$2:$F$1000, $A26, MatchScoutingData!J$2:J$1000)</f>
        <v>0</v>
      </c>
      <c r="E26" s="36">
        <f>SUMIF(MatchScoutingData!$F$2:$F$1000, $A26, MatchScoutingData!K$2:K$1000)</f>
        <v>0</v>
      </c>
      <c r="F26" s="36">
        <f>SUMIF(MatchScoutingData!$F$2:$F$1000, $A26, MatchScoutingData!L$2:L$1000)</f>
        <v>0</v>
      </c>
      <c r="G26" s="36">
        <f>SUMIF(MatchScoutingData!$F$2:$F$1000, $A26, MatchScoutingData!M$2:M$1000)</f>
        <v>0</v>
      </c>
      <c r="H26" s="36">
        <f>SUMIF(MatchScoutingData!$F$2:$F$1000, $A26, MatchScoutingData!N$2:N$1000)</f>
        <v>0</v>
      </c>
      <c r="I26" s="36">
        <f t="shared" si="0"/>
        <v>35</v>
      </c>
      <c r="J26" s="36">
        <f t="shared" si="1"/>
        <v>0</v>
      </c>
      <c r="K26" s="36">
        <f t="shared" si="2"/>
        <v>0</v>
      </c>
      <c r="L26" s="36">
        <f t="shared" si="3"/>
        <v>0</v>
      </c>
      <c r="M26" s="36">
        <f t="shared" si="4"/>
        <v>0</v>
      </c>
      <c r="N26" s="36">
        <f t="shared" si="5"/>
        <v>0</v>
      </c>
      <c r="O26" s="36">
        <f>SUMIF(MatchScoutingData!$F$2:$F$1000, $A26, MatchScoutingData!H$2:H$1000) * 3</f>
        <v>6</v>
      </c>
      <c r="P26" s="37">
        <f t="shared" si="6"/>
        <v>41</v>
      </c>
      <c r="Q26" s="37">
        <f t="shared" si="7"/>
        <v>13.666666666666666</v>
      </c>
      <c r="R26" s="36">
        <f>SUMIF(MatchScoutingData!$F$2:$F$1000, $A26, MatchScoutingData!P$2:P$1000)</f>
        <v>10</v>
      </c>
      <c r="S26" s="36">
        <f>SUMIF(MatchScoutingData!$F$2:$F$1000, $A26, MatchScoutingData!Q$2:Q$1000)</f>
        <v>4</v>
      </c>
      <c r="T26" s="36">
        <f>SUMIF(MatchScoutingData!$F$2:$F$1000, $A26, MatchScoutingData!R$2:R$1000)</f>
        <v>3</v>
      </c>
      <c r="U26" s="36">
        <f>SUMIF(MatchScoutingData!$F$2:$F$1000, $A26, MatchScoutingData!S$2:S$1000)</f>
        <v>0</v>
      </c>
      <c r="V26" s="36">
        <f>SUMIF(MatchScoutingData!$F$2:$F$1000, $A26, MatchScoutingData!T$2:T$1000)</f>
        <v>2</v>
      </c>
      <c r="W26" s="36">
        <f>SUMIF(MatchScoutingData!$F$2:$F$1000, $A26, MatchScoutingData!U$2:U$1000)</f>
        <v>2</v>
      </c>
      <c r="X26" s="36">
        <f t="shared" si="8"/>
        <v>50</v>
      </c>
      <c r="Y26" s="36">
        <f t="shared" si="9"/>
        <v>16</v>
      </c>
      <c r="Z26" s="36">
        <f t="shared" si="10"/>
        <v>9</v>
      </c>
      <c r="AA26" s="36">
        <f t="shared" si="11"/>
        <v>0</v>
      </c>
      <c r="AB26" s="36">
        <f t="shared" si="12"/>
        <v>12</v>
      </c>
      <c r="AC26" s="36">
        <f t="shared" si="13"/>
        <v>8</v>
      </c>
      <c r="AD26" s="38">
        <f t="shared" si="14"/>
        <v>95</v>
      </c>
      <c r="AE26" s="38">
        <f t="shared" si="15"/>
        <v>31.666666666666668</v>
      </c>
      <c r="AF26" s="36">
        <f>COUNTIFS(MatchScoutingData!$F$2:$F$1000, $A26, MatchScoutingData!$X$2:$X$1000, "p")</f>
        <v>2</v>
      </c>
      <c r="AG26" s="36">
        <f>COUNTIFS(MatchScoutingData!$F$2:$F$1000, $A26, MatchScoutingData!$X$2:$X$1000, "s")</f>
        <v>0</v>
      </c>
      <c r="AH26" s="36">
        <f>COUNTIFS(MatchScoutingData!$F$2:$F$1000, $A26, MatchScoutingData!$X$2:$X$1000, "d")</f>
        <v>0</v>
      </c>
      <c r="AI26" s="36">
        <f t="shared" si="16"/>
        <v>4</v>
      </c>
      <c r="AJ26" s="36">
        <f t="shared" si="17"/>
        <v>0</v>
      </c>
      <c r="AK26" s="36">
        <f t="shared" si="18"/>
        <v>0</v>
      </c>
      <c r="AL26" s="39">
        <f t="shared" si="19"/>
        <v>4</v>
      </c>
      <c r="AM26" s="39">
        <f t="shared" si="20"/>
        <v>1.3333333333333333</v>
      </c>
      <c r="AN26" s="40">
        <f t="shared" si="21"/>
        <v>140</v>
      </c>
      <c r="AO26" s="40">
        <f t="shared" si="22"/>
        <v>46.666666666666664</v>
      </c>
      <c r="AP26" s="36">
        <f>SUMIF(MatchScoutingData!$F$2:$F$1000, $A26, MatchScoutingData!Z$2:Z$1000)</f>
        <v>2</v>
      </c>
      <c r="AQ26" s="36">
        <f>SUMIF(MatchScoutingData!$F$2:$F$1000, $A26, MatchScoutingData!AA$2:AA$1000)</f>
        <v>2</v>
      </c>
      <c r="AR26" s="36">
        <f>SUMIF(MatchScoutingData!$F$2:$F$1000, $A26, MatchScoutingData!AB$2:AB$1000)</f>
        <v>1</v>
      </c>
      <c r="AS26" s="36">
        <f t="shared" si="23"/>
        <v>5</v>
      </c>
    </row>
    <row r="27" spans="1:45" ht="16" x14ac:dyDescent="0.2">
      <c r="A27" s="35">
        <v>3003</v>
      </c>
      <c r="B27" s="36">
        <f>COUNTIF(MatchScoutingData!F$2:F$1000, $A27)</f>
        <v>2</v>
      </c>
      <c r="C27" s="36">
        <f>SUMIF(MatchScoutingData!$F$2:$F$1000, $A27, MatchScoutingData!I$2:I$1000)</f>
        <v>2</v>
      </c>
      <c r="D27" s="36">
        <f>SUMIF(MatchScoutingData!$F$2:$F$1000, $A27, MatchScoutingData!J$2:J$1000)</f>
        <v>0</v>
      </c>
      <c r="E27" s="36">
        <f>SUMIF(MatchScoutingData!$F$2:$F$1000, $A27, MatchScoutingData!K$2:K$1000)</f>
        <v>0</v>
      </c>
      <c r="F27" s="36">
        <f>SUMIF(MatchScoutingData!$F$2:$F$1000, $A27, MatchScoutingData!L$2:L$1000)</f>
        <v>0</v>
      </c>
      <c r="G27" s="36">
        <f>SUMIF(MatchScoutingData!$F$2:$F$1000, $A27, MatchScoutingData!M$2:M$1000)</f>
        <v>0</v>
      </c>
      <c r="H27" s="36">
        <f>SUMIF(MatchScoutingData!$F$2:$F$1000, $A27, MatchScoutingData!N$2:N$1000)</f>
        <v>0</v>
      </c>
      <c r="I27" s="36">
        <f t="shared" si="0"/>
        <v>14</v>
      </c>
      <c r="J27" s="36">
        <f t="shared" si="1"/>
        <v>0</v>
      </c>
      <c r="K27" s="36">
        <f t="shared" si="2"/>
        <v>0</v>
      </c>
      <c r="L27" s="36">
        <f t="shared" si="3"/>
        <v>0</v>
      </c>
      <c r="M27" s="36">
        <f t="shared" si="4"/>
        <v>0</v>
      </c>
      <c r="N27" s="36">
        <f t="shared" si="5"/>
        <v>0</v>
      </c>
      <c r="O27" s="36">
        <f>SUMIF(MatchScoutingData!$F$2:$F$1000, $A27, MatchScoutingData!H$2:H$1000) * 3</f>
        <v>6</v>
      </c>
      <c r="P27" s="37">
        <f t="shared" si="6"/>
        <v>20</v>
      </c>
      <c r="Q27" s="37">
        <f t="shared" si="7"/>
        <v>10</v>
      </c>
      <c r="R27" s="36">
        <f>SUMIF(MatchScoutingData!$F$2:$F$1000, $A27, MatchScoutingData!P$2:P$1000)</f>
        <v>10</v>
      </c>
      <c r="S27" s="36">
        <f>SUMIF(MatchScoutingData!$F$2:$F$1000, $A27, MatchScoutingData!Q$2:Q$1000)</f>
        <v>3</v>
      </c>
      <c r="T27" s="36">
        <f>SUMIF(MatchScoutingData!$F$2:$F$1000, $A27, MatchScoutingData!R$2:R$1000)</f>
        <v>0</v>
      </c>
      <c r="U27" s="36">
        <f>SUMIF(MatchScoutingData!$F$2:$F$1000, $A27, MatchScoutingData!S$2:S$1000)</f>
        <v>0</v>
      </c>
      <c r="V27" s="36">
        <f>SUMIF(MatchScoutingData!$F$2:$F$1000, $A27, MatchScoutingData!T$2:T$1000)</f>
        <v>0</v>
      </c>
      <c r="W27" s="36">
        <f>SUMIF(MatchScoutingData!$F$2:$F$1000, $A27, MatchScoutingData!U$2:U$1000)</f>
        <v>0</v>
      </c>
      <c r="X27" s="36">
        <f t="shared" si="8"/>
        <v>50</v>
      </c>
      <c r="Y27" s="36">
        <f t="shared" si="9"/>
        <v>12</v>
      </c>
      <c r="Z27" s="36">
        <f t="shared" si="10"/>
        <v>0</v>
      </c>
      <c r="AA27" s="36">
        <f t="shared" si="11"/>
        <v>0</v>
      </c>
      <c r="AB27" s="36">
        <f t="shared" si="12"/>
        <v>0</v>
      </c>
      <c r="AC27" s="36">
        <f t="shared" si="13"/>
        <v>0</v>
      </c>
      <c r="AD27" s="38">
        <f t="shared" si="14"/>
        <v>62</v>
      </c>
      <c r="AE27" s="38">
        <f t="shared" si="15"/>
        <v>31</v>
      </c>
      <c r="AF27" s="36">
        <f>COUNTIFS(MatchScoutingData!$F$2:$F$1000, $A27, MatchScoutingData!$X$2:$X$1000, "p")</f>
        <v>1</v>
      </c>
      <c r="AG27" s="36">
        <f>COUNTIFS(MatchScoutingData!$F$2:$F$1000, $A27, MatchScoutingData!$X$2:$X$1000, "s")</f>
        <v>0</v>
      </c>
      <c r="AH27" s="36">
        <f>COUNTIFS(MatchScoutingData!$F$2:$F$1000, $A27, MatchScoutingData!$X$2:$X$1000, "d")</f>
        <v>1</v>
      </c>
      <c r="AI27" s="36">
        <f t="shared" si="16"/>
        <v>2</v>
      </c>
      <c r="AJ27" s="36">
        <f t="shared" si="17"/>
        <v>0</v>
      </c>
      <c r="AK27" s="36">
        <f t="shared" si="18"/>
        <v>12</v>
      </c>
      <c r="AL27" s="39">
        <f t="shared" si="19"/>
        <v>14</v>
      </c>
      <c r="AM27" s="39">
        <f t="shared" si="20"/>
        <v>7</v>
      </c>
      <c r="AN27" s="40">
        <f t="shared" si="21"/>
        <v>96</v>
      </c>
      <c r="AO27" s="40">
        <f t="shared" si="22"/>
        <v>48</v>
      </c>
      <c r="AP27" s="36">
        <f>SUMIF(MatchScoutingData!$F$2:$F$1000, $A27, MatchScoutingData!Z$2:Z$1000)</f>
        <v>2</v>
      </c>
      <c r="AQ27" s="36">
        <f>SUMIF(MatchScoutingData!$F$2:$F$1000, $A27, MatchScoutingData!AA$2:AA$1000)</f>
        <v>0</v>
      </c>
      <c r="AR27" s="36">
        <f>SUMIF(MatchScoutingData!$F$2:$F$1000, $A27, MatchScoutingData!AB$2:AB$1000)</f>
        <v>1</v>
      </c>
      <c r="AS27" s="36">
        <f t="shared" si="23"/>
        <v>3</v>
      </c>
    </row>
    <row r="28" spans="1:45" ht="16" x14ac:dyDescent="0.2">
      <c r="A28" s="35">
        <v>3044</v>
      </c>
      <c r="B28" s="36">
        <f>COUNTIF(MatchScoutingData!F$2:F$1000, $A28)</f>
        <v>3</v>
      </c>
      <c r="C28" s="36">
        <f>SUMIF(MatchScoutingData!$F$2:$F$1000, $A28, MatchScoutingData!I$2:I$1000)</f>
        <v>3</v>
      </c>
      <c r="D28" s="36">
        <f>SUMIF(MatchScoutingData!$F$2:$F$1000, $A28, MatchScoutingData!J$2:J$1000)</f>
        <v>0</v>
      </c>
      <c r="E28" s="36">
        <f>SUMIF(MatchScoutingData!$F$2:$F$1000, $A28, MatchScoutingData!K$2:K$1000)</f>
        <v>0</v>
      </c>
      <c r="F28" s="36">
        <f>SUMIF(MatchScoutingData!$F$2:$F$1000, $A28, MatchScoutingData!L$2:L$1000)</f>
        <v>0</v>
      </c>
      <c r="G28" s="36">
        <f>SUMIF(MatchScoutingData!$F$2:$F$1000, $A28, MatchScoutingData!M$2:M$1000)</f>
        <v>0</v>
      </c>
      <c r="H28" s="36">
        <f>SUMIF(MatchScoutingData!$F$2:$F$1000, $A28, MatchScoutingData!N$2:N$1000)</f>
        <v>0</v>
      </c>
      <c r="I28" s="36">
        <f t="shared" si="0"/>
        <v>21</v>
      </c>
      <c r="J28" s="36">
        <f t="shared" si="1"/>
        <v>0</v>
      </c>
      <c r="K28" s="36">
        <f t="shared" si="2"/>
        <v>0</v>
      </c>
      <c r="L28" s="36">
        <f t="shared" si="3"/>
        <v>0</v>
      </c>
      <c r="M28" s="36">
        <f t="shared" si="4"/>
        <v>0</v>
      </c>
      <c r="N28" s="36">
        <f t="shared" si="5"/>
        <v>0</v>
      </c>
      <c r="O28" s="36">
        <f>SUMIF(MatchScoutingData!$F$2:$F$1000, $A28, MatchScoutingData!H$2:H$1000) * 3</f>
        <v>9</v>
      </c>
      <c r="P28" s="37">
        <f t="shared" si="6"/>
        <v>30</v>
      </c>
      <c r="Q28" s="37">
        <f t="shared" si="7"/>
        <v>10</v>
      </c>
      <c r="R28" s="36">
        <f>SUMIF(MatchScoutingData!$F$2:$F$1000, $A28, MatchScoutingData!P$2:P$1000)</f>
        <v>10</v>
      </c>
      <c r="S28" s="36">
        <f>SUMIF(MatchScoutingData!$F$2:$F$1000, $A28, MatchScoutingData!Q$2:Q$1000)</f>
        <v>6</v>
      </c>
      <c r="T28" s="36">
        <f>SUMIF(MatchScoutingData!$F$2:$F$1000, $A28, MatchScoutingData!R$2:R$1000)</f>
        <v>0</v>
      </c>
      <c r="U28" s="36">
        <f>SUMIF(MatchScoutingData!$F$2:$F$1000, $A28, MatchScoutingData!S$2:S$1000)</f>
        <v>0</v>
      </c>
      <c r="V28" s="36">
        <f>SUMIF(MatchScoutingData!$F$2:$F$1000, $A28, MatchScoutingData!T$2:T$1000)</f>
        <v>0</v>
      </c>
      <c r="W28" s="36">
        <f>SUMIF(MatchScoutingData!$F$2:$F$1000, $A28, MatchScoutingData!U$2:U$1000)</f>
        <v>0</v>
      </c>
      <c r="X28" s="36">
        <f t="shared" si="8"/>
        <v>50</v>
      </c>
      <c r="Y28" s="36">
        <f t="shared" si="9"/>
        <v>24</v>
      </c>
      <c r="Z28" s="36">
        <f t="shared" si="10"/>
        <v>0</v>
      </c>
      <c r="AA28" s="36">
        <f t="shared" si="11"/>
        <v>0</v>
      </c>
      <c r="AB28" s="36">
        <f t="shared" si="12"/>
        <v>0</v>
      </c>
      <c r="AC28" s="36">
        <f t="shared" si="13"/>
        <v>0</v>
      </c>
      <c r="AD28" s="38">
        <f t="shared" si="14"/>
        <v>74</v>
      </c>
      <c r="AE28" s="38">
        <f t="shared" si="15"/>
        <v>24.666666666666668</v>
      </c>
      <c r="AF28" s="36">
        <f>COUNTIFS(MatchScoutingData!$F$2:$F$1000, $A28, MatchScoutingData!$X$2:$X$1000, "p")</f>
        <v>1</v>
      </c>
      <c r="AG28" s="36">
        <f>COUNTIFS(MatchScoutingData!$F$2:$F$1000, $A28, MatchScoutingData!$X$2:$X$1000, "s")</f>
        <v>0</v>
      </c>
      <c r="AH28" s="36">
        <f>COUNTIFS(MatchScoutingData!$F$2:$F$1000, $A28, MatchScoutingData!$X$2:$X$1000, "d")</f>
        <v>1</v>
      </c>
      <c r="AI28" s="36">
        <f t="shared" si="16"/>
        <v>2</v>
      </c>
      <c r="AJ28" s="36">
        <f t="shared" si="17"/>
        <v>0</v>
      </c>
      <c r="AK28" s="36">
        <f t="shared" si="18"/>
        <v>12</v>
      </c>
      <c r="AL28" s="39">
        <f t="shared" si="19"/>
        <v>14</v>
      </c>
      <c r="AM28" s="39">
        <f t="shared" si="20"/>
        <v>4.666666666666667</v>
      </c>
      <c r="AN28" s="40">
        <f t="shared" si="21"/>
        <v>118</v>
      </c>
      <c r="AO28" s="40">
        <f t="shared" si="22"/>
        <v>39.333333333333336</v>
      </c>
      <c r="AP28" s="36">
        <f>SUMIF(MatchScoutingData!$F$2:$F$1000, $A28, MatchScoutingData!Z$2:Z$1000)</f>
        <v>2</v>
      </c>
      <c r="AQ28" s="36">
        <f>SUMIF(MatchScoutingData!$F$2:$F$1000, $A28, MatchScoutingData!AA$2:AA$1000)</f>
        <v>2</v>
      </c>
      <c r="AR28" s="36">
        <f>SUMIF(MatchScoutingData!$F$2:$F$1000, $A28, MatchScoutingData!AB$2:AB$1000)</f>
        <v>2</v>
      </c>
      <c r="AS28" s="36">
        <f t="shared" si="23"/>
        <v>6</v>
      </c>
    </row>
    <row r="29" spans="1:45" ht="16" x14ac:dyDescent="0.2">
      <c r="A29" s="35">
        <v>3117</v>
      </c>
      <c r="B29" s="36">
        <f>COUNTIF(MatchScoutingData!F$2:F$1000, $A29)</f>
        <v>3</v>
      </c>
      <c r="C29" s="36">
        <f>SUMIF(MatchScoutingData!$F$2:$F$1000, $A29, MatchScoutingData!I$2:I$1000)</f>
        <v>0</v>
      </c>
      <c r="D29" s="36">
        <f>SUMIF(MatchScoutingData!$F$2:$F$1000, $A29, MatchScoutingData!J$2:J$1000)</f>
        <v>0</v>
      </c>
      <c r="E29" s="36">
        <f>SUMIF(MatchScoutingData!$F$2:$F$1000, $A29, MatchScoutingData!K$2:K$1000)</f>
        <v>1</v>
      </c>
      <c r="F29" s="36">
        <f>SUMIF(MatchScoutingData!$F$2:$F$1000, $A29, MatchScoutingData!L$2:L$1000)</f>
        <v>0</v>
      </c>
      <c r="G29" s="36">
        <f>SUMIF(MatchScoutingData!$F$2:$F$1000, $A29, MatchScoutingData!M$2:M$1000)</f>
        <v>0</v>
      </c>
      <c r="H29" s="36">
        <f>SUMIF(MatchScoutingData!$F$2:$F$1000, $A29, MatchScoutingData!N$2:N$1000)</f>
        <v>0</v>
      </c>
      <c r="I29" s="36">
        <f t="shared" si="0"/>
        <v>0</v>
      </c>
      <c r="J29" s="36">
        <f t="shared" si="1"/>
        <v>0</v>
      </c>
      <c r="K29" s="36">
        <f t="shared" si="2"/>
        <v>4</v>
      </c>
      <c r="L29" s="36">
        <f t="shared" si="3"/>
        <v>0</v>
      </c>
      <c r="M29" s="36">
        <f t="shared" si="4"/>
        <v>0</v>
      </c>
      <c r="N29" s="36">
        <f t="shared" si="5"/>
        <v>0</v>
      </c>
      <c r="O29" s="36">
        <f>SUMIF(MatchScoutingData!$F$2:$F$1000, $A29, MatchScoutingData!H$2:H$1000) * 3</f>
        <v>9</v>
      </c>
      <c r="P29" s="37">
        <f t="shared" si="6"/>
        <v>13</v>
      </c>
      <c r="Q29" s="37">
        <f t="shared" si="7"/>
        <v>4.333333333333333</v>
      </c>
      <c r="R29" s="36">
        <f>SUMIF(MatchScoutingData!$F$2:$F$1000, $A29, MatchScoutingData!P$2:P$1000)</f>
        <v>16</v>
      </c>
      <c r="S29" s="36">
        <f>SUMIF(MatchScoutingData!$F$2:$F$1000, $A29, MatchScoutingData!Q$2:Q$1000)</f>
        <v>1</v>
      </c>
      <c r="T29" s="36">
        <f>SUMIF(MatchScoutingData!$F$2:$F$1000, $A29, MatchScoutingData!R$2:R$1000)</f>
        <v>4</v>
      </c>
      <c r="U29" s="36">
        <f>SUMIF(MatchScoutingData!$F$2:$F$1000, $A29, MatchScoutingData!S$2:S$1000)</f>
        <v>0</v>
      </c>
      <c r="V29" s="36">
        <f>SUMIF(MatchScoutingData!$F$2:$F$1000, $A29, MatchScoutingData!T$2:T$1000)</f>
        <v>0</v>
      </c>
      <c r="W29" s="36">
        <f>SUMIF(MatchScoutingData!$F$2:$F$1000, $A29, MatchScoutingData!U$2:U$1000)</f>
        <v>0</v>
      </c>
      <c r="X29" s="36">
        <f t="shared" si="8"/>
        <v>80</v>
      </c>
      <c r="Y29" s="36">
        <f t="shared" si="9"/>
        <v>4</v>
      </c>
      <c r="Z29" s="36">
        <f t="shared" si="10"/>
        <v>12</v>
      </c>
      <c r="AA29" s="36">
        <f t="shared" si="11"/>
        <v>0</v>
      </c>
      <c r="AB29" s="36">
        <f t="shared" si="12"/>
        <v>0</v>
      </c>
      <c r="AC29" s="36">
        <f t="shared" si="13"/>
        <v>0</v>
      </c>
      <c r="AD29" s="38">
        <f t="shared" si="14"/>
        <v>96</v>
      </c>
      <c r="AE29" s="38">
        <f t="shared" si="15"/>
        <v>32</v>
      </c>
      <c r="AF29" s="36">
        <f>COUNTIFS(MatchScoutingData!$F$2:$F$1000, $A29, MatchScoutingData!$X$2:$X$1000, "p")</f>
        <v>2</v>
      </c>
      <c r="AG29" s="36">
        <f>COUNTIFS(MatchScoutingData!$F$2:$F$1000, $A29, MatchScoutingData!$X$2:$X$1000, "s")</f>
        <v>0</v>
      </c>
      <c r="AH29" s="36">
        <f>COUNTIFS(MatchScoutingData!$F$2:$F$1000, $A29, MatchScoutingData!$X$2:$X$1000, "d")</f>
        <v>1</v>
      </c>
      <c r="AI29" s="36">
        <f t="shared" si="16"/>
        <v>4</v>
      </c>
      <c r="AJ29" s="36">
        <f t="shared" si="17"/>
        <v>0</v>
      </c>
      <c r="AK29" s="36">
        <f t="shared" si="18"/>
        <v>12</v>
      </c>
      <c r="AL29" s="39">
        <f t="shared" si="19"/>
        <v>16</v>
      </c>
      <c r="AM29" s="39">
        <f t="shared" si="20"/>
        <v>5.333333333333333</v>
      </c>
      <c r="AN29" s="40">
        <f t="shared" si="21"/>
        <v>125</v>
      </c>
      <c r="AO29" s="40">
        <f t="shared" si="22"/>
        <v>41.666666666666664</v>
      </c>
      <c r="AP29" s="36">
        <f>SUMIF(MatchScoutingData!$F$2:$F$1000, $A29, MatchScoutingData!Z$2:Z$1000)</f>
        <v>2</v>
      </c>
      <c r="AQ29" s="36">
        <f>SUMIF(MatchScoutingData!$F$2:$F$1000, $A29, MatchScoutingData!AA$2:AA$1000)</f>
        <v>1</v>
      </c>
      <c r="AR29" s="36">
        <f>SUMIF(MatchScoutingData!$F$2:$F$1000, $A29, MatchScoutingData!AB$2:AB$1000)</f>
        <v>1</v>
      </c>
      <c r="AS29" s="36">
        <f t="shared" si="23"/>
        <v>4</v>
      </c>
    </row>
    <row r="30" spans="1:45" ht="16" x14ac:dyDescent="0.2">
      <c r="A30" s="35">
        <v>3171</v>
      </c>
      <c r="B30" s="36">
        <f>COUNTIF(MatchScoutingData!F$2:F$1000, $A30)</f>
        <v>4</v>
      </c>
      <c r="C30" s="36">
        <f>SUMIF(MatchScoutingData!$F$2:$F$1000, $A30, MatchScoutingData!I$2:I$1000)</f>
        <v>1</v>
      </c>
      <c r="D30" s="36">
        <f>SUMIF(MatchScoutingData!$F$2:$F$1000, $A30, MatchScoutingData!J$2:J$1000)</f>
        <v>0</v>
      </c>
      <c r="E30" s="36">
        <f>SUMIF(MatchScoutingData!$F$2:$F$1000, $A30, MatchScoutingData!K$2:K$1000)</f>
        <v>0</v>
      </c>
      <c r="F30" s="36">
        <f>SUMIF(MatchScoutingData!$F$2:$F$1000, $A30, MatchScoutingData!L$2:L$1000)</f>
        <v>0</v>
      </c>
      <c r="G30" s="36">
        <f>SUMIF(MatchScoutingData!$F$2:$F$1000, $A30, MatchScoutingData!M$2:M$1000)</f>
        <v>0</v>
      </c>
      <c r="H30" s="36">
        <f>SUMIF(MatchScoutingData!$F$2:$F$1000, $A30, MatchScoutingData!N$2:N$1000)</f>
        <v>1</v>
      </c>
      <c r="I30" s="36">
        <f t="shared" si="0"/>
        <v>7</v>
      </c>
      <c r="J30" s="36">
        <f t="shared" si="1"/>
        <v>0</v>
      </c>
      <c r="K30" s="36">
        <f t="shared" si="2"/>
        <v>0</v>
      </c>
      <c r="L30" s="36">
        <f t="shared" si="3"/>
        <v>0</v>
      </c>
      <c r="M30" s="36">
        <f t="shared" si="4"/>
        <v>0</v>
      </c>
      <c r="N30" s="36">
        <f t="shared" si="5"/>
        <v>4</v>
      </c>
      <c r="O30" s="36">
        <f>SUMIF(MatchScoutingData!$F$2:$F$1000, $A30, MatchScoutingData!H$2:H$1000) * 3</f>
        <v>9</v>
      </c>
      <c r="P30" s="37">
        <f t="shared" si="6"/>
        <v>20</v>
      </c>
      <c r="Q30" s="37">
        <f t="shared" si="7"/>
        <v>5</v>
      </c>
      <c r="R30" s="36">
        <f>SUMIF(MatchScoutingData!$F$2:$F$1000, $A30, MatchScoutingData!P$2:P$1000)</f>
        <v>1</v>
      </c>
      <c r="S30" s="36">
        <f>SUMIF(MatchScoutingData!$F$2:$F$1000, $A30, MatchScoutingData!Q$2:Q$1000)</f>
        <v>0</v>
      </c>
      <c r="T30" s="36">
        <f>SUMIF(MatchScoutingData!$F$2:$F$1000, $A30, MatchScoutingData!R$2:R$1000)</f>
        <v>0</v>
      </c>
      <c r="U30" s="36">
        <f>SUMIF(MatchScoutingData!$F$2:$F$1000, $A30, MatchScoutingData!S$2:S$1000)</f>
        <v>4</v>
      </c>
      <c r="V30" s="36">
        <f>SUMIF(MatchScoutingData!$F$2:$F$1000, $A30, MatchScoutingData!T$2:T$1000)</f>
        <v>0</v>
      </c>
      <c r="W30" s="36">
        <f>SUMIF(MatchScoutingData!$F$2:$F$1000, $A30, MatchScoutingData!U$2:U$1000)</f>
        <v>0</v>
      </c>
      <c r="X30" s="36">
        <f t="shared" si="8"/>
        <v>5</v>
      </c>
      <c r="Y30" s="36">
        <f t="shared" si="9"/>
        <v>0</v>
      </c>
      <c r="Z30" s="36">
        <f t="shared" si="10"/>
        <v>0</v>
      </c>
      <c r="AA30" s="36">
        <f t="shared" si="11"/>
        <v>8</v>
      </c>
      <c r="AB30" s="36">
        <f t="shared" si="12"/>
        <v>0</v>
      </c>
      <c r="AC30" s="36">
        <f t="shared" si="13"/>
        <v>0</v>
      </c>
      <c r="AD30" s="38">
        <f t="shared" si="14"/>
        <v>13</v>
      </c>
      <c r="AE30" s="38">
        <f t="shared" si="15"/>
        <v>3.25</v>
      </c>
      <c r="AF30" s="36">
        <f>COUNTIFS(MatchScoutingData!$F$2:$F$1000, $A30, MatchScoutingData!$X$2:$X$1000, "p")</f>
        <v>2</v>
      </c>
      <c r="AG30" s="36">
        <f>COUNTIFS(MatchScoutingData!$F$2:$F$1000, $A30, MatchScoutingData!$X$2:$X$1000, "s")</f>
        <v>0</v>
      </c>
      <c r="AH30" s="36">
        <f>COUNTIFS(MatchScoutingData!$F$2:$F$1000, $A30, MatchScoutingData!$X$2:$X$1000, "d")</f>
        <v>1</v>
      </c>
      <c r="AI30" s="36">
        <f t="shared" si="16"/>
        <v>4</v>
      </c>
      <c r="AJ30" s="36">
        <f t="shared" si="17"/>
        <v>0</v>
      </c>
      <c r="AK30" s="36">
        <f t="shared" si="18"/>
        <v>12</v>
      </c>
      <c r="AL30" s="39">
        <f t="shared" si="19"/>
        <v>16</v>
      </c>
      <c r="AM30" s="39">
        <f t="shared" si="20"/>
        <v>4</v>
      </c>
      <c r="AN30" s="40">
        <f t="shared" si="21"/>
        <v>49</v>
      </c>
      <c r="AO30" s="40">
        <f t="shared" si="22"/>
        <v>12.25</v>
      </c>
      <c r="AP30" s="36">
        <f>SUMIF(MatchScoutingData!$F$2:$F$1000, $A30, MatchScoutingData!Z$2:Z$1000)</f>
        <v>2</v>
      </c>
      <c r="AQ30" s="36">
        <f>SUMIF(MatchScoutingData!$F$2:$F$1000, $A30, MatchScoutingData!AA$2:AA$1000)</f>
        <v>0</v>
      </c>
      <c r="AR30" s="36">
        <f>SUMIF(MatchScoutingData!$F$2:$F$1000, $A30, MatchScoutingData!AB$2:AB$1000)</f>
        <v>0</v>
      </c>
      <c r="AS30" s="36">
        <f t="shared" si="23"/>
        <v>2</v>
      </c>
    </row>
    <row r="31" spans="1:45" ht="16" x14ac:dyDescent="0.2">
      <c r="A31" s="35">
        <v>3173</v>
      </c>
      <c r="B31" s="36">
        <f>COUNTIF(MatchScoutingData!F$2:F$1000, $A31)</f>
        <v>5</v>
      </c>
      <c r="C31" s="36">
        <f>SUMIF(MatchScoutingData!$F$2:$F$1000, $A31, MatchScoutingData!I$2:I$1000)</f>
        <v>7</v>
      </c>
      <c r="D31" s="36">
        <f>SUMIF(MatchScoutingData!$F$2:$F$1000, $A31, MatchScoutingData!J$2:J$1000)</f>
        <v>0</v>
      </c>
      <c r="E31" s="36">
        <f>SUMIF(MatchScoutingData!$F$2:$F$1000, $A31, MatchScoutingData!K$2:K$1000)</f>
        <v>0</v>
      </c>
      <c r="F31" s="36">
        <f>SUMIF(MatchScoutingData!$F$2:$F$1000, $A31, MatchScoutingData!L$2:L$1000)</f>
        <v>0</v>
      </c>
      <c r="G31" s="36">
        <f>SUMIF(MatchScoutingData!$F$2:$F$1000, $A31, MatchScoutingData!M$2:M$1000)</f>
        <v>0</v>
      </c>
      <c r="H31" s="36">
        <f>SUMIF(MatchScoutingData!$F$2:$F$1000, $A31, MatchScoutingData!N$2:N$1000)</f>
        <v>1</v>
      </c>
      <c r="I31" s="36">
        <f t="shared" si="0"/>
        <v>49</v>
      </c>
      <c r="J31" s="36">
        <f t="shared" si="1"/>
        <v>0</v>
      </c>
      <c r="K31" s="36">
        <f t="shared" si="2"/>
        <v>0</v>
      </c>
      <c r="L31" s="36">
        <f t="shared" si="3"/>
        <v>0</v>
      </c>
      <c r="M31" s="36">
        <f t="shared" si="4"/>
        <v>0</v>
      </c>
      <c r="N31" s="36">
        <f t="shared" si="5"/>
        <v>4</v>
      </c>
      <c r="O31" s="36">
        <f>SUMIF(MatchScoutingData!$F$2:$F$1000, $A31, MatchScoutingData!H$2:H$1000) * 3</f>
        <v>18</v>
      </c>
      <c r="P31" s="37">
        <f t="shared" si="6"/>
        <v>71</v>
      </c>
      <c r="Q31" s="37">
        <f t="shared" si="7"/>
        <v>14.2</v>
      </c>
      <c r="R31" s="36">
        <f>SUMIF(MatchScoutingData!$F$2:$F$1000, $A31, MatchScoutingData!P$2:P$1000)</f>
        <v>18</v>
      </c>
      <c r="S31" s="36">
        <f>SUMIF(MatchScoutingData!$F$2:$F$1000, $A31, MatchScoutingData!Q$2:Q$1000)</f>
        <v>7</v>
      </c>
      <c r="T31" s="36">
        <f>SUMIF(MatchScoutingData!$F$2:$F$1000, $A31, MatchScoutingData!R$2:R$1000)</f>
        <v>8</v>
      </c>
      <c r="U31" s="36">
        <f>SUMIF(MatchScoutingData!$F$2:$F$1000, $A31, MatchScoutingData!S$2:S$1000)</f>
        <v>6</v>
      </c>
      <c r="V31" s="36">
        <f>SUMIF(MatchScoutingData!$F$2:$F$1000, $A31, MatchScoutingData!T$2:T$1000)</f>
        <v>1</v>
      </c>
      <c r="W31" s="36">
        <f>SUMIF(MatchScoutingData!$F$2:$F$1000, $A31, MatchScoutingData!U$2:U$1000)</f>
        <v>4</v>
      </c>
      <c r="X31" s="36">
        <f t="shared" si="8"/>
        <v>90</v>
      </c>
      <c r="Y31" s="36">
        <f t="shared" si="9"/>
        <v>28</v>
      </c>
      <c r="Z31" s="36">
        <f t="shared" si="10"/>
        <v>24</v>
      </c>
      <c r="AA31" s="36">
        <f t="shared" si="11"/>
        <v>12</v>
      </c>
      <c r="AB31" s="36">
        <f t="shared" si="12"/>
        <v>6</v>
      </c>
      <c r="AC31" s="36">
        <f t="shared" si="13"/>
        <v>16</v>
      </c>
      <c r="AD31" s="38">
        <f t="shared" si="14"/>
        <v>176</v>
      </c>
      <c r="AE31" s="38">
        <f t="shared" si="15"/>
        <v>35.200000000000003</v>
      </c>
      <c r="AF31" s="36">
        <f>COUNTIFS(MatchScoutingData!$F$2:$F$1000, $A31, MatchScoutingData!$X$2:$X$1000, "p")</f>
        <v>1</v>
      </c>
      <c r="AG31" s="36">
        <f>COUNTIFS(MatchScoutingData!$F$2:$F$1000, $A31, MatchScoutingData!$X$2:$X$1000, "s")</f>
        <v>0</v>
      </c>
      <c r="AH31" s="36">
        <f>COUNTIFS(MatchScoutingData!$F$2:$F$1000, $A31, MatchScoutingData!$X$2:$X$1000, "d")</f>
        <v>4</v>
      </c>
      <c r="AI31" s="36">
        <f t="shared" si="16"/>
        <v>2</v>
      </c>
      <c r="AJ31" s="36">
        <f t="shared" si="17"/>
        <v>0</v>
      </c>
      <c r="AK31" s="36">
        <f t="shared" si="18"/>
        <v>48</v>
      </c>
      <c r="AL31" s="39">
        <f t="shared" si="19"/>
        <v>50</v>
      </c>
      <c r="AM31" s="39">
        <f t="shared" si="20"/>
        <v>10</v>
      </c>
      <c r="AN31" s="40">
        <f t="shared" si="21"/>
        <v>297</v>
      </c>
      <c r="AO31" s="40">
        <f t="shared" si="22"/>
        <v>59.4</v>
      </c>
      <c r="AP31" s="36">
        <f>SUMIF(MatchScoutingData!$F$2:$F$1000, $A31, MatchScoutingData!Z$2:Z$1000)</f>
        <v>5</v>
      </c>
      <c r="AQ31" s="36">
        <f>SUMIF(MatchScoutingData!$F$2:$F$1000, $A31, MatchScoutingData!AA$2:AA$1000)</f>
        <v>2</v>
      </c>
      <c r="AR31" s="36">
        <f>SUMIF(MatchScoutingData!$F$2:$F$1000, $A31, MatchScoutingData!AB$2:AB$1000)</f>
        <v>5</v>
      </c>
      <c r="AS31" s="36">
        <f t="shared" si="23"/>
        <v>12</v>
      </c>
    </row>
    <row r="32" spans="1:45" ht="16" x14ac:dyDescent="0.2">
      <c r="A32" s="35">
        <v>3181</v>
      </c>
      <c r="B32" s="36">
        <f>COUNTIF(MatchScoutingData!F$2:F$1000, $A32)</f>
        <v>3</v>
      </c>
      <c r="C32" s="36">
        <f>SUMIF(MatchScoutingData!$F$2:$F$1000, $A32, MatchScoutingData!I$2:I$1000)</f>
        <v>0</v>
      </c>
      <c r="D32" s="36">
        <f>SUMIF(MatchScoutingData!$F$2:$F$1000, $A32, MatchScoutingData!J$2:J$1000)</f>
        <v>0</v>
      </c>
      <c r="E32" s="36">
        <f>SUMIF(MatchScoutingData!$F$2:$F$1000, $A32, MatchScoutingData!K$2:K$1000)</f>
        <v>0</v>
      </c>
      <c r="F32" s="36">
        <f>SUMIF(MatchScoutingData!$F$2:$F$1000, $A32, MatchScoutingData!L$2:L$1000)</f>
        <v>1</v>
      </c>
      <c r="G32" s="36">
        <f>SUMIF(MatchScoutingData!$F$2:$F$1000, $A32, MatchScoutingData!M$2:M$1000)</f>
        <v>0</v>
      </c>
      <c r="H32" s="36">
        <f>SUMIF(MatchScoutingData!$F$2:$F$1000, $A32, MatchScoutingData!N$2:N$1000)</f>
        <v>1</v>
      </c>
      <c r="I32" s="36">
        <f t="shared" si="0"/>
        <v>0</v>
      </c>
      <c r="J32" s="36">
        <f t="shared" si="1"/>
        <v>0</v>
      </c>
      <c r="K32" s="36">
        <f t="shared" si="2"/>
        <v>0</v>
      </c>
      <c r="L32" s="36">
        <f t="shared" si="3"/>
        <v>3</v>
      </c>
      <c r="M32" s="36">
        <f t="shared" si="4"/>
        <v>0</v>
      </c>
      <c r="N32" s="36">
        <f t="shared" si="5"/>
        <v>4</v>
      </c>
      <c r="O32" s="36">
        <f>SUMIF(MatchScoutingData!$F$2:$F$1000, $A32, MatchScoutingData!H$2:H$1000) * 3</f>
        <v>6</v>
      </c>
      <c r="P32" s="37">
        <f t="shared" si="6"/>
        <v>13</v>
      </c>
      <c r="Q32" s="37">
        <f t="shared" si="7"/>
        <v>4.333333333333333</v>
      </c>
      <c r="R32" s="36">
        <f>SUMIF(MatchScoutingData!$F$2:$F$1000, $A32, MatchScoutingData!P$2:P$1000)</f>
        <v>2</v>
      </c>
      <c r="S32" s="36">
        <f>SUMIF(MatchScoutingData!$F$2:$F$1000, $A32, MatchScoutingData!Q$2:Q$1000)</f>
        <v>3</v>
      </c>
      <c r="T32" s="36">
        <f>SUMIF(MatchScoutingData!$F$2:$F$1000, $A32, MatchScoutingData!R$2:R$1000)</f>
        <v>3</v>
      </c>
      <c r="U32" s="36">
        <f>SUMIF(MatchScoutingData!$F$2:$F$1000, $A32, MatchScoutingData!S$2:S$1000)</f>
        <v>0</v>
      </c>
      <c r="V32" s="36">
        <f>SUMIF(MatchScoutingData!$F$2:$F$1000, $A32, MatchScoutingData!T$2:T$1000)</f>
        <v>0</v>
      </c>
      <c r="W32" s="36">
        <f>SUMIF(MatchScoutingData!$F$2:$F$1000, $A32, MatchScoutingData!U$2:U$1000)</f>
        <v>1</v>
      </c>
      <c r="X32" s="36">
        <f t="shared" si="8"/>
        <v>10</v>
      </c>
      <c r="Y32" s="36">
        <f t="shared" si="9"/>
        <v>12</v>
      </c>
      <c r="Z32" s="36">
        <f t="shared" si="10"/>
        <v>9</v>
      </c>
      <c r="AA32" s="36">
        <f t="shared" si="11"/>
        <v>0</v>
      </c>
      <c r="AB32" s="36">
        <f t="shared" si="12"/>
        <v>0</v>
      </c>
      <c r="AC32" s="36">
        <f t="shared" si="13"/>
        <v>4</v>
      </c>
      <c r="AD32" s="38">
        <f t="shared" si="14"/>
        <v>35</v>
      </c>
      <c r="AE32" s="38">
        <f t="shared" si="15"/>
        <v>11.666666666666666</v>
      </c>
      <c r="AF32" s="36">
        <f>COUNTIFS(MatchScoutingData!$F$2:$F$1000, $A32, MatchScoutingData!$X$2:$X$1000, "p")</f>
        <v>3</v>
      </c>
      <c r="AG32" s="36">
        <f>COUNTIFS(MatchScoutingData!$F$2:$F$1000, $A32, MatchScoutingData!$X$2:$X$1000, "s")</f>
        <v>0</v>
      </c>
      <c r="AH32" s="36">
        <f>COUNTIFS(MatchScoutingData!$F$2:$F$1000, $A32, MatchScoutingData!$X$2:$X$1000, "d")</f>
        <v>0</v>
      </c>
      <c r="AI32" s="36">
        <f t="shared" si="16"/>
        <v>6</v>
      </c>
      <c r="AJ32" s="36">
        <f t="shared" si="17"/>
        <v>0</v>
      </c>
      <c r="AK32" s="36">
        <f t="shared" si="18"/>
        <v>0</v>
      </c>
      <c r="AL32" s="39">
        <f t="shared" si="19"/>
        <v>6</v>
      </c>
      <c r="AM32" s="39">
        <f t="shared" si="20"/>
        <v>2</v>
      </c>
      <c r="AN32" s="40">
        <f t="shared" si="21"/>
        <v>54</v>
      </c>
      <c r="AO32" s="40">
        <f t="shared" si="22"/>
        <v>18</v>
      </c>
      <c r="AP32" s="36">
        <f>SUMIF(MatchScoutingData!$F$2:$F$1000, $A32, MatchScoutingData!Z$2:Z$1000)</f>
        <v>1</v>
      </c>
      <c r="AQ32" s="36">
        <f>SUMIF(MatchScoutingData!$F$2:$F$1000, $A32, MatchScoutingData!AA$2:AA$1000)</f>
        <v>1</v>
      </c>
      <c r="AR32" s="36">
        <f>SUMIF(MatchScoutingData!$F$2:$F$1000, $A32, MatchScoutingData!AB$2:AB$1000)</f>
        <v>1</v>
      </c>
      <c r="AS32" s="36">
        <f t="shared" si="23"/>
        <v>3</v>
      </c>
    </row>
    <row r="33" spans="1:45" ht="16" x14ac:dyDescent="0.2">
      <c r="A33" s="35">
        <v>3360</v>
      </c>
      <c r="B33" s="36">
        <f>COUNTIF(MatchScoutingData!F$2:F$1000, $A33)</f>
        <v>1</v>
      </c>
      <c r="C33" s="36">
        <f>SUMIF(MatchScoutingData!$F$2:$F$1000, $A33, MatchScoutingData!I$2:I$1000)</f>
        <v>0</v>
      </c>
      <c r="D33" s="36">
        <f>SUMIF(MatchScoutingData!$F$2:$F$1000, $A33, MatchScoutingData!J$2:J$1000)</f>
        <v>0</v>
      </c>
      <c r="E33" s="36">
        <f>SUMIF(MatchScoutingData!$F$2:$F$1000, $A33, MatchScoutingData!K$2:K$1000)</f>
        <v>0</v>
      </c>
      <c r="F33" s="36">
        <f>SUMIF(MatchScoutingData!$F$2:$F$1000, $A33, MatchScoutingData!L$2:L$1000)</f>
        <v>0</v>
      </c>
      <c r="G33" s="36">
        <f>SUMIF(MatchScoutingData!$F$2:$F$1000, $A33, MatchScoutingData!M$2:M$1000)</f>
        <v>0</v>
      </c>
      <c r="H33" s="36">
        <f>SUMIF(MatchScoutingData!$F$2:$F$1000, $A33, MatchScoutingData!N$2:N$1000)</f>
        <v>0</v>
      </c>
      <c r="I33" s="36">
        <f t="shared" si="0"/>
        <v>0</v>
      </c>
      <c r="J33" s="36">
        <f t="shared" si="1"/>
        <v>0</v>
      </c>
      <c r="K33" s="36">
        <f t="shared" si="2"/>
        <v>0</v>
      </c>
      <c r="L33" s="36">
        <f t="shared" si="3"/>
        <v>0</v>
      </c>
      <c r="M33" s="36">
        <f t="shared" si="4"/>
        <v>0</v>
      </c>
      <c r="N33" s="36">
        <f t="shared" si="5"/>
        <v>0</v>
      </c>
      <c r="O33" s="36">
        <f>SUMIF(MatchScoutingData!$F$2:$F$1000, $A33, MatchScoutingData!H$2:H$1000) * 3</f>
        <v>3</v>
      </c>
      <c r="P33" s="37">
        <f t="shared" si="6"/>
        <v>3</v>
      </c>
      <c r="Q33" s="37">
        <f t="shared" si="7"/>
        <v>3</v>
      </c>
      <c r="R33" s="36">
        <f>SUMIF(MatchScoutingData!$F$2:$F$1000, $A33, MatchScoutingData!P$2:P$1000)</f>
        <v>0</v>
      </c>
      <c r="S33" s="36">
        <f>SUMIF(MatchScoutingData!$F$2:$F$1000, $A33, MatchScoutingData!Q$2:Q$1000)</f>
        <v>0</v>
      </c>
      <c r="T33" s="36">
        <f>SUMIF(MatchScoutingData!$F$2:$F$1000, $A33, MatchScoutingData!R$2:R$1000)</f>
        <v>0</v>
      </c>
      <c r="U33" s="36">
        <f>SUMIF(MatchScoutingData!$F$2:$F$1000, $A33, MatchScoutingData!S$2:S$1000)</f>
        <v>0</v>
      </c>
      <c r="V33" s="36">
        <f>SUMIF(MatchScoutingData!$F$2:$F$1000, $A33, MatchScoutingData!T$2:T$1000)</f>
        <v>4</v>
      </c>
      <c r="W33" s="36">
        <f>SUMIF(MatchScoutingData!$F$2:$F$1000, $A33, MatchScoutingData!U$2:U$1000)</f>
        <v>0</v>
      </c>
      <c r="X33" s="36">
        <f t="shared" si="8"/>
        <v>0</v>
      </c>
      <c r="Y33" s="36">
        <f t="shared" si="9"/>
        <v>0</v>
      </c>
      <c r="Z33" s="36">
        <f t="shared" si="10"/>
        <v>0</v>
      </c>
      <c r="AA33" s="36">
        <f t="shared" si="11"/>
        <v>0</v>
      </c>
      <c r="AB33" s="36">
        <f t="shared" si="12"/>
        <v>24</v>
      </c>
      <c r="AC33" s="36">
        <f t="shared" si="13"/>
        <v>0</v>
      </c>
      <c r="AD33" s="38">
        <f t="shared" si="14"/>
        <v>24</v>
      </c>
      <c r="AE33" s="38">
        <f t="shared" si="15"/>
        <v>24</v>
      </c>
      <c r="AF33" s="36">
        <f>COUNTIFS(MatchScoutingData!$F$2:$F$1000, $A33, MatchScoutingData!$X$2:$X$1000, "p")</f>
        <v>1</v>
      </c>
      <c r="AG33" s="36">
        <f>COUNTIFS(MatchScoutingData!$F$2:$F$1000, $A33, MatchScoutingData!$X$2:$X$1000, "s")</f>
        <v>0</v>
      </c>
      <c r="AH33" s="36">
        <f>COUNTIFS(MatchScoutingData!$F$2:$F$1000, $A33, MatchScoutingData!$X$2:$X$1000, "d")</f>
        <v>0</v>
      </c>
      <c r="AI33" s="36">
        <f t="shared" si="16"/>
        <v>2</v>
      </c>
      <c r="AJ33" s="36">
        <f t="shared" si="17"/>
        <v>0</v>
      </c>
      <c r="AK33" s="36">
        <f t="shared" si="18"/>
        <v>0</v>
      </c>
      <c r="AL33" s="39">
        <f t="shared" si="19"/>
        <v>2</v>
      </c>
      <c r="AM33" s="39">
        <f t="shared" si="20"/>
        <v>2</v>
      </c>
      <c r="AN33" s="40">
        <f t="shared" si="21"/>
        <v>29</v>
      </c>
      <c r="AO33" s="40">
        <f t="shared" si="22"/>
        <v>29</v>
      </c>
      <c r="AP33" s="36">
        <f>SUMIF(MatchScoutingData!$F$2:$F$1000, $A33, MatchScoutingData!Z$2:Z$1000)</f>
        <v>0</v>
      </c>
      <c r="AQ33" s="36">
        <f>SUMIF(MatchScoutingData!$F$2:$F$1000, $A33, MatchScoutingData!AA$2:AA$1000)</f>
        <v>0</v>
      </c>
      <c r="AR33" s="36">
        <f>SUMIF(MatchScoutingData!$F$2:$F$1000, $A33, MatchScoutingData!AB$2:AB$1000)</f>
        <v>1</v>
      </c>
      <c r="AS33" s="36">
        <f t="shared" si="23"/>
        <v>1</v>
      </c>
    </row>
    <row r="34" spans="1:45" ht="16" x14ac:dyDescent="0.2">
      <c r="A34" s="35">
        <v>3550</v>
      </c>
      <c r="B34" s="36">
        <f>COUNTIF(MatchScoutingData!F$2:F$1000, $A34)</f>
        <v>3</v>
      </c>
      <c r="C34" s="36">
        <f>SUMIF(MatchScoutingData!$F$2:$F$1000, $A34, MatchScoutingData!I$2:I$1000)</f>
        <v>2</v>
      </c>
      <c r="D34" s="36">
        <f>SUMIF(MatchScoutingData!$F$2:$F$1000, $A34, MatchScoutingData!J$2:J$1000)</f>
        <v>0</v>
      </c>
      <c r="E34" s="36">
        <f>SUMIF(MatchScoutingData!$F$2:$F$1000, $A34, MatchScoutingData!K$2:K$1000)</f>
        <v>0</v>
      </c>
      <c r="F34" s="36">
        <f>SUMIF(MatchScoutingData!$F$2:$F$1000, $A34, MatchScoutingData!L$2:L$1000)</f>
        <v>0</v>
      </c>
      <c r="G34" s="36">
        <f>SUMIF(MatchScoutingData!$F$2:$F$1000, $A34, MatchScoutingData!M$2:M$1000)</f>
        <v>0</v>
      </c>
      <c r="H34" s="36">
        <f>SUMIF(MatchScoutingData!$F$2:$F$1000, $A34, MatchScoutingData!N$2:N$1000)</f>
        <v>0</v>
      </c>
      <c r="I34" s="36">
        <f t="shared" si="0"/>
        <v>14</v>
      </c>
      <c r="J34" s="36">
        <f t="shared" si="1"/>
        <v>0</v>
      </c>
      <c r="K34" s="36">
        <f t="shared" si="2"/>
        <v>0</v>
      </c>
      <c r="L34" s="36">
        <f t="shared" si="3"/>
        <v>0</v>
      </c>
      <c r="M34" s="36">
        <f t="shared" si="4"/>
        <v>0</v>
      </c>
      <c r="N34" s="36">
        <f t="shared" si="5"/>
        <v>0</v>
      </c>
      <c r="O34" s="36">
        <f>SUMIF(MatchScoutingData!$F$2:$F$1000, $A34, MatchScoutingData!H$2:H$1000) * 3</f>
        <v>6</v>
      </c>
      <c r="P34" s="37">
        <f t="shared" si="6"/>
        <v>20</v>
      </c>
      <c r="Q34" s="37">
        <f t="shared" si="7"/>
        <v>6.666666666666667</v>
      </c>
      <c r="R34" s="36">
        <f>SUMIF(MatchScoutingData!$F$2:$F$1000, $A34, MatchScoutingData!P$2:P$1000)</f>
        <v>3</v>
      </c>
      <c r="S34" s="36">
        <f>SUMIF(MatchScoutingData!$F$2:$F$1000, $A34, MatchScoutingData!Q$2:Q$1000)</f>
        <v>3</v>
      </c>
      <c r="T34" s="36">
        <f>SUMIF(MatchScoutingData!$F$2:$F$1000, $A34, MatchScoutingData!R$2:R$1000)</f>
        <v>2</v>
      </c>
      <c r="U34" s="36">
        <f>SUMIF(MatchScoutingData!$F$2:$F$1000, $A34, MatchScoutingData!S$2:S$1000)</f>
        <v>0</v>
      </c>
      <c r="V34" s="36">
        <f>SUMIF(MatchScoutingData!$F$2:$F$1000, $A34, MatchScoutingData!T$2:T$1000)</f>
        <v>6</v>
      </c>
      <c r="W34" s="36">
        <f>SUMIF(MatchScoutingData!$F$2:$F$1000, $A34, MatchScoutingData!U$2:U$1000)</f>
        <v>0</v>
      </c>
      <c r="X34" s="36">
        <f t="shared" si="8"/>
        <v>15</v>
      </c>
      <c r="Y34" s="36">
        <f t="shared" si="9"/>
        <v>12</v>
      </c>
      <c r="Z34" s="36">
        <f t="shared" si="10"/>
        <v>6</v>
      </c>
      <c r="AA34" s="36">
        <f t="shared" si="11"/>
        <v>0</v>
      </c>
      <c r="AB34" s="36">
        <f t="shared" si="12"/>
        <v>36</v>
      </c>
      <c r="AC34" s="36">
        <f t="shared" si="13"/>
        <v>0</v>
      </c>
      <c r="AD34" s="38">
        <f t="shared" si="14"/>
        <v>69</v>
      </c>
      <c r="AE34" s="38">
        <f t="shared" si="15"/>
        <v>23</v>
      </c>
      <c r="AF34" s="36">
        <f>COUNTIFS(MatchScoutingData!$F$2:$F$1000, $A34, MatchScoutingData!$X$2:$X$1000, "p")</f>
        <v>2</v>
      </c>
      <c r="AG34" s="36">
        <f>COUNTIFS(MatchScoutingData!$F$2:$F$1000, $A34, MatchScoutingData!$X$2:$X$1000, "s")</f>
        <v>0</v>
      </c>
      <c r="AH34" s="36">
        <f>COUNTIFS(MatchScoutingData!$F$2:$F$1000, $A34, MatchScoutingData!$X$2:$X$1000, "d")</f>
        <v>0</v>
      </c>
      <c r="AI34" s="36">
        <f t="shared" si="16"/>
        <v>4</v>
      </c>
      <c r="AJ34" s="36">
        <f t="shared" si="17"/>
        <v>0</v>
      </c>
      <c r="AK34" s="36">
        <f t="shared" si="18"/>
        <v>0</v>
      </c>
      <c r="AL34" s="39">
        <f t="shared" si="19"/>
        <v>4</v>
      </c>
      <c r="AM34" s="39">
        <f t="shared" si="20"/>
        <v>1.3333333333333333</v>
      </c>
      <c r="AN34" s="40">
        <f t="shared" si="21"/>
        <v>93</v>
      </c>
      <c r="AO34" s="40">
        <f t="shared" si="22"/>
        <v>31</v>
      </c>
      <c r="AP34" s="36">
        <f>SUMIF(MatchScoutingData!$F$2:$F$1000, $A34, MatchScoutingData!Z$2:Z$1000)</f>
        <v>2</v>
      </c>
      <c r="AQ34" s="36">
        <f>SUMIF(MatchScoutingData!$F$2:$F$1000, $A34, MatchScoutingData!AA$2:AA$1000)</f>
        <v>1</v>
      </c>
      <c r="AR34" s="36">
        <f>SUMIF(MatchScoutingData!$F$2:$F$1000, $A34, MatchScoutingData!AB$2:AB$1000)</f>
        <v>0</v>
      </c>
      <c r="AS34" s="36">
        <f t="shared" si="23"/>
        <v>3</v>
      </c>
    </row>
    <row r="35" spans="1:45" ht="16" x14ac:dyDescent="0.2">
      <c r="A35" s="35">
        <v>3950</v>
      </c>
      <c r="B35" s="36">
        <f>COUNTIF(MatchScoutingData!F$2:F$1000, $A35)</f>
        <v>1</v>
      </c>
      <c r="C35" s="36">
        <f>SUMIF(MatchScoutingData!$F$2:$F$1000, $A35, MatchScoutingData!I$2:I$1000)</f>
        <v>2</v>
      </c>
      <c r="D35" s="36">
        <f>SUMIF(MatchScoutingData!$F$2:$F$1000, $A35, MatchScoutingData!J$2:J$1000)</f>
        <v>0</v>
      </c>
      <c r="E35" s="36">
        <f>SUMIF(MatchScoutingData!$F$2:$F$1000, $A35, MatchScoutingData!K$2:K$1000)</f>
        <v>0</v>
      </c>
      <c r="F35" s="36">
        <f>SUMIF(MatchScoutingData!$F$2:$F$1000, $A35, MatchScoutingData!L$2:L$1000)</f>
        <v>0</v>
      </c>
      <c r="G35" s="36">
        <f>SUMIF(MatchScoutingData!$F$2:$F$1000, $A35, MatchScoutingData!M$2:M$1000)</f>
        <v>0</v>
      </c>
      <c r="H35" s="36">
        <f>SUMIF(MatchScoutingData!$F$2:$F$1000, $A35, MatchScoutingData!N$2:N$1000)</f>
        <v>0</v>
      </c>
      <c r="I35" s="36">
        <f t="shared" si="0"/>
        <v>14</v>
      </c>
      <c r="J35" s="36">
        <f t="shared" si="1"/>
        <v>0</v>
      </c>
      <c r="K35" s="36">
        <f t="shared" si="2"/>
        <v>0</v>
      </c>
      <c r="L35" s="36">
        <f t="shared" si="3"/>
        <v>0</v>
      </c>
      <c r="M35" s="36">
        <f t="shared" si="4"/>
        <v>0</v>
      </c>
      <c r="N35" s="36">
        <f t="shared" si="5"/>
        <v>0</v>
      </c>
      <c r="O35" s="36">
        <f>SUMIF(MatchScoutingData!$F$2:$F$1000, $A35, MatchScoutingData!H$2:H$1000) * 3</f>
        <v>3</v>
      </c>
      <c r="P35" s="37">
        <f t="shared" si="6"/>
        <v>17</v>
      </c>
      <c r="Q35" s="37">
        <f t="shared" si="7"/>
        <v>17</v>
      </c>
      <c r="R35" s="36">
        <f>SUMIF(MatchScoutingData!$F$2:$F$1000, $A35, MatchScoutingData!P$2:P$1000)</f>
        <v>8</v>
      </c>
      <c r="S35" s="36">
        <f>SUMIF(MatchScoutingData!$F$2:$F$1000, $A35, MatchScoutingData!Q$2:Q$1000)</f>
        <v>0</v>
      </c>
      <c r="T35" s="36">
        <f>SUMIF(MatchScoutingData!$F$2:$F$1000, $A35, MatchScoutingData!R$2:R$1000)</f>
        <v>1</v>
      </c>
      <c r="U35" s="36">
        <f>SUMIF(MatchScoutingData!$F$2:$F$1000, $A35, MatchScoutingData!S$2:S$1000)</f>
        <v>0</v>
      </c>
      <c r="V35" s="36">
        <f>SUMIF(MatchScoutingData!$F$2:$F$1000, $A35, MatchScoutingData!T$2:T$1000)</f>
        <v>0</v>
      </c>
      <c r="W35" s="36">
        <f>SUMIF(MatchScoutingData!$F$2:$F$1000, $A35, MatchScoutingData!U$2:U$1000)</f>
        <v>0</v>
      </c>
      <c r="X35" s="36">
        <f t="shared" si="8"/>
        <v>40</v>
      </c>
      <c r="Y35" s="36">
        <f t="shared" si="9"/>
        <v>0</v>
      </c>
      <c r="Z35" s="36">
        <f t="shared" si="10"/>
        <v>3</v>
      </c>
      <c r="AA35" s="36">
        <f t="shared" si="11"/>
        <v>0</v>
      </c>
      <c r="AB35" s="36">
        <f t="shared" si="12"/>
        <v>0</v>
      </c>
      <c r="AC35" s="36">
        <f t="shared" si="13"/>
        <v>0</v>
      </c>
      <c r="AD35" s="38">
        <f t="shared" si="14"/>
        <v>43</v>
      </c>
      <c r="AE35" s="38">
        <f t="shared" si="15"/>
        <v>43</v>
      </c>
      <c r="AF35" s="36">
        <f>COUNTIFS(MatchScoutingData!$F$2:$F$1000, $A35, MatchScoutingData!$X$2:$X$1000, "p")</f>
        <v>1</v>
      </c>
      <c r="AG35" s="36">
        <f>COUNTIFS(MatchScoutingData!$F$2:$F$1000, $A35, MatchScoutingData!$X$2:$X$1000, "s")</f>
        <v>0</v>
      </c>
      <c r="AH35" s="36">
        <f>COUNTIFS(MatchScoutingData!$F$2:$F$1000, $A35, MatchScoutingData!$X$2:$X$1000, "d")</f>
        <v>0</v>
      </c>
      <c r="AI35" s="36">
        <f t="shared" si="16"/>
        <v>2</v>
      </c>
      <c r="AJ35" s="36">
        <f t="shared" si="17"/>
        <v>0</v>
      </c>
      <c r="AK35" s="36">
        <f t="shared" si="18"/>
        <v>0</v>
      </c>
      <c r="AL35" s="39">
        <f t="shared" si="19"/>
        <v>2</v>
      </c>
      <c r="AM35" s="39">
        <f t="shared" si="20"/>
        <v>2</v>
      </c>
      <c r="AN35" s="40">
        <f t="shared" si="21"/>
        <v>62</v>
      </c>
      <c r="AO35" s="40">
        <f t="shared" si="22"/>
        <v>62</v>
      </c>
      <c r="AP35" s="36">
        <f>SUMIF(MatchScoutingData!$F$2:$F$1000, $A35, MatchScoutingData!Z$2:Z$1000)</f>
        <v>1</v>
      </c>
      <c r="AQ35" s="36">
        <f>SUMIF(MatchScoutingData!$F$2:$F$1000, $A35, MatchScoutingData!AA$2:AA$1000)</f>
        <v>0</v>
      </c>
      <c r="AR35" s="36">
        <f>SUMIF(MatchScoutingData!$F$2:$F$1000, $A35, MatchScoutingData!AB$2:AB$1000)</f>
        <v>0</v>
      </c>
      <c r="AS35" s="36">
        <f t="shared" si="23"/>
        <v>1</v>
      </c>
    </row>
    <row r="36" spans="1:45" ht="16" x14ac:dyDescent="0.2">
      <c r="A36" s="35">
        <v>4122</v>
      </c>
      <c r="B36" s="36">
        <f>COUNTIF(MatchScoutingData!F$2:F$1000, $A36)</f>
        <v>3</v>
      </c>
      <c r="C36" s="36">
        <f>SUMIF(MatchScoutingData!$F$2:$F$1000, $A36, MatchScoutingData!I$2:I$1000)</f>
        <v>4</v>
      </c>
      <c r="D36" s="36">
        <f>SUMIF(MatchScoutingData!$F$2:$F$1000, $A36, MatchScoutingData!J$2:J$1000)</f>
        <v>0</v>
      </c>
      <c r="E36" s="36">
        <f>SUMIF(MatchScoutingData!$F$2:$F$1000, $A36, MatchScoutingData!K$2:K$1000)</f>
        <v>0</v>
      </c>
      <c r="F36" s="36">
        <f>SUMIF(MatchScoutingData!$F$2:$F$1000, $A36, MatchScoutingData!L$2:L$1000)</f>
        <v>0</v>
      </c>
      <c r="G36" s="36">
        <f>SUMIF(MatchScoutingData!$F$2:$F$1000, $A36, MatchScoutingData!M$2:M$1000)</f>
        <v>0</v>
      </c>
      <c r="H36" s="36">
        <f>SUMIF(MatchScoutingData!$F$2:$F$1000, $A36, MatchScoutingData!N$2:N$1000)</f>
        <v>0</v>
      </c>
      <c r="I36" s="36">
        <f t="shared" ref="I36:I59" si="24">C36 * 7</f>
        <v>28</v>
      </c>
      <c r="J36" s="36">
        <f t="shared" ref="J36:J59" si="25">D36 * 6</f>
        <v>0</v>
      </c>
      <c r="K36" s="36">
        <f t="shared" ref="K36:K59" si="26">E36 * 4</f>
        <v>0</v>
      </c>
      <c r="L36" s="36">
        <f t="shared" ref="L36:L59" si="27">F36 * 3</f>
        <v>0</v>
      </c>
      <c r="M36" s="36">
        <f t="shared" ref="M36:M59" si="28">G36 * 6</f>
        <v>0</v>
      </c>
      <c r="N36" s="36">
        <f t="shared" ref="N36:N59" si="29">H36 * 4</f>
        <v>0</v>
      </c>
      <c r="O36" s="36">
        <f>SUMIF(MatchScoutingData!$F$2:$F$1000, $A36, MatchScoutingData!H$2:H$1000) * 3</f>
        <v>6</v>
      </c>
      <c r="P36" s="37">
        <f t="shared" ref="P36:P59" si="30">SUM(I36:O36)</f>
        <v>34</v>
      </c>
      <c r="Q36" s="37">
        <f t="shared" ref="Q36:Q59" si="31">IF(P36 &gt; 0, P36/B36, 0)</f>
        <v>11.333333333333334</v>
      </c>
      <c r="R36" s="36">
        <f>SUMIF(MatchScoutingData!$F$2:$F$1000, $A36, MatchScoutingData!P$2:P$1000)</f>
        <v>12</v>
      </c>
      <c r="S36" s="36">
        <f>SUMIF(MatchScoutingData!$F$2:$F$1000, $A36, MatchScoutingData!Q$2:Q$1000)</f>
        <v>1</v>
      </c>
      <c r="T36" s="36">
        <f>SUMIF(MatchScoutingData!$F$2:$F$1000, $A36, MatchScoutingData!R$2:R$1000)</f>
        <v>0</v>
      </c>
      <c r="U36" s="36">
        <f>SUMIF(MatchScoutingData!$F$2:$F$1000, $A36, MatchScoutingData!S$2:S$1000)</f>
        <v>0</v>
      </c>
      <c r="V36" s="36">
        <f>SUMIF(MatchScoutingData!$F$2:$F$1000, $A36, MatchScoutingData!T$2:T$1000)</f>
        <v>0</v>
      </c>
      <c r="W36" s="36">
        <f>SUMIF(MatchScoutingData!$F$2:$F$1000, $A36, MatchScoutingData!U$2:U$1000)</f>
        <v>11</v>
      </c>
      <c r="X36" s="36">
        <f t="shared" ref="X36:X59" si="32">R36 * 5</f>
        <v>60</v>
      </c>
      <c r="Y36" s="36">
        <f t="shared" ref="Y36:Y59" si="33">S36 * 4</f>
        <v>4</v>
      </c>
      <c r="Z36" s="36">
        <f t="shared" ref="Z36:Z59" si="34">T36 * 3</f>
        <v>0</v>
      </c>
      <c r="AA36" s="36">
        <f t="shared" ref="AA36:AA59" si="35">U36 * 2</f>
        <v>0</v>
      </c>
      <c r="AB36" s="36">
        <f t="shared" ref="AB36:AB59" si="36">V36 * 6</f>
        <v>0</v>
      </c>
      <c r="AC36" s="36">
        <f t="shared" ref="AC36:AC59" si="37">W36 * 4</f>
        <v>44</v>
      </c>
      <c r="AD36" s="38">
        <f t="shared" ref="AD36:AD59" si="38">SUM(X36:AC36)</f>
        <v>108</v>
      </c>
      <c r="AE36" s="38">
        <f t="shared" ref="AE36:AE59" si="39">IF(AD36 &gt; 0, AD36/B36, 0)</f>
        <v>36</v>
      </c>
      <c r="AF36" s="36">
        <f>COUNTIFS(MatchScoutingData!$F$2:$F$1000, $A36, MatchScoutingData!$X$2:$X$1000, "p")</f>
        <v>0</v>
      </c>
      <c r="AG36" s="36">
        <f>COUNTIFS(MatchScoutingData!$F$2:$F$1000, $A36, MatchScoutingData!$X$2:$X$1000, "s")</f>
        <v>0</v>
      </c>
      <c r="AH36" s="36">
        <f>COUNTIFS(MatchScoutingData!$F$2:$F$1000, $A36, MatchScoutingData!$X$2:$X$1000, "d")</f>
        <v>3</v>
      </c>
      <c r="AI36" s="36">
        <f t="shared" ref="AI36:AI59" si="40">AF36 * 2</f>
        <v>0</v>
      </c>
      <c r="AJ36" s="36">
        <f t="shared" ref="AJ36:AJ59" si="41">AG36 * 6</f>
        <v>0</v>
      </c>
      <c r="AK36" s="36">
        <f t="shared" ref="AK36:AK59" si="42">AH36 * 12</f>
        <v>36</v>
      </c>
      <c r="AL36" s="39">
        <f t="shared" ref="AL36:AL59" si="43">SUM(AI36:AK36)</f>
        <v>36</v>
      </c>
      <c r="AM36" s="39">
        <f t="shared" ref="AM36:AM59" si="44">IF(AD36 &gt; 0, AL36/B36, 0)</f>
        <v>12</v>
      </c>
      <c r="AN36" s="40">
        <f t="shared" ref="AN36:AN59" si="45">SUM(P36, AD36, AL36)</f>
        <v>178</v>
      </c>
      <c r="AO36" s="40">
        <f t="shared" ref="AO36:AO59" si="46">IF(AN36 &gt; 0, AN36/B36, 0)</f>
        <v>59.333333333333336</v>
      </c>
      <c r="AP36" s="36">
        <f>SUMIF(MatchScoutingData!$F$2:$F$1000, $A36, MatchScoutingData!Z$2:Z$1000)</f>
        <v>2</v>
      </c>
      <c r="AQ36" s="36">
        <f>SUMIF(MatchScoutingData!$F$2:$F$1000, $A36, MatchScoutingData!AA$2:AA$1000)</f>
        <v>0</v>
      </c>
      <c r="AR36" s="36">
        <f>SUMIF(MatchScoutingData!$F$2:$F$1000, $A36, MatchScoutingData!AB$2:AB$1000)</f>
        <v>2</v>
      </c>
      <c r="AS36" s="36">
        <f t="shared" ref="AS36:AS59" si="47">SUM(AP36, AQ36, AR36)</f>
        <v>4</v>
      </c>
    </row>
    <row r="37" spans="1:45" ht="16" x14ac:dyDescent="0.2">
      <c r="A37" s="35">
        <v>4458</v>
      </c>
      <c r="B37" s="36">
        <f>COUNTIF(MatchScoutingData!F$2:F$1000, $A37)</f>
        <v>2</v>
      </c>
      <c r="C37" s="36">
        <f>SUMIF(MatchScoutingData!$F$2:$F$1000, $A37, MatchScoutingData!I$2:I$1000)</f>
        <v>2</v>
      </c>
      <c r="D37" s="36">
        <f>SUMIF(MatchScoutingData!$F$2:$F$1000, $A37, MatchScoutingData!J$2:J$1000)</f>
        <v>0</v>
      </c>
      <c r="E37" s="36">
        <f>SUMIF(MatchScoutingData!$F$2:$F$1000, $A37, MatchScoutingData!K$2:K$1000)</f>
        <v>0</v>
      </c>
      <c r="F37" s="36">
        <f>SUMIF(MatchScoutingData!$F$2:$F$1000, $A37, MatchScoutingData!L$2:L$1000)</f>
        <v>0</v>
      </c>
      <c r="G37" s="36">
        <f>SUMIF(MatchScoutingData!$F$2:$F$1000, $A37, MatchScoutingData!M$2:M$1000)</f>
        <v>0</v>
      </c>
      <c r="H37" s="36">
        <f>SUMIF(MatchScoutingData!$F$2:$F$1000, $A37, MatchScoutingData!N$2:N$1000)</f>
        <v>0</v>
      </c>
      <c r="I37" s="36">
        <f t="shared" si="24"/>
        <v>14</v>
      </c>
      <c r="J37" s="36">
        <f t="shared" si="25"/>
        <v>0</v>
      </c>
      <c r="K37" s="36">
        <f t="shared" si="26"/>
        <v>0</v>
      </c>
      <c r="L37" s="36">
        <f t="shared" si="27"/>
        <v>0</v>
      </c>
      <c r="M37" s="36">
        <f t="shared" si="28"/>
        <v>0</v>
      </c>
      <c r="N37" s="36">
        <f t="shared" si="29"/>
        <v>0</v>
      </c>
      <c r="O37" s="36">
        <f>SUMIF(MatchScoutingData!$F$2:$F$1000, $A37, MatchScoutingData!H$2:H$1000) * 3</f>
        <v>6</v>
      </c>
      <c r="P37" s="37">
        <f t="shared" si="30"/>
        <v>20</v>
      </c>
      <c r="Q37" s="37">
        <f t="shared" si="31"/>
        <v>10</v>
      </c>
      <c r="R37" s="36">
        <f>SUMIF(MatchScoutingData!$F$2:$F$1000, $A37, MatchScoutingData!P$2:P$1000)</f>
        <v>8</v>
      </c>
      <c r="S37" s="36">
        <f>SUMIF(MatchScoutingData!$F$2:$F$1000, $A37, MatchScoutingData!Q$2:Q$1000)</f>
        <v>6</v>
      </c>
      <c r="T37" s="36">
        <f>SUMIF(MatchScoutingData!$F$2:$F$1000, $A37, MatchScoutingData!R$2:R$1000)</f>
        <v>0</v>
      </c>
      <c r="U37" s="36">
        <f>SUMIF(MatchScoutingData!$F$2:$F$1000, $A37, MatchScoutingData!S$2:S$1000)</f>
        <v>0</v>
      </c>
      <c r="V37" s="36">
        <f>SUMIF(MatchScoutingData!$F$2:$F$1000, $A37, MatchScoutingData!T$2:T$1000)</f>
        <v>0</v>
      </c>
      <c r="W37" s="36">
        <f>SUMIF(MatchScoutingData!$F$2:$F$1000, $A37, MatchScoutingData!U$2:U$1000)</f>
        <v>0</v>
      </c>
      <c r="X37" s="36">
        <f t="shared" si="32"/>
        <v>40</v>
      </c>
      <c r="Y37" s="36">
        <f t="shared" si="33"/>
        <v>24</v>
      </c>
      <c r="Z37" s="36">
        <f t="shared" si="34"/>
        <v>0</v>
      </c>
      <c r="AA37" s="36">
        <f t="shared" si="35"/>
        <v>0</v>
      </c>
      <c r="AB37" s="36">
        <f t="shared" si="36"/>
        <v>0</v>
      </c>
      <c r="AC37" s="36">
        <f t="shared" si="37"/>
        <v>0</v>
      </c>
      <c r="AD37" s="38">
        <f t="shared" si="38"/>
        <v>64</v>
      </c>
      <c r="AE37" s="38">
        <f t="shared" si="39"/>
        <v>32</v>
      </c>
      <c r="AF37" s="36">
        <f>COUNTIFS(MatchScoutingData!$F$2:$F$1000, $A37, MatchScoutingData!$X$2:$X$1000, "p")</f>
        <v>0</v>
      </c>
      <c r="AG37" s="36">
        <f>COUNTIFS(MatchScoutingData!$F$2:$F$1000, $A37, MatchScoutingData!$X$2:$X$1000, "s")</f>
        <v>0</v>
      </c>
      <c r="AH37" s="36">
        <f>COUNTIFS(MatchScoutingData!$F$2:$F$1000, $A37, MatchScoutingData!$X$2:$X$1000, "d")</f>
        <v>0</v>
      </c>
      <c r="AI37" s="36">
        <f t="shared" si="40"/>
        <v>0</v>
      </c>
      <c r="AJ37" s="36">
        <f t="shared" si="41"/>
        <v>0</v>
      </c>
      <c r="AK37" s="36">
        <f t="shared" si="42"/>
        <v>0</v>
      </c>
      <c r="AL37" s="39">
        <f t="shared" si="43"/>
        <v>0</v>
      </c>
      <c r="AM37" s="39">
        <f t="shared" si="44"/>
        <v>0</v>
      </c>
      <c r="AN37" s="40">
        <f t="shared" si="45"/>
        <v>84</v>
      </c>
      <c r="AO37" s="40">
        <f t="shared" si="46"/>
        <v>42</v>
      </c>
      <c r="AP37" s="36">
        <f>SUMIF(MatchScoutingData!$F$2:$F$1000, $A37, MatchScoutingData!Z$2:Z$1000)</f>
        <v>2</v>
      </c>
      <c r="AQ37" s="36">
        <f>SUMIF(MatchScoutingData!$F$2:$F$1000, $A37, MatchScoutingData!AA$2:AA$1000)</f>
        <v>1</v>
      </c>
      <c r="AR37" s="36">
        <f>SUMIF(MatchScoutingData!$F$2:$F$1000, $A37, MatchScoutingData!AB$2:AB$1000)</f>
        <v>1</v>
      </c>
      <c r="AS37" s="36">
        <f t="shared" si="47"/>
        <v>4</v>
      </c>
    </row>
    <row r="38" spans="1:45" ht="16" x14ac:dyDescent="0.2">
      <c r="A38" s="35">
        <v>4571</v>
      </c>
      <c r="B38" s="36">
        <f>COUNTIF(MatchScoutingData!F$2:F$1000, $A38)</f>
        <v>2</v>
      </c>
      <c r="C38" s="36">
        <f>SUMIF(MatchScoutingData!$F$2:$F$1000, $A38, MatchScoutingData!I$2:I$1000)</f>
        <v>1</v>
      </c>
      <c r="D38" s="36">
        <f>SUMIF(MatchScoutingData!$F$2:$F$1000, $A38, MatchScoutingData!J$2:J$1000)</f>
        <v>0</v>
      </c>
      <c r="E38" s="36">
        <f>SUMIF(MatchScoutingData!$F$2:$F$1000, $A38, MatchScoutingData!K$2:K$1000)</f>
        <v>0</v>
      </c>
      <c r="F38" s="36">
        <f>SUMIF(MatchScoutingData!$F$2:$F$1000, $A38, MatchScoutingData!L$2:L$1000)</f>
        <v>0</v>
      </c>
      <c r="G38" s="36">
        <f>SUMIF(MatchScoutingData!$F$2:$F$1000, $A38, MatchScoutingData!M$2:M$1000)</f>
        <v>0</v>
      </c>
      <c r="H38" s="36">
        <f>SUMIF(MatchScoutingData!$F$2:$F$1000, $A38, MatchScoutingData!N$2:N$1000)</f>
        <v>0</v>
      </c>
      <c r="I38" s="36">
        <f t="shared" si="24"/>
        <v>7</v>
      </c>
      <c r="J38" s="36">
        <f t="shared" si="25"/>
        <v>0</v>
      </c>
      <c r="K38" s="36">
        <f t="shared" si="26"/>
        <v>0</v>
      </c>
      <c r="L38" s="36">
        <f t="shared" si="27"/>
        <v>0</v>
      </c>
      <c r="M38" s="36">
        <f t="shared" si="28"/>
        <v>0</v>
      </c>
      <c r="N38" s="36">
        <f t="shared" si="29"/>
        <v>0</v>
      </c>
      <c r="O38" s="36">
        <f>SUMIF(MatchScoutingData!$F$2:$F$1000, $A38, MatchScoutingData!H$2:H$1000) * 3</f>
        <v>6</v>
      </c>
      <c r="P38" s="37">
        <f t="shared" si="30"/>
        <v>13</v>
      </c>
      <c r="Q38" s="37">
        <f t="shared" si="31"/>
        <v>6.5</v>
      </c>
      <c r="R38" s="36">
        <f>SUMIF(MatchScoutingData!$F$2:$F$1000, $A38, MatchScoutingData!P$2:P$1000)</f>
        <v>5</v>
      </c>
      <c r="S38" s="36">
        <f>SUMIF(MatchScoutingData!$F$2:$F$1000, $A38, MatchScoutingData!Q$2:Q$1000)</f>
        <v>2</v>
      </c>
      <c r="T38" s="36">
        <f>SUMIF(MatchScoutingData!$F$2:$F$1000, $A38, MatchScoutingData!R$2:R$1000)</f>
        <v>2</v>
      </c>
      <c r="U38" s="36">
        <f>SUMIF(MatchScoutingData!$F$2:$F$1000, $A38, MatchScoutingData!S$2:S$1000)</f>
        <v>0</v>
      </c>
      <c r="V38" s="36">
        <f>SUMIF(MatchScoutingData!$F$2:$F$1000, $A38, MatchScoutingData!T$2:T$1000)</f>
        <v>2</v>
      </c>
      <c r="W38" s="36">
        <f>SUMIF(MatchScoutingData!$F$2:$F$1000, $A38, MatchScoutingData!U$2:U$1000)</f>
        <v>0</v>
      </c>
      <c r="X38" s="36">
        <f t="shared" si="32"/>
        <v>25</v>
      </c>
      <c r="Y38" s="36">
        <f t="shared" si="33"/>
        <v>8</v>
      </c>
      <c r="Z38" s="36">
        <f t="shared" si="34"/>
        <v>6</v>
      </c>
      <c r="AA38" s="36">
        <f t="shared" si="35"/>
        <v>0</v>
      </c>
      <c r="AB38" s="36">
        <f t="shared" si="36"/>
        <v>12</v>
      </c>
      <c r="AC38" s="36">
        <f t="shared" si="37"/>
        <v>0</v>
      </c>
      <c r="AD38" s="38">
        <f t="shared" si="38"/>
        <v>51</v>
      </c>
      <c r="AE38" s="38">
        <f t="shared" si="39"/>
        <v>25.5</v>
      </c>
      <c r="AF38" s="36">
        <f>COUNTIFS(MatchScoutingData!$F$2:$F$1000, $A38, MatchScoutingData!$X$2:$X$1000, "p")</f>
        <v>1</v>
      </c>
      <c r="AG38" s="36">
        <f>COUNTIFS(MatchScoutingData!$F$2:$F$1000, $A38, MatchScoutingData!$X$2:$X$1000, "s")</f>
        <v>0</v>
      </c>
      <c r="AH38" s="36">
        <f>COUNTIFS(MatchScoutingData!$F$2:$F$1000, $A38, MatchScoutingData!$X$2:$X$1000, "d")</f>
        <v>0</v>
      </c>
      <c r="AI38" s="36">
        <f t="shared" si="40"/>
        <v>2</v>
      </c>
      <c r="AJ38" s="36">
        <f t="shared" si="41"/>
        <v>0</v>
      </c>
      <c r="AK38" s="36">
        <f t="shared" si="42"/>
        <v>0</v>
      </c>
      <c r="AL38" s="39">
        <f t="shared" si="43"/>
        <v>2</v>
      </c>
      <c r="AM38" s="39">
        <f t="shared" si="44"/>
        <v>1</v>
      </c>
      <c r="AN38" s="40">
        <f t="shared" si="45"/>
        <v>66</v>
      </c>
      <c r="AO38" s="40">
        <f t="shared" si="46"/>
        <v>33</v>
      </c>
      <c r="AP38" s="36">
        <f>SUMIF(MatchScoutingData!$F$2:$F$1000, $A38, MatchScoutingData!Z$2:Z$1000)</f>
        <v>1</v>
      </c>
      <c r="AQ38" s="36">
        <f>SUMIF(MatchScoutingData!$F$2:$F$1000, $A38, MatchScoutingData!AA$2:AA$1000)</f>
        <v>1</v>
      </c>
      <c r="AR38" s="36">
        <f>SUMIF(MatchScoutingData!$F$2:$F$1000, $A38, MatchScoutingData!AB$2:AB$1000)</f>
        <v>0</v>
      </c>
      <c r="AS38" s="36">
        <f t="shared" si="47"/>
        <v>2</v>
      </c>
    </row>
    <row r="39" spans="1:45" ht="16" x14ac:dyDescent="0.2">
      <c r="A39" s="35">
        <v>5149</v>
      </c>
      <c r="B39" s="36">
        <f>COUNTIF(MatchScoutingData!F$2:F$1000, $A39)</f>
        <v>2</v>
      </c>
      <c r="C39" s="36">
        <f>SUMIF(MatchScoutingData!$F$2:$F$1000, $A39, MatchScoutingData!I$2:I$1000)</f>
        <v>0</v>
      </c>
      <c r="D39" s="36">
        <f>SUMIF(MatchScoutingData!$F$2:$F$1000, $A39, MatchScoutingData!J$2:J$1000)</f>
        <v>0</v>
      </c>
      <c r="E39" s="36">
        <f>SUMIF(MatchScoutingData!$F$2:$F$1000, $A39, MatchScoutingData!K$2:K$1000)</f>
        <v>0</v>
      </c>
      <c r="F39" s="36">
        <f>SUMIF(MatchScoutingData!$F$2:$F$1000, $A39, MatchScoutingData!L$2:L$1000)</f>
        <v>0</v>
      </c>
      <c r="G39" s="36">
        <f>SUMIF(MatchScoutingData!$F$2:$F$1000, $A39, MatchScoutingData!M$2:M$1000)</f>
        <v>0</v>
      </c>
      <c r="H39" s="36">
        <f>SUMIF(MatchScoutingData!$F$2:$F$1000, $A39, MatchScoutingData!N$2:N$1000)</f>
        <v>0</v>
      </c>
      <c r="I39" s="36">
        <f t="shared" si="24"/>
        <v>0</v>
      </c>
      <c r="J39" s="36">
        <f t="shared" si="25"/>
        <v>0</v>
      </c>
      <c r="K39" s="36">
        <f t="shared" si="26"/>
        <v>0</v>
      </c>
      <c r="L39" s="36">
        <f t="shared" si="27"/>
        <v>0</v>
      </c>
      <c r="M39" s="36">
        <f t="shared" si="28"/>
        <v>0</v>
      </c>
      <c r="N39" s="36">
        <f t="shared" si="29"/>
        <v>0</v>
      </c>
      <c r="O39" s="36">
        <f>SUMIF(MatchScoutingData!$F$2:$F$1000, $A39, MatchScoutingData!H$2:H$1000) * 3</f>
        <v>3</v>
      </c>
      <c r="P39" s="37">
        <f t="shared" si="30"/>
        <v>3</v>
      </c>
      <c r="Q39" s="37">
        <f t="shared" si="31"/>
        <v>1.5</v>
      </c>
      <c r="R39" s="36">
        <f>SUMIF(MatchScoutingData!$F$2:$F$1000, $A39, MatchScoutingData!P$2:P$1000)</f>
        <v>1</v>
      </c>
      <c r="S39" s="36">
        <f>SUMIF(MatchScoutingData!$F$2:$F$1000, $A39, MatchScoutingData!Q$2:Q$1000)</f>
        <v>2</v>
      </c>
      <c r="T39" s="36">
        <f>SUMIF(MatchScoutingData!$F$2:$F$1000, $A39, MatchScoutingData!R$2:R$1000)</f>
        <v>6</v>
      </c>
      <c r="U39" s="36">
        <f>SUMIF(MatchScoutingData!$F$2:$F$1000, $A39, MatchScoutingData!S$2:S$1000)</f>
        <v>2</v>
      </c>
      <c r="V39" s="36">
        <f>SUMIF(MatchScoutingData!$F$2:$F$1000, $A39, MatchScoutingData!T$2:T$1000)</f>
        <v>1</v>
      </c>
      <c r="W39" s="36">
        <f>SUMIF(MatchScoutingData!$F$2:$F$1000, $A39, MatchScoutingData!U$2:U$1000)</f>
        <v>2</v>
      </c>
      <c r="X39" s="36">
        <f t="shared" si="32"/>
        <v>5</v>
      </c>
      <c r="Y39" s="36">
        <f t="shared" si="33"/>
        <v>8</v>
      </c>
      <c r="Z39" s="36">
        <f t="shared" si="34"/>
        <v>18</v>
      </c>
      <c r="AA39" s="36">
        <f t="shared" si="35"/>
        <v>4</v>
      </c>
      <c r="AB39" s="36">
        <f t="shared" si="36"/>
        <v>6</v>
      </c>
      <c r="AC39" s="36">
        <f t="shared" si="37"/>
        <v>8</v>
      </c>
      <c r="AD39" s="38">
        <f t="shared" si="38"/>
        <v>49</v>
      </c>
      <c r="AE39" s="38">
        <f t="shared" si="39"/>
        <v>24.5</v>
      </c>
      <c r="AF39" s="36">
        <f>COUNTIFS(MatchScoutingData!$F$2:$F$1000, $A39, MatchScoutingData!$X$2:$X$1000, "p")</f>
        <v>1</v>
      </c>
      <c r="AG39" s="36">
        <f>COUNTIFS(MatchScoutingData!$F$2:$F$1000, $A39, MatchScoutingData!$X$2:$X$1000, "s")</f>
        <v>0</v>
      </c>
      <c r="AH39" s="36">
        <f>COUNTIFS(MatchScoutingData!$F$2:$F$1000, $A39, MatchScoutingData!$X$2:$X$1000, "d")</f>
        <v>0</v>
      </c>
      <c r="AI39" s="36">
        <f t="shared" si="40"/>
        <v>2</v>
      </c>
      <c r="AJ39" s="36">
        <f t="shared" si="41"/>
        <v>0</v>
      </c>
      <c r="AK39" s="36">
        <f t="shared" si="42"/>
        <v>0</v>
      </c>
      <c r="AL39" s="39">
        <f t="shared" si="43"/>
        <v>2</v>
      </c>
      <c r="AM39" s="39">
        <f t="shared" si="44"/>
        <v>1</v>
      </c>
      <c r="AN39" s="40">
        <f t="shared" si="45"/>
        <v>54</v>
      </c>
      <c r="AO39" s="40">
        <f t="shared" si="46"/>
        <v>27</v>
      </c>
      <c r="AP39" s="36">
        <f>SUMIF(MatchScoutingData!$F$2:$F$1000, $A39, MatchScoutingData!Z$2:Z$1000)</f>
        <v>1</v>
      </c>
      <c r="AQ39" s="36">
        <f>SUMIF(MatchScoutingData!$F$2:$F$1000, $A39, MatchScoutingData!AA$2:AA$1000)</f>
        <v>1</v>
      </c>
      <c r="AR39" s="36">
        <f>SUMIF(MatchScoutingData!$F$2:$F$1000, $A39, MatchScoutingData!AB$2:AB$1000)</f>
        <v>1</v>
      </c>
      <c r="AS39" s="36">
        <f t="shared" si="47"/>
        <v>3</v>
      </c>
    </row>
    <row r="40" spans="1:45" ht="16" x14ac:dyDescent="0.2">
      <c r="A40" s="35">
        <v>5528</v>
      </c>
      <c r="B40" s="36">
        <f>COUNTIF(MatchScoutingData!F$2:F$1000, $A40)</f>
        <v>3</v>
      </c>
      <c r="C40" s="36">
        <f>SUMIF(MatchScoutingData!$F$2:$F$1000, $A40, MatchScoutingData!I$2:I$1000)</f>
        <v>3</v>
      </c>
      <c r="D40" s="36">
        <f>SUMIF(MatchScoutingData!$F$2:$F$1000, $A40, MatchScoutingData!J$2:J$1000)</f>
        <v>0</v>
      </c>
      <c r="E40" s="36">
        <f>SUMIF(MatchScoutingData!$F$2:$F$1000, $A40, MatchScoutingData!K$2:K$1000)</f>
        <v>0</v>
      </c>
      <c r="F40" s="36">
        <f>SUMIF(MatchScoutingData!$F$2:$F$1000, $A40, MatchScoutingData!L$2:L$1000)</f>
        <v>1</v>
      </c>
      <c r="G40" s="36">
        <f>SUMIF(MatchScoutingData!$F$2:$F$1000, $A40, MatchScoutingData!M$2:M$1000)</f>
        <v>0</v>
      </c>
      <c r="H40" s="36">
        <f>SUMIF(MatchScoutingData!$F$2:$F$1000, $A40, MatchScoutingData!N$2:N$1000)</f>
        <v>0</v>
      </c>
      <c r="I40" s="36">
        <f t="shared" si="24"/>
        <v>21</v>
      </c>
      <c r="J40" s="36">
        <f t="shared" si="25"/>
        <v>0</v>
      </c>
      <c r="K40" s="36">
        <f t="shared" si="26"/>
        <v>0</v>
      </c>
      <c r="L40" s="36">
        <f t="shared" si="27"/>
        <v>3</v>
      </c>
      <c r="M40" s="36">
        <f t="shared" si="28"/>
        <v>0</v>
      </c>
      <c r="N40" s="36">
        <f t="shared" si="29"/>
        <v>0</v>
      </c>
      <c r="O40" s="36">
        <f>SUMIF(MatchScoutingData!$F$2:$F$1000, $A40, MatchScoutingData!H$2:H$1000) * 3</f>
        <v>9</v>
      </c>
      <c r="P40" s="37">
        <f t="shared" si="30"/>
        <v>33</v>
      </c>
      <c r="Q40" s="37">
        <f t="shared" si="31"/>
        <v>11</v>
      </c>
      <c r="R40" s="36">
        <f>SUMIF(MatchScoutingData!$F$2:$F$1000, $A40, MatchScoutingData!P$2:P$1000)</f>
        <v>20</v>
      </c>
      <c r="S40" s="36">
        <f>SUMIF(MatchScoutingData!$F$2:$F$1000, $A40, MatchScoutingData!Q$2:Q$1000)</f>
        <v>3</v>
      </c>
      <c r="T40" s="36">
        <f>SUMIF(MatchScoutingData!$F$2:$F$1000, $A40, MatchScoutingData!R$2:R$1000)</f>
        <v>0</v>
      </c>
      <c r="U40" s="36">
        <f>SUMIF(MatchScoutingData!$F$2:$F$1000, $A40, MatchScoutingData!S$2:S$1000)</f>
        <v>1</v>
      </c>
      <c r="V40" s="36">
        <f>SUMIF(MatchScoutingData!$F$2:$F$1000, $A40, MatchScoutingData!T$2:T$1000)</f>
        <v>0</v>
      </c>
      <c r="W40" s="36">
        <f>SUMIF(MatchScoutingData!$F$2:$F$1000, $A40, MatchScoutingData!U$2:U$1000)</f>
        <v>0</v>
      </c>
      <c r="X40" s="36">
        <f t="shared" si="32"/>
        <v>100</v>
      </c>
      <c r="Y40" s="36">
        <f t="shared" si="33"/>
        <v>12</v>
      </c>
      <c r="Z40" s="36">
        <f t="shared" si="34"/>
        <v>0</v>
      </c>
      <c r="AA40" s="36">
        <f t="shared" si="35"/>
        <v>2</v>
      </c>
      <c r="AB40" s="36">
        <f t="shared" si="36"/>
        <v>0</v>
      </c>
      <c r="AC40" s="36">
        <f t="shared" si="37"/>
        <v>0</v>
      </c>
      <c r="AD40" s="38">
        <f t="shared" si="38"/>
        <v>114</v>
      </c>
      <c r="AE40" s="38">
        <f t="shared" si="39"/>
        <v>38</v>
      </c>
      <c r="AF40" s="36">
        <f>COUNTIFS(MatchScoutingData!$F$2:$F$1000, $A40, MatchScoutingData!$X$2:$X$1000, "p")</f>
        <v>1</v>
      </c>
      <c r="AG40" s="36">
        <f>COUNTIFS(MatchScoutingData!$F$2:$F$1000, $A40, MatchScoutingData!$X$2:$X$1000, "s")</f>
        <v>0</v>
      </c>
      <c r="AH40" s="36">
        <f>COUNTIFS(MatchScoutingData!$F$2:$F$1000, $A40, MatchScoutingData!$X$2:$X$1000, "d")</f>
        <v>1</v>
      </c>
      <c r="AI40" s="36">
        <f t="shared" si="40"/>
        <v>2</v>
      </c>
      <c r="AJ40" s="36">
        <f t="shared" si="41"/>
        <v>0</v>
      </c>
      <c r="AK40" s="36">
        <f t="shared" si="42"/>
        <v>12</v>
      </c>
      <c r="AL40" s="39">
        <f t="shared" si="43"/>
        <v>14</v>
      </c>
      <c r="AM40" s="39">
        <f t="shared" si="44"/>
        <v>4.666666666666667</v>
      </c>
      <c r="AN40" s="40">
        <f t="shared" si="45"/>
        <v>161</v>
      </c>
      <c r="AO40" s="40">
        <f t="shared" si="46"/>
        <v>53.666666666666664</v>
      </c>
      <c r="AP40" s="36">
        <f>SUMIF(MatchScoutingData!$F$2:$F$1000, $A40, MatchScoutingData!Z$2:Z$1000)</f>
        <v>3</v>
      </c>
      <c r="AQ40" s="36">
        <f>SUMIF(MatchScoutingData!$F$2:$F$1000, $A40, MatchScoutingData!AA$2:AA$1000)</f>
        <v>0</v>
      </c>
      <c r="AR40" s="36">
        <f>SUMIF(MatchScoutingData!$F$2:$F$1000, $A40, MatchScoutingData!AB$2:AB$1000)</f>
        <v>2</v>
      </c>
      <c r="AS40" s="36">
        <f t="shared" si="47"/>
        <v>5</v>
      </c>
    </row>
    <row r="41" spans="1:45" ht="16" x14ac:dyDescent="0.2">
      <c r="A41" s="35">
        <v>5881</v>
      </c>
      <c r="B41" s="36">
        <f>COUNTIF(MatchScoutingData!F$2:F$1000, $A41)</f>
        <v>5</v>
      </c>
      <c r="C41" s="36">
        <f>SUMIF(MatchScoutingData!$F$2:$F$1000, $A41, MatchScoutingData!I$2:I$1000)</f>
        <v>0</v>
      </c>
      <c r="D41" s="36">
        <f>SUMIF(MatchScoutingData!$F$2:$F$1000, $A41, MatchScoutingData!J$2:J$1000)</f>
        <v>0</v>
      </c>
      <c r="E41" s="36">
        <f>SUMIF(MatchScoutingData!$F$2:$F$1000, $A41, MatchScoutingData!K$2:K$1000)</f>
        <v>0</v>
      </c>
      <c r="F41" s="36">
        <f>SUMIF(MatchScoutingData!$F$2:$F$1000, $A41, MatchScoutingData!L$2:L$1000)</f>
        <v>2</v>
      </c>
      <c r="G41" s="36">
        <f>SUMIF(MatchScoutingData!$F$2:$F$1000, $A41, MatchScoutingData!M$2:M$1000)</f>
        <v>0</v>
      </c>
      <c r="H41" s="36">
        <f>SUMIF(MatchScoutingData!$F$2:$F$1000, $A41, MatchScoutingData!N$2:N$1000)</f>
        <v>0</v>
      </c>
      <c r="I41" s="36">
        <f t="shared" si="24"/>
        <v>0</v>
      </c>
      <c r="J41" s="36">
        <f t="shared" si="25"/>
        <v>0</v>
      </c>
      <c r="K41" s="36">
        <f t="shared" si="26"/>
        <v>0</v>
      </c>
      <c r="L41" s="36">
        <f t="shared" si="27"/>
        <v>6</v>
      </c>
      <c r="M41" s="36">
        <f t="shared" si="28"/>
        <v>0</v>
      </c>
      <c r="N41" s="36">
        <f t="shared" si="29"/>
        <v>0</v>
      </c>
      <c r="O41" s="36">
        <f>SUMIF(MatchScoutingData!$F$2:$F$1000, $A41, MatchScoutingData!H$2:H$1000) * 3</f>
        <v>6</v>
      </c>
      <c r="P41" s="37">
        <f t="shared" si="30"/>
        <v>12</v>
      </c>
      <c r="Q41" s="37">
        <f t="shared" si="31"/>
        <v>2.4</v>
      </c>
      <c r="R41" s="36">
        <f>SUMIF(MatchScoutingData!$F$2:$F$1000, $A41, MatchScoutingData!P$2:P$1000)</f>
        <v>0</v>
      </c>
      <c r="S41" s="36">
        <f>SUMIF(MatchScoutingData!$F$2:$F$1000, $A41, MatchScoutingData!Q$2:Q$1000)</f>
        <v>0</v>
      </c>
      <c r="T41" s="36">
        <f>SUMIF(MatchScoutingData!$F$2:$F$1000, $A41, MatchScoutingData!R$2:R$1000)</f>
        <v>9</v>
      </c>
      <c r="U41" s="36">
        <f>SUMIF(MatchScoutingData!$F$2:$F$1000, $A41, MatchScoutingData!S$2:S$1000)</f>
        <v>9</v>
      </c>
      <c r="V41" s="36">
        <f>SUMIF(MatchScoutingData!$F$2:$F$1000, $A41, MatchScoutingData!T$2:T$1000)</f>
        <v>0</v>
      </c>
      <c r="W41" s="36">
        <f>SUMIF(MatchScoutingData!$F$2:$F$1000, $A41, MatchScoutingData!U$2:U$1000)</f>
        <v>0</v>
      </c>
      <c r="X41" s="36">
        <f t="shared" si="32"/>
        <v>0</v>
      </c>
      <c r="Y41" s="36">
        <f t="shared" si="33"/>
        <v>0</v>
      </c>
      <c r="Z41" s="36">
        <f t="shared" si="34"/>
        <v>27</v>
      </c>
      <c r="AA41" s="36">
        <f t="shared" si="35"/>
        <v>18</v>
      </c>
      <c r="AB41" s="36">
        <f t="shared" si="36"/>
        <v>0</v>
      </c>
      <c r="AC41" s="36">
        <f t="shared" si="37"/>
        <v>0</v>
      </c>
      <c r="AD41" s="38">
        <f t="shared" si="38"/>
        <v>45</v>
      </c>
      <c r="AE41" s="38">
        <f t="shared" si="39"/>
        <v>9</v>
      </c>
      <c r="AF41" s="36">
        <f>COUNTIFS(MatchScoutingData!$F$2:$F$1000, $A41, MatchScoutingData!$X$2:$X$1000, "p")</f>
        <v>0</v>
      </c>
      <c r="AG41" s="36">
        <f>COUNTIFS(MatchScoutingData!$F$2:$F$1000, $A41, MatchScoutingData!$X$2:$X$1000, "s")</f>
        <v>1</v>
      </c>
      <c r="AH41" s="36">
        <f>COUNTIFS(MatchScoutingData!$F$2:$F$1000, $A41, MatchScoutingData!$X$2:$X$1000, "d")</f>
        <v>0</v>
      </c>
      <c r="AI41" s="36">
        <f t="shared" si="40"/>
        <v>0</v>
      </c>
      <c r="AJ41" s="36">
        <f t="shared" si="41"/>
        <v>6</v>
      </c>
      <c r="AK41" s="36">
        <f t="shared" si="42"/>
        <v>0</v>
      </c>
      <c r="AL41" s="39">
        <f t="shared" si="43"/>
        <v>6</v>
      </c>
      <c r="AM41" s="39">
        <f t="shared" si="44"/>
        <v>1.2</v>
      </c>
      <c r="AN41" s="40">
        <f t="shared" si="45"/>
        <v>63</v>
      </c>
      <c r="AO41" s="40">
        <f t="shared" si="46"/>
        <v>12.6</v>
      </c>
      <c r="AP41" s="36">
        <f>SUMIF(MatchScoutingData!$F$2:$F$1000, $A41, MatchScoutingData!Z$2:Z$1000)</f>
        <v>3</v>
      </c>
      <c r="AQ41" s="36">
        <f>SUMIF(MatchScoutingData!$F$2:$F$1000, $A41, MatchScoutingData!AA$2:AA$1000)</f>
        <v>1</v>
      </c>
      <c r="AR41" s="36">
        <f>SUMIF(MatchScoutingData!$F$2:$F$1000, $A41, MatchScoutingData!AB$2:AB$1000)</f>
        <v>2</v>
      </c>
      <c r="AS41" s="36">
        <f t="shared" si="47"/>
        <v>6</v>
      </c>
    </row>
    <row r="42" spans="1:45" ht="16" x14ac:dyDescent="0.2">
      <c r="A42" s="35">
        <v>6300</v>
      </c>
      <c r="B42" s="36">
        <f>COUNTIF(MatchScoutingData!F$2:F$1000, $A42)</f>
        <v>4</v>
      </c>
      <c r="C42" s="36">
        <f>SUMIF(MatchScoutingData!$F$2:$F$1000, $A42, MatchScoutingData!I$2:I$1000)</f>
        <v>0</v>
      </c>
      <c r="D42" s="36">
        <f>SUMIF(MatchScoutingData!$F$2:$F$1000, $A42, MatchScoutingData!J$2:J$1000)</f>
        <v>0</v>
      </c>
      <c r="E42" s="36">
        <f>SUMIF(MatchScoutingData!$F$2:$F$1000, $A42, MatchScoutingData!K$2:K$1000)</f>
        <v>0</v>
      </c>
      <c r="F42" s="36">
        <f>SUMIF(MatchScoutingData!$F$2:$F$1000, $A42, MatchScoutingData!L$2:L$1000)</f>
        <v>0</v>
      </c>
      <c r="G42" s="36">
        <f>SUMIF(MatchScoutingData!$F$2:$F$1000, $A42, MatchScoutingData!M$2:M$1000)</f>
        <v>0</v>
      </c>
      <c r="H42" s="36">
        <f>SUMIF(MatchScoutingData!$F$2:$F$1000, $A42, MatchScoutingData!N$2:N$1000)</f>
        <v>0</v>
      </c>
      <c r="I42" s="36">
        <f t="shared" si="24"/>
        <v>0</v>
      </c>
      <c r="J42" s="36">
        <f t="shared" si="25"/>
        <v>0</v>
      </c>
      <c r="K42" s="36">
        <f t="shared" si="26"/>
        <v>0</v>
      </c>
      <c r="L42" s="36">
        <f t="shared" si="27"/>
        <v>0</v>
      </c>
      <c r="M42" s="36">
        <f t="shared" si="28"/>
        <v>0</v>
      </c>
      <c r="N42" s="36">
        <f t="shared" si="29"/>
        <v>0</v>
      </c>
      <c r="O42" s="36">
        <f>SUMIF(MatchScoutingData!$F$2:$F$1000, $A42, MatchScoutingData!H$2:H$1000) * 3</f>
        <v>6</v>
      </c>
      <c r="P42" s="37">
        <f t="shared" si="30"/>
        <v>6</v>
      </c>
      <c r="Q42" s="37">
        <f t="shared" si="31"/>
        <v>1.5</v>
      </c>
      <c r="R42" s="36">
        <f>SUMIF(MatchScoutingData!$F$2:$F$1000, $A42, MatchScoutingData!P$2:P$1000)</f>
        <v>3</v>
      </c>
      <c r="S42" s="36">
        <f>SUMIF(MatchScoutingData!$F$2:$F$1000, $A42, MatchScoutingData!Q$2:Q$1000)</f>
        <v>4</v>
      </c>
      <c r="T42" s="36">
        <f>SUMIF(MatchScoutingData!$F$2:$F$1000, $A42, MatchScoutingData!R$2:R$1000)</f>
        <v>4</v>
      </c>
      <c r="U42" s="36">
        <f>SUMIF(MatchScoutingData!$F$2:$F$1000, $A42, MatchScoutingData!S$2:S$1000)</f>
        <v>0</v>
      </c>
      <c r="V42" s="36">
        <f>SUMIF(MatchScoutingData!$F$2:$F$1000, $A42, MatchScoutingData!T$2:T$1000)</f>
        <v>0</v>
      </c>
      <c r="W42" s="36">
        <f>SUMIF(MatchScoutingData!$F$2:$F$1000, $A42, MatchScoutingData!U$2:U$1000)</f>
        <v>0</v>
      </c>
      <c r="X42" s="36">
        <f t="shared" si="32"/>
        <v>15</v>
      </c>
      <c r="Y42" s="36">
        <f t="shared" si="33"/>
        <v>16</v>
      </c>
      <c r="Z42" s="36">
        <f t="shared" si="34"/>
        <v>12</v>
      </c>
      <c r="AA42" s="36">
        <f t="shared" si="35"/>
        <v>0</v>
      </c>
      <c r="AB42" s="36">
        <f t="shared" si="36"/>
        <v>0</v>
      </c>
      <c r="AC42" s="36">
        <f t="shared" si="37"/>
        <v>0</v>
      </c>
      <c r="AD42" s="38">
        <f t="shared" si="38"/>
        <v>43</v>
      </c>
      <c r="AE42" s="38">
        <f t="shared" si="39"/>
        <v>10.75</v>
      </c>
      <c r="AF42" s="36">
        <f>COUNTIFS(MatchScoutingData!$F$2:$F$1000, $A42, MatchScoutingData!$X$2:$X$1000, "p")</f>
        <v>2</v>
      </c>
      <c r="AG42" s="36">
        <f>COUNTIFS(MatchScoutingData!$F$2:$F$1000, $A42, MatchScoutingData!$X$2:$X$1000, "s")</f>
        <v>0</v>
      </c>
      <c r="AH42" s="36">
        <f>COUNTIFS(MatchScoutingData!$F$2:$F$1000, $A42, MatchScoutingData!$X$2:$X$1000, "d")</f>
        <v>1</v>
      </c>
      <c r="AI42" s="36">
        <f t="shared" si="40"/>
        <v>4</v>
      </c>
      <c r="AJ42" s="36">
        <f t="shared" si="41"/>
        <v>0</v>
      </c>
      <c r="AK42" s="36">
        <f t="shared" si="42"/>
        <v>12</v>
      </c>
      <c r="AL42" s="39">
        <f t="shared" si="43"/>
        <v>16</v>
      </c>
      <c r="AM42" s="39">
        <f t="shared" si="44"/>
        <v>4</v>
      </c>
      <c r="AN42" s="40">
        <f t="shared" si="45"/>
        <v>65</v>
      </c>
      <c r="AO42" s="40">
        <f t="shared" si="46"/>
        <v>16.25</v>
      </c>
      <c r="AP42" s="36">
        <f>SUMIF(MatchScoutingData!$F$2:$F$1000, $A42, MatchScoutingData!Z$2:Z$1000)</f>
        <v>2</v>
      </c>
      <c r="AQ42" s="36">
        <f>SUMIF(MatchScoutingData!$F$2:$F$1000, $A42, MatchScoutingData!AA$2:AA$1000)</f>
        <v>0</v>
      </c>
      <c r="AR42" s="36">
        <f>SUMIF(MatchScoutingData!$F$2:$F$1000, $A42, MatchScoutingData!AB$2:AB$1000)</f>
        <v>2</v>
      </c>
      <c r="AS42" s="36">
        <f t="shared" si="47"/>
        <v>4</v>
      </c>
    </row>
    <row r="43" spans="1:45" ht="16" x14ac:dyDescent="0.2">
      <c r="A43" s="35">
        <v>6401</v>
      </c>
      <c r="B43" s="36">
        <f>COUNTIF(MatchScoutingData!F$2:F$1000, $A43)</f>
        <v>3</v>
      </c>
      <c r="C43" s="36">
        <f>SUMIF(MatchScoutingData!$F$2:$F$1000, $A43, MatchScoutingData!I$2:I$1000)</f>
        <v>0</v>
      </c>
      <c r="D43" s="36">
        <f>SUMIF(MatchScoutingData!$F$2:$F$1000, $A43, MatchScoutingData!J$2:J$1000)</f>
        <v>0</v>
      </c>
      <c r="E43" s="36">
        <f>SUMIF(MatchScoutingData!$F$2:$F$1000, $A43, MatchScoutingData!K$2:K$1000)</f>
        <v>1</v>
      </c>
      <c r="F43" s="36">
        <f>SUMIF(MatchScoutingData!$F$2:$F$1000, $A43, MatchScoutingData!L$2:L$1000)</f>
        <v>0</v>
      </c>
      <c r="G43" s="36">
        <f>SUMIF(MatchScoutingData!$F$2:$F$1000, $A43, MatchScoutingData!M$2:M$1000)</f>
        <v>0</v>
      </c>
      <c r="H43" s="36">
        <f>SUMIF(MatchScoutingData!$F$2:$F$1000, $A43, MatchScoutingData!N$2:N$1000)</f>
        <v>0</v>
      </c>
      <c r="I43" s="36">
        <f t="shared" si="24"/>
        <v>0</v>
      </c>
      <c r="J43" s="36">
        <f t="shared" si="25"/>
        <v>0</v>
      </c>
      <c r="K43" s="36">
        <f t="shared" si="26"/>
        <v>4</v>
      </c>
      <c r="L43" s="36">
        <f t="shared" si="27"/>
        <v>0</v>
      </c>
      <c r="M43" s="36">
        <f t="shared" si="28"/>
        <v>0</v>
      </c>
      <c r="N43" s="36">
        <f t="shared" si="29"/>
        <v>0</v>
      </c>
      <c r="O43" s="36">
        <f>SUMIF(MatchScoutingData!$F$2:$F$1000, $A43, MatchScoutingData!H$2:H$1000) * 3</f>
        <v>6</v>
      </c>
      <c r="P43" s="37">
        <f t="shared" si="30"/>
        <v>10</v>
      </c>
      <c r="Q43" s="37">
        <f t="shared" si="31"/>
        <v>3.3333333333333335</v>
      </c>
      <c r="R43" s="36">
        <f>SUMIF(MatchScoutingData!$F$2:$F$1000, $A43, MatchScoutingData!P$2:P$1000)</f>
        <v>5</v>
      </c>
      <c r="S43" s="36">
        <f>SUMIF(MatchScoutingData!$F$2:$F$1000, $A43, MatchScoutingData!Q$2:Q$1000)</f>
        <v>6</v>
      </c>
      <c r="T43" s="36">
        <f>SUMIF(MatchScoutingData!$F$2:$F$1000, $A43, MatchScoutingData!R$2:R$1000)</f>
        <v>2</v>
      </c>
      <c r="U43" s="36">
        <f>SUMIF(MatchScoutingData!$F$2:$F$1000, $A43, MatchScoutingData!S$2:S$1000)</f>
        <v>0</v>
      </c>
      <c r="V43" s="36">
        <f>SUMIF(MatchScoutingData!$F$2:$F$1000, $A43, MatchScoutingData!T$2:T$1000)</f>
        <v>0</v>
      </c>
      <c r="W43" s="36">
        <f>SUMIF(MatchScoutingData!$F$2:$F$1000, $A43, MatchScoutingData!U$2:U$1000)</f>
        <v>0</v>
      </c>
      <c r="X43" s="36">
        <f t="shared" si="32"/>
        <v>25</v>
      </c>
      <c r="Y43" s="36">
        <f t="shared" si="33"/>
        <v>24</v>
      </c>
      <c r="Z43" s="36">
        <f t="shared" si="34"/>
        <v>6</v>
      </c>
      <c r="AA43" s="36">
        <f t="shared" si="35"/>
        <v>0</v>
      </c>
      <c r="AB43" s="36">
        <f t="shared" si="36"/>
        <v>0</v>
      </c>
      <c r="AC43" s="36">
        <f t="shared" si="37"/>
        <v>0</v>
      </c>
      <c r="AD43" s="38">
        <f t="shared" si="38"/>
        <v>55</v>
      </c>
      <c r="AE43" s="38">
        <f t="shared" si="39"/>
        <v>18.333333333333332</v>
      </c>
      <c r="AF43" s="36">
        <f>COUNTIFS(MatchScoutingData!$F$2:$F$1000, $A43, MatchScoutingData!$X$2:$X$1000, "p")</f>
        <v>1</v>
      </c>
      <c r="AG43" s="36">
        <f>COUNTIFS(MatchScoutingData!$F$2:$F$1000, $A43, MatchScoutingData!$X$2:$X$1000, "s")</f>
        <v>0</v>
      </c>
      <c r="AH43" s="36">
        <f>COUNTIFS(MatchScoutingData!$F$2:$F$1000, $A43, MatchScoutingData!$X$2:$X$1000, "d")</f>
        <v>0</v>
      </c>
      <c r="AI43" s="36">
        <f t="shared" si="40"/>
        <v>2</v>
      </c>
      <c r="AJ43" s="36">
        <f t="shared" si="41"/>
        <v>0</v>
      </c>
      <c r="AK43" s="36">
        <f t="shared" si="42"/>
        <v>0</v>
      </c>
      <c r="AL43" s="39">
        <f t="shared" si="43"/>
        <v>2</v>
      </c>
      <c r="AM43" s="39">
        <f t="shared" si="44"/>
        <v>0.66666666666666663</v>
      </c>
      <c r="AN43" s="40">
        <f t="shared" si="45"/>
        <v>67</v>
      </c>
      <c r="AO43" s="40">
        <f t="shared" si="46"/>
        <v>22.333333333333332</v>
      </c>
      <c r="AP43" s="36">
        <f>SUMIF(MatchScoutingData!$F$2:$F$1000, $A43, MatchScoutingData!Z$2:Z$1000)</f>
        <v>3</v>
      </c>
      <c r="AQ43" s="36">
        <f>SUMIF(MatchScoutingData!$F$2:$F$1000, $A43, MatchScoutingData!AA$2:AA$1000)</f>
        <v>1</v>
      </c>
      <c r="AR43" s="36">
        <f>SUMIF(MatchScoutingData!$F$2:$F$1000, $A43, MatchScoutingData!AB$2:AB$1000)</f>
        <v>1</v>
      </c>
      <c r="AS43" s="36">
        <f t="shared" si="47"/>
        <v>5</v>
      </c>
    </row>
    <row r="44" spans="1:45" ht="16" x14ac:dyDescent="0.2">
      <c r="A44" s="35">
        <v>6463</v>
      </c>
      <c r="B44" s="36">
        <f>COUNTIF(MatchScoutingData!F$2:F$1000, $A44)</f>
        <v>4</v>
      </c>
      <c r="C44" s="36">
        <f>SUMIF(MatchScoutingData!$F$2:$F$1000, $A44, MatchScoutingData!I$2:I$1000)</f>
        <v>0</v>
      </c>
      <c r="D44" s="36">
        <f>SUMIF(MatchScoutingData!$F$2:$F$1000, $A44, MatchScoutingData!J$2:J$1000)</f>
        <v>0</v>
      </c>
      <c r="E44" s="36">
        <f>SUMIF(MatchScoutingData!$F$2:$F$1000, $A44, MatchScoutingData!K$2:K$1000)</f>
        <v>0</v>
      </c>
      <c r="F44" s="36">
        <f>SUMIF(MatchScoutingData!$F$2:$F$1000, $A44, MatchScoutingData!L$2:L$1000)</f>
        <v>0</v>
      </c>
      <c r="G44" s="36">
        <f>SUMIF(MatchScoutingData!$F$2:$F$1000, $A44, MatchScoutingData!M$2:M$1000)</f>
        <v>0</v>
      </c>
      <c r="H44" s="36">
        <f>SUMIF(MatchScoutingData!$F$2:$F$1000, $A44, MatchScoutingData!N$2:N$1000)</f>
        <v>0</v>
      </c>
      <c r="I44" s="36">
        <f t="shared" si="24"/>
        <v>0</v>
      </c>
      <c r="J44" s="36">
        <f t="shared" si="25"/>
        <v>0</v>
      </c>
      <c r="K44" s="36">
        <f t="shared" si="26"/>
        <v>0</v>
      </c>
      <c r="L44" s="36">
        <f t="shared" si="27"/>
        <v>0</v>
      </c>
      <c r="M44" s="36">
        <f t="shared" si="28"/>
        <v>0</v>
      </c>
      <c r="N44" s="36">
        <f t="shared" si="29"/>
        <v>0</v>
      </c>
      <c r="O44" s="36">
        <f>SUMIF(MatchScoutingData!$F$2:$F$1000, $A44, MatchScoutingData!H$2:H$1000) * 3</f>
        <v>6</v>
      </c>
      <c r="P44" s="37">
        <f t="shared" si="30"/>
        <v>6</v>
      </c>
      <c r="Q44" s="37">
        <f t="shared" si="31"/>
        <v>1.5</v>
      </c>
      <c r="R44" s="36">
        <f>SUMIF(MatchScoutingData!$F$2:$F$1000, $A44, MatchScoutingData!P$2:P$1000)</f>
        <v>9</v>
      </c>
      <c r="S44" s="36">
        <f>SUMIF(MatchScoutingData!$F$2:$F$1000, $A44, MatchScoutingData!Q$2:Q$1000)</f>
        <v>3</v>
      </c>
      <c r="T44" s="36">
        <f>SUMIF(MatchScoutingData!$F$2:$F$1000, $A44, MatchScoutingData!R$2:R$1000)</f>
        <v>0</v>
      </c>
      <c r="U44" s="36">
        <f>SUMIF(MatchScoutingData!$F$2:$F$1000, $A44, MatchScoutingData!S$2:S$1000)</f>
        <v>0</v>
      </c>
      <c r="V44" s="36">
        <f>SUMIF(MatchScoutingData!$F$2:$F$1000, $A44, MatchScoutingData!T$2:T$1000)</f>
        <v>0</v>
      </c>
      <c r="W44" s="36">
        <f>SUMIF(MatchScoutingData!$F$2:$F$1000, $A44, MatchScoutingData!U$2:U$1000)</f>
        <v>0</v>
      </c>
      <c r="X44" s="36">
        <f t="shared" si="32"/>
        <v>45</v>
      </c>
      <c r="Y44" s="36">
        <f t="shared" si="33"/>
        <v>12</v>
      </c>
      <c r="Z44" s="36">
        <f t="shared" si="34"/>
        <v>0</v>
      </c>
      <c r="AA44" s="36">
        <f t="shared" si="35"/>
        <v>0</v>
      </c>
      <c r="AB44" s="36">
        <f t="shared" si="36"/>
        <v>0</v>
      </c>
      <c r="AC44" s="36">
        <f t="shared" si="37"/>
        <v>0</v>
      </c>
      <c r="AD44" s="38">
        <f t="shared" si="38"/>
        <v>57</v>
      </c>
      <c r="AE44" s="38">
        <f t="shared" si="39"/>
        <v>14.25</v>
      </c>
      <c r="AF44" s="36">
        <f>COUNTIFS(MatchScoutingData!$F$2:$F$1000, $A44, MatchScoutingData!$X$2:$X$1000, "p")</f>
        <v>0</v>
      </c>
      <c r="AG44" s="36">
        <f>COUNTIFS(MatchScoutingData!$F$2:$F$1000, $A44, MatchScoutingData!$X$2:$X$1000, "s")</f>
        <v>0</v>
      </c>
      <c r="AH44" s="36">
        <f>COUNTIFS(MatchScoutingData!$F$2:$F$1000, $A44, MatchScoutingData!$X$2:$X$1000, "d")</f>
        <v>0</v>
      </c>
      <c r="AI44" s="36">
        <f t="shared" si="40"/>
        <v>0</v>
      </c>
      <c r="AJ44" s="36">
        <f t="shared" si="41"/>
        <v>0</v>
      </c>
      <c r="AK44" s="36">
        <f t="shared" si="42"/>
        <v>0</v>
      </c>
      <c r="AL44" s="39">
        <f t="shared" si="43"/>
        <v>0</v>
      </c>
      <c r="AM44" s="39">
        <f t="shared" si="44"/>
        <v>0</v>
      </c>
      <c r="AN44" s="40">
        <f t="shared" si="45"/>
        <v>63</v>
      </c>
      <c r="AO44" s="40">
        <f t="shared" si="46"/>
        <v>15.75</v>
      </c>
      <c r="AP44" s="36">
        <f>SUMIF(MatchScoutingData!$F$2:$F$1000, $A44, MatchScoutingData!Z$2:Z$1000)</f>
        <v>1</v>
      </c>
      <c r="AQ44" s="36">
        <f>SUMIF(MatchScoutingData!$F$2:$F$1000, $A44, MatchScoutingData!AA$2:AA$1000)</f>
        <v>0</v>
      </c>
      <c r="AR44" s="36">
        <f>SUMIF(MatchScoutingData!$F$2:$F$1000, $A44, MatchScoutingData!AB$2:AB$1000)</f>
        <v>1</v>
      </c>
      <c r="AS44" s="36">
        <f t="shared" si="47"/>
        <v>2</v>
      </c>
    </row>
    <row r="45" spans="1:45" ht="16" x14ac:dyDescent="0.2">
      <c r="A45" s="35">
        <v>6621</v>
      </c>
      <c r="B45" s="36">
        <f>COUNTIF(MatchScoutingData!F$2:F$1000, $A45)</f>
        <v>4</v>
      </c>
      <c r="C45" s="36">
        <f>SUMIF(MatchScoutingData!$F$2:$F$1000, $A45, MatchScoutingData!I$2:I$1000)</f>
        <v>5</v>
      </c>
      <c r="D45" s="36">
        <f>SUMIF(MatchScoutingData!$F$2:$F$1000, $A45, MatchScoutingData!J$2:J$1000)</f>
        <v>0</v>
      </c>
      <c r="E45" s="36">
        <f>SUMIF(MatchScoutingData!$F$2:$F$1000, $A45, MatchScoutingData!K$2:K$1000)</f>
        <v>0</v>
      </c>
      <c r="F45" s="36">
        <f>SUMIF(MatchScoutingData!$F$2:$F$1000, $A45, MatchScoutingData!L$2:L$1000)</f>
        <v>0</v>
      </c>
      <c r="G45" s="36">
        <f>SUMIF(MatchScoutingData!$F$2:$F$1000, $A45, MatchScoutingData!M$2:M$1000)</f>
        <v>0</v>
      </c>
      <c r="H45" s="36">
        <f>SUMIF(MatchScoutingData!$F$2:$F$1000, $A45, MatchScoutingData!N$2:N$1000)</f>
        <v>0</v>
      </c>
      <c r="I45" s="36">
        <f t="shared" si="24"/>
        <v>35</v>
      </c>
      <c r="J45" s="36">
        <f t="shared" si="25"/>
        <v>0</v>
      </c>
      <c r="K45" s="36">
        <f t="shared" si="26"/>
        <v>0</v>
      </c>
      <c r="L45" s="36">
        <f t="shared" si="27"/>
        <v>0</v>
      </c>
      <c r="M45" s="36">
        <f t="shared" si="28"/>
        <v>0</v>
      </c>
      <c r="N45" s="36">
        <f t="shared" si="29"/>
        <v>0</v>
      </c>
      <c r="O45" s="36">
        <f>SUMIF(MatchScoutingData!$F$2:$F$1000, $A45, MatchScoutingData!H$2:H$1000) * 3</f>
        <v>12</v>
      </c>
      <c r="P45" s="37">
        <f t="shared" si="30"/>
        <v>47</v>
      </c>
      <c r="Q45" s="37">
        <f t="shared" si="31"/>
        <v>11.75</v>
      </c>
      <c r="R45" s="36">
        <f>SUMIF(MatchScoutingData!$F$2:$F$1000, $A45, MatchScoutingData!P$2:P$1000)</f>
        <v>17</v>
      </c>
      <c r="S45" s="36">
        <f>SUMIF(MatchScoutingData!$F$2:$F$1000, $A45, MatchScoutingData!Q$2:Q$1000)</f>
        <v>14</v>
      </c>
      <c r="T45" s="36">
        <f>SUMIF(MatchScoutingData!$F$2:$F$1000, $A45, MatchScoutingData!R$2:R$1000)</f>
        <v>9</v>
      </c>
      <c r="U45" s="36">
        <f>SUMIF(MatchScoutingData!$F$2:$F$1000, $A45, MatchScoutingData!S$2:S$1000)</f>
        <v>4</v>
      </c>
      <c r="V45" s="36">
        <f>SUMIF(MatchScoutingData!$F$2:$F$1000, $A45, MatchScoutingData!T$2:T$1000)</f>
        <v>0</v>
      </c>
      <c r="W45" s="36">
        <f>SUMIF(MatchScoutingData!$F$2:$F$1000, $A45, MatchScoutingData!U$2:U$1000)</f>
        <v>0</v>
      </c>
      <c r="X45" s="36">
        <f t="shared" si="32"/>
        <v>85</v>
      </c>
      <c r="Y45" s="36">
        <f t="shared" si="33"/>
        <v>56</v>
      </c>
      <c r="Z45" s="36">
        <f t="shared" si="34"/>
        <v>27</v>
      </c>
      <c r="AA45" s="36">
        <f t="shared" si="35"/>
        <v>8</v>
      </c>
      <c r="AB45" s="36">
        <f t="shared" si="36"/>
        <v>0</v>
      </c>
      <c r="AC45" s="36">
        <f t="shared" si="37"/>
        <v>0</v>
      </c>
      <c r="AD45" s="38">
        <f t="shared" si="38"/>
        <v>176</v>
      </c>
      <c r="AE45" s="38">
        <f t="shared" si="39"/>
        <v>44</v>
      </c>
      <c r="AF45" s="36">
        <f>COUNTIFS(MatchScoutingData!$F$2:$F$1000, $A45, MatchScoutingData!$X$2:$X$1000, "p")</f>
        <v>1</v>
      </c>
      <c r="AG45" s="36">
        <f>COUNTIFS(MatchScoutingData!$F$2:$F$1000, $A45, MatchScoutingData!$X$2:$X$1000, "s")</f>
        <v>0</v>
      </c>
      <c r="AH45" s="36">
        <f>COUNTIFS(MatchScoutingData!$F$2:$F$1000, $A45, MatchScoutingData!$X$2:$X$1000, "d")</f>
        <v>3</v>
      </c>
      <c r="AI45" s="36">
        <f t="shared" si="40"/>
        <v>2</v>
      </c>
      <c r="AJ45" s="36">
        <f t="shared" si="41"/>
        <v>0</v>
      </c>
      <c r="AK45" s="36">
        <f t="shared" si="42"/>
        <v>36</v>
      </c>
      <c r="AL45" s="39">
        <f t="shared" si="43"/>
        <v>38</v>
      </c>
      <c r="AM45" s="39">
        <f t="shared" si="44"/>
        <v>9.5</v>
      </c>
      <c r="AN45" s="40">
        <f t="shared" si="45"/>
        <v>261</v>
      </c>
      <c r="AO45" s="40">
        <f t="shared" si="46"/>
        <v>65.25</v>
      </c>
      <c r="AP45" s="36">
        <f>SUMIF(MatchScoutingData!$F$2:$F$1000, $A45, MatchScoutingData!Z$2:Z$1000)</f>
        <v>4</v>
      </c>
      <c r="AQ45" s="36">
        <f>SUMIF(MatchScoutingData!$F$2:$F$1000, $A45, MatchScoutingData!AA$2:AA$1000)</f>
        <v>2</v>
      </c>
      <c r="AR45" s="36">
        <f>SUMIF(MatchScoutingData!$F$2:$F$1000, $A45, MatchScoutingData!AB$2:AB$1000)</f>
        <v>4</v>
      </c>
      <c r="AS45" s="36">
        <f t="shared" si="47"/>
        <v>10</v>
      </c>
    </row>
    <row r="46" spans="1:45" ht="16" x14ac:dyDescent="0.2">
      <c r="A46" s="35">
        <v>6648</v>
      </c>
      <c r="B46" s="36">
        <f>COUNTIF(MatchScoutingData!F$2:F$1000, $A46)</f>
        <v>2</v>
      </c>
      <c r="C46" s="36">
        <f>SUMIF(MatchScoutingData!$F$2:$F$1000, $A46, MatchScoutingData!I$2:I$1000)</f>
        <v>0</v>
      </c>
      <c r="D46" s="36">
        <f>SUMIF(MatchScoutingData!$F$2:$F$1000, $A46, MatchScoutingData!J$2:J$1000)</f>
        <v>0</v>
      </c>
      <c r="E46" s="36">
        <f>SUMIF(MatchScoutingData!$F$2:$F$1000, $A46, MatchScoutingData!K$2:K$1000)</f>
        <v>0</v>
      </c>
      <c r="F46" s="36">
        <f>SUMIF(MatchScoutingData!$F$2:$F$1000, $A46, MatchScoutingData!L$2:L$1000)</f>
        <v>0</v>
      </c>
      <c r="G46" s="36">
        <f>SUMIF(MatchScoutingData!$F$2:$F$1000, $A46, MatchScoutingData!M$2:M$1000)</f>
        <v>0</v>
      </c>
      <c r="H46" s="36">
        <f>SUMIF(MatchScoutingData!$F$2:$F$1000, $A46, MatchScoutingData!N$2:N$1000)</f>
        <v>0</v>
      </c>
      <c r="I46" s="36">
        <f t="shared" si="24"/>
        <v>0</v>
      </c>
      <c r="J46" s="36">
        <f t="shared" si="25"/>
        <v>0</v>
      </c>
      <c r="K46" s="36">
        <f t="shared" si="26"/>
        <v>0</v>
      </c>
      <c r="L46" s="36">
        <f t="shared" si="27"/>
        <v>0</v>
      </c>
      <c r="M46" s="36">
        <f t="shared" si="28"/>
        <v>0</v>
      </c>
      <c r="N46" s="36">
        <f t="shared" si="29"/>
        <v>0</v>
      </c>
      <c r="O46" s="36">
        <f>SUMIF(MatchScoutingData!$F$2:$F$1000, $A46, MatchScoutingData!H$2:H$1000) * 3</f>
        <v>6</v>
      </c>
      <c r="P46" s="37">
        <f t="shared" si="30"/>
        <v>6</v>
      </c>
      <c r="Q46" s="37">
        <f t="shared" si="31"/>
        <v>3</v>
      </c>
      <c r="R46" s="36">
        <f>SUMIF(MatchScoutingData!$F$2:$F$1000, $A46, MatchScoutingData!P$2:P$1000)</f>
        <v>0</v>
      </c>
      <c r="S46" s="36">
        <f>SUMIF(MatchScoutingData!$F$2:$F$1000, $A46, MatchScoutingData!Q$2:Q$1000)</f>
        <v>0</v>
      </c>
      <c r="T46" s="36">
        <f>SUMIF(MatchScoutingData!$F$2:$F$1000, $A46, MatchScoutingData!R$2:R$1000)</f>
        <v>0</v>
      </c>
      <c r="U46" s="36">
        <f>SUMIF(MatchScoutingData!$F$2:$F$1000, $A46, MatchScoutingData!S$2:S$1000)</f>
        <v>0</v>
      </c>
      <c r="V46" s="36">
        <f>SUMIF(MatchScoutingData!$F$2:$F$1000, $A46, MatchScoutingData!T$2:T$1000)</f>
        <v>2</v>
      </c>
      <c r="W46" s="36">
        <f>SUMIF(MatchScoutingData!$F$2:$F$1000, $A46, MatchScoutingData!U$2:U$1000)</f>
        <v>0</v>
      </c>
      <c r="X46" s="36">
        <f t="shared" si="32"/>
        <v>0</v>
      </c>
      <c r="Y46" s="36">
        <f t="shared" si="33"/>
        <v>0</v>
      </c>
      <c r="Z46" s="36">
        <f t="shared" si="34"/>
        <v>0</v>
      </c>
      <c r="AA46" s="36">
        <f t="shared" si="35"/>
        <v>0</v>
      </c>
      <c r="AB46" s="36">
        <f t="shared" si="36"/>
        <v>12</v>
      </c>
      <c r="AC46" s="36">
        <f t="shared" si="37"/>
        <v>0</v>
      </c>
      <c r="AD46" s="38">
        <f t="shared" si="38"/>
        <v>12</v>
      </c>
      <c r="AE46" s="38">
        <f t="shared" si="39"/>
        <v>6</v>
      </c>
      <c r="AF46" s="36">
        <f>COUNTIFS(MatchScoutingData!$F$2:$F$1000, $A46, MatchScoutingData!$X$2:$X$1000, "p")</f>
        <v>1</v>
      </c>
      <c r="AG46" s="36">
        <f>COUNTIFS(MatchScoutingData!$F$2:$F$1000, $A46, MatchScoutingData!$X$2:$X$1000, "s")</f>
        <v>0</v>
      </c>
      <c r="AH46" s="36">
        <f>COUNTIFS(MatchScoutingData!$F$2:$F$1000, $A46, MatchScoutingData!$X$2:$X$1000, "d")</f>
        <v>0</v>
      </c>
      <c r="AI46" s="36">
        <f t="shared" si="40"/>
        <v>2</v>
      </c>
      <c r="AJ46" s="36">
        <f t="shared" si="41"/>
        <v>0</v>
      </c>
      <c r="AK46" s="36">
        <f t="shared" si="42"/>
        <v>0</v>
      </c>
      <c r="AL46" s="39">
        <f t="shared" si="43"/>
        <v>2</v>
      </c>
      <c r="AM46" s="39">
        <f t="shared" si="44"/>
        <v>1</v>
      </c>
      <c r="AN46" s="40">
        <f t="shared" si="45"/>
        <v>20</v>
      </c>
      <c r="AO46" s="40">
        <f t="shared" si="46"/>
        <v>10</v>
      </c>
      <c r="AP46" s="36">
        <f>SUMIF(MatchScoutingData!$F$2:$F$1000, $A46, MatchScoutingData!Z$2:Z$1000)</f>
        <v>2</v>
      </c>
      <c r="AQ46" s="36">
        <f>SUMIF(MatchScoutingData!$F$2:$F$1000, $A46, MatchScoutingData!AA$2:AA$1000)</f>
        <v>0</v>
      </c>
      <c r="AR46" s="36">
        <f>SUMIF(MatchScoutingData!$F$2:$F$1000, $A46, MatchScoutingData!AB$2:AB$1000)</f>
        <v>1</v>
      </c>
      <c r="AS46" s="36">
        <f t="shared" si="47"/>
        <v>3</v>
      </c>
    </row>
    <row r="47" spans="1:45" ht="16" x14ac:dyDescent="0.2">
      <c r="A47" s="35">
        <v>6806</v>
      </c>
      <c r="B47" s="36">
        <f>COUNTIF(MatchScoutingData!F$2:F$1000, $A47)</f>
        <v>2</v>
      </c>
      <c r="C47" s="36">
        <f>SUMIF(MatchScoutingData!$F$2:$F$1000, $A47, MatchScoutingData!I$2:I$1000)</f>
        <v>0</v>
      </c>
      <c r="D47" s="36">
        <f>SUMIF(MatchScoutingData!$F$2:$F$1000, $A47, MatchScoutingData!J$2:J$1000)</f>
        <v>0</v>
      </c>
      <c r="E47" s="36">
        <f>SUMIF(MatchScoutingData!$F$2:$F$1000, $A47, MatchScoutingData!K$2:K$1000)</f>
        <v>0</v>
      </c>
      <c r="F47" s="36">
        <f>SUMIF(MatchScoutingData!$F$2:$F$1000, $A47, MatchScoutingData!L$2:L$1000)</f>
        <v>0</v>
      </c>
      <c r="G47" s="36">
        <f>SUMIF(MatchScoutingData!$F$2:$F$1000, $A47, MatchScoutingData!M$2:M$1000)</f>
        <v>0</v>
      </c>
      <c r="H47" s="36">
        <f>SUMIF(MatchScoutingData!$F$2:$F$1000, $A47, MatchScoutingData!N$2:N$1000)</f>
        <v>0</v>
      </c>
      <c r="I47" s="36">
        <f t="shared" si="24"/>
        <v>0</v>
      </c>
      <c r="J47" s="36">
        <f t="shared" si="25"/>
        <v>0</v>
      </c>
      <c r="K47" s="36">
        <f t="shared" si="26"/>
        <v>0</v>
      </c>
      <c r="L47" s="36">
        <f t="shared" si="27"/>
        <v>0</v>
      </c>
      <c r="M47" s="36">
        <f t="shared" si="28"/>
        <v>0</v>
      </c>
      <c r="N47" s="36">
        <f t="shared" si="29"/>
        <v>0</v>
      </c>
      <c r="O47" s="36">
        <f>SUMIF(MatchScoutingData!$F$2:$F$1000, $A47, MatchScoutingData!H$2:H$1000) * 3</f>
        <v>6</v>
      </c>
      <c r="P47" s="37">
        <f t="shared" si="30"/>
        <v>6</v>
      </c>
      <c r="Q47" s="37">
        <f t="shared" si="31"/>
        <v>3</v>
      </c>
      <c r="R47" s="36">
        <f>SUMIF(MatchScoutingData!$F$2:$F$1000, $A47, MatchScoutingData!P$2:P$1000)</f>
        <v>0</v>
      </c>
      <c r="S47" s="36">
        <f>SUMIF(MatchScoutingData!$F$2:$F$1000, $A47, MatchScoutingData!Q$2:Q$1000)</f>
        <v>6</v>
      </c>
      <c r="T47" s="36">
        <f>SUMIF(MatchScoutingData!$F$2:$F$1000, $A47, MatchScoutingData!R$2:R$1000)</f>
        <v>4</v>
      </c>
      <c r="U47" s="36">
        <f>SUMIF(MatchScoutingData!$F$2:$F$1000, $A47, MatchScoutingData!S$2:S$1000)</f>
        <v>0</v>
      </c>
      <c r="V47" s="36">
        <f>SUMIF(MatchScoutingData!$F$2:$F$1000, $A47, MatchScoutingData!T$2:T$1000)</f>
        <v>0</v>
      </c>
      <c r="W47" s="36">
        <f>SUMIF(MatchScoutingData!$F$2:$F$1000, $A47, MatchScoutingData!U$2:U$1000)</f>
        <v>0</v>
      </c>
      <c r="X47" s="36">
        <f t="shared" si="32"/>
        <v>0</v>
      </c>
      <c r="Y47" s="36">
        <f t="shared" si="33"/>
        <v>24</v>
      </c>
      <c r="Z47" s="36">
        <f t="shared" si="34"/>
        <v>12</v>
      </c>
      <c r="AA47" s="36">
        <f t="shared" si="35"/>
        <v>0</v>
      </c>
      <c r="AB47" s="36">
        <f t="shared" si="36"/>
        <v>0</v>
      </c>
      <c r="AC47" s="36">
        <f t="shared" si="37"/>
        <v>0</v>
      </c>
      <c r="AD47" s="38">
        <f t="shared" si="38"/>
        <v>36</v>
      </c>
      <c r="AE47" s="38">
        <f t="shared" si="39"/>
        <v>18</v>
      </c>
      <c r="AF47" s="36">
        <f>COUNTIFS(MatchScoutingData!$F$2:$F$1000, $A47, MatchScoutingData!$X$2:$X$1000, "p")</f>
        <v>1</v>
      </c>
      <c r="AG47" s="36">
        <f>COUNTIFS(MatchScoutingData!$F$2:$F$1000, $A47, MatchScoutingData!$X$2:$X$1000, "s")</f>
        <v>0</v>
      </c>
      <c r="AH47" s="36">
        <f>COUNTIFS(MatchScoutingData!$F$2:$F$1000, $A47, MatchScoutingData!$X$2:$X$1000, "d")</f>
        <v>0</v>
      </c>
      <c r="AI47" s="36">
        <f t="shared" si="40"/>
        <v>2</v>
      </c>
      <c r="AJ47" s="36">
        <f t="shared" si="41"/>
        <v>0</v>
      </c>
      <c r="AK47" s="36">
        <f t="shared" si="42"/>
        <v>0</v>
      </c>
      <c r="AL47" s="39">
        <f t="shared" si="43"/>
        <v>2</v>
      </c>
      <c r="AM47" s="39">
        <f t="shared" si="44"/>
        <v>1</v>
      </c>
      <c r="AN47" s="40">
        <f t="shared" si="45"/>
        <v>44</v>
      </c>
      <c r="AO47" s="40">
        <f t="shared" si="46"/>
        <v>22</v>
      </c>
      <c r="AP47" s="36">
        <f>SUMIF(MatchScoutingData!$F$2:$F$1000, $A47, MatchScoutingData!Z$2:Z$1000)</f>
        <v>1</v>
      </c>
      <c r="AQ47" s="36">
        <f>SUMIF(MatchScoutingData!$F$2:$F$1000, $A47, MatchScoutingData!AA$2:AA$1000)</f>
        <v>0</v>
      </c>
      <c r="AR47" s="36">
        <f>SUMIF(MatchScoutingData!$F$2:$F$1000, $A47, MatchScoutingData!AB$2:AB$1000)</f>
        <v>2</v>
      </c>
      <c r="AS47" s="36">
        <f t="shared" si="47"/>
        <v>3</v>
      </c>
    </row>
    <row r="48" spans="1:45" ht="16" x14ac:dyDescent="0.2">
      <c r="A48" s="35">
        <v>6911</v>
      </c>
      <c r="B48" s="36">
        <f>COUNTIF(MatchScoutingData!F$2:F$1000, $A48)</f>
        <v>4</v>
      </c>
      <c r="C48" s="36">
        <f>SUMIF(MatchScoutingData!$F$2:$F$1000, $A48, MatchScoutingData!I$2:I$1000)</f>
        <v>0</v>
      </c>
      <c r="D48" s="36">
        <f>SUMIF(MatchScoutingData!$F$2:$F$1000, $A48, MatchScoutingData!J$2:J$1000)</f>
        <v>0</v>
      </c>
      <c r="E48" s="36">
        <f>SUMIF(MatchScoutingData!$F$2:$F$1000, $A48, MatchScoutingData!K$2:K$1000)</f>
        <v>0</v>
      </c>
      <c r="F48" s="36">
        <f>SUMIF(MatchScoutingData!$F$2:$F$1000, $A48, MatchScoutingData!L$2:L$1000)</f>
        <v>0</v>
      </c>
      <c r="G48" s="36">
        <f>SUMIF(MatchScoutingData!$F$2:$F$1000, $A48, MatchScoutingData!M$2:M$1000)</f>
        <v>0</v>
      </c>
      <c r="H48" s="36">
        <f>SUMIF(MatchScoutingData!$F$2:$F$1000, $A48, MatchScoutingData!N$2:N$1000)</f>
        <v>0</v>
      </c>
      <c r="I48" s="36">
        <f t="shared" si="24"/>
        <v>0</v>
      </c>
      <c r="J48" s="36">
        <f t="shared" si="25"/>
        <v>0</v>
      </c>
      <c r="K48" s="36">
        <f t="shared" si="26"/>
        <v>0</v>
      </c>
      <c r="L48" s="36">
        <f t="shared" si="27"/>
        <v>0</v>
      </c>
      <c r="M48" s="36">
        <f t="shared" si="28"/>
        <v>0</v>
      </c>
      <c r="N48" s="36">
        <f t="shared" si="29"/>
        <v>0</v>
      </c>
      <c r="O48" s="36">
        <f>SUMIF(MatchScoutingData!$F$2:$F$1000, $A48, MatchScoutingData!H$2:H$1000) * 3</f>
        <v>3</v>
      </c>
      <c r="P48" s="37">
        <f t="shared" si="30"/>
        <v>3</v>
      </c>
      <c r="Q48" s="37">
        <f t="shared" si="31"/>
        <v>0.75</v>
      </c>
      <c r="R48" s="36">
        <f>SUMIF(MatchScoutingData!$F$2:$F$1000, $A48, MatchScoutingData!P$2:P$1000)</f>
        <v>12</v>
      </c>
      <c r="S48" s="36">
        <f>SUMIF(MatchScoutingData!$F$2:$F$1000, $A48, MatchScoutingData!Q$2:Q$1000)</f>
        <v>2</v>
      </c>
      <c r="T48" s="36">
        <f>SUMIF(MatchScoutingData!$F$2:$F$1000, $A48, MatchScoutingData!R$2:R$1000)</f>
        <v>0</v>
      </c>
      <c r="U48" s="36">
        <f>SUMIF(MatchScoutingData!$F$2:$F$1000, $A48, MatchScoutingData!S$2:S$1000)</f>
        <v>0</v>
      </c>
      <c r="V48" s="36">
        <f>SUMIF(MatchScoutingData!$F$2:$F$1000, $A48, MatchScoutingData!T$2:T$1000)</f>
        <v>0</v>
      </c>
      <c r="W48" s="36">
        <f>SUMIF(MatchScoutingData!$F$2:$F$1000, $A48, MatchScoutingData!U$2:U$1000)</f>
        <v>6</v>
      </c>
      <c r="X48" s="36">
        <f t="shared" si="32"/>
        <v>60</v>
      </c>
      <c r="Y48" s="36">
        <f t="shared" si="33"/>
        <v>8</v>
      </c>
      <c r="Z48" s="36">
        <f t="shared" si="34"/>
        <v>0</v>
      </c>
      <c r="AA48" s="36">
        <f t="shared" si="35"/>
        <v>0</v>
      </c>
      <c r="AB48" s="36">
        <f t="shared" si="36"/>
        <v>0</v>
      </c>
      <c r="AC48" s="36">
        <f t="shared" si="37"/>
        <v>24</v>
      </c>
      <c r="AD48" s="38">
        <f t="shared" si="38"/>
        <v>92</v>
      </c>
      <c r="AE48" s="38">
        <f t="shared" si="39"/>
        <v>23</v>
      </c>
      <c r="AF48" s="36">
        <f>COUNTIFS(MatchScoutingData!$F$2:$F$1000, $A48, MatchScoutingData!$X$2:$X$1000, "p")</f>
        <v>1</v>
      </c>
      <c r="AG48" s="36">
        <f>COUNTIFS(MatchScoutingData!$F$2:$F$1000, $A48, MatchScoutingData!$X$2:$X$1000, "s")</f>
        <v>0</v>
      </c>
      <c r="AH48" s="36">
        <f>COUNTIFS(MatchScoutingData!$F$2:$F$1000, $A48, MatchScoutingData!$X$2:$X$1000, "d")</f>
        <v>1</v>
      </c>
      <c r="AI48" s="36">
        <f t="shared" si="40"/>
        <v>2</v>
      </c>
      <c r="AJ48" s="36">
        <f t="shared" si="41"/>
        <v>0</v>
      </c>
      <c r="AK48" s="36">
        <f t="shared" si="42"/>
        <v>12</v>
      </c>
      <c r="AL48" s="39">
        <f t="shared" si="43"/>
        <v>14</v>
      </c>
      <c r="AM48" s="39">
        <f t="shared" si="44"/>
        <v>3.5</v>
      </c>
      <c r="AN48" s="40">
        <f t="shared" si="45"/>
        <v>109</v>
      </c>
      <c r="AO48" s="40">
        <f t="shared" si="46"/>
        <v>27.25</v>
      </c>
      <c r="AP48" s="36">
        <f>SUMIF(MatchScoutingData!$F$2:$F$1000, $A48, MatchScoutingData!Z$2:Z$1000)</f>
        <v>2</v>
      </c>
      <c r="AQ48" s="36">
        <f>SUMIF(MatchScoutingData!$F$2:$F$1000, $A48, MatchScoutingData!AA$2:AA$1000)</f>
        <v>2</v>
      </c>
      <c r="AR48" s="36">
        <f>SUMIF(MatchScoutingData!$F$2:$F$1000, $A48, MatchScoutingData!AB$2:AB$1000)</f>
        <v>2</v>
      </c>
      <c r="AS48" s="36">
        <f t="shared" si="47"/>
        <v>6</v>
      </c>
    </row>
    <row r="49" spans="1:45" ht="16" x14ac:dyDescent="0.2">
      <c r="A49" s="35">
        <v>7030</v>
      </c>
      <c r="B49" s="36">
        <f>COUNTIF(MatchScoutingData!F$2:F$1000, $A49)</f>
        <v>3</v>
      </c>
      <c r="C49" s="36">
        <f>SUMIF(MatchScoutingData!$F$2:$F$1000, $A49, MatchScoutingData!I$2:I$1000)</f>
        <v>0</v>
      </c>
      <c r="D49" s="36">
        <f>SUMIF(MatchScoutingData!$F$2:$F$1000, $A49, MatchScoutingData!J$2:J$1000)</f>
        <v>0</v>
      </c>
      <c r="E49" s="36">
        <f>SUMIF(MatchScoutingData!$F$2:$F$1000, $A49, MatchScoutingData!K$2:K$1000)</f>
        <v>0</v>
      </c>
      <c r="F49" s="36">
        <f>SUMIF(MatchScoutingData!$F$2:$F$1000, $A49, MatchScoutingData!L$2:L$1000)</f>
        <v>1</v>
      </c>
      <c r="G49" s="36">
        <f>SUMIF(MatchScoutingData!$F$2:$F$1000, $A49, MatchScoutingData!M$2:M$1000)</f>
        <v>0</v>
      </c>
      <c r="H49" s="36">
        <f>SUMIF(MatchScoutingData!$F$2:$F$1000, $A49, MatchScoutingData!N$2:N$1000)</f>
        <v>0</v>
      </c>
      <c r="I49" s="36">
        <f t="shared" si="24"/>
        <v>0</v>
      </c>
      <c r="J49" s="36">
        <f t="shared" si="25"/>
        <v>0</v>
      </c>
      <c r="K49" s="36">
        <f t="shared" si="26"/>
        <v>0</v>
      </c>
      <c r="L49" s="36">
        <f t="shared" si="27"/>
        <v>3</v>
      </c>
      <c r="M49" s="36">
        <f t="shared" si="28"/>
        <v>0</v>
      </c>
      <c r="N49" s="36">
        <f t="shared" si="29"/>
        <v>0</v>
      </c>
      <c r="O49" s="36">
        <f>SUMIF(MatchScoutingData!$F$2:$F$1000, $A49, MatchScoutingData!H$2:H$1000) * 3</f>
        <v>9</v>
      </c>
      <c r="P49" s="37">
        <f t="shared" si="30"/>
        <v>12</v>
      </c>
      <c r="Q49" s="37">
        <f t="shared" si="31"/>
        <v>4</v>
      </c>
      <c r="R49" s="36">
        <f>SUMIF(MatchScoutingData!$F$2:$F$1000, $A49, MatchScoutingData!P$2:P$1000)</f>
        <v>0</v>
      </c>
      <c r="S49" s="36">
        <f>SUMIF(MatchScoutingData!$F$2:$F$1000, $A49, MatchScoutingData!Q$2:Q$1000)</f>
        <v>0</v>
      </c>
      <c r="T49" s="36">
        <f>SUMIF(MatchScoutingData!$F$2:$F$1000, $A49, MatchScoutingData!R$2:R$1000)</f>
        <v>0</v>
      </c>
      <c r="U49" s="36">
        <f>SUMIF(MatchScoutingData!$F$2:$F$1000, $A49, MatchScoutingData!S$2:S$1000)</f>
        <v>1</v>
      </c>
      <c r="V49" s="36">
        <f>SUMIF(MatchScoutingData!$F$2:$F$1000, $A49, MatchScoutingData!T$2:T$1000)</f>
        <v>0</v>
      </c>
      <c r="W49" s="36">
        <f>SUMIF(MatchScoutingData!$F$2:$F$1000, $A49, MatchScoutingData!U$2:U$1000)</f>
        <v>0</v>
      </c>
      <c r="X49" s="36">
        <f t="shared" si="32"/>
        <v>0</v>
      </c>
      <c r="Y49" s="36">
        <f t="shared" si="33"/>
        <v>0</v>
      </c>
      <c r="Z49" s="36">
        <f t="shared" si="34"/>
        <v>0</v>
      </c>
      <c r="AA49" s="36">
        <f t="shared" si="35"/>
        <v>2</v>
      </c>
      <c r="AB49" s="36">
        <f t="shared" si="36"/>
        <v>0</v>
      </c>
      <c r="AC49" s="36">
        <f t="shared" si="37"/>
        <v>0</v>
      </c>
      <c r="AD49" s="38">
        <f t="shared" si="38"/>
        <v>2</v>
      </c>
      <c r="AE49" s="38">
        <f t="shared" si="39"/>
        <v>0.66666666666666663</v>
      </c>
      <c r="AF49" s="36">
        <f>COUNTIFS(MatchScoutingData!$F$2:$F$1000, $A49, MatchScoutingData!$X$2:$X$1000, "p")</f>
        <v>3</v>
      </c>
      <c r="AG49" s="36">
        <f>COUNTIFS(MatchScoutingData!$F$2:$F$1000, $A49, MatchScoutingData!$X$2:$X$1000, "s")</f>
        <v>0</v>
      </c>
      <c r="AH49" s="36">
        <f>COUNTIFS(MatchScoutingData!$F$2:$F$1000, $A49, MatchScoutingData!$X$2:$X$1000, "d")</f>
        <v>0</v>
      </c>
      <c r="AI49" s="36">
        <f t="shared" si="40"/>
        <v>6</v>
      </c>
      <c r="AJ49" s="36">
        <f t="shared" si="41"/>
        <v>0</v>
      </c>
      <c r="AK49" s="36">
        <f t="shared" si="42"/>
        <v>0</v>
      </c>
      <c r="AL49" s="39">
        <f t="shared" si="43"/>
        <v>6</v>
      </c>
      <c r="AM49" s="39">
        <f t="shared" si="44"/>
        <v>2</v>
      </c>
      <c r="AN49" s="40">
        <f t="shared" si="45"/>
        <v>20</v>
      </c>
      <c r="AO49" s="40">
        <f t="shared" si="46"/>
        <v>6.666666666666667</v>
      </c>
      <c r="AP49" s="36">
        <f>SUMIF(MatchScoutingData!$F$2:$F$1000, $A49, MatchScoutingData!Z$2:Z$1000)</f>
        <v>3</v>
      </c>
      <c r="AQ49" s="36">
        <f>SUMIF(MatchScoutingData!$F$2:$F$1000, $A49, MatchScoutingData!AA$2:AA$1000)</f>
        <v>1</v>
      </c>
      <c r="AR49" s="36">
        <f>SUMIF(MatchScoutingData!$F$2:$F$1000, $A49, MatchScoutingData!AB$2:AB$1000)</f>
        <v>1</v>
      </c>
      <c r="AS49" s="36">
        <f t="shared" si="47"/>
        <v>5</v>
      </c>
    </row>
    <row r="50" spans="1:45" ht="16" x14ac:dyDescent="0.2">
      <c r="A50" s="35">
        <v>7031</v>
      </c>
      <c r="B50" s="36">
        <f>COUNTIF(MatchScoutingData!F$2:F$1000, $A50)</f>
        <v>1</v>
      </c>
      <c r="C50" s="36">
        <f>SUMIF(MatchScoutingData!$F$2:$F$1000, $A50, MatchScoutingData!I$2:I$1000)</f>
        <v>0</v>
      </c>
      <c r="D50" s="36">
        <f>SUMIF(MatchScoutingData!$F$2:$F$1000, $A50, MatchScoutingData!J$2:J$1000)</f>
        <v>0</v>
      </c>
      <c r="E50" s="36">
        <f>SUMIF(MatchScoutingData!$F$2:$F$1000, $A50, MatchScoutingData!K$2:K$1000)</f>
        <v>0</v>
      </c>
      <c r="F50" s="36">
        <f>SUMIF(MatchScoutingData!$F$2:$F$1000, $A50, MatchScoutingData!L$2:L$1000)</f>
        <v>0</v>
      </c>
      <c r="G50" s="36">
        <f>SUMIF(MatchScoutingData!$F$2:$F$1000, $A50, MatchScoutingData!M$2:M$1000)</f>
        <v>0</v>
      </c>
      <c r="H50" s="36">
        <f>SUMIF(MatchScoutingData!$F$2:$F$1000, $A50, MatchScoutingData!N$2:N$1000)</f>
        <v>0</v>
      </c>
      <c r="I50" s="36">
        <f t="shared" si="24"/>
        <v>0</v>
      </c>
      <c r="J50" s="36">
        <f t="shared" si="25"/>
        <v>0</v>
      </c>
      <c r="K50" s="36">
        <f t="shared" si="26"/>
        <v>0</v>
      </c>
      <c r="L50" s="36">
        <f t="shared" si="27"/>
        <v>0</v>
      </c>
      <c r="M50" s="36">
        <f t="shared" si="28"/>
        <v>0</v>
      </c>
      <c r="N50" s="36">
        <f t="shared" si="29"/>
        <v>0</v>
      </c>
      <c r="O50" s="36">
        <f>SUMIF(MatchScoutingData!$F$2:$F$1000, $A50, MatchScoutingData!H$2:H$1000) * 3</f>
        <v>0</v>
      </c>
      <c r="P50" s="37">
        <f t="shared" si="30"/>
        <v>0</v>
      </c>
      <c r="Q50" s="37">
        <f t="shared" si="31"/>
        <v>0</v>
      </c>
      <c r="R50" s="36">
        <f>SUMIF(MatchScoutingData!$F$2:$F$1000, $A50, MatchScoutingData!P$2:P$1000)</f>
        <v>0</v>
      </c>
      <c r="S50" s="36">
        <f>SUMIF(MatchScoutingData!$F$2:$F$1000, $A50, MatchScoutingData!Q$2:Q$1000)</f>
        <v>0</v>
      </c>
      <c r="T50" s="36">
        <f>SUMIF(MatchScoutingData!$F$2:$F$1000, $A50, MatchScoutingData!R$2:R$1000)</f>
        <v>1</v>
      </c>
      <c r="U50" s="36">
        <f>SUMIF(MatchScoutingData!$F$2:$F$1000, $A50, MatchScoutingData!S$2:S$1000)</f>
        <v>0</v>
      </c>
      <c r="V50" s="36">
        <f>SUMIF(MatchScoutingData!$F$2:$F$1000, $A50, MatchScoutingData!T$2:T$1000)</f>
        <v>0</v>
      </c>
      <c r="W50" s="36">
        <f>SUMIF(MatchScoutingData!$F$2:$F$1000, $A50, MatchScoutingData!U$2:U$1000)</f>
        <v>0</v>
      </c>
      <c r="X50" s="36">
        <f t="shared" si="32"/>
        <v>0</v>
      </c>
      <c r="Y50" s="36">
        <f t="shared" si="33"/>
        <v>0</v>
      </c>
      <c r="Z50" s="36">
        <f t="shared" si="34"/>
        <v>3</v>
      </c>
      <c r="AA50" s="36">
        <f t="shared" si="35"/>
        <v>0</v>
      </c>
      <c r="AB50" s="36">
        <f t="shared" si="36"/>
        <v>0</v>
      </c>
      <c r="AC50" s="36">
        <f t="shared" si="37"/>
        <v>0</v>
      </c>
      <c r="AD50" s="38">
        <f t="shared" si="38"/>
        <v>3</v>
      </c>
      <c r="AE50" s="38">
        <f t="shared" si="39"/>
        <v>3</v>
      </c>
      <c r="AF50" s="36">
        <f>COUNTIFS(MatchScoutingData!$F$2:$F$1000, $A50, MatchScoutingData!$X$2:$X$1000, "p")</f>
        <v>0</v>
      </c>
      <c r="AG50" s="36">
        <f>COUNTIFS(MatchScoutingData!$F$2:$F$1000, $A50, MatchScoutingData!$X$2:$X$1000, "s")</f>
        <v>0</v>
      </c>
      <c r="AH50" s="36">
        <f>COUNTIFS(MatchScoutingData!$F$2:$F$1000, $A50, MatchScoutingData!$X$2:$X$1000, "d")</f>
        <v>0</v>
      </c>
      <c r="AI50" s="36">
        <f t="shared" si="40"/>
        <v>0</v>
      </c>
      <c r="AJ50" s="36">
        <f t="shared" si="41"/>
        <v>0</v>
      </c>
      <c r="AK50" s="36">
        <f t="shared" si="42"/>
        <v>0</v>
      </c>
      <c r="AL50" s="39">
        <f t="shared" si="43"/>
        <v>0</v>
      </c>
      <c r="AM50" s="39">
        <f t="shared" si="44"/>
        <v>0</v>
      </c>
      <c r="AN50" s="40">
        <f t="shared" si="45"/>
        <v>3</v>
      </c>
      <c r="AO50" s="40">
        <f t="shared" si="46"/>
        <v>3</v>
      </c>
      <c r="AP50" s="36">
        <f>SUMIF(MatchScoutingData!$F$2:$F$1000, $A50, MatchScoutingData!Z$2:Z$1000)</f>
        <v>0</v>
      </c>
      <c r="AQ50" s="36">
        <f>SUMIF(MatchScoutingData!$F$2:$F$1000, $A50, MatchScoutingData!AA$2:AA$1000)</f>
        <v>0</v>
      </c>
      <c r="AR50" s="36">
        <f>SUMIF(MatchScoutingData!$F$2:$F$1000, $A50, MatchScoutingData!AB$2:AB$1000)</f>
        <v>0</v>
      </c>
      <c r="AS50" s="36">
        <f t="shared" si="47"/>
        <v>0</v>
      </c>
    </row>
    <row r="51" spans="1:45" ht="16" x14ac:dyDescent="0.2">
      <c r="A51" s="35">
        <v>7504</v>
      </c>
      <c r="B51" s="36">
        <f>COUNTIF(MatchScoutingData!F$2:F$1000, $A51)</f>
        <v>2</v>
      </c>
      <c r="C51" s="36">
        <f>SUMIF(MatchScoutingData!$F$2:$F$1000, $A51, MatchScoutingData!I$2:I$1000)</f>
        <v>1</v>
      </c>
      <c r="D51" s="36">
        <f>SUMIF(MatchScoutingData!$F$2:$F$1000, $A51, MatchScoutingData!J$2:J$1000)</f>
        <v>0</v>
      </c>
      <c r="E51" s="36">
        <f>SUMIF(MatchScoutingData!$F$2:$F$1000, $A51, MatchScoutingData!K$2:K$1000)</f>
        <v>0</v>
      </c>
      <c r="F51" s="36">
        <f>SUMIF(MatchScoutingData!$F$2:$F$1000, $A51, MatchScoutingData!L$2:L$1000)</f>
        <v>0</v>
      </c>
      <c r="G51" s="36">
        <f>SUMIF(MatchScoutingData!$F$2:$F$1000, $A51, MatchScoutingData!M$2:M$1000)</f>
        <v>0</v>
      </c>
      <c r="H51" s="36">
        <f>SUMIF(MatchScoutingData!$F$2:$F$1000, $A51, MatchScoutingData!N$2:N$1000)</f>
        <v>0</v>
      </c>
      <c r="I51" s="36">
        <f t="shared" si="24"/>
        <v>7</v>
      </c>
      <c r="J51" s="36">
        <f t="shared" si="25"/>
        <v>0</v>
      </c>
      <c r="K51" s="36">
        <f t="shared" si="26"/>
        <v>0</v>
      </c>
      <c r="L51" s="36">
        <f t="shared" si="27"/>
        <v>0</v>
      </c>
      <c r="M51" s="36">
        <f t="shared" si="28"/>
        <v>0</v>
      </c>
      <c r="N51" s="36">
        <f t="shared" si="29"/>
        <v>0</v>
      </c>
      <c r="O51" s="36">
        <f>SUMIF(MatchScoutingData!$F$2:$F$1000, $A51, MatchScoutingData!H$2:H$1000) * 3</f>
        <v>3</v>
      </c>
      <c r="P51" s="37">
        <f t="shared" si="30"/>
        <v>10</v>
      </c>
      <c r="Q51" s="37">
        <f t="shared" si="31"/>
        <v>5</v>
      </c>
      <c r="R51" s="36">
        <f>SUMIF(MatchScoutingData!$F$2:$F$1000, $A51, MatchScoutingData!P$2:P$1000)</f>
        <v>7</v>
      </c>
      <c r="S51" s="36">
        <f>SUMIF(MatchScoutingData!$F$2:$F$1000, $A51, MatchScoutingData!Q$2:Q$1000)</f>
        <v>0</v>
      </c>
      <c r="T51" s="36">
        <f>SUMIF(MatchScoutingData!$F$2:$F$1000, $A51, MatchScoutingData!R$2:R$1000)</f>
        <v>1</v>
      </c>
      <c r="U51" s="36">
        <f>SUMIF(MatchScoutingData!$F$2:$F$1000, $A51, MatchScoutingData!S$2:S$1000)</f>
        <v>0</v>
      </c>
      <c r="V51" s="36">
        <f>SUMIF(MatchScoutingData!$F$2:$F$1000, $A51, MatchScoutingData!T$2:T$1000)</f>
        <v>2</v>
      </c>
      <c r="W51" s="36">
        <f>SUMIF(MatchScoutingData!$F$2:$F$1000, $A51, MatchScoutingData!U$2:U$1000)</f>
        <v>1</v>
      </c>
      <c r="X51" s="36">
        <f t="shared" si="32"/>
        <v>35</v>
      </c>
      <c r="Y51" s="36">
        <f t="shared" si="33"/>
        <v>0</v>
      </c>
      <c r="Z51" s="36">
        <f t="shared" si="34"/>
        <v>3</v>
      </c>
      <c r="AA51" s="36">
        <f t="shared" si="35"/>
        <v>0</v>
      </c>
      <c r="AB51" s="36">
        <f t="shared" si="36"/>
        <v>12</v>
      </c>
      <c r="AC51" s="36">
        <f t="shared" si="37"/>
        <v>4</v>
      </c>
      <c r="AD51" s="38">
        <f t="shared" si="38"/>
        <v>54</v>
      </c>
      <c r="AE51" s="38">
        <f t="shared" si="39"/>
        <v>27</v>
      </c>
      <c r="AF51" s="36">
        <f>COUNTIFS(MatchScoutingData!$F$2:$F$1000, $A51, MatchScoutingData!$X$2:$X$1000, "p")</f>
        <v>2</v>
      </c>
      <c r="AG51" s="36">
        <f>COUNTIFS(MatchScoutingData!$F$2:$F$1000, $A51, MatchScoutingData!$X$2:$X$1000, "s")</f>
        <v>0</v>
      </c>
      <c r="AH51" s="36">
        <f>COUNTIFS(MatchScoutingData!$F$2:$F$1000, $A51, MatchScoutingData!$X$2:$X$1000, "d")</f>
        <v>0</v>
      </c>
      <c r="AI51" s="36">
        <f t="shared" si="40"/>
        <v>4</v>
      </c>
      <c r="AJ51" s="36">
        <f t="shared" si="41"/>
        <v>0</v>
      </c>
      <c r="AK51" s="36">
        <f t="shared" si="42"/>
        <v>0</v>
      </c>
      <c r="AL51" s="39">
        <f t="shared" si="43"/>
        <v>4</v>
      </c>
      <c r="AM51" s="39">
        <f t="shared" si="44"/>
        <v>2</v>
      </c>
      <c r="AN51" s="40">
        <f t="shared" si="45"/>
        <v>68</v>
      </c>
      <c r="AO51" s="40">
        <f t="shared" si="46"/>
        <v>34</v>
      </c>
      <c r="AP51" s="36">
        <f>SUMIF(MatchScoutingData!$F$2:$F$1000, $A51, MatchScoutingData!Z$2:Z$1000)</f>
        <v>1</v>
      </c>
      <c r="AQ51" s="36">
        <f>SUMIF(MatchScoutingData!$F$2:$F$1000, $A51, MatchScoutingData!AA$2:AA$1000)</f>
        <v>0</v>
      </c>
      <c r="AR51" s="36">
        <f>SUMIF(MatchScoutingData!$F$2:$F$1000, $A51, MatchScoutingData!AB$2:AB$1000)</f>
        <v>1</v>
      </c>
      <c r="AS51" s="36">
        <f t="shared" si="47"/>
        <v>2</v>
      </c>
    </row>
    <row r="52" spans="1:45" ht="16" x14ac:dyDescent="0.2">
      <c r="A52" s="35">
        <v>7605</v>
      </c>
      <c r="B52" s="36">
        <f>COUNTIF(MatchScoutingData!F$2:F$1000, $A52)</f>
        <v>1</v>
      </c>
      <c r="C52" s="36">
        <f>SUMIF(MatchScoutingData!$F$2:$F$1000, $A52, MatchScoutingData!I$2:I$1000)</f>
        <v>1</v>
      </c>
      <c r="D52" s="36">
        <f>SUMIF(MatchScoutingData!$F$2:$F$1000, $A52, MatchScoutingData!J$2:J$1000)</f>
        <v>0</v>
      </c>
      <c r="E52" s="36">
        <f>SUMIF(MatchScoutingData!$F$2:$F$1000, $A52, MatchScoutingData!K$2:K$1000)</f>
        <v>0</v>
      </c>
      <c r="F52" s="36">
        <f>SUMIF(MatchScoutingData!$F$2:$F$1000, $A52, MatchScoutingData!L$2:L$1000)</f>
        <v>0</v>
      </c>
      <c r="G52" s="36">
        <f>SUMIF(MatchScoutingData!$F$2:$F$1000, $A52, MatchScoutingData!M$2:M$1000)</f>
        <v>0</v>
      </c>
      <c r="H52" s="36">
        <f>SUMIF(MatchScoutingData!$F$2:$F$1000, $A52, MatchScoutingData!N$2:N$1000)</f>
        <v>0</v>
      </c>
      <c r="I52" s="36">
        <f t="shared" si="24"/>
        <v>7</v>
      </c>
      <c r="J52" s="36">
        <f t="shared" si="25"/>
        <v>0</v>
      </c>
      <c r="K52" s="36">
        <f t="shared" si="26"/>
        <v>0</v>
      </c>
      <c r="L52" s="36">
        <f t="shared" si="27"/>
        <v>0</v>
      </c>
      <c r="M52" s="36">
        <f t="shared" si="28"/>
        <v>0</v>
      </c>
      <c r="N52" s="36">
        <f t="shared" si="29"/>
        <v>0</v>
      </c>
      <c r="O52" s="36">
        <f>SUMIF(MatchScoutingData!$F$2:$F$1000, $A52, MatchScoutingData!H$2:H$1000) * 3</f>
        <v>0</v>
      </c>
      <c r="P52" s="37">
        <f t="shared" si="30"/>
        <v>7</v>
      </c>
      <c r="Q52" s="37">
        <f t="shared" si="31"/>
        <v>7</v>
      </c>
      <c r="R52" s="36">
        <f>SUMIF(MatchScoutingData!$F$2:$F$1000, $A52, MatchScoutingData!P$2:P$1000)</f>
        <v>0</v>
      </c>
      <c r="S52" s="36">
        <f>SUMIF(MatchScoutingData!$F$2:$F$1000, $A52, MatchScoutingData!Q$2:Q$1000)</f>
        <v>0</v>
      </c>
      <c r="T52" s="36">
        <f>SUMIF(MatchScoutingData!$F$2:$F$1000, $A52, MatchScoutingData!R$2:R$1000)</f>
        <v>0</v>
      </c>
      <c r="U52" s="36">
        <f>SUMIF(MatchScoutingData!$F$2:$F$1000, $A52, MatchScoutingData!S$2:S$1000)</f>
        <v>0</v>
      </c>
      <c r="V52" s="36">
        <f>SUMIF(MatchScoutingData!$F$2:$F$1000, $A52, MatchScoutingData!T$2:T$1000)</f>
        <v>0</v>
      </c>
      <c r="W52" s="36">
        <f>SUMIF(MatchScoutingData!$F$2:$F$1000, $A52, MatchScoutingData!U$2:U$1000)</f>
        <v>0</v>
      </c>
      <c r="X52" s="36">
        <f t="shared" si="32"/>
        <v>0</v>
      </c>
      <c r="Y52" s="36">
        <f t="shared" si="33"/>
        <v>0</v>
      </c>
      <c r="Z52" s="36">
        <f t="shared" si="34"/>
        <v>0</v>
      </c>
      <c r="AA52" s="36">
        <f t="shared" si="35"/>
        <v>0</v>
      </c>
      <c r="AB52" s="36">
        <f t="shared" si="36"/>
        <v>0</v>
      </c>
      <c r="AC52" s="36">
        <f t="shared" si="37"/>
        <v>0</v>
      </c>
      <c r="AD52" s="38">
        <f t="shared" si="38"/>
        <v>0</v>
      </c>
      <c r="AE52" s="38">
        <f t="shared" si="39"/>
        <v>0</v>
      </c>
      <c r="AF52" s="36">
        <f>COUNTIFS(MatchScoutingData!$F$2:$F$1000, $A52, MatchScoutingData!$X$2:$X$1000, "p")</f>
        <v>1</v>
      </c>
      <c r="AG52" s="36">
        <f>COUNTIFS(MatchScoutingData!$F$2:$F$1000, $A52, MatchScoutingData!$X$2:$X$1000, "s")</f>
        <v>0</v>
      </c>
      <c r="AH52" s="36">
        <f>COUNTIFS(MatchScoutingData!$F$2:$F$1000, $A52, MatchScoutingData!$X$2:$X$1000, "d")</f>
        <v>0</v>
      </c>
      <c r="AI52" s="36">
        <f t="shared" si="40"/>
        <v>2</v>
      </c>
      <c r="AJ52" s="36">
        <f t="shared" si="41"/>
        <v>0</v>
      </c>
      <c r="AK52" s="36">
        <f t="shared" si="42"/>
        <v>0</v>
      </c>
      <c r="AL52" s="39">
        <f t="shared" si="43"/>
        <v>2</v>
      </c>
      <c r="AM52" s="39">
        <f t="shared" si="44"/>
        <v>0</v>
      </c>
      <c r="AN52" s="40">
        <f t="shared" si="45"/>
        <v>9</v>
      </c>
      <c r="AO52" s="40">
        <f t="shared" si="46"/>
        <v>9</v>
      </c>
      <c r="AP52" s="36">
        <f>SUMIF(MatchScoutingData!$F$2:$F$1000, $A52, MatchScoutingData!Z$2:Z$1000)</f>
        <v>1</v>
      </c>
      <c r="AQ52" s="36">
        <f>SUMIF(MatchScoutingData!$F$2:$F$1000, $A52, MatchScoutingData!AA$2:AA$1000)</f>
        <v>0</v>
      </c>
      <c r="AR52" s="36">
        <f>SUMIF(MatchScoutingData!$F$2:$F$1000, $A52, MatchScoutingData!AB$2:AB$1000)</f>
        <v>0</v>
      </c>
      <c r="AS52" s="36">
        <f t="shared" si="47"/>
        <v>1</v>
      </c>
    </row>
    <row r="53" spans="1:45" ht="16" x14ac:dyDescent="0.2">
      <c r="A53" s="35">
        <v>7718</v>
      </c>
      <c r="B53" s="36">
        <f>COUNTIF(MatchScoutingData!F$2:F$1000, $A53)</f>
        <v>3</v>
      </c>
      <c r="C53" s="36">
        <f>SUMIF(MatchScoutingData!$F$2:$F$1000, $A53, MatchScoutingData!I$2:I$1000)</f>
        <v>0</v>
      </c>
      <c r="D53" s="36">
        <f>SUMIF(MatchScoutingData!$F$2:$F$1000, $A53, MatchScoutingData!J$2:J$1000)</f>
        <v>0</v>
      </c>
      <c r="E53" s="36">
        <f>SUMIF(MatchScoutingData!$F$2:$F$1000, $A53, MatchScoutingData!K$2:K$1000)</f>
        <v>0</v>
      </c>
      <c r="F53" s="36">
        <f>SUMIF(MatchScoutingData!$F$2:$F$1000, $A53, MatchScoutingData!L$2:L$1000)</f>
        <v>0</v>
      </c>
      <c r="G53" s="36">
        <f>SUMIF(MatchScoutingData!$F$2:$F$1000, $A53, MatchScoutingData!M$2:M$1000)</f>
        <v>0</v>
      </c>
      <c r="H53" s="36">
        <f>SUMIF(MatchScoutingData!$F$2:$F$1000, $A53, MatchScoutingData!N$2:N$1000)</f>
        <v>0</v>
      </c>
      <c r="I53" s="36">
        <f t="shared" si="24"/>
        <v>0</v>
      </c>
      <c r="J53" s="36">
        <f t="shared" si="25"/>
        <v>0</v>
      </c>
      <c r="K53" s="36">
        <f t="shared" si="26"/>
        <v>0</v>
      </c>
      <c r="L53" s="36">
        <f t="shared" si="27"/>
        <v>0</v>
      </c>
      <c r="M53" s="36">
        <f t="shared" si="28"/>
        <v>0</v>
      </c>
      <c r="N53" s="36">
        <f t="shared" si="29"/>
        <v>0</v>
      </c>
      <c r="O53" s="36">
        <f>SUMIF(MatchScoutingData!$F$2:$F$1000, $A53, MatchScoutingData!H$2:H$1000) * 3</f>
        <v>9</v>
      </c>
      <c r="P53" s="37">
        <f t="shared" si="30"/>
        <v>9</v>
      </c>
      <c r="Q53" s="37">
        <f t="shared" si="31"/>
        <v>3</v>
      </c>
      <c r="R53" s="36">
        <f>SUMIF(MatchScoutingData!$F$2:$F$1000, $A53, MatchScoutingData!P$2:P$1000)</f>
        <v>2</v>
      </c>
      <c r="S53" s="36">
        <f>SUMIF(MatchScoutingData!$F$2:$F$1000, $A53, MatchScoutingData!Q$2:Q$1000)</f>
        <v>0</v>
      </c>
      <c r="T53" s="36">
        <f>SUMIF(MatchScoutingData!$F$2:$F$1000, $A53, MatchScoutingData!R$2:R$1000)</f>
        <v>2</v>
      </c>
      <c r="U53" s="36">
        <f>SUMIF(MatchScoutingData!$F$2:$F$1000, $A53, MatchScoutingData!S$2:S$1000)</f>
        <v>2</v>
      </c>
      <c r="V53" s="36">
        <f>SUMIF(MatchScoutingData!$F$2:$F$1000, $A53, MatchScoutingData!T$2:T$1000)</f>
        <v>0</v>
      </c>
      <c r="W53" s="36">
        <f>SUMIF(MatchScoutingData!$F$2:$F$1000, $A53, MatchScoutingData!U$2:U$1000)</f>
        <v>0</v>
      </c>
      <c r="X53" s="36">
        <f t="shared" si="32"/>
        <v>10</v>
      </c>
      <c r="Y53" s="36">
        <f t="shared" si="33"/>
        <v>0</v>
      </c>
      <c r="Z53" s="36">
        <f t="shared" si="34"/>
        <v>6</v>
      </c>
      <c r="AA53" s="36">
        <f t="shared" si="35"/>
        <v>4</v>
      </c>
      <c r="AB53" s="36">
        <f t="shared" si="36"/>
        <v>0</v>
      </c>
      <c r="AC53" s="36">
        <f t="shared" si="37"/>
        <v>0</v>
      </c>
      <c r="AD53" s="38">
        <f t="shared" si="38"/>
        <v>20</v>
      </c>
      <c r="AE53" s="38">
        <f t="shared" si="39"/>
        <v>6.666666666666667</v>
      </c>
      <c r="AF53" s="36">
        <f>COUNTIFS(MatchScoutingData!$F$2:$F$1000, $A53, MatchScoutingData!$X$2:$X$1000, "p")</f>
        <v>3</v>
      </c>
      <c r="AG53" s="36">
        <f>COUNTIFS(MatchScoutingData!$F$2:$F$1000, $A53, MatchScoutingData!$X$2:$X$1000, "s")</f>
        <v>0</v>
      </c>
      <c r="AH53" s="36">
        <f>COUNTIFS(MatchScoutingData!$F$2:$F$1000, $A53, MatchScoutingData!$X$2:$X$1000, "d")</f>
        <v>0</v>
      </c>
      <c r="AI53" s="36">
        <f t="shared" si="40"/>
        <v>6</v>
      </c>
      <c r="AJ53" s="36">
        <f t="shared" si="41"/>
        <v>0</v>
      </c>
      <c r="AK53" s="36">
        <f t="shared" si="42"/>
        <v>0</v>
      </c>
      <c r="AL53" s="39">
        <f t="shared" si="43"/>
        <v>6</v>
      </c>
      <c r="AM53" s="39">
        <f t="shared" si="44"/>
        <v>2</v>
      </c>
      <c r="AN53" s="40">
        <f t="shared" si="45"/>
        <v>35</v>
      </c>
      <c r="AO53" s="40">
        <f t="shared" si="46"/>
        <v>11.666666666666666</v>
      </c>
      <c r="AP53" s="36">
        <f>SUMIF(MatchScoutingData!$F$2:$F$1000, $A53, MatchScoutingData!Z$2:Z$1000)</f>
        <v>3</v>
      </c>
      <c r="AQ53" s="36">
        <f>SUMIF(MatchScoutingData!$F$2:$F$1000, $A53, MatchScoutingData!AA$2:AA$1000)</f>
        <v>10</v>
      </c>
      <c r="AR53" s="36">
        <f>SUMIF(MatchScoutingData!$F$2:$F$1000, $A53, MatchScoutingData!AB$2:AB$1000)</f>
        <v>2</v>
      </c>
      <c r="AS53" s="36">
        <f t="shared" si="47"/>
        <v>15</v>
      </c>
    </row>
    <row r="54" spans="1:45" ht="16" x14ac:dyDescent="0.2">
      <c r="A54" s="35">
        <v>7759</v>
      </c>
      <c r="B54" s="36">
        <f>COUNTIF(MatchScoutingData!F$2:F$1000, $A54)</f>
        <v>4</v>
      </c>
      <c r="C54" s="36">
        <f>SUMIF(MatchScoutingData!$F$2:$F$1000, $A54, MatchScoutingData!I$2:I$1000)</f>
        <v>0</v>
      </c>
      <c r="D54" s="36">
        <f>SUMIF(MatchScoutingData!$F$2:$F$1000, $A54, MatchScoutingData!J$2:J$1000)</f>
        <v>0</v>
      </c>
      <c r="E54" s="36">
        <f>SUMIF(MatchScoutingData!$F$2:$F$1000, $A54, MatchScoutingData!K$2:K$1000)</f>
        <v>0</v>
      </c>
      <c r="F54" s="36">
        <f>SUMIF(MatchScoutingData!$F$2:$F$1000, $A54, MatchScoutingData!L$2:L$1000)</f>
        <v>0</v>
      </c>
      <c r="G54" s="36">
        <f>SUMIF(MatchScoutingData!$F$2:$F$1000, $A54, MatchScoutingData!M$2:M$1000)</f>
        <v>0</v>
      </c>
      <c r="H54" s="36">
        <f>SUMIF(MatchScoutingData!$F$2:$F$1000, $A54, MatchScoutingData!N$2:N$1000)</f>
        <v>0</v>
      </c>
      <c r="I54" s="36">
        <f t="shared" si="24"/>
        <v>0</v>
      </c>
      <c r="J54" s="36">
        <f t="shared" si="25"/>
        <v>0</v>
      </c>
      <c r="K54" s="36">
        <f t="shared" si="26"/>
        <v>0</v>
      </c>
      <c r="L54" s="36">
        <f t="shared" si="27"/>
        <v>0</v>
      </c>
      <c r="M54" s="36">
        <f t="shared" si="28"/>
        <v>0</v>
      </c>
      <c r="N54" s="36">
        <f t="shared" si="29"/>
        <v>0</v>
      </c>
      <c r="O54" s="36">
        <f>SUMIF(MatchScoutingData!$F$2:$F$1000, $A54, MatchScoutingData!H$2:H$1000) * 3</f>
        <v>9</v>
      </c>
      <c r="P54" s="37">
        <f t="shared" si="30"/>
        <v>9</v>
      </c>
      <c r="Q54" s="37">
        <f t="shared" si="31"/>
        <v>2.25</v>
      </c>
      <c r="R54" s="36">
        <f>SUMIF(MatchScoutingData!$F$2:$F$1000, $A54, MatchScoutingData!P$2:P$1000)</f>
        <v>2</v>
      </c>
      <c r="S54" s="36">
        <f>SUMIF(MatchScoutingData!$F$2:$F$1000, $A54, MatchScoutingData!Q$2:Q$1000)</f>
        <v>6</v>
      </c>
      <c r="T54" s="36">
        <f>SUMIF(MatchScoutingData!$F$2:$F$1000, $A54, MatchScoutingData!R$2:R$1000)</f>
        <v>1</v>
      </c>
      <c r="U54" s="36">
        <f>SUMIF(MatchScoutingData!$F$2:$F$1000, $A54, MatchScoutingData!S$2:S$1000)</f>
        <v>0</v>
      </c>
      <c r="V54" s="36">
        <f>SUMIF(MatchScoutingData!$F$2:$F$1000, $A54, MatchScoutingData!T$2:T$1000)</f>
        <v>3</v>
      </c>
      <c r="W54" s="36">
        <f>SUMIF(MatchScoutingData!$F$2:$F$1000, $A54, MatchScoutingData!U$2:U$1000)</f>
        <v>0</v>
      </c>
      <c r="X54" s="36">
        <f t="shared" si="32"/>
        <v>10</v>
      </c>
      <c r="Y54" s="36">
        <f t="shared" si="33"/>
        <v>24</v>
      </c>
      <c r="Z54" s="36">
        <f t="shared" si="34"/>
        <v>3</v>
      </c>
      <c r="AA54" s="36">
        <f t="shared" si="35"/>
        <v>0</v>
      </c>
      <c r="AB54" s="36">
        <f t="shared" si="36"/>
        <v>18</v>
      </c>
      <c r="AC54" s="36">
        <f t="shared" si="37"/>
        <v>0</v>
      </c>
      <c r="AD54" s="38">
        <f t="shared" si="38"/>
        <v>55</v>
      </c>
      <c r="AE54" s="38">
        <f t="shared" si="39"/>
        <v>13.75</v>
      </c>
      <c r="AF54" s="36">
        <f>COUNTIFS(MatchScoutingData!$F$2:$F$1000, $A54, MatchScoutingData!$X$2:$X$1000, "p")</f>
        <v>3</v>
      </c>
      <c r="AG54" s="36">
        <f>COUNTIFS(MatchScoutingData!$F$2:$F$1000, $A54, MatchScoutingData!$X$2:$X$1000, "s")</f>
        <v>0</v>
      </c>
      <c r="AH54" s="36">
        <f>COUNTIFS(MatchScoutingData!$F$2:$F$1000, $A54, MatchScoutingData!$X$2:$X$1000, "d")</f>
        <v>0</v>
      </c>
      <c r="AI54" s="36">
        <f t="shared" si="40"/>
        <v>6</v>
      </c>
      <c r="AJ54" s="36">
        <f t="shared" si="41"/>
        <v>0</v>
      </c>
      <c r="AK54" s="36">
        <f t="shared" si="42"/>
        <v>0</v>
      </c>
      <c r="AL54" s="39">
        <f t="shared" si="43"/>
        <v>6</v>
      </c>
      <c r="AM54" s="39">
        <f t="shared" si="44"/>
        <v>1.5</v>
      </c>
      <c r="AN54" s="40">
        <f t="shared" si="45"/>
        <v>70</v>
      </c>
      <c r="AO54" s="40">
        <f t="shared" si="46"/>
        <v>17.5</v>
      </c>
      <c r="AP54" s="36">
        <f>SUMIF(MatchScoutingData!$F$2:$F$1000, $A54, MatchScoutingData!Z$2:Z$1000)</f>
        <v>2</v>
      </c>
      <c r="AQ54" s="36">
        <f>SUMIF(MatchScoutingData!$F$2:$F$1000, $A54, MatchScoutingData!AA$2:AA$1000)</f>
        <v>0</v>
      </c>
      <c r="AR54" s="36">
        <f>SUMIF(MatchScoutingData!$F$2:$F$1000, $A54, MatchScoutingData!AB$2:AB$1000)</f>
        <v>1</v>
      </c>
      <c r="AS54" s="36">
        <f t="shared" si="47"/>
        <v>3</v>
      </c>
    </row>
    <row r="55" spans="1:45" ht="16" x14ac:dyDescent="0.2">
      <c r="A55" s="35">
        <v>8067</v>
      </c>
      <c r="B55" s="36">
        <f>COUNTIF(MatchScoutingData!F$2:F$1000, $A55)</f>
        <v>2</v>
      </c>
      <c r="C55" s="36">
        <f>SUMIF(MatchScoutingData!$F$2:$F$1000, $A55, MatchScoutingData!I$2:I$1000)</f>
        <v>0</v>
      </c>
      <c r="D55" s="36">
        <f>SUMIF(MatchScoutingData!$F$2:$F$1000, $A55, MatchScoutingData!J$2:J$1000)</f>
        <v>0</v>
      </c>
      <c r="E55" s="36">
        <f>SUMIF(MatchScoutingData!$F$2:$F$1000, $A55, MatchScoutingData!K$2:K$1000)</f>
        <v>0</v>
      </c>
      <c r="F55" s="36">
        <f>SUMIF(MatchScoutingData!$F$2:$F$1000, $A55, MatchScoutingData!L$2:L$1000)</f>
        <v>0</v>
      </c>
      <c r="G55" s="36">
        <f>SUMIF(MatchScoutingData!$F$2:$F$1000, $A55, MatchScoutingData!M$2:M$1000)</f>
        <v>0</v>
      </c>
      <c r="H55" s="36">
        <f>SUMIF(MatchScoutingData!$F$2:$F$1000, $A55, MatchScoutingData!N$2:N$1000)</f>
        <v>0</v>
      </c>
      <c r="I55" s="36">
        <f t="shared" si="24"/>
        <v>0</v>
      </c>
      <c r="J55" s="36">
        <f t="shared" si="25"/>
        <v>0</v>
      </c>
      <c r="K55" s="36">
        <f t="shared" si="26"/>
        <v>0</v>
      </c>
      <c r="L55" s="36">
        <f t="shared" si="27"/>
        <v>0</v>
      </c>
      <c r="M55" s="36">
        <f t="shared" si="28"/>
        <v>0</v>
      </c>
      <c r="N55" s="36">
        <f t="shared" si="29"/>
        <v>0</v>
      </c>
      <c r="O55" s="36">
        <f>SUMIF(MatchScoutingData!$F$2:$F$1000, $A55, MatchScoutingData!H$2:H$1000) * 3</f>
        <v>6</v>
      </c>
      <c r="P55" s="37">
        <f t="shared" si="30"/>
        <v>6</v>
      </c>
      <c r="Q55" s="37">
        <f t="shared" si="31"/>
        <v>3</v>
      </c>
      <c r="R55" s="36">
        <f>SUMIF(MatchScoutingData!$F$2:$F$1000, $A55, MatchScoutingData!P$2:P$1000)</f>
        <v>5</v>
      </c>
      <c r="S55" s="36">
        <f>SUMIF(MatchScoutingData!$F$2:$F$1000, $A55, MatchScoutingData!Q$2:Q$1000)</f>
        <v>0</v>
      </c>
      <c r="T55" s="36">
        <f>SUMIF(MatchScoutingData!$F$2:$F$1000, $A55, MatchScoutingData!R$2:R$1000)</f>
        <v>0</v>
      </c>
      <c r="U55" s="36">
        <f>SUMIF(MatchScoutingData!$F$2:$F$1000, $A55, MatchScoutingData!S$2:S$1000)</f>
        <v>1</v>
      </c>
      <c r="V55" s="36">
        <f>SUMIF(MatchScoutingData!$F$2:$F$1000, $A55, MatchScoutingData!T$2:T$1000)</f>
        <v>0</v>
      </c>
      <c r="W55" s="36">
        <f>SUMIF(MatchScoutingData!$F$2:$F$1000, $A55, MatchScoutingData!U$2:U$1000)</f>
        <v>0</v>
      </c>
      <c r="X55" s="36">
        <f t="shared" si="32"/>
        <v>25</v>
      </c>
      <c r="Y55" s="36">
        <f t="shared" si="33"/>
        <v>0</v>
      </c>
      <c r="Z55" s="36">
        <f t="shared" si="34"/>
        <v>0</v>
      </c>
      <c r="AA55" s="36">
        <f t="shared" si="35"/>
        <v>2</v>
      </c>
      <c r="AB55" s="36">
        <f t="shared" si="36"/>
        <v>0</v>
      </c>
      <c r="AC55" s="36">
        <f t="shared" si="37"/>
        <v>0</v>
      </c>
      <c r="AD55" s="38">
        <f t="shared" si="38"/>
        <v>27</v>
      </c>
      <c r="AE55" s="38">
        <f t="shared" si="39"/>
        <v>13.5</v>
      </c>
      <c r="AF55" s="36">
        <f>COUNTIFS(MatchScoutingData!$F$2:$F$1000, $A55, MatchScoutingData!$X$2:$X$1000, "p")</f>
        <v>1</v>
      </c>
      <c r="AG55" s="36">
        <f>COUNTIFS(MatchScoutingData!$F$2:$F$1000, $A55, MatchScoutingData!$X$2:$X$1000, "s")</f>
        <v>0</v>
      </c>
      <c r="AH55" s="36">
        <f>COUNTIFS(MatchScoutingData!$F$2:$F$1000, $A55, MatchScoutingData!$X$2:$X$1000, "d")</f>
        <v>0</v>
      </c>
      <c r="AI55" s="36">
        <f t="shared" si="40"/>
        <v>2</v>
      </c>
      <c r="AJ55" s="36">
        <f t="shared" si="41"/>
        <v>0</v>
      </c>
      <c r="AK55" s="36">
        <f t="shared" si="42"/>
        <v>0</v>
      </c>
      <c r="AL55" s="39">
        <f t="shared" si="43"/>
        <v>2</v>
      </c>
      <c r="AM55" s="39">
        <f t="shared" si="44"/>
        <v>1</v>
      </c>
      <c r="AN55" s="40">
        <f t="shared" si="45"/>
        <v>35</v>
      </c>
      <c r="AO55" s="40">
        <f t="shared" si="46"/>
        <v>17.5</v>
      </c>
      <c r="AP55" s="36">
        <f>SUMIF(MatchScoutingData!$F$2:$F$1000, $A55, MatchScoutingData!Z$2:Z$1000)</f>
        <v>2</v>
      </c>
      <c r="AQ55" s="36">
        <f>SUMIF(MatchScoutingData!$F$2:$F$1000, $A55, MatchScoutingData!AA$2:AA$1000)</f>
        <v>0</v>
      </c>
      <c r="AR55" s="36">
        <f>SUMIF(MatchScoutingData!$F$2:$F$1000, $A55, MatchScoutingData!AB$2:AB$1000)</f>
        <v>0</v>
      </c>
      <c r="AS55" s="36">
        <f t="shared" si="47"/>
        <v>2</v>
      </c>
    </row>
    <row r="56" spans="1:45" ht="16" x14ac:dyDescent="0.2">
      <c r="A56" s="35">
        <v>9468</v>
      </c>
      <c r="B56" s="36">
        <f>COUNTIF(MatchScoutingData!F$2:F$1000, $A56)</f>
        <v>2</v>
      </c>
      <c r="C56" s="36">
        <f>SUMIF(MatchScoutingData!$F$2:$F$1000, $A56, MatchScoutingData!I$2:I$1000)</f>
        <v>0</v>
      </c>
      <c r="D56" s="36">
        <f>SUMIF(MatchScoutingData!$F$2:$F$1000, $A56, MatchScoutingData!J$2:J$1000)</f>
        <v>0</v>
      </c>
      <c r="E56" s="36">
        <f>SUMIF(MatchScoutingData!$F$2:$F$1000, $A56, MatchScoutingData!K$2:K$1000)</f>
        <v>0</v>
      </c>
      <c r="F56" s="36">
        <f>SUMIF(MatchScoutingData!$F$2:$F$1000, $A56, MatchScoutingData!L$2:L$1000)</f>
        <v>0</v>
      </c>
      <c r="G56" s="36">
        <f>SUMIF(MatchScoutingData!$F$2:$F$1000, $A56, MatchScoutingData!M$2:M$1000)</f>
        <v>0</v>
      </c>
      <c r="H56" s="36">
        <f>SUMIF(MatchScoutingData!$F$2:$F$1000, $A56, MatchScoutingData!N$2:N$1000)</f>
        <v>0</v>
      </c>
      <c r="I56" s="36">
        <f t="shared" si="24"/>
        <v>0</v>
      </c>
      <c r="J56" s="36">
        <f t="shared" si="25"/>
        <v>0</v>
      </c>
      <c r="K56" s="36">
        <f t="shared" si="26"/>
        <v>0</v>
      </c>
      <c r="L56" s="36">
        <f t="shared" si="27"/>
        <v>0</v>
      </c>
      <c r="M56" s="36">
        <f t="shared" si="28"/>
        <v>0</v>
      </c>
      <c r="N56" s="36">
        <f t="shared" si="29"/>
        <v>0</v>
      </c>
      <c r="O56" s="36">
        <f>SUMIF(MatchScoutingData!$F$2:$F$1000, $A56, MatchScoutingData!H$2:H$1000) * 3</f>
        <v>6</v>
      </c>
      <c r="P56" s="37">
        <f t="shared" si="30"/>
        <v>6</v>
      </c>
      <c r="Q56" s="37">
        <f t="shared" si="31"/>
        <v>3</v>
      </c>
      <c r="R56" s="36">
        <f>SUMIF(MatchScoutingData!$F$2:$F$1000, $A56, MatchScoutingData!P$2:P$1000)</f>
        <v>0</v>
      </c>
      <c r="S56" s="36">
        <f>SUMIF(MatchScoutingData!$F$2:$F$1000, $A56, MatchScoutingData!Q$2:Q$1000)</f>
        <v>0</v>
      </c>
      <c r="T56" s="36">
        <f>SUMIF(MatchScoutingData!$F$2:$F$1000, $A56, MatchScoutingData!R$2:R$1000)</f>
        <v>4</v>
      </c>
      <c r="U56" s="36">
        <f>SUMIF(MatchScoutingData!$F$2:$F$1000, $A56, MatchScoutingData!S$2:S$1000)</f>
        <v>2</v>
      </c>
      <c r="V56" s="36">
        <f>SUMIF(MatchScoutingData!$F$2:$F$1000, $A56, MatchScoutingData!T$2:T$1000)</f>
        <v>0</v>
      </c>
      <c r="W56" s="36">
        <f>SUMIF(MatchScoutingData!$F$2:$F$1000, $A56, MatchScoutingData!U$2:U$1000)</f>
        <v>0</v>
      </c>
      <c r="X56" s="36">
        <f t="shared" si="32"/>
        <v>0</v>
      </c>
      <c r="Y56" s="36">
        <f t="shared" si="33"/>
        <v>0</v>
      </c>
      <c r="Z56" s="36">
        <f t="shared" si="34"/>
        <v>12</v>
      </c>
      <c r="AA56" s="36">
        <f t="shared" si="35"/>
        <v>4</v>
      </c>
      <c r="AB56" s="36">
        <f t="shared" si="36"/>
        <v>0</v>
      </c>
      <c r="AC56" s="36">
        <f t="shared" si="37"/>
        <v>0</v>
      </c>
      <c r="AD56" s="38">
        <f t="shared" si="38"/>
        <v>16</v>
      </c>
      <c r="AE56" s="38">
        <f t="shared" si="39"/>
        <v>8</v>
      </c>
      <c r="AF56" s="36">
        <f>COUNTIFS(MatchScoutingData!$F$2:$F$1000, $A56, MatchScoutingData!$X$2:$X$1000, "p")</f>
        <v>2</v>
      </c>
      <c r="AG56" s="36">
        <f>COUNTIFS(MatchScoutingData!$F$2:$F$1000, $A56, MatchScoutingData!$X$2:$X$1000, "s")</f>
        <v>0</v>
      </c>
      <c r="AH56" s="36">
        <f>COUNTIFS(MatchScoutingData!$F$2:$F$1000, $A56, MatchScoutingData!$X$2:$X$1000, "d")</f>
        <v>0</v>
      </c>
      <c r="AI56" s="36">
        <f t="shared" si="40"/>
        <v>4</v>
      </c>
      <c r="AJ56" s="36">
        <f t="shared" si="41"/>
        <v>0</v>
      </c>
      <c r="AK56" s="36">
        <f t="shared" si="42"/>
        <v>0</v>
      </c>
      <c r="AL56" s="39">
        <f t="shared" si="43"/>
        <v>4</v>
      </c>
      <c r="AM56" s="39">
        <f t="shared" si="44"/>
        <v>2</v>
      </c>
      <c r="AN56" s="40">
        <f t="shared" si="45"/>
        <v>26</v>
      </c>
      <c r="AO56" s="40">
        <f t="shared" si="46"/>
        <v>13</v>
      </c>
      <c r="AP56" s="36">
        <f>SUMIF(MatchScoutingData!$F$2:$F$1000, $A56, MatchScoutingData!Z$2:Z$1000)</f>
        <v>0</v>
      </c>
      <c r="AQ56" s="36">
        <f>SUMIF(MatchScoutingData!$F$2:$F$1000, $A56, MatchScoutingData!AA$2:AA$1000)</f>
        <v>0</v>
      </c>
      <c r="AR56" s="36">
        <f>SUMIF(MatchScoutingData!$F$2:$F$1000, $A56, MatchScoutingData!AB$2:AB$1000)</f>
        <v>0</v>
      </c>
      <c r="AS56" s="36">
        <f t="shared" si="47"/>
        <v>0</v>
      </c>
    </row>
    <row r="57" spans="1:45" ht="16" x14ac:dyDescent="0.2">
      <c r="A57" s="35">
        <v>9624</v>
      </c>
      <c r="B57" s="36">
        <f>COUNTIF(MatchScoutingData!F$2:F$1000, $A57)</f>
        <v>4</v>
      </c>
      <c r="C57" s="36">
        <f>SUMIF(MatchScoutingData!$F$2:$F$1000, $A57, MatchScoutingData!I$2:I$1000)</f>
        <v>4</v>
      </c>
      <c r="D57" s="36">
        <f>SUMIF(MatchScoutingData!$F$2:$F$1000, $A57, MatchScoutingData!J$2:J$1000)</f>
        <v>0</v>
      </c>
      <c r="E57" s="36">
        <f>SUMIF(MatchScoutingData!$F$2:$F$1000, $A57, MatchScoutingData!K$2:K$1000)</f>
        <v>0</v>
      </c>
      <c r="F57" s="36">
        <f>SUMIF(MatchScoutingData!$F$2:$F$1000, $A57, MatchScoutingData!L$2:L$1000)</f>
        <v>0</v>
      </c>
      <c r="G57" s="36">
        <f>SUMIF(MatchScoutingData!$F$2:$F$1000, $A57, MatchScoutingData!M$2:M$1000)</f>
        <v>0</v>
      </c>
      <c r="H57" s="36">
        <f>SUMIF(MatchScoutingData!$F$2:$F$1000, $A57, MatchScoutingData!N$2:N$1000)</f>
        <v>0</v>
      </c>
      <c r="I57" s="36">
        <f t="shared" si="24"/>
        <v>28</v>
      </c>
      <c r="J57" s="36">
        <f t="shared" si="25"/>
        <v>0</v>
      </c>
      <c r="K57" s="36">
        <f t="shared" si="26"/>
        <v>0</v>
      </c>
      <c r="L57" s="36">
        <f t="shared" si="27"/>
        <v>0</v>
      </c>
      <c r="M57" s="36">
        <f t="shared" si="28"/>
        <v>0</v>
      </c>
      <c r="N57" s="36">
        <f t="shared" si="29"/>
        <v>0</v>
      </c>
      <c r="O57" s="36">
        <f>SUMIF(MatchScoutingData!$F$2:$F$1000, $A57, MatchScoutingData!H$2:H$1000) * 3</f>
        <v>6</v>
      </c>
      <c r="P57" s="37">
        <f t="shared" si="30"/>
        <v>34</v>
      </c>
      <c r="Q57" s="37">
        <f t="shared" si="31"/>
        <v>8.5</v>
      </c>
      <c r="R57" s="36">
        <f>SUMIF(MatchScoutingData!$F$2:$F$1000, $A57, MatchScoutingData!P$2:P$1000)</f>
        <v>12</v>
      </c>
      <c r="S57" s="36">
        <f>SUMIF(MatchScoutingData!$F$2:$F$1000, $A57, MatchScoutingData!Q$2:Q$1000)</f>
        <v>4</v>
      </c>
      <c r="T57" s="36">
        <f>SUMIF(MatchScoutingData!$F$2:$F$1000, $A57, MatchScoutingData!R$2:R$1000)</f>
        <v>0</v>
      </c>
      <c r="U57" s="36">
        <f>SUMIF(MatchScoutingData!$F$2:$F$1000, $A57, MatchScoutingData!S$2:S$1000)</f>
        <v>0</v>
      </c>
      <c r="V57" s="36">
        <f>SUMIF(MatchScoutingData!$F$2:$F$1000, $A57, MatchScoutingData!T$2:T$1000)</f>
        <v>0</v>
      </c>
      <c r="W57" s="36">
        <f>SUMIF(MatchScoutingData!$F$2:$F$1000, $A57, MatchScoutingData!U$2:U$1000)</f>
        <v>0</v>
      </c>
      <c r="X57" s="36">
        <f t="shared" si="32"/>
        <v>60</v>
      </c>
      <c r="Y57" s="36">
        <f t="shared" si="33"/>
        <v>16</v>
      </c>
      <c r="Z57" s="36">
        <f t="shared" si="34"/>
        <v>0</v>
      </c>
      <c r="AA57" s="36">
        <f t="shared" si="35"/>
        <v>0</v>
      </c>
      <c r="AB57" s="36">
        <f t="shared" si="36"/>
        <v>0</v>
      </c>
      <c r="AC57" s="36">
        <f t="shared" si="37"/>
        <v>0</v>
      </c>
      <c r="AD57" s="38">
        <f t="shared" si="38"/>
        <v>76</v>
      </c>
      <c r="AE57" s="38">
        <f t="shared" si="39"/>
        <v>19</v>
      </c>
      <c r="AF57" s="36">
        <f>COUNTIFS(MatchScoutingData!$F$2:$F$1000, $A57, MatchScoutingData!$X$2:$X$1000, "p")</f>
        <v>2</v>
      </c>
      <c r="AG57" s="36">
        <f>COUNTIFS(MatchScoutingData!$F$2:$F$1000, $A57, MatchScoutingData!$X$2:$X$1000, "s")</f>
        <v>0</v>
      </c>
      <c r="AH57" s="36">
        <f>COUNTIFS(MatchScoutingData!$F$2:$F$1000, $A57, MatchScoutingData!$X$2:$X$1000, "d")</f>
        <v>0</v>
      </c>
      <c r="AI57" s="36">
        <f t="shared" si="40"/>
        <v>4</v>
      </c>
      <c r="AJ57" s="36">
        <f t="shared" si="41"/>
        <v>0</v>
      </c>
      <c r="AK57" s="36">
        <f t="shared" si="42"/>
        <v>0</v>
      </c>
      <c r="AL57" s="39">
        <f t="shared" si="43"/>
        <v>4</v>
      </c>
      <c r="AM57" s="39">
        <f t="shared" si="44"/>
        <v>1</v>
      </c>
      <c r="AN57" s="40">
        <f t="shared" si="45"/>
        <v>114</v>
      </c>
      <c r="AO57" s="40">
        <f t="shared" si="46"/>
        <v>28.5</v>
      </c>
      <c r="AP57" s="36">
        <f>SUMIF(MatchScoutingData!$F$2:$F$1000, $A57, MatchScoutingData!Z$2:Z$1000)</f>
        <v>4</v>
      </c>
      <c r="AQ57" s="36">
        <f>SUMIF(MatchScoutingData!$F$2:$F$1000, $A57, MatchScoutingData!AA$2:AA$1000)</f>
        <v>2</v>
      </c>
      <c r="AR57" s="36">
        <f>SUMIF(MatchScoutingData!$F$2:$F$1000, $A57, MatchScoutingData!AB$2:AB$1000)</f>
        <v>1</v>
      </c>
      <c r="AS57" s="36">
        <f t="shared" si="47"/>
        <v>7</v>
      </c>
    </row>
    <row r="58" spans="1:45" ht="16" x14ac:dyDescent="0.2">
      <c r="A58" s="35">
        <v>10352</v>
      </c>
      <c r="B58" s="36">
        <f>COUNTIF(MatchScoutingData!F$2:F$1000, $A58)</f>
        <v>1</v>
      </c>
      <c r="C58" s="36">
        <f>SUMIF(MatchScoutingData!$F$2:$F$1000, $A58, MatchScoutingData!I$2:I$1000)</f>
        <v>0</v>
      </c>
      <c r="D58" s="36">
        <f>SUMIF(MatchScoutingData!$F$2:$F$1000, $A58, MatchScoutingData!J$2:J$1000)</f>
        <v>0</v>
      </c>
      <c r="E58" s="36">
        <f>SUMIF(MatchScoutingData!$F$2:$F$1000, $A58, MatchScoutingData!K$2:K$1000)</f>
        <v>0</v>
      </c>
      <c r="F58" s="36">
        <f>SUMIF(MatchScoutingData!$F$2:$F$1000, $A58, MatchScoutingData!L$2:L$1000)</f>
        <v>1</v>
      </c>
      <c r="G58" s="36">
        <f>SUMIF(MatchScoutingData!$F$2:$F$1000, $A58, MatchScoutingData!M$2:M$1000)</f>
        <v>0</v>
      </c>
      <c r="H58" s="36">
        <f>SUMIF(MatchScoutingData!$F$2:$F$1000, $A58, MatchScoutingData!N$2:N$1000)</f>
        <v>0</v>
      </c>
      <c r="I58" s="36">
        <f t="shared" si="24"/>
        <v>0</v>
      </c>
      <c r="J58" s="36">
        <f t="shared" si="25"/>
        <v>0</v>
      </c>
      <c r="K58" s="36">
        <f t="shared" si="26"/>
        <v>0</v>
      </c>
      <c r="L58" s="36">
        <f t="shared" si="27"/>
        <v>3</v>
      </c>
      <c r="M58" s="36">
        <f t="shared" si="28"/>
        <v>0</v>
      </c>
      <c r="N58" s="36">
        <f t="shared" si="29"/>
        <v>0</v>
      </c>
      <c r="O58" s="36">
        <f>SUMIF(MatchScoutingData!$F$2:$F$1000, $A58, MatchScoutingData!H$2:H$1000) * 3</f>
        <v>3</v>
      </c>
      <c r="P58" s="37">
        <f t="shared" si="30"/>
        <v>6</v>
      </c>
      <c r="Q58" s="37">
        <f t="shared" si="31"/>
        <v>6</v>
      </c>
      <c r="R58" s="36">
        <f>SUMIF(MatchScoutingData!$F$2:$F$1000, $A58, MatchScoutingData!P$2:P$1000)</f>
        <v>0</v>
      </c>
      <c r="S58" s="36">
        <f>SUMIF(MatchScoutingData!$F$2:$F$1000, $A58, MatchScoutingData!Q$2:Q$1000)</f>
        <v>0</v>
      </c>
      <c r="T58" s="36">
        <f>SUMIF(MatchScoutingData!$F$2:$F$1000, $A58, MatchScoutingData!R$2:R$1000)</f>
        <v>0</v>
      </c>
      <c r="U58" s="36">
        <f>SUMIF(MatchScoutingData!$F$2:$F$1000, $A58, MatchScoutingData!S$2:S$1000)</f>
        <v>4</v>
      </c>
      <c r="V58" s="36">
        <f>SUMIF(MatchScoutingData!$F$2:$F$1000, $A58, MatchScoutingData!T$2:T$1000)</f>
        <v>0</v>
      </c>
      <c r="W58" s="36">
        <f>SUMIF(MatchScoutingData!$F$2:$F$1000, $A58, MatchScoutingData!U$2:U$1000)</f>
        <v>0</v>
      </c>
      <c r="X58" s="36">
        <f t="shared" si="32"/>
        <v>0</v>
      </c>
      <c r="Y58" s="36">
        <f t="shared" si="33"/>
        <v>0</v>
      </c>
      <c r="Z58" s="36">
        <f t="shared" si="34"/>
        <v>0</v>
      </c>
      <c r="AA58" s="36">
        <f t="shared" si="35"/>
        <v>8</v>
      </c>
      <c r="AB58" s="36">
        <f t="shared" si="36"/>
        <v>0</v>
      </c>
      <c r="AC58" s="36">
        <f t="shared" si="37"/>
        <v>0</v>
      </c>
      <c r="AD58" s="38">
        <f t="shared" si="38"/>
        <v>8</v>
      </c>
      <c r="AE58" s="38">
        <f t="shared" si="39"/>
        <v>8</v>
      </c>
      <c r="AF58" s="36">
        <f>COUNTIFS(MatchScoutingData!$F$2:$F$1000, $A58, MatchScoutingData!$X$2:$X$1000, "p")</f>
        <v>1</v>
      </c>
      <c r="AG58" s="36">
        <f>COUNTIFS(MatchScoutingData!$F$2:$F$1000, $A58, MatchScoutingData!$X$2:$X$1000, "s")</f>
        <v>0</v>
      </c>
      <c r="AH58" s="36">
        <f>COUNTIFS(MatchScoutingData!$F$2:$F$1000, $A58, MatchScoutingData!$X$2:$X$1000, "d")</f>
        <v>0</v>
      </c>
      <c r="AI58" s="36">
        <f t="shared" si="40"/>
        <v>2</v>
      </c>
      <c r="AJ58" s="36">
        <f t="shared" si="41"/>
        <v>0</v>
      </c>
      <c r="AK58" s="36">
        <f t="shared" si="42"/>
        <v>0</v>
      </c>
      <c r="AL58" s="39">
        <f t="shared" si="43"/>
        <v>2</v>
      </c>
      <c r="AM58" s="39">
        <f t="shared" si="44"/>
        <v>2</v>
      </c>
      <c r="AN58" s="40">
        <f t="shared" si="45"/>
        <v>16</v>
      </c>
      <c r="AO58" s="40">
        <f t="shared" si="46"/>
        <v>16</v>
      </c>
      <c r="AP58" s="36">
        <f>SUMIF(MatchScoutingData!$F$2:$F$1000, $A58, MatchScoutingData!Z$2:Z$1000)</f>
        <v>1</v>
      </c>
      <c r="AQ58" s="36">
        <f>SUMIF(MatchScoutingData!$F$2:$F$1000, $A58, MatchScoutingData!AA$2:AA$1000)</f>
        <v>1</v>
      </c>
      <c r="AR58" s="36">
        <f>SUMIF(MatchScoutingData!$F$2:$F$1000, $A58, MatchScoutingData!AB$2:AB$1000)</f>
        <v>1</v>
      </c>
      <c r="AS58" s="36">
        <f t="shared" si="47"/>
        <v>3</v>
      </c>
    </row>
    <row r="59" spans="1:45" ht="16" x14ac:dyDescent="0.2">
      <c r="A59" s="35">
        <v>10714</v>
      </c>
      <c r="B59" s="36">
        <f>COUNTIF(MatchScoutingData!F$2:F$1000, $A59)</f>
        <v>3</v>
      </c>
      <c r="C59" s="36">
        <f>SUMIF(MatchScoutingData!$F$2:$F$1000, $A59, MatchScoutingData!I$2:I$1000)</f>
        <v>2</v>
      </c>
      <c r="D59" s="36">
        <f>SUMIF(MatchScoutingData!$F$2:$F$1000, $A59, MatchScoutingData!J$2:J$1000)</f>
        <v>0</v>
      </c>
      <c r="E59" s="36">
        <f>SUMIF(MatchScoutingData!$F$2:$F$1000, $A59, MatchScoutingData!K$2:K$1000)</f>
        <v>1</v>
      </c>
      <c r="F59" s="36">
        <f>SUMIF(MatchScoutingData!$F$2:$F$1000, $A59, MatchScoutingData!L$2:L$1000)</f>
        <v>1</v>
      </c>
      <c r="G59" s="36">
        <f>SUMIF(MatchScoutingData!$F$2:$F$1000, $A59, MatchScoutingData!M$2:M$1000)</f>
        <v>0</v>
      </c>
      <c r="H59" s="36">
        <f>SUMIF(MatchScoutingData!$F$2:$F$1000, $A59, MatchScoutingData!N$2:N$1000)</f>
        <v>0</v>
      </c>
      <c r="I59" s="36">
        <f t="shared" si="24"/>
        <v>14</v>
      </c>
      <c r="J59" s="36">
        <f t="shared" si="25"/>
        <v>0</v>
      </c>
      <c r="K59" s="36">
        <f t="shared" si="26"/>
        <v>4</v>
      </c>
      <c r="L59" s="36">
        <f t="shared" si="27"/>
        <v>3</v>
      </c>
      <c r="M59" s="36">
        <f t="shared" si="28"/>
        <v>0</v>
      </c>
      <c r="N59" s="36">
        <f t="shared" si="29"/>
        <v>0</v>
      </c>
      <c r="O59" s="36">
        <f>SUMIF(MatchScoutingData!$F$2:$F$1000, $A59, MatchScoutingData!H$2:H$1000) * 3</f>
        <v>6</v>
      </c>
      <c r="P59" s="37">
        <f t="shared" si="30"/>
        <v>27</v>
      </c>
      <c r="Q59" s="37">
        <f t="shared" si="31"/>
        <v>9</v>
      </c>
      <c r="R59" s="36">
        <f>SUMIF(MatchScoutingData!$F$2:$F$1000, $A59, MatchScoutingData!P$2:P$1000)</f>
        <v>4</v>
      </c>
      <c r="S59" s="36">
        <f>SUMIF(MatchScoutingData!$F$2:$F$1000, $A59, MatchScoutingData!Q$2:Q$1000)</f>
        <v>6</v>
      </c>
      <c r="T59" s="36">
        <f>SUMIF(MatchScoutingData!$F$2:$F$1000, $A59, MatchScoutingData!R$2:R$1000)</f>
        <v>3</v>
      </c>
      <c r="U59" s="36">
        <f>SUMIF(MatchScoutingData!$F$2:$F$1000, $A59, MatchScoutingData!S$2:S$1000)</f>
        <v>11</v>
      </c>
      <c r="V59" s="36">
        <f>SUMIF(MatchScoutingData!$F$2:$F$1000, $A59, MatchScoutingData!T$2:T$1000)</f>
        <v>3</v>
      </c>
      <c r="W59" s="36">
        <f>SUMIF(MatchScoutingData!$F$2:$F$1000, $A59, MatchScoutingData!U$2:U$1000)</f>
        <v>3</v>
      </c>
      <c r="X59" s="36">
        <f t="shared" si="32"/>
        <v>20</v>
      </c>
      <c r="Y59" s="36">
        <f t="shared" si="33"/>
        <v>24</v>
      </c>
      <c r="Z59" s="36">
        <f t="shared" si="34"/>
        <v>9</v>
      </c>
      <c r="AA59" s="36">
        <f t="shared" si="35"/>
        <v>22</v>
      </c>
      <c r="AB59" s="36">
        <f t="shared" si="36"/>
        <v>18</v>
      </c>
      <c r="AC59" s="36">
        <f t="shared" si="37"/>
        <v>12</v>
      </c>
      <c r="AD59" s="38">
        <f t="shared" si="38"/>
        <v>105</v>
      </c>
      <c r="AE59" s="38">
        <f t="shared" si="39"/>
        <v>35</v>
      </c>
      <c r="AF59" s="36">
        <f>COUNTIFS(MatchScoutingData!$F$2:$F$1000, $A59, MatchScoutingData!$X$2:$X$1000, "p")</f>
        <v>0</v>
      </c>
      <c r="AG59" s="36">
        <f>COUNTIFS(MatchScoutingData!$F$2:$F$1000, $A59, MatchScoutingData!$X$2:$X$1000, "s")</f>
        <v>1</v>
      </c>
      <c r="AH59" s="36">
        <f>COUNTIFS(MatchScoutingData!$F$2:$F$1000, $A59, MatchScoutingData!$X$2:$X$1000, "d")</f>
        <v>0</v>
      </c>
      <c r="AI59" s="36">
        <f t="shared" si="40"/>
        <v>0</v>
      </c>
      <c r="AJ59" s="36">
        <f t="shared" si="41"/>
        <v>6</v>
      </c>
      <c r="AK59" s="36">
        <f t="shared" si="42"/>
        <v>0</v>
      </c>
      <c r="AL59" s="39">
        <f t="shared" si="43"/>
        <v>6</v>
      </c>
      <c r="AM59" s="39">
        <f t="shared" si="44"/>
        <v>2</v>
      </c>
      <c r="AN59" s="40">
        <f t="shared" si="45"/>
        <v>138</v>
      </c>
      <c r="AO59" s="40">
        <f t="shared" si="46"/>
        <v>46</v>
      </c>
      <c r="AP59" s="36">
        <f>SUMIF(MatchScoutingData!$F$2:$F$1000, $A59, MatchScoutingData!Z$2:Z$1000)</f>
        <v>1</v>
      </c>
      <c r="AQ59" s="36">
        <f>SUMIF(MatchScoutingData!$F$2:$F$1000, $A59, MatchScoutingData!AA$2:AA$1000)</f>
        <v>0</v>
      </c>
      <c r="AR59" s="36">
        <f>SUMIF(MatchScoutingData!$F$2:$F$1000, $A59, MatchScoutingData!AB$2:AB$1000)</f>
        <v>1</v>
      </c>
      <c r="AS59" s="36">
        <f t="shared" si="47"/>
        <v>2</v>
      </c>
    </row>
  </sheetData>
  <autoFilter ref="A3:AR3" xr:uid="{00000000-0009-0000-0000-000004000000}"/>
  <mergeCells count="11">
    <mergeCell ref="AP1:AS2"/>
    <mergeCell ref="C2:H2"/>
    <mergeCell ref="C1:Q1"/>
    <mergeCell ref="I2:Q2"/>
    <mergeCell ref="R1:AE1"/>
    <mergeCell ref="R2:W2"/>
    <mergeCell ref="AF2:AH2"/>
    <mergeCell ref="AF1:AM1"/>
    <mergeCell ref="X2:AE2"/>
    <mergeCell ref="AN1:AO2"/>
    <mergeCell ref="AI2:AM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59"/>
  <sheetViews>
    <sheetView zoomScale="150" zoomScaleNormal="150" workbookViewId="0">
      <pane ySplit="3" topLeftCell="A4" activePane="bottomLeft" state="frozen"/>
      <selection pane="bottomLeft" activeCell="A4" sqref="A4"/>
    </sheetView>
  </sheetViews>
  <sheetFormatPr baseColWidth="10" defaultColWidth="8.83203125" defaultRowHeight="15" x14ac:dyDescent="0.2"/>
  <cols>
    <col min="2" max="21" width="7.83203125" customWidth="1"/>
  </cols>
  <sheetData>
    <row r="1" spans="1:21" ht="17" customHeight="1" thickBot="1" x14ac:dyDescent="0.25">
      <c r="A1" s="15"/>
      <c r="B1" s="58" t="s">
        <v>325</v>
      </c>
      <c r="C1" s="46"/>
      <c r="D1" s="46"/>
      <c r="E1" s="46"/>
      <c r="F1" s="46"/>
      <c r="G1" s="46"/>
      <c r="H1" s="46"/>
      <c r="I1" s="47"/>
      <c r="J1" s="57" t="s">
        <v>326</v>
      </c>
      <c r="K1" s="46"/>
      <c r="L1" s="46"/>
      <c r="M1" s="46"/>
      <c r="N1" s="57" t="s">
        <v>327</v>
      </c>
      <c r="O1" s="46"/>
      <c r="P1" s="46"/>
      <c r="Q1" s="46"/>
      <c r="R1" s="57" t="s">
        <v>328</v>
      </c>
      <c r="S1" s="46"/>
      <c r="T1" s="46"/>
      <c r="U1" s="46"/>
    </row>
    <row r="2" spans="1:21" ht="17" customHeight="1" thickBot="1" x14ac:dyDescent="0.25">
      <c r="A2" s="15"/>
      <c r="B2" s="54" t="s">
        <v>304</v>
      </c>
      <c r="C2" s="53"/>
      <c r="D2" s="56" t="s">
        <v>305</v>
      </c>
      <c r="E2" s="43"/>
      <c r="F2" s="49" t="s">
        <v>306</v>
      </c>
      <c r="G2" s="47"/>
      <c r="H2" s="55" t="s">
        <v>329</v>
      </c>
      <c r="I2" s="47"/>
      <c r="J2" s="16"/>
      <c r="K2" s="17"/>
      <c r="L2" s="18"/>
      <c r="M2" s="19"/>
      <c r="N2" s="27"/>
      <c r="O2" s="27"/>
      <c r="P2" s="27"/>
      <c r="Q2" s="27"/>
      <c r="R2" s="27"/>
      <c r="S2" s="27"/>
      <c r="T2" s="27"/>
      <c r="U2" s="27"/>
    </row>
    <row r="3" spans="1:21" ht="110" customHeight="1" thickBot="1" x14ac:dyDescent="0.25">
      <c r="A3" s="15" t="s">
        <v>5</v>
      </c>
      <c r="B3" s="12" t="s">
        <v>318</v>
      </c>
      <c r="C3" s="12" t="s">
        <v>319</v>
      </c>
      <c r="D3" s="20" t="s">
        <v>318</v>
      </c>
      <c r="E3" s="20" t="s">
        <v>319</v>
      </c>
      <c r="F3" s="14" t="s">
        <v>318</v>
      </c>
      <c r="G3" s="14" t="s">
        <v>319</v>
      </c>
      <c r="H3" s="21" t="s">
        <v>318</v>
      </c>
      <c r="I3" s="21" t="s">
        <v>319</v>
      </c>
      <c r="J3" s="13" t="s">
        <v>304</v>
      </c>
      <c r="K3" s="22" t="s">
        <v>305</v>
      </c>
      <c r="L3" s="23" t="s">
        <v>306</v>
      </c>
      <c r="M3" s="24" t="s">
        <v>318</v>
      </c>
      <c r="N3" s="28" t="s">
        <v>304</v>
      </c>
      <c r="O3" s="28" t="s">
        <v>323</v>
      </c>
      <c r="P3" s="28" t="s">
        <v>324</v>
      </c>
      <c r="Q3" s="28" t="s">
        <v>318</v>
      </c>
      <c r="R3" s="28" t="s">
        <v>304</v>
      </c>
      <c r="S3" s="28" t="s">
        <v>323</v>
      </c>
      <c r="T3" s="28" t="s">
        <v>324</v>
      </c>
      <c r="U3" s="28" t="s">
        <v>318</v>
      </c>
    </row>
    <row r="4" spans="1:21" ht="16" x14ac:dyDescent="0.2">
      <c r="A4" s="35">
        <v>20</v>
      </c>
      <c r="B4" s="36">
        <f>INDEX('Team Scores'!P$4:P$59, MATCH(A4,'Team Scores'!A$4:A$59, 0))</f>
        <v>23</v>
      </c>
      <c r="C4" s="36">
        <f>INDEX('Team Scores'!Q$4:Q$59, MATCH(A4,'Team Scores'!A$4:A$59, 0))</f>
        <v>7.666666666666667</v>
      </c>
      <c r="D4" s="36">
        <f>INDEX('Team Scores'!AD$4:AD$59, MATCH(A4,'Team Scores'!A$4:A$59, 0))</f>
        <v>141</v>
      </c>
      <c r="E4" s="36">
        <f>INDEX('Team Scores'!AE$4:AE$59, MATCH(A4,'Team Scores'!A$4:A$59, 0))</f>
        <v>47</v>
      </c>
      <c r="F4" s="36">
        <f>INDEX('Team Scores'!AL$4:AL$59, MATCH(A4,'Team Scores'!A$4:A$59, 0))</f>
        <v>36</v>
      </c>
      <c r="G4" s="36">
        <f>INDEX('Team Scores'!AM$4:AM$59, MATCH(A4,'Team Scores'!A$4:A$59, 0))</f>
        <v>12</v>
      </c>
      <c r="H4" s="36">
        <f>INDEX('Team Scores'!AN$4:AN$59, MATCH(A4,'Team Scores'!A$4:A$59, 0))</f>
        <v>200</v>
      </c>
      <c r="I4" s="36">
        <f>INDEX('Team Scores'!AO$4:AO$59, MATCH(A4,'Team Scores'!A$4:A$59, 0))</f>
        <v>66.666666666666671</v>
      </c>
      <c r="J4" s="41">
        <f t="shared" ref="J4:J35" si="0">PERCENTRANK(B$4:B$59, B4, 3)</f>
        <v>0.72699999999999998</v>
      </c>
      <c r="K4" s="41">
        <f t="shared" ref="K4:K35" si="1">PERCENTRANK(D$4:D$59, D4, 3)</f>
        <v>0.94499999999999995</v>
      </c>
      <c r="L4" s="41">
        <f t="shared" ref="L4:L35" si="2">PERCENTRANK(F$4:F$59, F4, 3)</f>
        <v>0.90900000000000003</v>
      </c>
      <c r="M4" s="41">
        <f t="shared" ref="M4:M35" si="3">PERCENTRANK(H$4:H$59, H4, 3)</f>
        <v>0.90900000000000003</v>
      </c>
      <c r="N4" s="36">
        <f>INDEX('Team Scores'!AP$4:AP$59, MATCH(A4,'Team Scores'!A$4:A$59, 0))</f>
        <v>2</v>
      </c>
      <c r="O4" s="36">
        <f>INDEX('Team Scores'!AQ$4:AQ$59, MATCH(A4,'Team Scores'!A$4:A$59, 0))</f>
        <v>1</v>
      </c>
      <c r="P4" s="36">
        <f>INDEX('Team Scores'!AR$4:AR$59, MATCH(A4,'Team Scores'!A$4:A$59, 0))</f>
        <v>3</v>
      </c>
      <c r="Q4" s="36">
        <f>INDEX('Team Scores'!AS$4:AS$59, MATCH(A4,'Team Scores'!A$4:A$59, 0))</f>
        <v>6</v>
      </c>
      <c r="R4" s="41">
        <f t="shared" ref="R4:R35" si="4">PERCENTRANK(N$4:N$59, N4, 3)</f>
        <v>0.436</v>
      </c>
      <c r="S4" s="41">
        <f t="shared" ref="S4:S35" si="5">PERCENTRANK(O$4:O$59, O4, 3)</f>
        <v>0.56299999999999994</v>
      </c>
      <c r="T4" s="41">
        <f t="shared" ref="T4:T35" si="6">PERCENTRANK(P$4:P$59, P4, 3)</f>
        <v>0.94499999999999995</v>
      </c>
      <c r="U4" s="41">
        <f t="shared" ref="U4:U35" si="7">PERCENTRANK(Q$4:Q$59, Q4, 3)</f>
        <v>0.78100000000000003</v>
      </c>
    </row>
    <row r="5" spans="1:21" ht="16" x14ac:dyDescent="0.2">
      <c r="A5" s="35">
        <v>191</v>
      </c>
      <c r="B5" s="36">
        <f>INDEX('Team Scores'!P$4:P$59, MATCH(A5,'Team Scores'!A$4:A$59, 0))</f>
        <v>86</v>
      </c>
      <c r="C5" s="36">
        <f>INDEX('Team Scores'!Q$4:Q$59, MATCH(A5,'Team Scores'!A$4:A$59, 0))</f>
        <v>17.2</v>
      </c>
      <c r="D5" s="36">
        <f>INDEX('Team Scores'!AD$4:AD$59, MATCH(A5,'Team Scores'!A$4:A$59, 0))</f>
        <v>143</v>
      </c>
      <c r="E5" s="36">
        <f>INDEX('Team Scores'!AE$4:AE$59, MATCH(A5,'Team Scores'!A$4:A$59, 0))</f>
        <v>28.6</v>
      </c>
      <c r="F5" s="36">
        <f>INDEX('Team Scores'!AL$4:AL$59, MATCH(A5,'Team Scores'!A$4:A$59, 0))</f>
        <v>30</v>
      </c>
      <c r="G5" s="36">
        <f>INDEX('Team Scores'!AM$4:AM$59, MATCH(A5,'Team Scores'!A$4:A$59, 0))</f>
        <v>6</v>
      </c>
      <c r="H5" s="36">
        <f>INDEX('Team Scores'!AN$4:AN$59, MATCH(A5,'Team Scores'!A$4:A$59, 0))</f>
        <v>259</v>
      </c>
      <c r="I5" s="36">
        <f>INDEX('Team Scores'!AO$4:AO$59, MATCH(A5,'Team Scores'!A$4:A$59, 0))</f>
        <v>51.8</v>
      </c>
      <c r="J5" s="41">
        <f t="shared" si="0"/>
        <v>0.96299999999999997</v>
      </c>
      <c r="K5" s="41">
        <f t="shared" si="1"/>
        <v>0.96299999999999997</v>
      </c>
      <c r="L5" s="41">
        <f t="shared" si="2"/>
        <v>0.89</v>
      </c>
      <c r="M5" s="41">
        <f t="shared" si="3"/>
        <v>0.94499999999999995</v>
      </c>
      <c r="N5" s="36">
        <f>INDEX('Team Scores'!AP$4:AP$59, MATCH(A5,'Team Scores'!A$4:A$59, 0))</f>
        <v>5</v>
      </c>
      <c r="O5" s="36">
        <f>INDEX('Team Scores'!AQ$4:AQ$59, MATCH(A5,'Team Scores'!A$4:A$59, 0))</f>
        <v>0</v>
      </c>
      <c r="P5" s="36">
        <f>INDEX('Team Scores'!AR$4:AR$59, MATCH(A5,'Team Scores'!A$4:A$59, 0))</f>
        <v>2</v>
      </c>
      <c r="Q5" s="36">
        <f>INDEX('Team Scores'!AS$4:AS$59, MATCH(A5,'Team Scores'!A$4:A$59, 0))</f>
        <v>7</v>
      </c>
      <c r="R5" s="41">
        <f t="shared" si="4"/>
        <v>0.98099999999999998</v>
      </c>
      <c r="S5" s="41">
        <f t="shared" si="5"/>
        <v>0</v>
      </c>
      <c r="T5" s="41">
        <f t="shared" si="6"/>
        <v>0.67200000000000004</v>
      </c>
      <c r="U5" s="41">
        <f t="shared" si="7"/>
        <v>0.90900000000000003</v>
      </c>
    </row>
    <row r="6" spans="1:21" ht="16" x14ac:dyDescent="0.2">
      <c r="A6" s="35">
        <v>229</v>
      </c>
      <c r="B6" s="36">
        <f>INDEX('Team Scores'!P$4:P$59, MATCH(A6,'Team Scores'!A$4:A$59, 0))</f>
        <v>6</v>
      </c>
      <c r="C6" s="36">
        <f>INDEX('Team Scores'!Q$4:Q$59, MATCH(A6,'Team Scores'!A$4:A$59, 0))</f>
        <v>1.2</v>
      </c>
      <c r="D6" s="36">
        <f>INDEX('Team Scores'!AD$4:AD$59, MATCH(A6,'Team Scores'!A$4:A$59, 0))</f>
        <v>36</v>
      </c>
      <c r="E6" s="36">
        <f>INDEX('Team Scores'!AE$4:AE$59, MATCH(A6,'Team Scores'!A$4:A$59, 0))</f>
        <v>7.2</v>
      </c>
      <c r="F6" s="36">
        <f>INDEX('Team Scores'!AL$4:AL$59, MATCH(A6,'Team Scores'!A$4:A$59, 0))</f>
        <v>4</v>
      </c>
      <c r="G6" s="36">
        <f>INDEX('Team Scores'!AM$4:AM$59, MATCH(A6,'Team Scores'!A$4:A$59, 0))</f>
        <v>0.8</v>
      </c>
      <c r="H6" s="36">
        <f>INDEX('Team Scores'!AN$4:AN$59, MATCH(A6,'Team Scores'!A$4:A$59, 0))</f>
        <v>46</v>
      </c>
      <c r="I6" s="36">
        <f>INDEX('Team Scores'!AO$4:AO$59, MATCH(A6,'Team Scores'!A$4:A$59, 0))</f>
        <v>9.1999999999999993</v>
      </c>
      <c r="J6" s="41">
        <f t="shared" si="0"/>
        <v>0.127</v>
      </c>
      <c r="K6" s="41">
        <f t="shared" si="1"/>
        <v>0.34499999999999997</v>
      </c>
      <c r="L6" s="41">
        <f t="shared" si="2"/>
        <v>0.36299999999999999</v>
      </c>
      <c r="M6" s="41">
        <f t="shared" si="3"/>
        <v>0.254</v>
      </c>
      <c r="N6" s="36">
        <f>INDEX('Team Scores'!AP$4:AP$59, MATCH(A6,'Team Scores'!A$4:A$59, 0))</f>
        <v>1</v>
      </c>
      <c r="O6" s="36">
        <f>INDEX('Team Scores'!AQ$4:AQ$59, MATCH(A6,'Team Scores'!A$4:A$59, 0))</f>
        <v>0</v>
      </c>
      <c r="P6" s="36">
        <f>INDEX('Team Scores'!AR$4:AR$59, MATCH(A6,'Team Scores'!A$4:A$59, 0))</f>
        <v>0</v>
      </c>
      <c r="Q6" s="36">
        <f>INDEX('Team Scores'!AS$4:AS$59, MATCH(A6,'Team Scores'!A$4:A$59, 0))</f>
        <v>1</v>
      </c>
      <c r="R6" s="41">
        <f t="shared" si="4"/>
        <v>0.109</v>
      </c>
      <c r="S6" s="41">
        <f t="shared" si="5"/>
        <v>0</v>
      </c>
      <c r="T6" s="41">
        <f t="shared" si="6"/>
        <v>0</v>
      </c>
      <c r="U6" s="41">
        <f t="shared" si="7"/>
        <v>0.09</v>
      </c>
    </row>
    <row r="7" spans="1:21" ht="16" x14ac:dyDescent="0.2">
      <c r="A7" s="35">
        <v>250</v>
      </c>
      <c r="B7" s="36">
        <f>INDEX('Team Scores'!P$4:P$59, MATCH(A7,'Team Scores'!A$4:A$59, 0))</f>
        <v>9</v>
      </c>
      <c r="C7" s="36">
        <f>INDEX('Team Scores'!Q$4:Q$59, MATCH(A7,'Team Scores'!A$4:A$59, 0))</f>
        <v>2.25</v>
      </c>
      <c r="D7" s="36">
        <f>INDEX('Team Scores'!AD$4:AD$59, MATCH(A7,'Team Scores'!A$4:A$59, 0))</f>
        <v>54</v>
      </c>
      <c r="E7" s="36">
        <f>INDEX('Team Scores'!AE$4:AE$59, MATCH(A7,'Team Scores'!A$4:A$59, 0))</f>
        <v>13.5</v>
      </c>
      <c r="F7" s="36">
        <f>INDEX('Team Scores'!AL$4:AL$59, MATCH(A7,'Team Scores'!A$4:A$59, 0))</f>
        <v>38</v>
      </c>
      <c r="G7" s="36">
        <f>INDEX('Team Scores'!AM$4:AM$59, MATCH(A7,'Team Scores'!A$4:A$59, 0))</f>
        <v>9.5</v>
      </c>
      <c r="H7" s="36">
        <f>INDEX('Team Scores'!AN$4:AN$59, MATCH(A7,'Team Scores'!A$4:A$59, 0))</f>
        <v>101</v>
      </c>
      <c r="I7" s="36">
        <f>INDEX('Team Scores'!AO$4:AO$59, MATCH(A7,'Team Scores'!A$4:A$59, 0))</f>
        <v>25.25</v>
      </c>
      <c r="J7" s="41">
        <f t="shared" si="0"/>
        <v>0.309</v>
      </c>
      <c r="K7" s="41">
        <f t="shared" si="1"/>
        <v>0.49</v>
      </c>
      <c r="L7" s="41">
        <f t="shared" si="2"/>
        <v>0.94499999999999995</v>
      </c>
      <c r="M7" s="41">
        <f t="shared" si="3"/>
        <v>0.65400000000000003</v>
      </c>
      <c r="N7" s="36">
        <f>INDEX('Team Scores'!AP$4:AP$59, MATCH(A7,'Team Scores'!A$4:A$59, 0))</f>
        <v>3</v>
      </c>
      <c r="O7" s="36">
        <f>INDEX('Team Scores'!AQ$4:AQ$59, MATCH(A7,'Team Scores'!A$4:A$59, 0))</f>
        <v>1</v>
      </c>
      <c r="P7" s="36">
        <f>INDEX('Team Scores'!AR$4:AR$59, MATCH(A7,'Team Scores'!A$4:A$59, 0))</f>
        <v>2</v>
      </c>
      <c r="Q7" s="36">
        <f>INDEX('Team Scores'!AS$4:AS$59, MATCH(A7,'Team Scores'!A$4:A$59, 0))</f>
        <v>6</v>
      </c>
      <c r="R7" s="41">
        <f t="shared" si="4"/>
        <v>0.78100000000000003</v>
      </c>
      <c r="S7" s="41">
        <f t="shared" si="5"/>
        <v>0.56299999999999994</v>
      </c>
      <c r="T7" s="41">
        <f t="shared" si="6"/>
        <v>0.67200000000000004</v>
      </c>
      <c r="U7" s="41">
        <f t="shared" si="7"/>
        <v>0.78100000000000003</v>
      </c>
    </row>
    <row r="8" spans="1:21" ht="16" x14ac:dyDescent="0.2">
      <c r="A8" s="35">
        <v>334</v>
      </c>
      <c r="B8" s="36">
        <f>INDEX('Team Scores'!P$4:P$59, MATCH(A8,'Team Scores'!A$4:A$59, 0))</f>
        <v>6</v>
      </c>
      <c r="C8" s="36">
        <f>INDEX('Team Scores'!Q$4:Q$59, MATCH(A8,'Team Scores'!A$4:A$59, 0))</f>
        <v>2</v>
      </c>
      <c r="D8" s="36">
        <f>INDEX('Team Scores'!AD$4:AD$59, MATCH(A8,'Team Scores'!A$4:A$59, 0))</f>
        <v>40</v>
      </c>
      <c r="E8" s="36">
        <f>INDEX('Team Scores'!AE$4:AE$59, MATCH(A8,'Team Scores'!A$4:A$59, 0))</f>
        <v>13.333333333333334</v>
      </c>
      <c r="F8" s="36">
        <f>INDEX('Team Scores'!AL$4:AL$59, MATCH(A8,'Team Scores'!A$4:A$59, 0))</f>
        <v>4</v>
      </c>
      <c r="G8" s="36">
        <f>INDEX('Team Scores'!AM$4:AM$59, MATCH(A8,'Team Scores'!A$4:A$59, 0))</f>
        <v>1.3333333333333333</v>
      </c>
      <c r="H8" s="36">
        <f>INDEX('Team Scores'!AN$4:AN$59, MATCH(A8,'Team Scores'!A$4:A$59, 0))</f>
        <v>50</v>
      </c>
      <c r="I8" s="36">
        <f>INDEX('Team Scores'!AO$4:AO$59, MATCH(A8,'Team Scores'!A$4:A$59, 0))</f>
        <v>16.666666666666668</v>
      </c>
      <c r="J8" s="41">
        <f t="shared" si="0"/>
        <v>0.127</v>
      </c>
      <c r="K8" s="41">
        <f t="shared" si="1"/>
        <v>0.38100000000000001</v>
      </c>
      <c r="L8" s="41">
        <f t="shared" si="2"/>
        <v>0.36299999999999999</v>
      </c>
      <c r="M8" s="41">
        <f t="shared" si="3"/>
        <v>0.309</v>
      </c>
      <c r="N8" s="36">
        <f>INDEX('Team Scores'!AP$4:AP$59, MATCH(A8,'Team Scores'!A$4:A$59, 0))</f>
        <v>2</v>
      </c>
      <c r="O8" s="36">
        <f>INDEX('Team Scores'!AQ$4:AQ$59, MATCH(A8,'Team Scores'!A$4:A$59, 0))</f>
        <v>0</v>
      </c>
      <c r="P8" s="36">
        <f>INDEX('Team Scores'!AR$4:AR$59, MATCH(A8,'Team Scores'!A$4:A$59, 0))</f>
        <v>1</v>
      </c>
      <c r="Q8" s="36">
        <f>INDEX('Team Scores'!AS$4:AS$59, MATCH(A8,'Team Scores'!A$4:A$59, 0))</f>
        <v>3</v>
      </c>
      <c r="R8" s="41">
        <f t="shared" si="4"/>
        <v>0.436</v>
      </c>
      <c r="S8" s="41">
        <f t="shared" si="5"/>
        <v>0</v>
      </c>
      <c r="T8" s="41">
        <f t="shared" si="6"/>
        <v>0.254</v>
      </c>
      <c r="U8" s="41">
        <f t="shared" si="7"/>
        <v>0.36299999999999999</v>
      </c>
    </row>
    <row r="9" spans="1:21" ht="16" x14ac:dyDescent="0.2">
      <c r="A9" s="35">
        <v>358</v>
      </c>
      <c r="B9" s="36">
        <f>INDEX('Team Scores'!P$4:P$59, MATCH(A9,'Team Scores'!A$4:A$59, 0))</f>
        <v>88</v>
      </c>
      <c r="C9" s="36">
        <f>INDEX('Team Scores'!Q$4:Q$59, MATCH(A9,'Team Scores'!A$4:A$59, 0))</f>
        <v>44</v>
      </c>
      <c r="D9" s="36">
        <f>INDEX('Team Scores'!AD$4:AD$59, MATCH(A9,'Team Scores'!A$4:A$59, 0))</f>
        <v>28</v>
      </c>
      <c r="E9" s="36">
        <f>INDEX('Team Scores'!AE$4:AE$59, MATCH(A9,'Team Scores'!A$4:A$59, 0))</f>
        <v>14</v>
      </c>
      <c r="F9" s="36">
        <f>INDEX('Team Scores'!AL$4:AL$59, MATCH(A9,'Team Scores'!A$4:A$59, 0))</f>
        <v>2</v>
      </c>
      <c r="G9" s="36">
        <f>INDEX('Team Scores'!AM$4:AM$59, MATCH(A9,'Team Scores'!A$4:A$59, 0))</f>
        <v>1</v>
      </c>
      <c r="H9" s="36">
        <f>INDEX('Team Scores'!AN$4:AN$59, MATCH(A9,'Team Scores'!A$4:A$59, 0))</f>
        <v>118</v>
      </c>
      <c r="I9" s="36">
        <f>INDEX('Team Scores'!AO$4:AO$59, MATCH(A9,'Team Scores'!A$4:A$59, 0))</f>
        <v>59</v>
      </c>
      <c r="J9" s="41">
        <f t="shared" si="0"/>
        <v>0.98099999999999998</v>
      </c>
      <c r="K9" s="41">
        <f t="shared" si="1"/>
        <v>0.27200000000000002</v>
      </c>
      <c r="L9" s="41">
        <f t="shared" si="2"/>
        <v>0.16300000000000001</v>
      </c>
      <c r="M9" s="41">
        <f t="shared" si="3"/>
        <v>0.70899999999999996</v>
      </c>
      <c r="N9" s="36">
        <f>INDEX('Team Scores'!AP$4:AP$59, MATCH(A9,'Team Scores'!A$4:A$59, 0))</f>
        <v>1</v>
      </c>
      <c r="O9" s="36">
        <f>INDEX('Team Scores'!AQ$4:AQ$59, MATCH(A9,'Team Scores'!A$4:A$59, 0))</f>
        <v>0</v>
      </c>
      <c r="P9" s="36">
        <f>INDEX('Team Scores'!AR$4:AR$59, MATCH(A9,'Team Scores'!A$4:A$59, 0))</f>
        <v>1</v>
      </c>
      <c r="Q9" s="36">
        <f>INDEX('Team Scores'!AS$4:AS$59, MATCH(A9,'Team Scores'!A$4:A$59, 0))</f>
        <v>2</v>
      </c>
      <c r="R9" s="41">
        <f t="shared" si="4"/>
        <v>0.109</v>
      </c>
      <c r="S9" s="41">
        <f t="shared" si="5"/>
        <v>0</v>
      </c>
      <c r="T9" s="41">
        <f t="shared" si="6"/>
        <v>0.254</v>
      </c>
      <c r="U9" s="41">
        <f t="shared" si="7"/>
        <v>0.2</v>
      </c>
    </row>
    <row r="10" spans="1:21" ht="16" x14ac:dyDescent="0.2">
      <c r="A10" s="35">
        <v>424</v>
      </c>
      <c r="B10" s="36">
        <f>INDEX('Team Scores'!P$4:P$59, MATCH(A10,'Team Scores'!A$4:A$59, 0))</f>
        <v>16</v>
      </c>
      <c r="C10" s="36">
        <f>INDEX('Team Scores'!Q$4:Q$59, MATCH(A10,'Team Scores'!A$4:A$59, 0))</f>
        <v>5.333333333333333</v>
      </c>
      <c r="D10" s="36">
        <f>INDEX('Team Scores'!AD$4:AD$59, MATCH(A10,'Team Scores'!A$4:A$59, 0))</f>
        <v>79</v>
      </c>
      <c r="E10" s="36">
        <f>INDEX('Team Scores'!AE$4:AE$59, MATCH(A10,'Team Scores'!A$4:A$59, 0))</f>
        <v>26.333333333333332</v>
      </c>
      <c r="F10" s="36">
        <f>INDEX('Team Scores'!AL$4:AL$59, MATCH(A10,'Team Scores'!A$4:A$59, 0))</f>
        <v>24</v>
      </c>
      <c r="G10" s="36">
        <f>INDEX('Team Scores'!AM$4:AM$59, MATCH(A10,'Team Scores'!A$4:A$59, 0))</f>
        <v>8</v>
      </c>
      <c r="H10" s="36">
        <f>INDEX('Team Scores'!AN$4:AN$59, MATCH(A10,'Team Scores'!A$4:A$59, 0))</f>
        <v>119</v>
      </c>
      <c r="I10" s="36">
        <f>INDEX('Team Scores'!AO$4:AO$59, MATCH(A10,'Team Scores'!A$4:A$59, 0))</f>
        <v>39.666666666666664</v>
      </c>
      <c r="J10" s="41">
        <f t="shared" si="0"/>
        <v>0.58099999999999996</v>
      </c>
      <c r="K10" s="41">
        <f t="shared" si="1"/>
        <v>0.745</v>
      </c>
      <c r="L10" s="41">
        <f t="shared" si="2"/>
        <v>0.85399999999999998</v>
      </c>
      <c r="M10" s="41">
        <f t="shared" si="3"/>
        <v>0.76300000000000001</v>
      </c>
      <c r="N10" s="36">
        <f>INDEX('Team Scores'!AP$4:AP$59, MATCH(A10,'Team Scores'!A$4:A$59, 0))</f>
        <v>2</v>
      </c>
      <c r="O10" s="36">
        <f>INDEX('Team Scores'!AQ$4:AQ$59, MATCH(A10,'Team Scores'!A$4:A$59, 0))</f>
        <v>1</v>
      </c>
      <c r="P10" s="36">
        <f>INDEX('Team Scores'!AR$4:AR$59, MATCH(A10,'Team Scores'!A$4:A$59, 0))</f>
        <v>2</v>
      </c>
      <c r="Q10" s="36">
        <f>INDEX('Team Scores'!AS$4:AS$59, MATCH(A10,'Team Scores'!A$4:A$59, 0))</f>
        <v>5</v>
      </c>
      <c r="R10" s="41">
        <f t="shared" si="4"/>
        <v>0.436</v>
      </c>
      <c r="S10" s="41">
        <f t="shared" si="5"/>
        <v>0.56299999999999994</v>
      </c>
      <c r="T10" s="41">
        <f t="shared" si="6"/>
        <v>0.67200000000000004</v>
      </c>
      <c r="U10" s="41">
        <f t="shared" si="7"/>
        <v>0.67200000000000004</v>
      </c>
    </row>
    <row r="11" spans="1:21" ht="16" x14ac:dyDescent="0.2">
      <c r="A11" s="35">
        <v>578</v>
      </c>
      <c r="B11" s="36">
        <f>INDEX('Team Scores'!P$4:P$59, MATCH(A11,'Team Scores'!A$4:A$59, 0))</f>
        <v>9</v>
      </c>
      <c r="C11" s="36">
        <f>INDEX('Team Scores'!Q$4:Q$59, MATCH(A11,'Team Scores'!A$4:A$59, 0))</f>
        <v>1.8</v>
      </c>
      <c r="D11" s="36">
        <f>INDEX('Team Scores'!AD$4:AD$59, MATCH(A11,'Team Scores'!A$4:A$59, 0))</f>
        <v>63</v>
      </c>
      <c r="E11" s="36">
        <f>INDEX('Team Scores'!AE$4:AE$59, MATCH(A11,'Team Scores'!A$4:A$59, 0))</f>
        <v>12.6</v>
      </c>
      <c r="F11" s="36">
        <f>INDEX('Team Scores'!AL$4:AL$59, MATCH(A11,'Team Scores'!A$4:A$59, 0))</f>
        <v>0</v>
      </c>
      <c r="G11" s="36">
        <f>INDEX('Team Scores'!AM$4:AM$59, MATCH(A11,'Team Scores'!A$4:A$59, 0))</f>
        <v>0</v>
      </c>
      <c r="H11" s="36">
        <f>INDEX('Team Scores'!AN$4:AN$59, MATCH(A11,'Team Scores'!A$4:A$59, 0))</f>
        <v>72</v>
      </c>
      <c r="I11" s="36">
        <f>INDEX('Team Scores'!AO$4:AO$59, MATCH(A11,'Team Scores'!A$4:A$59, 0))</f>
        <v>14.4</v>
      </c>
      <c r="J11" s="41">
        <f t="shared" si="0"/>
        <v>0.309</v>
      </c>
      <c r="K11" s="41">
        <f t="shared" si="1"/>
        <v>0.61799999999999999</v>
      </c>
      <c r="L11" s="41">
        <f t="shared" si="2"/>
        <v>0</v>
      </c>
      <c r="M11" s="41">
        <f t="shared" si="3"/>
        <v>0.52700000000000002</v>
      </c>
      <c r="N11" s="36">
        <f>INDEX('Team Scores'!AP$4:AP$59, MATCH(A11,'Team Scores'!A$4:A$59, 0))</f>
        <v>1</v>
      </c>
      <c r="O11" s="36">
        <f>INDEX('Team Scores'!AQ$4:AQ$59, MATCH(A11,'Team Scores'!A$4:A$59, 0))</f>
        <v>1</v>
      </c>
      <c r="P11" s="36">
        <f>INDEX('Team Scores'!AR$4:AR$59, MATCH(A11,'Team Scores'!A$4:A$59, 0))</f>
        <v>1</v>
      </c>
      <c r="Q11" s="36">
        <f>INDEX('Team Scores'!AS$4:AS$59, MATCH(A11,'Team Scores'!A$4:A$59, 0))</f>
        <v>3</v>
      </c>
      <c r="R11" s="41">
        <f t="shared" si="4"/>
        <v>0.109</v>
      </c>
      <c r="S11" s="41">
        <f t="shared" si="5"/>
        <v>0.56299999999999994</v>
      </c>
      <c r="T11" s="41">
        <f t="shared" si="6"/>
        <v>0.254</v>
      </c>
      <c r="U11" s="41">
        <f t="shared" si="7"/>
        <v>0.36299999999999999</v>
      </c>
    </row>
    <row r="12" spans="1:21" ht="16" x14ac:dyDescent="0.2">
      <c r="A12" s="35">
        <v>639</v>
      </c>
      <c r="B12" s="36">
        <f>INDEX('Team Scores'!P$4:P$59, MATCH(A12,'Team Scores'!A$4:A$59, 0))</f>
        <v>0</v>
      </c>
      <c r="C12" s="36">
        <f>INDEX('Team Scores'!Q$4:Q$59, MATCH(A12,'Team Scores'!A$4:A$59, 0))</f>
        <v>0</v>
      </c>
      <c r="D12" s="36">
        <f>INDEX('Team Scores'!AD$4:AD$59, MATCH(A12,'Team Scores'!A$4:A$59, 0))</f>
        <v>23</v>
      </c>
      <c r="E12" s="36">
        <f>INDEX('Team Scores'!AE$4:AE$59, MATCH(A12,'Team Scores'!A$4:A$59, 0))</f>
        <v>7.666666666666667</v>
      </c>
      <c r="F12" s="36">
        <f>INDEX('Team Scores'!AL$4:AL$59, MATCH(A12,'Team Scores'!A$4:A$59, 0))</f>
        <v>0</v>
      </c>
      <c r="G12" s="36">
        <f>INDEX('Team Scores'!AM$4:AM$59, MATCH(A12,'Team Scores'!A$4:A$59, 0))</f>
        <v>0</v>
      </c>
      <c r="H12" s="36">
        <f>INDEX('Team Scores'!AN$4:AN$59, MATCH(A12,'Team Scores'!A$4:A$59, 0))</f>
        <v>23</v>
      </c>
      <c r="I12" s="36">
        <f>INDEX('Team Scores'!AO$4:AO$59, MATCH(A12,'Team Scores'!A$4:A$59, 0))</f>
        <v>7.666666666666667</v>
      </c>
      <c r="J12" s="41">
        <f t="shared" si="0"/>
        <v>0</v>
      </c>
      <c r="K12" s="41">
        <f t="shared" si="1"/>
        <v>0.2</v>
      </c>
      <c r="L12" s="41">
        <f t="shared" si="2"/>
        <v>0</v>
      </c>
      <c r="M12" s="41">
        <f t="shared" si="3"/>
        <v>0.127</v>
      </c>
      <c r="N12" s="36">
        <f>INDEX('Team Scores'!AP$4:AP$59, MATCH(A12,'Team Scores'!A$4:A$59, 0))</f>
        <v>1</v>
      </c>
      <c r="O12" s="36">
        <f>INDEX('Team Scores'!AQ$4:AQ$59, MATCH(A12,'Team Scores'!A$4:A$59, 0))</f>
        <v>0</v>
      </c>
      <c r="P12" s="36">
        <f>INDEX('Team Scores'!AR$4:AR$59, MATCH(A12,'Team Scores'!A$4:A$59, 0))</f>
        <v>1</v>
      </c>
      <c r="Q12" s="36">
        <f>INDEX('Team Scores'!AS$4:AS$59, MATCH(A12,'Team Scores'!A$4:A$59, 0))</f>
        <v>2</v>
      </c>
      <c r="R12" s="41">
        <f t="shared" si="4"/>
        <v>0.109</v>
      </c>
      <c r="S12" s="41">
        <f t="shared" si="5"/>
        <v>0</v>
      </c>
      <c r="T12" s="41">
        <f t="shared" si="6"/>
        <v>0.254</v>
      </c>
      <c r="U12" s="41">
        <f t="shared" si="7"/>
        <v>0.2</v>
      </c>
    </row>
    <row r="13" spans="1:21" ht="16" x14ac:dyDescent="0.2">
      <c r="A13" s="35">
        <v>810</v>
      </c>
      <c r="B13" s="36">
        <f>INDEX('Team Scores'!P$4:P$59, MATCH(A13,'Team Scores'!A$4:A$59, 0))</f>
        <v>43</v>
      </c>
      <c r="C13" s="36">
        <f>INDEX('Team Scores'!Q$4:Q$59, MATCH(A13,'Team Scores'!A$4:A$59, 0))</f>
        <v>10.75</v>
      </c>
      <c r="D13" s="36">
        <f>INDEX('Team Scores'!AD$4:AD$59, MATCH(A13,'Team Scores'!A$4:A$59, 0))</f>
        <v>118</v>
      </c>
      <c r="E13" s="36">
        <f>INDEX('Team Scores'!AE$4:AE$59, MATCH(A13,'Team Scores'!A$4:A$59, 0))</f>
        <v>29.5</v>
      </c>
      <c r="F13" s="36">
        <f>INDEX('Team Scores'!AL$4:AL$59, MATCH(A13,'Team Scores'!A$4:A$59, 0))</f>
        <v>4</v>
      </c>
      <c r="G13" s="36">
        <f>INDEX('Team Scores'!AM$4:AM$59, MATCH(A13,'Team Scores'!A$4:A$59, 0))</f>
        <v>1</v>
      </c>
      <c r="H13" s="36">
        <f>INDEX('Team Scores'!AN$4:AN$59, MATCH(A13,'Team Scores'!A$4:A$59, 0))</f>
        <v>165</v>
      </c>
      <c r="I13" s="36">
        <f>INDEX('Team Scores'!AO$4:AO$59, MATCH(A13,'Team Scores'!A$4:A$59, 0))</f>
        <v>41.25</v>
      </c>
      <c r="J13" s="41">
        <f t="shared" si="0"/>
        <v>0.89</v>
      </c>
      <c r="K13" s="41">
        <f t="shared" si="1"/>
        <v>0.92700000000000005</v>
      </c>
      <c r="L13" s="41">
        <f t="shared" si="2"/>
        <v>0.36299999999999999</v>
      </c>
      <c r="M13" s="41">
        <f t="shared" si="3"/>
        <v>0.85399999999999998</v>
      </c>
      <c r="N13" s="36">
        <f>INDEX('Team Scores'!AP$4:AP$59, MATCH(A13,'Team Scores'!A$4:A$59, 0))</f>
        <v>3</v>
      </c>
      <c r="O13" s="36">
        <f>INDEX('Team Scores'!AQ$4:AQ$59, MATCH(A13,'Team Scores'!A$4:A$59, 0))</f>
        <v>1</v>
      </c>
      <c r="P13" s="36">
        <f>INDEX('Team Scores'!AR$4:AR$59, MATCH(A13,'Team Scores'!A$4:A$59, 0))</f>
        <v>2</v>
      </c>
      <c r="Q13" s="36">
        <f>INDEX('Team Scores'!AS$4:AS$59, MATCH(A13,'Team Scores'!A$4:A$59, 0))</f>
        <v>6</v>
      </c>
      <c r="R13" s="41">
        <f t="shared" si="4"/>
        <v>0.78100000000000003</v>
      </c>
      <c r="S13" s="41">
        <f t="shared" si="5"/>
        <v>0.56299999999999994</v>
      </c>
      <c r="T13" s="41">
        <f t="shared" si="6"/>
        <v>0.67200000000000004</v>
      </c>
      <c r="U13" s="41">
        <f t="shared" si="7"/>
        <v>0.78100000000000003</v>
      </c>
    </row>
    <row r="14" spans="1:21" ht="16" x14ac:dyDescent="0.2">
      <c r="A14" s="35">
        <v>870</v>
      </c>
      <c r="B14" s="36">
        <f>INDEX('Team Scores'!P$4:P$59, MATCH(A14,'Team Scores'!A$4:A$59, 0))</f>
        <v>61</v>
      </c>
      <c r="C14" s="36">
        <f>INDEX('Team Scores'!Q$4:Q$59, MATCH(A14,'Team Scores'!A$4:A$59, 0))</f>
        <v>15.25</v>
      </c>
      <c r="D14" s="36">
        <f>INDEX('Team Scores'!AD$4:AD$59, MATCH(A14,'Team Scores'!A$4:A$59, 0))</f>
        <v>103</v>
      </c>
      <c r="E14" s="36">
        <f>INDEX('Team Scores'!AE$4:AE$59, MATCH(A14,'Team Scores'!A$4:A$59, 0))</f>
        <v>25.75</v>
      </c>
      <c r="F14" s="36">
        <f>INDEX('Team Scores'!AL$4:AL$59, MATCH(A14,'Team Scores'!A$4:A$59, 0))</f>
        <v>38</v>
      </c>
      <c r="G14" s="36">
        <f>INDEX('Team Scores'!AM$4:AM$59, MATCH(A14,'Team Scores'!A$4:A$59, 0))</f>
        <v>9.5</v>
      </c>
      <c r="H14" s="36">
        <f>INDEX('Team Scores'!AN$4:AN$59, MATCH(A14,'Team Scores'!A$4:A$59, 0))</f>
        <v>202</v>
      </c>
      <c r="I14" s="36">
        <f>INDEX('Team Scores'!AO$4:AO$59, MATCH(A14,'Team Scores'!A$4:A$59, 0))</f>
        <v>50.5</v>
      </c>
      <c r="J14" s="41">
        <f t="shared" si="0"/>
        <v>0.92700000000000005</v>
      </c>
      <c r="K14" s="41">
        <f t="shared" si="1"/>
        <v>0.83599999999999997</v>
      </c>
      <c r="L14" s="41">
        <f t="shared" si="2"/>
        <v>0.94499999999999995</v>
      </c>
      <c r="M14" s="41">
        <f t="shared" si="3"/>
        <v>0.92700000000000005</v>
      </c>
      <c r="N14" s="36">
        <f>INDEX('Team Scores'!AP$4:AP$59, MATCH(A14,'Team Scores'!A$4:A$59, 0))</f>
        <v>4</v>
      </c>
      <c r="O14" s="36">
        <f>INDEX('Team Scores'!AQ$4:AQ$59, MATCH(A14,'Team Scores'!A$4:A$59, 0))</f>
        <v>1</v>
      </c>
      <c r="P14" s="36">
        <f>INDEX('Team Scores'!AR$4:AR$59, MATCH(A14,'Team Scores'!A$4:A$59, 0))</f>
        <v>3</v>
      </c>
      <c r="Q14" s="36">
        <f>INDEX('Team Scores'!AS$4:AS$59, MATCH(A14,'Team Scores'!A$4:A$59, 0))</f>
        <v>8</v>
      </c>
      <c r="R14" s="41">
        <f t="shared" si="4"/>
        <v>0.92700000000000005</v>
      </c>
      <c r="S14" s="41">
        <f t="shared" si="5"/>
        <v>0.56299999999999994</v>
      </c>
      <c r="T14" s="41">
        <f t="shared" si="6"/>
        <v>0.94499999999999995</v>
      </c>
      <c r="U14" s="41">
        <f t="shared" si="7"/>
        <v>0.94499999999999995</v>
      </c>
    </row>
    <row r="15" spans="1:21" ht="16" x14ac:dyDescent="0.2">
      <c r="A15" s="35">
        <v>1126</v>
      </c>
      <c r="B15" s="36">
        <f>INDEX('Team Scores'!P$4:P$59, MATCH(A15,'Team Scores'!A$4:A$59, 0))</f>
        <v>9</v>
      </c>
      <c r="C15" s="36">
        <f>INDEX('Team Scores'!Q$4:Q$59, MATCH(A15,'Team Scores'!A$4:A$59, 0))</f>
        <v>2.25</v>
      </c>
      <c r="D15" s="36">
        <f>INDEX('Team Scores'!AD$4:AD$59, MATCH(A15,'Team Scores'!A$4:A$59, 0))</f>
        <v>25</v>
      </c>
      <c r="E15" s="36">
        <f>INDEX('Team Scores'!AE$4:AE$59, MATCH(A15,'Team Scores'!A$4:A$59, 0))</f>
        <v>6.25</v>
      </c>
      <c r="F15" s="36">
        <f>INDEX('Team Scores'!AL$4:AL$59, MATCH(A15,'Team Scores'!A$4:A$59, 0))</f>
        <v>14</v>
      </c>
      <c r="G15" s="36">
        <f>INDEX('Team Scores'!AM$4:AM$59, MATCH(A15,'Team Scores'!A$4:A$59, 0))</f>
        <v>3.5</v>
      </c>
      <c r="H15" s="36">
        <f>INDEX('Team Scores'!AN$4:AN$59, MATCH(A15,'Team Scores'!A$4:A$59, 0))</f>
        <v>48</v>
      </c>
      <c r="I15" s="36">
        <f>INDEX('Team Scores'!AO$4:AO$59, MATCH(A15,'Team Scores'!A$4:A$59, 0))</f>
        <v>12</v>
      </c>
      <c r="J15" s="41">
        <f t="shared" si="0"/>
        <v>0.309</v>
      </c>
      <c r="K15" s="41">
        <f t="shared" si="1"/>
        <v>0.23599999999999999</v>
      </c>
      <c r="L15" s="41">
        <f t="shared" si="2"/>
        <v>0.70899999999999996</v>
      </c>
      <c r="M15" s="41">
        <f t="shared" si="3"/>
        <v>0.27200000000000002</v>
      </c>
      <c r="N15" s="36">
        <f>INDEX('Team Scores'!AP$4:AP$59, MATCH(A15,'Team Scores'!A$4:A$59, 0))</f>
        <v>2</v>
      </c>
      <c r="O15" s="36">
        <f>INDEX('Team Scores'!AQ$4:AQ$59, MATCH(A15,'Team Scores'!A$4:A$59, 0))</f>
        <v>0</v>
      </c>
      <c r="P15" s="36">
        <f>INDEX('Team Scores'!AR$4:AR$59, MATCH(A15,'Team Scores'!A$4:A$59, 0))</f>
        <v>1</v>
      </c>
      <c r="Q15" s="36">
        <f>INDEX('Team Scores'!AS$4:AS$59, MATCH(A15,'Team Scores'!A$4:A$59, 0))</f>
        <v>3</v>
      </c>
      <c r="R15" s="41">
        <f t="shared" si="4"/>
        <v>0.436</v>
      </c>
      <c r="S15" s="41">
        <f t="shared" si="5"/>
        <v>0</v>
      </c>
      <c r="T15" s="41">
        <f t="shared" si="6"/>
        <v>0.254</v>
      </c>
      <c r="U15" s="41">
        <f t="shared" si="7"/>
        <v>0.36299999999999999</v>
      </c>
    </row>
    <row r="16" spans="1:21" ht="16" x14ac:dyDescent="0.2">
      <c r="A16" s="35">
        <v>1468</v>
      </c>
      <c r="B16" s="36">
        <f>INDEX('Team Scores'!P$4:P$59, MATCH(A16,'Team Scores'!A$4:A$59, 0))</f>
        <v>614</v>
      </c>
      <c r="C16" s="36">
        <f>INDEX('Team Scores'!Q$4:Q$59, MATCH(A16,'Team Scores'!A$4:A$59, 0))</f>
        <v>307</v>
      </c>
      <c r="D16" s="36">
        <f>INDEX('Team Scores'!AD$4:AD$59, MATCH(A16,'Team Scores'!A$4:A$59, 0))</f>
        <v>30</v>
      </c>
      <c r="E16" s="36">
        <f>INDEX('Team Scores'!AE$4:AE$59, MATCH(A16,'Team Scores'!A$4:A$59, 0))</f>
        <v>15</v>
      </c>
      <c r="F16" s="36">
        <f>INDEX('Team Scores'!AL$4:AL$59, MATCH(A16,'Team Scores'!A$4:A$59, 0))</f>
        <v>6</v>
      </c>
      <c r="G16" s="36">
        <f>INDEX('Team Scores'!AM$4:AM$59, MATCH(A16,'Team Scores'!A$4:A$59, 0))</f>
        <v>3</v>
      </c>
      <c r="H16" s="36">
        <f>INDEX('Team Scores'!AN$4:AN$59, MATCH(A16,'Team Scores'!A$4:A$59, 0))</f>
        <v>650</v>
      </c>
      <c r="I16" s="36">
        <f>INDEX('Team Scores'!AO$4:AO$59, MATCH(A16,'Team Scores'!A$4:A$59, 0))</f>
        <v>325</v>
      </c>
      <c r="J16" s="41">
        <f t="shared" si="0"/>
        <v>1</v>
      </c>
      <c r="K16" s="41">
        <f t="shared" si="1"/>
        <v>0.28999999999999998</v>
      </c>
      <c r="L16" s="41">
        <f t="shared" si="2"/>
        <v>0.52700000000000002</v>
      </c>
      <c r="M16" s="41">
        <f t="shared" si="3"/>
        <v>1</v>
      </c>
      <c r="N16" s="36">
        <f>INDEX('Team Scores'!AP$4:AP$59, MATCH(A16,'Team Scores'!A$4:A$59, 0))</f>
        <v>0</v>
      </c>
      <c r="O16" s="36">
        <f>INDEX('Team Scores'!AQ$4:AQ$59, MATCH(A16,'Team Scores'!A$4:A$59, 0))</f>
        <v>0</v>
      </c>
      <c r="P16" s="36">
        <f>INDEX('Team Scores'!AR$4:AR$59, MATCH(A16,'Team Scores'!A$4:A$59, 0))</f>
        <v>0</v>
      </c>
      <c r="Q16" s="36">
        <f>INDEX('Team Scores'!AS$4:AS$59, MATCH(A16,'Team Scores'!A$4:A$59, 0))</f>
        <v>0</v>
      </c>
      <c r="R16" s="41">
        <f t="shared" si="4"/>
        <v>0</v>
      </c>
      <c r="S16" s="41">
        <f t="shared" si="5"/>
        <v>0</v>
      </c>
      <c r="T16" s="41">
        <f t="shared" si="6"/>
        <v>0</v>
      </c>
      <c r="U16" s="41">
        <f t="shared" si="7"/>
        <v>0</v>
      </c>
    </row>
    <row r="17" spans="1:21" ht="16" x14ac:dyDescent="0.2">
      <c r="A17" s="35">
        <v>1493</v>
      </c>
      <c r="B17" s="36">
        <f>INDEX('Team Scores'!P$4:P$59, MATCH(A17,'Team Scores'!A$4:A$59, 0))</f>
        <v>17</v>
      </c>
      <c r="C17" s="36">
        <f>INDEX('Team Scores'!Q$4:Q$59, MATCH(A17,'Team Scores'!A$4:A$59, 0))</f>
        <v>17</v>
      </c>
      <c r="D17" s="36">
        <f>INDEX('Team Scores'!AD$4:AD$59, MATCH(A17,'Team Scores'!A$4:A$59, 0))</f>
        <v>72</v>
      </c>
      <c r="E17" s="36">
        <f>INDEX('Team Scores'!AE$4:AE$59, MATCH(A17,'Team Scores'!A$4:A$59, 0))</f>
        <v>72</v>
      </c>
      <c r="F17" s="36">
        <f>INDEX('Team Scores'!AL$4:AL$59, MATCH(A17,'Team Scores'!A$4:A$59, 0))</f>
        <v>0</v>
      </c>
      <c r="G17" s="36">
        <f>INDEX('Team Scores'!AM$4:AM$59, MATCH(A17,'Team Scores'!A$4:A$59, 0))</f>
        <v>0</v>
      </c>
      <c r="H17" s="36">
        <f>INDEX('Team Scores'!AN$4:AN$59, MATCH(A17,'Team Scores'!A$4:A$59, 0))</f>
        <v>89</v>
      </c>
      <c r="I17" s="36">
        <f>INDEX('Team Scores'!AO$4:AO$59, MATCH(A17,'Team Scores'!A$4:A$59, 0))</f>
        <v>89</v>
      </c>
      <c r="J17" s="41">
        <f t="shared" si="0"/>
        <v>0.6</v>
      </c>
      <c r="K17" s="41">
        <f t="shared" si="1"/>
        <v>0.69</v>
      </c>
      <c r="L17" s="41">
        <f t="shared" si="2"/>
        <v>0</v>
      </c>
      <c r="M17" s="41">
        <f t="shared" si="3"/>
        <v>0.6</v>
      </c>
      <c r="N17" s="36">
        <f>INDEX('Team Scores'!AP$4:AP$59, MATCH(A17,'Team Scores'!A$4:A$59, 0))</f>
        <v>1</v>
      </c>
      <c r="O17" s="36">
        <f>INDEX('Team Scores'!AQ$4:AQ$59, MATCH(A17,'Team Scores'!A$4:A$59, 0))</f>
        <v>0</v>
      </c>
      <c r="P17" s="36">
        <f>INDEX('Team Scores'!AR$4:AR$59, MATCH(A17,'Team Scores'!A$4:A$59, 0))</f>
        <v>0</v>
      </c>
      <c r="Q17" s="36">
        <f>INDEX('Team Scores'!AS$4:AS$59, MATCH(A17,'Team Scores'!A$4:A$59, 0))</f>
        <v>1</v>
      </c>
      <c r="R17" s="41">
        <f t="shared" si="4"/>
        <v>0.109</v>
      </c>
      <c r="S17" s="41">
        <f t="shared" si="5"/>
        <v>0</v>
      </c>
      <c r="T17" s="41">
        <f t="shared" si="6"/>
        <v>0</v>
      </c>
      <c r="U17" s="41">
        <f t="shared" si="7"/>
        <v>0.09</v>
      </c>
    </row>
    <row r="18" spans="1:21" ht="16" x14ac:dyDescent="0.2">
      <c r="A18" s="35">
        <v>1518</v>
      </c>
      <c r="B18" s="36">
        <f>INDEX('Team Scores'!P$4:P$59, MATCH(A18,'Team Scores'!A$4:A$59, 0))</f>
        <v>0</v>
      </c>
      <c r="C18" s="36">
        <f>INDEX('Team Scores'!Q$4:Q$59, MATCH(A18,'Team Scores'!A$4:A$59, 0))</f>
        <v>0</v>
      </c>
      <c r="D18" s="36">
        <f>INDEX('Team Scores'!AD$4:AD$59, MATCH(A18,'Team Scores'!A$4:A$59, 0))</f>
        <v>20</v>
      </c>
      <c r="E18" s="36">
        <f>INDEX('Team Scores'!AE$4:AE$59, MATCH(A18,'Team Scores'!A$4:A$59, 0))</f>
        <v>20</v>
      </c>
      <c r="F18" s="36">
        <f>INDEX('Team Scores'!AL$4:AL$59, MATCH(A18,'Team Scores'!A$4:A$59, 0))</f>
        <v>0</v>
      </c>
      <c r="G18" s="36">
        <f>INDEX('Team Scores'!AM$4:AM$59, MATCH(A18,'Team Scores'!A$4:A$59, 0))</f>
        <v>0</v>
      </c>
      <c r="H18" s="36">
        <f>INDEX('Team Scores'!AN$4:AN$59, MATCH(A18,'Team Scores'!A$4:A$59, 0))</f>
        <v>20</v>
      </c>
      <c r="I18" s="36">
        <f>INDEX('Team Scores'!AO$4:AO$59, MATCH(A18,'Team Scores'!A$4:A$59, 0))</f>
        <v>20</v>
      </c>
      <c r="J18" s="41">
        <f t="shared" si="0"/>
        <v>0</v>
      </c>
      <c r="K18" s="41">
        <f t="shared" si="1"/>
        <v>0.16300000000000001</v>
      </c>
      <c r="L18" s="41">
        <f t="shared" si="2"/>
        <v>0</v>
      </c>
      <c r="M18" s="41">
        <f t="shared" si="3"/>
        <v>7.1999999999999995E-2</v>
      </c>
      <c r="N18" s="36">
        <f>INDEX('Team Scores'!AP$4:AP$59, MATCH(A18,'Team Scores'!A$4:A$59, 0))</f>
        <v>0</v>
      </c>
      <c r="O18" s="36">
        <f>INDEX('Team Scores'!AQ$4:AQ$59, MATCH(A18,'Team Scores'!A$4:A$59, 0))</f>
        <v>0</v>
      </c>
      <c r="P18" s="36">
        <f>INDEX('Team Scores'!AR$4:AR$59, MATCH(A18,'Team Scores'!A$4:A$59, 0))</f>
        <v>0</v>
      </c>
      <c r="Q18" s="36">
        <f>INDEX('Team Scores'!AS$4:AS$59, MATCH(A18,'Team Scores'!A$4:A$59, 0))</f>
        <v>0</v>
      </c>
      <c r="R18" s="41">
        <f t="shared" si="4"/>
        <v>0</v>
      </c>
      <c r="S18" s="41">
        <f t="shared" si="5"/>
        <v>0</v>
      </c>
      <c r="T18" s="41">
        <f t="shared" si="6"/>
        <v>0</v>
      </c>
      <c r="U18" s="41">
        <f t="shared" si="7"/>
        <v>0</v>
      </c>
    </row>
    <row r="19" spans="1:21" ht="16" x14ac:dyDescent="0.2">
      <c r="A19" s="35">
        <v>1591</v>
      </c>
      <c r="B19" s="36">
        <f>INDEX('Team Scores'!P$4:P$59, MATCH(A19,'Team Scores'!A$4:A$59, 0))</f>
        <v>10</v>
      </c>
      <c r="C19" s="36">
        <f>INDEX('Team Scores'!Q$4:Q$59, MATCH(A19,'Team Scores'!A$4:A$59, 0))</f>
        <v>5</v>
      </c>
      <c r="D19" s="36">
        <f>INDEX('Team Scores'!AD$4:AD$59, MATCH(A19,'Team Scores'!A$4:A$59, 0))</f>
        <v>65</v>
      </c>
      <c r="E19" s="36">
        <f>INDEX('Team Scores'!AE$4:AE$59, MATCH(A19,'Team Scores'!A$4:A$59, 0))</f>
        <v>32.5</v>
      </c>
      <c r="F19" s="36">
        <f>INDEX('Team Scores'!AL$4:AL$59, MATCH(A19,'Team Scores'!A$4:A$59, 0))</f>
        <v>6</v>
      </c>
      <c r="G19" s="36">
        <f>INDEX('Team Scores'!AM$4:AM$59, MATCH(A19,'Team Scores'!A$4:A$59, 0))</f>
        <v>3</v>
      </c>
      <c r="H19" s="36">
        <f>INDEX('Team Scores'!AN$4:AN$59, MATCH(A19,'Team Scores'!A$4:A$59, 0))</f>
        <v>81</v>
      </c>
      <c r="I19" s="36">
        <f>INDEX('Team Scores'!AO$4:AO$59, MATCH(A19,'Team Scores'!A$4:A$59, 0))</f>
        <v>40.5</v>
      </c>
      <c r="J19" s="41">
        <f t="shared" si="0"/>
        <v>0.4</v>
      </c>
      <c r="K19" s="41">
        <f t="shared" si="1"/>
        <v>0.65400000000000003</v>
      </c>
      <c r="L19" s="41">
        <f t="shared" si="2"/>
        <v>0.52700000000000002</v>
      </c>
      <c r="M19" s="41">
        <f t="shared" si="3"/>
        <v>0.56299999999999994</v>
      </c>
      <c r="N19" s="36">
        <f>INDEX('Team Scores'!AP$4:AP$59, MATCH(A19,'Team Scores'!A$4:A$59, 0))</f>
        <v>1</v>
      </c>
      <c r="O19" s="36">
        <f>INDEX('Team Scores'!AQ$4:AQ$59, MATCH(A19,'Team Scores'!A$4:A$59, 0))</f>
        <v>0</v>
      </c>
      <c r="P19" s="36">
        <f>INDEX('Team Scores'!AR$4:AR$59, MATCH(A19,'Team Scores'!A$4:A$59, 0))</f>
        <v>0</v>
      </c>
      <c r="Q19" s="36">
        <f>INDEX('Team Scores'!AS$4:AS$59, MATCH(A19,'Team Scores'!A$4:A$59, 0))</f>
        <v>1</v>
      </c>
      <c r="R19" s="41">
        <f t="shared" si="4"/>
        <v>0.109</v>
      </c>
      <c r="S19" s="41">
        <f t="shared" si="5"/>
        <v>0</v>
      </c>
      <c r="T19" s="41">
        <f t="shared" si="6"/>
        <v>0</v>
      </c>
      <c r="U19" s="41">
        <f t="shared" si="7"/>
        <v>0.09</v>
      </c>
    </row>
    <row r="20" spans="1:21" ht="16" x14ac:dyDescent="0.2">
      <c r="A20" s="35">
        <v>1796</v>
      </c>
      <c r="B20" s="36">
        <f>INDEX('Team Scores'!P$4:P$59, MATCH(A20,'Team Scores'!A$4:A$59, 0))</f>
        <v>41</v>
      </c>
      <c r="C20" s="36">
        <f>INDEX('Team Scores'!Q$4:Q$59, MATCH(A20,'Team Scores'!A$4:A$59, 0))</f>
        <v>20.5</v>
      </c>
      <c r="D20" s="36">
        <f>INDEX('Team Scores'!AD$4:AD$59, MATCH(A20,'Team Scores'!A$4:A$59, 0))</f>
        <v>104</v>
      </c>
      <c r="E20" s="36">
        <f>INDEX('Team Scores'!AE$4:AE$59, MATCH(A20,'Team Scores'!A$4:A$59, 0))</f>
        <v>52</v>
      </c>
      <c r="F20" s="36">
        <f>INDEX('Team Scores'!AL$4:AL$59, MATCH(A20,'Team Scores'!A$4:A$59, 0))</f>
        <v>24</v>
      </c>
      <c r="G20" s="36">
        <f>INDEX('Team Scores'!AM$4:AM$59, MATCH(A20,'Team Scores'!A$4:A$59, 0))</f>
        <v>12</v>
      </c>
      <c r="H20" s="36">
        <f>INDEX('Team Scores'!AN$4:AN$59, MATCH(A20,'Team Scores'!A$4:A$59, 0))</f>
        <v>169</v>
      </c>
      <c r="I20" s="36">
        <f>INDEX('Team Scores'!AO$4:AO$59, MATCH(A20,'Team Scores'!A$4:A$59, 0))</f>
        <v>84.5</v>
      </c>
      <c r="J20" s="41">
        <f t="shared" si="0"/>
        <v>0.85399999999999998</v>
      </c>
      <c r="K20" s="41">
        <f t="shared" si="1"/>
        <v>0.85399999999999998</v>
      </c>
      <c r="L20" s="41">
        <f t="shared" si="2"/>
        <v>0.85399999999999998</v>
      </c>
      <c r="M20" s="41">
        <f t="shared" si="3"/>
        <v>0.872</v>
      </c>
      <c r="N20" s="36">
        <f>INDEX('Team Scores'!AP$4:AP$59, MATCH(A20,'Team Scores'!A$4:A$59, 0))</f>
        <v>2</v>
      </c>
      <c r="O20" s="36">
        <f>INDEX('Team Scores'!AQ$4:AQ$59, MATCH(A20,'Team Scores'!A$4:A$59, 0))</f>
        <v>2</v>
      </c>
      <c r="P20" s="36">
        <f>INDEX('Team Scores'!AR$4:AR$59, MATCH(A20,'Team Scores'!A$4:A$59, 0))</f>
        <v>2</v>
      </c>
      <c r="Q20" s="36">
        <f>INDEX('Team Scores'!AS$4:AS$59, MATCH(A20,'Team Scores'!A$4:A$59, 0))</f>
        <v>6</v>
      </c>
      <c r="R20" s="41">
        <f t="shared" si="4"/>
        <v>0.436</v>
      </c>
      <c r="S20" s="41">
        <f t="shared" si="5"/>
        <v>0.872</v>
      </c>
      <c r="T20" s="41">
        <f t="shared" si="6"/>
        <v>0.67200000000000004</v>
      </c>
      <c r="U20" s="41">
        <f t="shared" si="7"/>
        <v>0.78100000000000003</v>
      </c>
    </row>
    <row r="21" spans="1:21" ht="16" x14ac:dyDescent="0.2">
      <c r="A21" s="35">
        <v>1880</v>
      </c>
      <c r="B21" s="36">
        <f>INDEX('Team Scores'!P$4:P$59, MATCH(A21,'Team Scores'!A$4:A$59, 0))</f>
        <v>30</v>
      </c>
      <c r="C21" s="36">
        <f>INDEX('Team Scores'!Q$4:Q$59, MATCH(A21,'Team Scores'!A$4:A$59, 0))</f>
        <v>10</v>
      </c>
      <c r="D21" s="36">
        <f>INDEX('Team Scores'!AD$4:AD$59, MATCH(A21,'Team Scores'!A$4:A$59, 0))</f>
        <v>82</v>
      </c>
      <c r="E21" s="36">
        <f>INDEX('Team Scores'!AE$4:AE$59, MATCH(A21,'Team Scores'!A$4:A$59, 0))</f>
        <v>27.333333333333332</v>
      </c>
      <c r="F21" s="36">
        <f>INDEX('Team Scores'!AL$4:AL$59, MATCH(A21,'Team Scores'!A$4:A$59, 0))</f>
        <v>6</v>
      </c>
      <c r="G21" s="36">
        <f>INDEX('Team Scores'!AM$4:AM$59, MATCH(A21,'Team Scores'!A$4:A$59, 0))</f>
        <v>2</v>
      </c>
      <c r="H21" s="36">
        <f>INDEX('Team Scores'!AN$4:AN$59, MATCH(A21,'Team Scores'!A$4:A$59, 0))</f>
        <v>118</v>
      </c>
      <c r="I21" s="36">
        <f>INDEX('Team Scores'!AO$4:AO$59, MATCH(A21,'Team Scores'!A$4:A$59, 0))</f>
        <v>39.333333333333336</v>
      </c>
      <c r="J21" s="41">
        <f t="shared" si="0"/>
        <v>0.76300000000000001</v>
      </c>
      <c r="K21" s="41">
        <f t="shared" si="1"/>
        <v>0.76300000000000001</v>
      </c>
      <c r="L21" s="41">
        <f t="shared" si="2"/>
        <v>0.52700000000000002</v>
      </c>
      <c r="M21" s="41">
        <f t="shared" si="3"/>
        <v>0.70899999999999996</v>
      </c>
      <c r="N21" s="36">
        <f>INDEX('Team Scores'!AP$4:AP$59, MATCH(A21,'Team Scores'!A$4:A$59, 0))</f>
        <v>3</v>
      </c>
      <c r="O21" s="36">
        <f>INDEX('Team Scores'!AQ$4:AQ$59, MATCH(A21,'Team Scores'!A$4:A$59, 0))</f>
        <v>0</v>
      </c>
      <c r="P21" s="36">
        <f>INDEX('Team Scores'!AR$4:AR$59, MATCH(A21,'Team Scores'!A$4:A$59, 0))</f>
        <v>2</v>
      </c>
      <c r="Q21" s="36">
        <f>INDEX('Team Scores'!AS$4:AS$59, MATCH(A21,'Team Scores'!A$4:A$59, 0))</f>
        <v>5</v>
      </c>
      <c r="R21" s="41">
        <f t="shared" si="4"/>
        <v>0.78100000000000003</v>
      </c>
      <c r="S21" s="41">
        <f t="shared" si="5"/>
        <v>0</v>
      </c>
      <c r="T21" s="41">
        <f t="shared" si="6"/>
        <v>0.67200000000000004</v>
      </c>
      <c r="U21" s="41">
        <f t="shared" si="7"/>
        <v>0.67200000000000004</v>
      </c>
    </row>
    <row r="22" spans="1:21" ht="16" x14ac:dyDescent="0.2">
      <c r="A22" s="35">
        <v>2053</v>
      </c>
      <c r="B22" s="36">
        <f>INDEX('Team Scores'!P$4:P$59, MATCH(A22,'Team Scores'!A$4:A$59, 0))</f>
        <v>0</v>
      </c>
      <c r="C22" s="36">
        <f>INDEX('Team Scores'!Q$4:Q$59, MATCH(A22,'Team Scores'!A$4:A$59, 0))</f>
        <v>0</v>
      </c>
      <c r="D22" s="36">
        <f>INDEX('Team Scores'!AD$4:AD$59, MATCH(A22,'Team Scores'!A$4:A$59, 0))</f>
        <v>13</v>
      </c>
      <c r="E22" s="36">
        <f>INDEX('Team Scores'!AE$4:AE$59, MATCH(A22,'Team Scores'!A$4:A$59, 0))</f>
        <v>13</v>
      </c>
      <c r="F22" s="36">
        <f>INDEX('Team Scores'!AL$4:AL$59, MATCH(A22,'Team Scores'!A$4:A$59, 0))</f>
        <v>0</v>
      </c>
      <c r="G22" s="36">
        <f>INDEX('Team Scores'!AM$4:AM$59, MATCH(A22,'Team Scores'!A$4:A$59, 0))</f>
        <v>0</v>
      </c>
      <c r="H22" s="36">
        <f>INDEX('Team Scores'!AN$4:AN$59, MATCH(A22,'Team Scores'!A$4:A$59, 0))</f>
        <v>13</v>
      </c>
      <c r="I22" s="36">
        <f>INDEX('Team Scores'!AO$4:AO$59, MATCH(A22,'Team Scores'!A$4:A$59, 0))</f>
        <v>13</v>
      </c>
      <c r="J22" s="41">
        <f t="shared" si="0"/>
        <v>0</v>
      </c>
      <c r="K22" s="41">
        <f t="shared" si="1"/>
        <v>0.09</v>
      </c>
      <c r="L22" s="41">
        <f t="shared" si="2"/>
        <v>0</v>
      </c>
      <c r="M22" s="41">
        <f t="shared" si="3"/>
        <v>3.5999999999999997E-2</v>
      </c>
      <c r="N22" s="36">
        <f>INDEX('Team Scores'!AP$4:AP$59, MATCH(A22,'Team Scores'!A$4:A$59, 0))</f>
        <v>0</v>
      </c>
      <c r="O22" s="36">
        <f>INDEX('Team Scores'!AQ$4:AQ$59, MATCH(A22,'Team Scores'!A$4:A$59, 0))</f>
        <v>0</v>
      </c>
      <c r="P22" s="36">
        <f>INDEX('Team Scores'!AR$4:AR$59, MATCH(A22,'Team Scores'!A$4:A$59, 0))</f>
        <v>0</v>
      </c>
      <c r="Q22" s="36">
        <f>INDEX('Team Scores'!AS$4:AS$59, MATCH(A22,'Team Scores'!A$4:A$59, 0))</f>
        <v>0</v>
      </c>
      <c r="R22" s="41">
        <f t="shared" si="4"/>
        <v>0</v>
      </c>
      <c r="S22" s="41">
        <f t="shared" si="5"/>
        <v>0</v>
      </c>
      <c r="T22" s="41">
        <f t="shared" si="6"/>
        <v>0</v>
      </c>
      <c r="U22" s="41">
        <f t="shared" si="7"/>
        <v>0</v>
      </c>
    </row>
    <row r="23" spans="1:21" ht="16" x14ac:dyDescent="0.2">
      <c r="A23" s="35">
        <v>2601</v>
      </c>
      <c r="B23" s="36">
        <f>INDEX('Team Scores'!P$4:P$59, MATCH(A23,'Team Scores'!A$4:A$59, 0))</f>
        <v>13</v>
      </c>
      <c r="C23" s="36">
        <f>INDEX('Team Scores'!Q$4:Q$59, MATCH(A23,'Team Scores'!A$4:A$59, 0))</f>
        <v>6.5</v>
      </c>
      <c r="D23" s="36">
        <f>INDEX('Team Scores'!AD$4:AD$59, MATCH(A23,'Team Scores'!A$4:A$59, 0))</f>
        <v>61</v>
      </c>
      <c r="E23" s="36">
        <f>INDEX('Team Scores'!AE$4:AE$59, MATCH(A23,'Team Scores'!A$4:A$59, 0))</f>
        <v>30.5</v>
      </c>
      <c r="F23" s="36">
        <f>INDEX('Team Scores'!AL$4:AL$59, MATCH(A23,'Team Scores'!A$4:A$59, 0))</f>
        <v>0</v>
      </c>
      <c r="G23" s="36">
        <f>INDEX('Team Scores'!AM$4:AM$59, MATCH(A23,'Team Scores'!A$4:A$59, 0))</f>
        <v>0</v>
      </c>
      <c r="H23" s="36">
        <f>INDEX('Team Scores'!AN$4:AN$59, MATCH(A23,'Team Scores'!A$4:A$59, 0))</f>
        <v>74</v>
      </c>
      <c r="I23" s="36">
        <f>INDEX('Team Scores'!AO$4:AO$59, MATCH(A23,'Team Scores'!A$4:A$59, 0))</f>
        <v>37</v>
      </c>
      <c r="J23" s="41">
        <f t="shared" si="0"/>
        <v>0.50900000000000001</v>
      </c>
      <c r="K23" s="41">
        <f t="shared" si="1"/>
        <v>0.58099999999999996</v>
      </c>
      <c r="L23" s="41">
        <f t="shared" si="2"/>
        <v>0</v>
      </c>
      <c r="M23" s="41">
        <f t="shared" si="3"/>
        <v>0.54500000000000004</v>
      </c>
      <c r="N23" s="36">
        <f>INDEX('Team Scores'!AP$4:AP$59, MATCH(A23,'Team Scores'!A$4:A$59, 0))</f>
        <v>2</v>
      </c>
      <c r="O23" s="36">
        <f>INDEX('Team Scores'!AQ$4:AQ$59, MATCH(A23,'Team Scores'!A$4:A$59, 0))</f>
        <v>0</v>
      </c>
      <c r="P23" s="36">
        <f>INDEX('Team Scores'!AR$4:AR$59, MATCH(A23,'Team Scores'!A$4:A$59, 0))</f>
        <v>2</v>
      </c>
      <c r="Q23" s="36">
        <f>INDEX('Team Scores'!AS$4:AS$59, MATCH(A23,'Team Scores'!A$4:A$59, 0))</f>
        <v>4</v>
      </c>
      <c r="R23" s="41">
        <f t="shared" si="4"/>
        <v>0.436</v>
      </c>
      <c r="S23" s="41">
        <f t="shared" si="5"/>
        <v>0</v>
      </c>
      <c r="T23" s="41">
        <f t="shared" si="6"/>
        <v>0.67200000000000004</v>
      </c>
      <c r="U23" s="41">
        <f t="shared" si="7"/>
        <v>0.58099999999999996</v>
      </c>
    </row>
    <row r="24" spans="1:21" ht="16" x14ac:dyDescent="0.2">
      <c r="A24" s="35">
        <v>2791</v>
      </c>
      <c r="B24" s="36">
        <f>INDEX('Team Scores'!P$4:P$59, MATCH(A24,'Team Scores'!A$4:A$59, 0))</f>
        <v>20</v>
      </c>
      <c r="C24" s="36">
        <f>INDEX('Team Scores'!Q$4:Q$59, MATCH(A24,'Team Scores'!A$4:A$59, 0))</f>
        <v>6.666666666666667</v>
      </c>
      <c r="D24" s="36">
        <f>INDEX('Team Scores'!AD$4:AD$59, MATCH(A24,'Team Scores'!A$4:A$59, 0))</f>
        <v>32</v>
      </c>
      <c r="E24" s="36">
        <f>INDEX('Team Scores'!AE$4:AE$59, MATCH(A24,'Team Scores'!A$4:A$59, 0))</f>
        <v>10.666666666666666</v>
      </c>
      <c r="F24" s="36">
        <f>INDEX('Team Scores'!AL$4:AL$59, MATCH(A24,'Team Scores'!A$4:A$59, 0))</f>
        <v>4</v>
      </c>
      <c r="G24" s="36">
        <f>INDEX('Team Scores'!AM$4:AM$59, MATCH(A24,'Team Scores'!A$4:A$59, 0))</f>
        <v>1.3333333333333333</v>
      </c>
      <c r="H24" s="36">
        <f>INDEX('Team Scores'!AN$4:AN$59, MATCH(A24,'Team Scores'!A$4:A$59, 0))</f>
        <v>56</v>
      </c>
      <c r="I24" s="36">
        <f>INDEX('Team Scores'!AO$4:AO$59, MATCH(A24,'Team Scores'!A$4:A$59, 0))</f>
        <v>18.666666666666668</v>
      </c>
      <c r="J24" s="41">
        <f t="shared" si="0"/>
        <v>0.63600000000000001</v>
      </c>
      <c r="K24" s="41">
        <f t="shared" si="1"/>
        <v>0.309</v>
      </c>
      <c r="L24" s="41">
        <f t="shared" si="2"/>
        <v>0.36299999999999999</v>
      </c>
      <c r="M24" s="41">
        <f t="shared" si="3"/>
        <v>0.36299999999999999</v>
      </c>
      <c r="N24" s="36">
        <f>INDEX('Team Scores'!AP$4:AP$59, MATCH(A24,'Team Scores'!A$4:A$59, 0))</f>
        <v>1</v>
      </c>
      <c r="O24" s="36">
        <f>INDEX('Team Scores'!AQ$4:AQ$59, MATCH(A24,'Team Scores'!A$4:A$59, 0))</f>
        <v>1</v>
      </c>
      <c r="P24" s="36">
        <f>INDEX('Team Scores'!AR$4:AR$59, MATCH(A24,'Team Scores'!A$4:A$59, 0))</f>
        <v>1</v>
      </c>
      <c r="Q24" s="36">
        <f>INDEX('Team Scores'!AS$4:AS$59, MATCH(A24,'Team Scores'!A$4:A$59, 0))</f>
        <v>3</v>
      </c>
      <c r="R24" s="41">
        <f t="shared" si="4"/>
        <v>0.109</v>
      </c>
      <c r="S24" s="41">
        <f t="shared" si="5"/>
        <v>0.56299999999999994</v>
      </c>
      <c r="T24" s="41">
        <f t="shared" si="6"/>
        <v>0.254</v>
      </c>
      <c r="U24" s="41">
        <f t="shared" si="7"/>
        <v>0.36299999999999999</v>
      </c>
    </row>
    <row r="25" spans="1:21" ht="16" x14ac:dyDescent="0.2">
      <c r="A25" s="35">
        <v>2869</v>
      </c>
      <c r="B25" s="36">
        <f>INDEX('Team Scores'!P$4:P$59, MATCH(A25,'Team Scores'!A$4:A$59, 0))</f>
        <v>10</v>
      </c>
      <c r="C25" s="36">
        <f>INDEX('Team Scores'!Q$4:Q$59, MATCH(A25,'Team Scores'!A$4:A$59, 0))</f>
        <v>10</v>
      </c>
      <c r="D25" s="36">
        <f>INDEX('Team Scores'!AD$4:AD$59, MATCH(A25,'Team Scores'!A$4:A$59, 0))</f>
        <v>18</v>
      </c>
      <c r="E25" s="36">
        <f>INDEX('Team Scores'!AE$4:AE$59, MATCH(A25,'Team Scores'!A$4:A$59, 0))</f>
        <v>18</v>
      </c>
      <c r="F25" s="36">
        <f>INDEX('Team Scores'!AL$4:AL$59, MATCH(A25,'Team Scores'!A$4:A$59, 0))</f>
        <v>12</v>
      </c>
      <c r="G25" s="36">
        <f>INDEX('Team Scores'!AM$4:AM$59, MATCH(A25,'Team Scores'!A$4:A$59, 0))</f>
        <v>12</v>
      </c>
      <c r="H25" s="36">
        <f>INDEX('Team Scores'!AN$4:AN$59, MATCH(A25,'Team Scores'!A$4:A$59, 0))</f>
        <v>40</v>
      </c>
      <c r="I25" s="36">
        <f>INDEX('Team Scores'!AO$4:AO$59, MATCH(A25,'Team Scores'!A$4:A$59, 0))</f>
        <v>40</v>
      </c>
      <c r="J25" s="41">
        <f t="shared" si="0"/>
        <v>0.4</v>
      </c>
      <c r="K25" s="41">
        <f t="shared" si="1"/>
        <v>0.14499999999999999</v>
      </c>
      <c r="L25" s="41">
        <f t="shared" si="2"/>
        <v>0.69</v>
      </c>
      <c r="M25" s="41">
        <f t="shared" si="3"/>
        <v>0.218</v>
      </c>
      <c r="N25" s="36">
        <f>INDEX('Team Scores'!AP$4:AP$59, MATCH(A25,'Team Scores'!A$4:A$59, 0))</f>
        <v>1</v>
      </c>
      <c r="O25" s="36">
        <f>INDEX('Team Scores'!AQ$4:AQ$59, MATCH(A25,'Team Scores'!A$4:A$59, 0))</f>
        <v>0</v>
      </c>
      <c r="P25" s="36">
        <f>INDEX('Team Scores'!AR$4:AR$59, MATCH(A25,'Team Scores'!A$4:A$59, 0))</f>
        <v>1</v>
      </c>
      <c r="Q25" s="36">
        <f>INDEX('Team Scores'!AS$4:AS$59, MATCH(A25,'Team Scores'!A$4:A$59, 0))</f>
        <v>2</v>
      </c>
      <c r="R25" s="41">
        <f t="shared" si="4"/>
        <v>0.109</v>
      </c>
      <c r="S25" s="41">
        <f t="shared" si="5"/>
        <v>0</v>
      </c>
      <c r="T25" s="41">
        <f t="shared" si="6"/>
        <v>0.254</v>
      </c>
      <c r="U25" s="41">
        <f t="shared" si="7"/>
        <v>0.2</v>
      </c>
    </row>
    <row r="26" spans="1:21" ht="16" x14ac:dyDescent="0.2">
      <c r="A26" s="35">
        <v>2875</v>
      </c>
      <c r="B26" s="36">
        <f>INDEX('Team Scores'!P$4:P$59, MATCH(A26,'Team Scores'!A$4:A$59, 0))</f>
        <v>41</v>
      </c>
      <c r="C26" s="36">
        <f>INDEX('Team Scores'!Q$4:Q$59, MATCH(A26,'Team Scores'!A$4:A$59, 0))</f>
        <v>13.666666666666666</v>
      </c>
      <c r="D26" s="36">
        <f>INDEX('Team Scores'!AD$4:AD$59, MATCH(A26,'Team Scores'!A$4:A$59, 0))</f>
        <v>95</v>
      </c>
      <c r="E26" s="36">
        <f>INDEX('Team Scores'!AE$4:AE$59, MATCH(A26,'Team Scores'!A$4:A$59, 0))</f>
        <v>31.666666666666668</v>
      </c>
      <c r="F26" s="36">
        <f>INDEX('Team Scores'!AL$4:AL$59, MATCH(A26,'Team Scores'!A$4:A$59, 0))</f>
        <v>4</v>
      </c>
      <c r="G26" s="36">
        <f>INDEX('Team Scores'!AM$4:AM$59, MATCH(A26,'Team Scores'!A$4:A$59, 0))</f>
        <v>1.3333333333333333</v>
      </c>
      <c r="H26" s="36">
        <f>INDEX('Team Scores'!AN$4:AN$59, MATCH(A26,'Team Scores'!A$4:A$59, 0))</f>
        <v>140</v>
      </c>
      <c r="I26" s="36">
        <f>INDEX('Team Scores'!AO$4:AO$59, MATCH(A26,'Team Scores'!A$4:A$59, 0))</f>
        <v>46.666666666666664</v>
      </c>
      <c r="J26" s="41">
        <f t="shared" si="0"/>
        <v>0.85399999999999998</v>
      </c>
      <c r="K26" s="41">
        <f t="shared" si="1"/>
        <v>0.8</v>
      </c>
      <c r="L26" s="41">
        <f t="shared" si="2"/>
        <v>0.36299999999999999</v>
      </c>
      <c r="M26" s="41">
        <f t="shared" si="3"/>
        <v>0.81799999999999995</v>
      </c>
      <c r="N26" s="36">
        <f>INDEX('Team Scores'!AP$4:AP$59, MATCH(A26,'Team Scores'!A$4:A$59, 0))</f>
        <v>2</v>
      </c>
      <c r="O26" s="36">
        <f>INDEX('Team Scores'!AQ$4:AQ$59, MATCH(A26,'Team Scores'!A$4:A$59, 0))</f>
        <v>2</v>
      </c>
      <c r="P26" s="36">
        <f>INDEX('Team Scores'!AR$4:AR$59, MATCH(A26,'Team Scores'!A$4:A$59, 0))</f>
        <v>1</v>
      </c>
      <c r="Q26" s="36">
        <f>INDEX('Team Scores'!AS$4:AS$59, MATCH(A26,'Team Scores'!A$4:A$59, 0))</f>
        <v>5</v>
      </c>
      <c r="R26" s="41">
        <f t="shared" si="4"/>
        <v>0.436</v>
      </c>
      <c r="S26" s="41">
        <f t="shared" si="5"/>
        <v>0.872</v>
      </c>
      <c r="T26" s="41">
        <f t="shared" si="6"/>
        <v>0.254</v>
      </c>
      <c r="U26" s="41">
        <f t="shared" si="7"/>
        <v>0.67200000000000004</v>
      </c>
    </row>
    <row r="27" spans="1:21" ht="16" x14ac:dyDescent="0.2">
      <c r="A27" s="35">
        <v>3003</v>
      </c>
      <c r="B27" s="36">
        <f>INDEX('Team Scores'!P$4:P$59, MATCH(A27,'Team Scores'!A$4:A$59, 0))</f>
        <v>20</v>
      </c>
      <c r="C27" s="36">
        <f>INDEX('Team Scores'!Q$4:Q$59, MATCH(A27,'Team Scores'!A$4:A$59, 0))</f>
        <v>10</v>
      </c>
      <c r="D27" s="36">
        <f>INDEX('Team Scores'!AD$4:AD$59, MATCH(A27,'Team Scores'!A$4:A$59, 0))</f>
        <v>62</v>
      </c>
      <c r="E27" s="36">
        <f>INDEX('Team Scores'!AE$4:AE$59, MATCH(A27,'Team Scores'!A$4:A$59, 0))</f>
        <v>31</v>
      </c>
      <c r="F27" s="36">
        <f>INDEX('Team Scores'!AL$4:AL$59, MATCH(A27,'Team Scores'!A$4:A$59, 0))</f>
        <v>14</v>
      </c>
      <c r="G27" s="36">
        <f>INDEX('Team Scores'!AM$4:AM$59, MATCH(A27,'Team Scores'!A$4:A$59, 0))</f>
        <v>7</v>
      </c>
      <c r="H27" s="36">
        <f>INDEX('Team Scores'!AN$4:AN$59, MATCH(A27,'Team Scores'!A$4:A$59, 0))</f>
        <v>96</v>
      </c>
      <c r="I27" s="36">
        <f>INDEX('Team Scores'!AO$4:AO$59, MATCH(A27,'Team Scores'!A$4:A$59, 0))</f>
        <v>48</v>
      </c>
      <c r="J27" s="41">
        <f t="shared" si="0"/>
        <v>0.63600000000000001</v>
      </c>
      <c r="K27" s="41">
        <f t="shared" si="1"/>
        <v>0.6</v>
      </c>
      <c r="L27" s="41">
        <f t="shared" si="2"/>
        <v>0.70899999999999996</v>
      </c>
      <c r="M27" s="41">
        <f t="shared" si="3"/>
        <v>0.63600000000000001</v>
      </c>
      <c r="N27" s="36">
        <f>INDEX('Team Scores'!AP$4:AP$59, MATCH(A27,'Team Scores'!A$4:A$59, 0))</f>
        <v>2</v>
      </c>
      <c r="O27" s="36">
        <f>INDEX('Team Scores'!AQ$4:AQ$59, MATCH(A27,'Team Scores'!A$4:A$59, 0))</f>
        <v>0</v>
      </c>
      <c r="P27" s="36">
        <f>INDEX('Team Scores'!AR$4:AR$59, MATCH(A27,'Team Scores'!A$4:A$59, 0))</f>
        <v>1</v>
      </c>
      <c r="Q27" s="36">
        <f>INDEX('Team Scores'!AS$4:AS$59, MATCH(A27,'Team Scores'!A$4:A$59, 0))</f>
        <v>3</v>
      </c>
      <c r="R27" s="41">
        <f t="shared" si="4"/>
        <v>0.436</v>
      </c>
      <c r="S27" s="41">
        <f t="shared" si="5"/>
        <v>0</v>
      </c>
      <c r="T27" s="41">
        <f t="shared" si="6"/>
        <v>0.254</v>
      </c>
      <c r="U27" s="41">
        <f t="shared" si="7"/>
        <v>0.36299999999999999</v>
      </c>
    </row>
    <row r="28" spans="1:21" ht="16" x14ac:dyDescent="0.2">
      <c r="A28" s="35">
        <v>3044</v>
      </c>
      <c r="B28" s="36">
        <f>INDEX('Team Scores'!P$4:P$59, MATCH(A28,'Team Scores'!A$4:A$59, 0))</f>
        <v>30</v>
      </c>
      <c r="C28" s="36">
        <f>INDEX('Team Scores'!Q$4:Q$59, MATCH(A28,'Team Scores'!A$4:A$59, 0))</f>
        <v>10</v>
      </c>
      <c r="D28" s="36">
        <f>INDEX('Team Scores'!AD$4:AD$59, MATCH(A28,'Team Scores'!A$4:A$59, 0))</f>
        <v>74</v>
      </c>
      <c r="E28" s="36">
        <f>INDEX('Team Scores'!AE$4:AE$59, MATCH(A28,'Team Scores'!A$4:A$59, 0))</f>
        <v>24.666666666666668</v>
      </c>
      <c r="F28" s="36">
        <f>INDEX('Team Scores'!AL$4:AL$59, MATCH(A28,'Team Scores'!A$4:A$59, 0))</f>
        <v>14</v>
      </c>
      <c r="G28" s="36">
        <f>INDEX('Team Scores'!AM$4:AM$59, MATCH(A28,'Team Scores'!A$4:A$59, 0))</f>
        <v>4.666666666666667</v>
      </c>
      <c r="H28" s="36">
        <f>INDEX('Team Scores'!AN$4:AN$59, MATCH(A28,'Team Scores'!A$4:A$59, 0))</f>
        <v>118</v>
      </c>
      <c r="I28" s="36">
        <f>INDEX('Team Scores'!AO$4:AO$59, MATCH(A28,'Team Scores'!A$4:A$59, 0))</f>
        <v>39.333333333333336</v>
      </c>
      <c r="J28" s="41">
        <f t="shared" si="0"/>
        <v>0.76300000000000001</v>
      </c>
      <c r="K28" s="41">
        <f t="shared" si="1"/>
        <v>0.70899999999999996</v>
      </c>
      <c r="L28" s="41">
        <f t="shared" si="2"/>
        <v>0.70899999999999996</v>
      </c>
      <c r="M28" s="41">
        <f t="shared" si="3"/>
        <v>0.70899999999999996</v>
      </c>
      <c r="N28" s="36">
        <f>INDEX('Team Scores'!AP$4:AP$59, MATCH(A28,'Team Scores'!A$4:A$59, 0))</f>
        <v>2</v>
      </c>
      <c r="O28" s="36">
        <f>INDEX('Team Scores'!AQ$4:AQ$59, MATCH(A28,'Team Scores'!A$4:A$59, 0))</f>
        <v>2</v>
      </c>
      <c r="P28" s="36">
        <f>INDEX('Team Scores'!AR$4:AR$59, MATCH(A28,'Team Scores'!A$4:A$59, 0))</f>
        <v>2</v>
      </c>
      <c r="Q28" s="36">
        <f>INDEX('Team Scores'!AS$4:AS$59, MATCH(A28,'Team Scores'!A$4:A$59, 0))</f>
        <v>6</v>
      </c>
      <c r="R28" s="41">
        <f t="shared" si="4"/>
        <v>0.436</v>
      </c>
      <c r="S28" s="41">
        <f t="shared" si="5"/>
        <v>0.872</v>
      </c>
      <c r="T28" s="41">
        <f t="shared" si="6"/>
        <v>0.67200000000000004</v>
      </c>
      <c r="U28" s="41">
        <f t="shared" si="7"/>
        <v>0.78100000000000003</v>
      </c>
    </row>
    <row r="29" spans="1:21" ht="16" x14ac:dyDescent="0.2">
      <c r="A29" s="35">
        <v>3117</v>
      </c>
      <c r="B29" s="36">
        <f>INDEX('Team Scores'!P$4:P$59, MATCH(A29,'Team Scores'!A$4:A$59, 0))</f>
        <v>13</v>
      </c>
      <c r="C29" s="36">
        <f>INDEX('Team Scores'!Q$4:Q$59, MATCH(A29,'Team Scores'!A$4:A$59, 0))</f>
        <v>4.333333333333333</v>
      </c>
      <c r="D29" s="36">
        <f>INDEX('Team Scores'!AD$4:AD$59, MATCH(A29,'Team Scores'!A$4:A$59, 0))</f>
        <v>96</v>
      </c>
      <c r="E29" s="36">
        <f>INDEX('Team Scores'!AE$4:AE$59, MATCH(A29,'Team Scores'!A$4:A$59, 0))</f>
        <v>32</v>
      </c>
      <c r="F29" s="36">
        <f>INDEX('Team Scores'!AL$4:AL$59, MATCH(A29,'Team Scores'!A$4:A$59, 0))</f>
        <v>16</v>
      </c>
      <c r="G29" s="36">
        <f>INDEX('Team Scores'!AM$4:AM$59, MATCH(A29,'Team Scores'!A$4:A$59, 0))</f>
        <v>5.333333333333333</v>
      </c>
      <c r="H29" s="36">
        <f>INDEX('Team Scores'!AN$4:AN$59, MATCH(A29,'Team Scores'!A$4:A$59, 0))</f>
        <v>125</v>
      </c>
      <c r="I29" s="36">
        <f>INDEX('Team Scores'!AO$4:AO$59, MATCH(A29,'Team Scores'!A$4:A$59, 0))</f>
        <v>41.666666666666664</v>
      </c>
      <c r="J29" s="41">
        <f t="shared" si="0"/>
        <v>0.50900000000000001</v>
      </c>
      <c r="K29" s="41">
        <f t="shared" si="1"/>
        <v>0.81799999999999995</v>
      </c>
      <c r="L29" s="41">
        <f t="shared" si="2"/>
        <v>0.8</v>
      </c>
      <c r="M29" s="41">
        <f t="shared" si="3"/>
        <v>0.78100000000000003</v>
      </c>
      <c r="N29" s="36">
        <f>INDEX('Team Scores'!AP$4:AP$59, MATCH(A29,'Team Scores'!A$4:A$59, 0))</f>
        <v>2</v>
      </c>
      <c r="O29" s="36">
        <f>INDEX('Team Scores'!AQ$4:AQ$59, MATCH(A29,'Team Scores'!A$4:A$59, 0))</f>
        <v>1</v>
      </c>
      <c r="P29" s="36">
        <f>INDEX('Team Scores'!AR$4:AR$59, MATCH(A29,'Team Scores'!A$4:A$59, 0))</f>
        <v>1</v>
      </c>
      <c r="Q29" s="36">
        <f>INDEX('Team Scores'!AS$4:AS$59, MATCH(A29,'Team Scores'!A$4:A$59, 0))</f>
        <v>4</v>
      </c>
      <c r="R29" s="41">
        <f t="shared" si="4"/>
        <v>0.436</v>
      </c>
      <c r="S29" s="41">
        <f t="shared" si="5"/>
        <v>0.56299999999999994</v>
      </c>
      <c r="T29" s="41">
        <f t="shared" si="6"/>
        <v>0.254</v>
      </c>
      <c r="U29" s="41">
        <f t="shared" si="7"/>
        <v>0.58099999999999996</v>
      </c>
    </row>
    <row r="30" spans="1:21" ht="16" x14ac:dyDescent="0.2">
      <c r="A30" s="35">
        <v>3171</v>
      </c>
      <c r="B30" s="36">
        <f>INDEX('Team Scores'!P$4:P$59, MATCH(A30,'Team Scores'!A$4:A$59, 0))</f>
        <v>20</v>
      </c>
      <c r="C30" s="36">
        <f>INDEX('Team Scores'!Q$4:Q$59, MATCH(A30,'Team Scores'!A$4:A$59, 0))</f>
        <v>5</v>
      </c>
      <c r="D30" s="36">
        <f>INDEX('Team Scores'!AD$4:AD$59, MATCH(A30,'Team Scores'!A$4:A$59, 0))</f>
        <v>13</v>
      </c>
      <c r="E30" s="36">
        <f>INDEX('Team Scores'!AE$4:AE$59, MATCH(A30,'Team Scores'!A$4:A$59, 0))</f>
        <v>3.25</v>
      </c>
      <c r="F30" s="36">
        <f>INDEX('Team Scores'!AL$4:AL$59, MATCH(A30,'Team Scores'!A$4:A$59, 0))</f>
        <v>16</v>
      </c>
      <c r="G30" s="36">
        <f>INDEX('Team Scores'!AM$4:AM$59, MATCH(A30,'Team Scores'!A$4:A$59, 0))</f>
        <v>4</v>
      </c>
      <c r="H30" s="36">
        <f>INDEX('Team Scores'!AN$4:AN$59, MATCH(A30,'Team Scores'!A$4:A$59, 0))</f>
        <v>49</v>
      </c>
      <c r="I30" s="36">
        <f>INDEX('Team Scores'!AO$4:AO$59, MATCH(A30,'Team Scores'!A$4:A$59, 0))</f>
        <v>12.25</v>
      </c>
      <c r="J30" s="41">
        <f t="shared" si="0"/>
        <v>0.63600000000000001</v>
      </c>
      <c r="K30" s="41">
        <f t="shared" si="1"/>
        <v>0.09</v>
      </c>
      <c r="L30" s="41">
        <f t="shared" si="2"/>
        <v>0.8</v>
      </c>
      <c r="M30" s="41">
        <f t="shared" si="3"/>
        <v>0.28999999999999998</v>
      </c>
      <c r="N30" s="36">
        <f>INDEX('Team Scores'!AP$4:AP$59, MATCH(A30,'Team Scores'!A$4:A$59, 0))</f>
        <v>2</v>
      </c>
      <c r="O30" s="36">
        <f>INDEX('Team Scores'!AQ$4:AQ$59, MATCH(A30,'Team Scores'!A$4:A$59, 0))</f>
        <v>0</v>
      </c>
      <c r="P30" s="36">
        <f>INDEX('Team Scores'!AR$4:AR$59, MATCH(A30,'Team Scores'!A$4:A$59, 0))</f>
        <v>0</v>
      </c>
      <c r="Q30" s="36">
        <f>INDEX('Team Scores'!AS$4:AS$59, MATCH(A30,'Team Scores'!A$4:A$59, 0))</f>
        <v>2</v>
      </c>
      <c r="R30" s="41">
        <f t="shared" si="4"/>
        <v>0.436</v>
      </c>
      <c r="S30" s="41">
        <f t="shared" si="5"/>
        <v>0</v>
      </c>
      <c r="T30" s="41">
        <f t="shared" si="6"/>
        <v>0</v>
      </c>
      <c r="U30" s="41">
        <f t="shared" si="7"/>
        <v>0.2</v>
      </c>
    </row>
    <row r="31" spans="1:21" ht="16" x14ac:dyDescent="0.2">
      <c r="A31" s="35">
        <v>3173</v>
      </c>
      <c r="B31" s="36">
        <f>INDEX('Team Scores'!P$4:P$59, MATCH(A31,'Team Scores'!A$4:A$59, 0))</f>
        <v>71</v>
      </c>
      <c r="C31" s="36">
        <f>INDEX('Team Scores'!Q$4:Q$59, MATCH(A31,'Team Scores'!A$4:A$59, 0))</f>
        <v>14.2</v>
      </c>
      <c r="D31" s="36">
        <f>INDEX('Team Scores'!AD$4:AD$59, MATCH(A31,'Team Scores'!A$4:A$59, 0))</f>
        <v>176</v>
      </c>
      <c r="E31" s="36">
        <f>INDEX('Team Scores'!AE$4:AE$59, MATCH(A31,'Team Scores'!A$4:A$59, 0))</f>
        <v>35.200000000000003</v>
      </c>
      <c r="F31" s="36">
        <f>INDEX('Team Scores'!AL$4:AL$59, MATCH(A31,'Team Scores'!A$4:A$59, 0))</f>
        <v>50</v>
      </c>
      <c r="G31" s="36">
        <f>INDEX('Team Scores'!AM$4:AM$59, MATCH(A31,'Team Scores'!A$4:A$59, 0))</f>
        <v>10</v>
      </c>
      <c r="H31" s="36">
        <f>INDEX('Team Scores'!AN$4:AN$59, MATCH(A31,'Team Scores'!A$4:A$59, 0))</f>
        <v>297</v>
      </c>
      <c r="I31" s="36">
        <f>INDEX('Team Scores'!AO$4:AO$59, MATCH(A31,'Team Scores'!A$4:A$59, 0))</f>
        <v>59.4</v>
      </c>
      <c r="J31" s="41">
        <f t="shared" si="0"/>
        <v>0.94499999999999995</v>
      </c>
      <c r="K31" s="41">
        <f t="shared" si="1"/>
        <v>0.98099999999999998</v>
      </c>
      <c r="L31" s="41">
        <f t="shared" si="2"/>
        <v>1</v>
      </c>
      <c r="M31" s="41">
        <f t="shared" si="3"/>
        <v>0.98099999999999998</v>
      </c>
      <c r="N31" s="36">
        <f>INDEX('Team Scores'!AP$4:AP$59, MATCH(A31,'Team Scores'!A$4:A$59, 0))</f>
        <v>5</v>
      </c>
      <c r="O31" s="36">
        <f>INDEX('Team Scores'!AQ$4:AQ$59, MATCH(A31,'Team Scores'!A$4:A$59, 0))</f>
        <v>2</v>
      </c>
      <c r="P31" s="36">
        <f>INDEX('Team Scores'!AR$4:AR$59, MATCH(A31,'Team Scores'!A$4:A$59, 0))</f>
        <v>5</v>
      </c>
      <c r="Q31" s="36">
        <f>INDEX('Team Scores'!AS$4:AS$59, MATCH(A31,'Team Scores'!A$4:A$59, 0))</f>
        <v>12</v>
      </c>
      <c r="R31" s="41">
        <f t="shared" si="4"/>
        <v>0.98099999999999998</v>
      </c>
      <c r="S31" s="41">
        <f t="shared" si="5"/>
        <v>0.872</v>
      </c>
      <c r="T31" s="41">
        <f t="shared" si="6"/>
        <v>1</v>
      </c>
      <c r="U31" s="41">
        <f t="shared" si="7"/>
        <v>0.98099999999999998</v>
      </c>
    </row>
    <row r="32" spans="1:21" ht="16" x14ac:dyDescent="0.2">
      <c r="A32" s="35">
        <v>3181</v>
      </c>
      <c r="B32" s="36">
        <f>INDEX('Team Scores'!P$4:P$59, MATCH(A32,'Team Scores'!A$4:A$59, 0))</f>
        <v>13</v>
      </c>
      <c r="C32" s="36">
        <f>INDEX('Team Scores'!Q$4:Q$59, MATCH(A32,'Team Scores'!A$4:A$59, 0))</f>
        <v>4.333333333333333</v>
      </c>
      <c r="D32" s="36">
        <f>INDEX('Team Scores'!AD$4:AD$59, MATCH(A32,'Team Scores'!A$4:A$59, 0))</f>
        <v>35</v>
      </c>
      <c r="E32" s="36">
        <f>INDEX('Team Scores'!AE$4:AE$59, MATCH(A32,'Team Scores'!A$4:A$59, 0))</f>
        <v>11.666666666666666</v>
      </c>
      <c r="F32" s="36">
        <f>INDEX('Team Scores'!AL$4:AL$59, MATCH(A32,'Team Scores'!A$4:A$59, 0))</f>
        <v>6</v>
      </c>
      <c r="G32" s="36">
        <f>INDEX('Team Scores'!AM$4:AM$59, MATCH(A32,'Team Scores'!A$4:A$59, 0))</f>
        <v>2</v>
      </c>
      <c r="H32" s="36">
        <f>INDEX('Team Scores'!AN$4:AN$59, MATCH(A32,'Team Scores'!A$4:A$59, 0))</f>
        <v>54</v>
      </c>
      <c r="I32" s="36">
        <f>INDEX('Team Scores'!AO$4:AO$59, MATCH(A32,'Team Scores'!A$4:A$59, 0))</f>
        <v>18</v>
      </c>
      <c r="J32" s="41">
        <f t="shared" si="0"/>
        <v>0.50900000000000001</v>
      </c>
      <c r="K32" s="41">
        <f t="shared" si="1"/>
        <v>0.32700000000000001</v>
      </c>
      <c r="L32" s="41">
        <f t="shared" si="2"/>
        <v>0.52700000000000002</v>
      </c>
      <c r="M32" s="41">
        <f t="shared" si="3"/>
        <v>0.32700000000000001</v>
      </c>
      <c r="N32" s="36">
        <f>INDEX('Team Scores'!AP$4:AP$59, MATCH(A32,'Team Scores'!A$4:A$59, 0))</f>
        <v>1</v>
      </c>
      <c r="O32" s="36">
        <f>INDEX('Team Scores'!AQ$4:AQ$59, MATCH(A32,'Team Scores'!A$4:A$59, 0))</f>
        <v>1</v>
      </c>
      <c r="P32" s="36">
        <f>INDEX('Team Scores'!AR$4:AR$59, MATCH(A32,'Team Scores'!A$4:A$59, 0))</f>
        <v>1</v>
      </c>
      <c r="Q32" s="36">
        <f>INDEX('Team Scores'!AS$4:AS$59, MATCH(A32,'Team Scores'!A$4:A$59, 0))</f>
        <v>3</v>
      </c>
      <c r="R32" s="41">
        <f t="shared" si="4"/>
        <v>0.109</v>
      </c>
      <c r="S32" s="41">
        <f t="shared" si="5"/>
        <v>0.56299999999999994</v>
      </c>
      <c r="T32" s="41">
        <f t="shared" si="6"/>
        <v>0.254</v>
      </c>
      <c r="U32" s="41">
        <f t="shared" si="7"/>
        <v>0.36299999999999999</v>
      </c>
    </row>
    <row r="33" spans="1:21" ht="16" x14ac:dyDescent="0.2">
      <c r="A33" s="35">
        <v>3360</v>
      </c>
      <c r="B33" s="36">
        <f>INDEX('Team Scores'!P$4:P$59, MATCH(A33,'Team Scores'!A$4:A$59, 0))</f>
        <v>3</v>
      </c>
      <c r="C33" s="36">
        <f>INDEX('Team Scores'!Q$4:Q$59, MATCH(A33,'Team Scores'!A$4:A$59, 0))</f>
        <v>3</v>
      </c>
      <c r="D33" s="36">
        <f>INDEX('Team Scores'!AD$4:AD$59, MATCH(A33,'Team Scores'!A$4:A$59, 0))</f>
        <v>24</v>
      </c>
      <c r="E33" s="36">
        <f>INDEX('Team Scores'!AE$4:AE$59, MATCH(A33,'Team Scores'!A$4:A$59, 0))</f>
        <v>24</v>
      </c>
      <c r="F33" s="36">
        <f>INDEX('Team Scores'!AL$4:AL$59, MATCH(A33,'Team Scores'!A$4:A$59, 0))</f>
        <v>2</v>
      </c>
      <c r="G33" s="36">
        <f>INDEX('Team Scores'!AM$4:AM$59, MATCH(A33,'Team Scores'!A$4:A$59, 0))</f>
        <v>2</v>
      </c>
      <c r="H33" s="36">
        <f>INDEX('Team Scores'!AN$4:AN$59, MATCH(A33,'Team Scores'!A$4:A$59, 0))</f>
        <v>29</v>
      </c>
      <c r="I33" s="36">
        <f>INDEX('Team Scores'!AO$4:AO$59, MATCH(A33,'Team Scores'!A$4:A$59, 0))</f>
        <v>29</v>
      </c>
      <c r="J33" s="41">
        <f t="shared" si="0"/>
        <v>7.1999999999999995E-2</v>
      </c>
      <c r="K33" s="41">
        <f t="shared" si="1"/>
        <v>0.218</v>
      </c>
      <c r="L33" s="41">
        <f t="shared" si="2"/>
        <v>0.16300000000000001</v>
      </c>
      <c r="M33" s="41">
        <f t="shared" si="3"/>
        <v>0.16300000000000001</v>
      </c>
      <c r="N33" s="36">
        <f>INDEX('Team Scores'!AP$4:AP$59, MATCH(A33,'Team Scores'!A$4:A$59, 0))</f>
        <v>0</v>
      </c>
      <c r="O33" s="36">
        <f>INDEX('Team Scores'!AQ$4:AQ$59, MATCH(A33,'Team Scores'!A$4:A$59, 0))</f>
        <v>0</v>
      </c>
      <c r="P33" s="36">
        <f>INDEX('Team Scores'!AR$4:AR$59, MATCH(A33,'Team Scores'!A$4:A$59, 0))</f>
        <v>1</v>
      </c>
      <c r="Q33" s="36">
        <f>INDEX('Team Scores'!AS$4:AS$59, MATCH(A33,'Team Scores'!A$4:A$59, 0))</f>
        <v>1</v>
      </c>
      <c r="R33" s="41">
        <f t="shared" si="4"/>
        <v>0</v>
      </c>
      <c r="S33" s="41">
        <f t="shared" si="5"/>
        <v>0</v>
      </c>
      <c r="T33" s="41">
        <f t="shared" si="6"/>
        <v>0.254</v>
      </c>
      <c r="U33" s="41">
        <f t="shared" si="7"/>
        <v>0.09</v>
      </c>
    </row>
    <row r="34" spans="1:21" ht="16" x14ac:dyDescent="0.2">
      <c r="A34" s="35">
        <v>3550</v>
      </c>
      <c r="B34" s="36">
        <f>INDEX('Team Scores'!P$4:P$59, MATCH(A34,'Team Scores'!A$4:A$59, 0))</f>
        <v>20</v>
      </c>
      <c r="C34" s="36">
        <f>INDEX('Team Scores'!Q$4:Q$59, MATCH(A34,'Team Scores'!A$4:A$59, 0))</f>
        <v>6.666666666666667</v>
      </c>
      <c r="D34" s="36">
        <f>INDEX('Team Scores'!AD$4:AD$59, MATCH(A34,'Team Scores'!A$4:A$59, 0))</f>
        <v>69</v>
      </c>
      <c r="E34" s="36">
        <f>INDEX('Team Scores'!AE$4:AE$59, MATCH(A34,'Team Scores'!A$4:A$59, 0))</f>
        <v>23</v>
      </c>
      <c r="F34" s="36">
        <f>INDEX('Team Scores'!AL$4:AL$59, MATCH(A34,'Team Scores'!A$4:A$59, 0))</f>
        <v>4</v>
      </c>
      <c r="G34" s="36">
        <f>INDEX('Team Scores'!AM$4:AM$59, MATCH(A34,'Team Scores'!A$4:A$59, 0))</f>
        <v>1.3333333333333333</v>
      </c>
      <c r="H34" s="36">
        <f>INDEX('Team Scores'!AN$4:AN$59, MATCH(A34,'Team Scores'!A$4:A$59, 0))</f>
        <v>93</v>
      </c>
      <c r="I34" s="36">
        <f>INDEX('Team Scores'!AO$4:AO$59, MATCH(A34,'Team Scores'!A$4:A$59, 0))</f>
        <v>31</v>
      </c>
      <c r="J34" s="41">
        <f t="shared" si="0"/>
        <v>0.63600000000000001</v>
      </c>
      <c r="K34" s="41">
        <f t="shared" si="1"/>
        <v>0.67200000000000004</v>
      </c>
      <c r="L34" s="41">
        <f t="shared" si="2"/>
        <v>0.36299999999999999</v>
      </c>
      <c r="M34" s="41">
        <f t="shared" si="3"/>
        <v>0.61799999999999999</v>
      </c>
      <c r="N34" s="36">
        <f>INDEX('Team Scores'!AP$4:AP$59, MATCH(A34,'Team Scores'!A$4:A$59, 0))</f>
        <v>2</v>
      </c>
      <c r="O34" s="36">
        <f>INDEX('Team Scores'!AQ$4:AQ$59, MATCH(A34,'Team Scores'!A$4:A$59, 0))</f>
        <v>1</v>
      </c>
      <c r="P34" s="36">
        <f>INDEX('Team Scores'!AR$4:AR$59, MATCH(A34,'Team Scores'!A$4:A$59, 0))</f>
        <v>0</v>
      </c>
      <c r="Q34" s="36">
        <f>INDEX('Team Scores'!AS$4:AS$59, MATCH(A34,'Team Scores'!A$4:A$59, 0))</f>
        <v>3</v>
      </c>
      <c r="R34" s="41">
        <f t="shared" si="4"/>
        <v>0.436</v>
      </c>
      <c r="S34" s="41">
        <f t="shared" si="5"/>
        <v>0.56299999999999994</v>
      </c>
      <c r="T34" s="41">
        <f t="shared" si="6"/>
        <v>0</v>
      </c>
      <c r="U34" s="41">
        <f t="shared" si="7"/>
        <v>0.36299999999999999</v>
      </c>
    </row>
    <row r="35" spans="1:21" ht="16" x14ac:dyDescent="0.2">
      <c r="A35" s="35">
        <v>3950</v>
      </c>
      <c r="B35" s="36">
        <f>INDEX('Team Scores'!P$4:P$59, MATCH(A35,'Team Scores'!A$4:A$59, 0))</f>
        <v>17</v>
      </c>
      <c r="C35" s="36">
        <f>INDEX('Team Scores'!Q$4:Q$59, MATCH(A35,'Team Scores'!A$4:A$59, 0))</f>
        <v>17</v>
      </c>
      <c r="D35" s="36">
        <f>INDEX('Team Scores'!AD$4:AD$59, MATCH(A35,'Team Scores'!A$4:A$59, 0))</f>
        <v>43</v>
      </c>
      <c r="E35" s="36">
        <f>INDEX('Team Scores'!AE$4:AE$59, MATCH(A35,'Team Scores'!A$4:A$59, 0))</f>
        <v>43</v>
      </c>
      <c r="F35" s="36">
        <f>INDEX('Team Scores'!AL$4:AL$59, MATCH(A35,'Team Scores'!A$4:A$59, 0))</f>
        <v>2</v>
      </c>
      <c r="G35" s="36">
        <f>INDEX('Team Scores'!AM$4:AM$59, MATCH(A35,'Team Scores'!A$4:A$59, 0))</f>
        <v>2</v>
      </c>
      <c r="H35" s="36">
        <f>INDEX('Team Scores'!AN$4:AN$59, MATCH(A35,'Team Scores'!A$4:A$59, 0))</f>
        <v>62</v>
      </c>
      <c r="I35" s="36">
        <f>INDEX('Team Scores'!AO$4:AO$59, MATCH(A35,'Team Scores'!A$4:A$59, 0))</f>
        <v>62</v>
      </c>
      <c r="J35" s="41">
        <f t="shared" si="0"/>
        <v>0.6</v>
      </c>
      <c r="K35" s="41">
        <f t="shared" si="1"/>
        <v>0.4</v>
      </c>
      <c r="L35" s="41">
        <f t="shared" si="2"/>
        <v>0.16300000000000001</v>
      </c>
      <c r="M35" s="41">
        <f t="shared" si="3"/>
        <v>0.38100000000000001</v>
      </c>
      <c r="N35" s="36">
        <f>INDEX('Team Scores'!AP$4:AP$59, MATCH(A35,'Team Scores'!A$4:A$59, 0))</f>
        <v>1</v>
      </c>
      <c r="O35" s="36">
        <f>INDEX('Team Scores'!AQ$4:AQ$59, MATCH(A35,'Team Scores'!A$4:A$59, 0))</f>
        <v>0</v>
      </c>
      <c r="P35" s="36">
        <f>INDEX('Team Scores'!AR$4:AR$59, MATCH(A35,'Team Scores'!A$4:A$59, 0))</f>
        <v>0</v>
      </c>
      <c r="Q35" s="36">
        <f>INDEX('Team Scores'!AS$4:AS$59, MATCH(A35,'Team Scores'!A$4:A$59, 0))</f>
        <v>1</v>
      </c>
      <c r="R35" s="41">
        <f t="shared" si="4"/>
        <v>0.109</v>
      </c>
      <c r="S35" s="41">
        <f t="shared" si="5"/>
        <v>0</v>
      </c>
      <c r="T35" s="41">
        <f t="shared" si="6"/>
        <v>0</v>
      </c>
      <c r="U35" s="41">
        <f t="shared" si="7"/>
        <v>0.09</v>
      </c>
    </row>
    <row r="36" spans="1:21" ht="16" x14ac:dyDescent="0.2">
      <c r="A36" s="35">
        <v>4122</v>
      </c>
      <c r="B36" s="36">
        <f>INDEX('Team Scores'!P$4:P$59, MATCH(A36,'Team Scores'!A$4:A$59, 0))</f>
        <v>34</v>
      </c>
      <c r="C36" s="36">
        <f>INDEX('Team Scores'!Q$4:Q$59, MATCH(A36,'Team Scores'!A$4:A$59, 0))</f>
        <v>11.333333333333334</v>
      </c>
      <c r="D36" s="36">
        <f>INDEX('Team Scores'!AD$4:AD$59, MATCH(A36,'Team Scores'!A$4:A$59, 0))</f>
        <v>108</v>
      </c>
      <c r="E36" s="36">
        <f>INDEX('Team Scores'!AE$4:AE$59, MATCH(A36,'Team Scores'!A$4:A$59, 0))</f>
        <v>36</v>
      </c>
      <c r="F36" s="36">
        <f>INDEX('Team Scores'!AL$4:AL$59, MATCH(A36,'Team Scores'!A$4:A$59, 0))</f>
        <v>36</v>
      </c>
      <c r="G36" s="36">
        <f>INDEX('Team Scores'!AM$4:AM$59, MATCH(A36,'Team Scores'!A$4:A$59, 0))</f>
        <v>12</v>
      </c>
      <c r="H36" s="36">
        <f>INDEX('Team Scores'!AN$4:AN$59, MATCH(A36,'Team Scores'!A$4:A$59, 0))</f>
        <v>178</v>
      </c>
      <c r="I36" s="36">
        <f>INDEX('Team Scores'!AO$4:AO$59, MATCH(A36,'Team Scores'!A$4:A$59, 0))</f>
        <v>59.333333333333336</v>
      </c>
      <c r="J36" s="41">
        <f t="shared" ref="J36:J59" si="8">PERCENTRANK(B$4:B$59, B36, 3)</f>
        <v>0.81799999999999995</v>
      </c>
      <c r="K36" s="41">
        <f t="shared" ref="K36:K59" si="9">PERCENTRANK(D$4:D$59, D36, 3)</f>
        <v>0.89</v>
      </c>
      <c r="L36" s="41">
        <f t="shared" ref="L36:L59" si="10">PERCENTRANK(F$4:F$59, F36, 3)</f>
        <v>0.90900000000000003</v>
      </c>
      <c r="M36" s="41">
        <f t="shared" ref="M36:M59" si="11">PERCENTRANK(H$4:H$59, H36, 3)</f>
        <v>0.89</v>
      </c>
      <c r="N36" s="36">
        <f>INDEX('Team Scores'!AP$4:AP$59, MATCH(A36,'Team Scores'!A$4:A$59, 0))</f>
        <v>2</v>
      </c>
      <c r="O36" s="36">
        <f>INDEX('Team Scores'!AQ$4:AQ$59, MATCH(A36,'Team Scores'!A$4:A$59, 0))</f>
        <v>0</v>
      </c>
      <c r="P36" s="36">
        <f>INDEX('Team Scores'!AR$4:AR$59, MATCH(A36,'Team Scores'!A$4:A$59, 0))</f>
        <v>2</v>
      </c>
      <c r="Q36" s="36">
        <f>INDEX('Team Scores'!AS$4:AS$59, MATCH(A36,'Team Scores'!A$4:A$59, 0))</f>
        <v>4</v>
      </c>
      <c r="R36" s="41">
        <f t="shared" ref="R36:R59" si="12">PERCENTRANK(N$4:N$59, N36, 3)</f>
        <v>0.436</v>
      </c>
      <c r="S36" s="41">
        <f t="shared" ref="S36:S59" si="13">PERCENTRANK(O$4:O$59, O36, 3)</f>
        <v>0</v>
      </c>
      <c r="T36" s="41">
        <f t="shared" ref="T36:T59" si="14">PERCENTRANK(P$4:P$59, P36, 3)</f>
        <v>0.67200000000000004</v>
      </c>
      <c r="U36" s="41">
        <f t="shared" ref="U36:U59" si="15">PERCENTRANK(Q$4:Q$59, Q36, 3)</f>
        <v>0.58099999999999996</v>
      </c>
    </row>
    <row r="37" spans="1:21" ht="16" x14ac:dyDescent="0.2">
      <c r="A37" s="35">
        <v>4458</v>
      </c>
      <c r="B37" s="36">
        <f>INDEX('Team Scores'!P$4:P$59, MATCH(A37,'Team Scores'!A$4:A$59, 0))</f>
        <v>20</v>
      </c>
      <c r="C37" s="36">
        <f>INDEX('Team Scores'!Q$4:Q$59, MATCH(A37,'Team Scores'!A$4:A$59, 0))</f>
        <v>10</v>
      </c>
      <c r="D37" s="36">
        <f>INDEX('Team Scores'!AD$4:AD$59, MATCH(A37,'Team Scores'!A$4:A$59, 0))</f>
        <v>64</v>
      </c>
      <c r="E37" s="36">
        <f>INDEX('Team Scores'!AE$4:AE$59, MATCH(A37,'Team Scores'!A$4:A$59, 0))</f>
        <v>32</v>
      </c>
      <c r="F37" s="36">
        <f>INDEX('Team Scores'!AL$4:AL$59, MATCH(A37,'Team Scores'!A$4:A$59, 0))</f>
        <v>0</v>
      </c>
      <c r="G37" s="36">
        <f>INDEX('Team Scores'!AM$4:AM$59, MATCH(A37,'Team Scores'!A$4:A$59, 0))</f>
        <v>0</v>
      </c>
      <c r="H37" s="36">
        <f>INDEX('Team Scores'!AN$4:AN$59, MATCH(A37,'Team Scores'!A$4:A$59, 0))</f>
        <v>84</v>
      </c>
      <c r="I37" s="36">
        <f>INDEX('Team Scores'!AO$4:AO$59, MATCH(A37,'Team Scores'!A$4:A$59, 0))</f>
        <v>42</v>
      </c>
      <c r="J37" s="41">
        <f t="shared" si="8"/>
        <v>0.63600000000000001</v>
      </c>
      <c r="K37" s="41">
        <f t="shared" si="9"/>
        <v>0.63600000000000001</v>
      </c>
      <c r="L37" s="41">
        <f t="shared" si="10"/>
        <v>0</v>
      </c>
      <c r="M37" s="41">
        <f t="shared" si="11"/>
        <v>0.58099999999999996</v>
      </c>
      <c r="N37" s="36">
        <f>INDEX('Team Scores'!AP$4:AP$59, MATCH(A37,'Team Scores'!A$4:A$59, 0))</f>
        <v>2</v>
      </c>
      <c r="O37" s="36">
        <f>INDEX('Team Scores'!AQ$4:AQ$59, MATCH(A37,'Team Scores'!A$4:A$59, 0))</f>
        <v>1</v>
      </c>
      <c r="P37" s="36">
        <f>INDEX('Team Scores'!AR$4:AR$59, MATCH(A37,'Team Scores'!A$4:A$59, 0))</f>
        <v>1</v>
      </c>
      <c r="Q37" s="36">
        <f>INDEX('Team Scores'!AS$4:AS$59, MATCH(A37,'Team Scores'!A$4:A$59, 0))</f>
        <v>4</v>
      </c>
      <c r="R37" s="41">
        <f t="shared" si="12"/>
        <v>0.436</v>
      </c>
      <c r="S37" s="41">
        <f t="shared" si="13"/>
        <v>0.56299999999999994</v>
      </c>
      <c r="T37" s="41">
        <f t="shared" si="14"/>
        <v>0.254</v>
      </c>
      <c r="U37" s="41">
        <f t="shared" si="15"/>
        <v>0.58099999999999996</v>
      </c>
    </row>
    <row r="38" spans="1:21" ht="16" x14ac:dyDescent="0.2">
      <c r="A38" s="35">
        <v>4571</v>
      </c>
      <c r="B38" s="36">
        <f>INDEX('Team Scores'!P$4:P$59, MATCH(A38,'Team Scores'!A$4:A$59, 0))</f>
        <v>13</v>
      </c>
      <c r="C38" s="36">
        <f>INDEX('Team Scores'!Q$4:Q$59, MATCH(A38,'Team Scores'!A$4:A$59, 0))</f>
        <v>6.5</v>
      </c>
      <c r="D38" s="36">
        <f>INDEX('Team Scores'!AD$4:AD$59, MATCH(A38,'Team Scores'!A$4:A$59, 0))</f>
        <v>51</v>
      </c>
      <c r="E38" s="36">
        <f>INDEX('Team Scores'!AE$4:AE$59, MATCH(A38,'Team Scores'!A$4:A$59, 0))</f>
        <v>25.5</v>
      </c>
      <c r="F38" s="36">
        <f>INDEX('Team Scores'!AL$4:AL$59, MATCH(A38,'Team Scores'!A$4:A$59, 0))</f>
        <v>2</v>
      </c>
      <c r="G38" s="36">
        <f>INDEX('Team Scores'!AM$4:AM$59, MATCH(A38,'Team Scores'!A$4:A$59, 0))</f>
        <v>1</v>
      </c>
      <c r="H38" s="36">
        <f>INDEX('Team Scores'!AN$4:AN$59, MATCH(A38,'Team Scores'!A$4:A$59, 0))</f>
        <v>66</v>
      </c>
      <c r="I38" s="36">
        <f>INDEX('Team Scores'!AO$4:AO$59, MATCH(A38,'Team Scores'!A$4:A$59, 0))</f>
        <v>33</v>
      </c>
      <c r="J38" s="41">
        <f t="shared" si="8"/>
        <v>0.50900000000000001</v>
      </c>
      <c r="K38" s="41">
        <f t="shared" si="9"/>
        <v>0.47199999999999998</v>
      </c>
      <c r="L38" s="41">
        <f t="shared" si="10"/>
        <v>0.16300000000000001</v>
      </c>
      <c r="M38" s="41">
        <f t="shared" si="11"/>
        <v>0.45400000000000001</v>
      </c>
      <c r="N38" s="36">
        <f>INDEX('Team Scores'!AP$4:AP$59, MATCH(A38,'Team Scores'!A$4:A$59, 0))</f>
        <v>1</v>
      </c>
      <c r="O38" s="36">
        <f>INDEX('Team Scores'!AQ$4:AQ$59, MATCH(A38,'Team Scores'!A$4:A$59, 0))</f>
        <v>1</v>
      </c>
      <c r="P38" s="36">
        <f>INDEX('Team Scores'!AR$4:AR$59, MATCH(A38,'Team Scores'!A$4:A$59, 0))</f>
        <v>0</v>
      </c>
      <c r="Q38" s="36">
        <f>INDEX('Team Scores'!AS$4:AS$59, MATCH(A38,'Team Scores'!A$4:A$59, 0))</f>
        <v>2</v>
      </c>
      <c r="R38" s="41">
        <f t="shared" si="12"/>
        <v>0.109</v>
      </c>
      <c r="S38" s="41">
        <f t="shared" si="13"/>
        <v>0.56299999999999994</v>
      </c>
      <c r="T38" s="41">
        <f t="shared" si="14"/>
        <v>0</v>
      </c>
      <c r="U38" s="41">
        <f t="shared" si="15"/>
        <v>0.2</v>
      </c>
    </row>
    <row r="39" spans="1:21" ht="16" x14ac:dyDescent="0.2">
      <c r="A39" s="35">
        <v>5149</v>
      </c>
      <c r="B39" s="36">
        <f>INDEX('Team Scores'!P$4:P$59, MATCH(A39,'Team Scores'!A$4:A$59, 0))</f>
        <v>3</v>
      </c>
      <c r="C39" s="36">
        <f>INDEX('Team Scores'!Q$4:Q$59, MATCH(A39,'Team Scores'!A$4:A$59, 0))</f>
        <v>1.5</v>
      </c>
      <c r="D39" s="36">
        <f>INDEX('Team Scores'!AD$4:AD$59, MATCH(A39,'Team Scores'!A$4:A$59, 0))</f>
        <v>49</v>
      </c>
      <c r="E39" s="36">
        <f>INDEX('Team Scores'!AE$4:AE$59, MATCH(A39,'Team Scores'!A$4:A$59, 0))</f>
        <v>24.5</v>
      </c>
      <c r="F39" s="36">
        <f>INDEX('Team Scores'!AL$4:AL$59, MATCH(A39,'Team Scores'!A$4:A$59, 0))</f>
        <v>2</v>
      </c>
      <c r="G39" s="36">
        <f>INDEX('Team Scores'!AM$4:AM$59, MATCH(A39,'Team Scores'!A$4:A$59, 0))</f>
        <v>1</v>
      </c>
      <c r="H39" s="36">
        <f>INDEX('Team Scores'!AN$4:AN$59, MATCH(A39,'Team Scores'!A$4:A$59, 0))</f>
        <v>54</v>
      </c>
      <c r="I39" s="36">
        <f>INDEX('Team Scores'!AO$4:AO$59, MATCH(A39,'Team Scores'!A$4:A$59, 0))</f>
        <v>27</v>
      </c>
      <c r="J39" s="41">
        <f t="shared" si="8"/>
        <v>7.1999999999999995E-2</v>
      </c>
      <c r="K39" s="41">
        <f t="shared" si="9"/>
        <v>0.45400000000000001</v>
      </c>
      <c r="L39" s="41">
        <f t="shared" si="10"/>
        <v>0.16300000000000001</v>
      </c>
      <c r="M39" s="41">
        <f t="shared" si="11"/>
        <v>0.32700000000000001</v>
      </c>
      <c r="N39" s="36">
        <f>INDEX('Team Scores'!AP$4:AP$59, MATCH(A39,'Team Scores'!A$4:A$59, 0))</f>
        <v>1</v>
      </c>
      <c r="O39" s="36">
        <f>INDEX('Team Scores'!AQ$4:AQ$59, MATCH(A39,'Team Scores'!A$4:A$59, 0))</f>
        <v>1</v>
      </c>
      <c r="P39" s="36">
        <f>INDEX('Team Scores'!AR$4:AR$59, MATCH(A39,'Team Scores'!A$4:A$59, 0))</f>
        <v>1</v>
      </c>
      <c r="Q39" s="36">
        <f>INDEX('Team Scores'!AS$4:AS$59, MATCH(A39,'Team Scores'!A$4:A$59, 0))</f>
        <v>3</v>
      </c>
      <c r="R39" s="41">
        <f t="shared" si="12"/>
        <v>0.109</v>
      </c>
      <c r="S39" s="41">
        <f t="shared" si="13"/>
        <v>0.56299999999999994</v>
      </c>
      <c r="T39" s="41">
        <f t="shared" si="14"/>
        <v>0.254</v>
      </c>
      <c r="U39" s="41">
        <f t="shared" si="15"/>
        <v>0.36299999999999999</v>
      </c>
    </row>
    <row r="40" spans="1:21" ht="16" x14ac:dyDescent="0.2">
      <c r="A40" s="35">
        <v>5528</v>
      </c>
      <c r="B40" s="36">
        <f>INDEX('Team Scores'!P$4:P$59, MATCH(A40,'Team Scores'!A$4:A$59, 0))</f>
        <v>33</v>
      </c>
      <c r="C40" s="36">
        <f>INDEX('Team Scores'!Q$4:Q$59, MATCH(A40,'Team Scores'!A$4:A$59, 0))</f>
        <v>11</v>
      </c>
      <c r="D40" s="36">
        <f>INDEX('Team Scores'!AD$4:AD$59, MATCH(A40,'Team Scores'!A$4:A$59, 0))</f>
        <v>114</v>
      </c>
      <c r="E40" s="36">
        <f>INDEX('Team Scores'!AE$4:AE$59, MATCH(A40,'Team Scores'!A$4:A$59, 0))</f>
        <v>38</v>
      </c>
      <c r="F40" s="36">
        <f>INDEX('Team Scores'!AL$4:AL$59, MATCH(A40,'Team Scores'!A$4:A$59, 0))</f>
        <v>14</v>
      </c>
      <c r="G40" s="36">
        <f>INDEX('Team Scores'!AM$4:AM$59, MATCH(A40,'Team Scores'!A$4:A$59, 0))</f>
        <v>4.666666666666667</v>
      </c>
      <c r="H40" s="36">
        <f>INDEX('Team Scores'!AN$4:AN$59, MATCH(A40,'Team Scores'!A$4:A$59, 0))</f>
        <v>161</v>
      </c>
      <c r="I40" s="36">
        <f>INDEX('Team Scores'!AO$4:AO$59, MATCH(A40,'Team Scores'!A$4:A$59, 0))</f>
        <v>53.666666666666664</v>
      </c>
      <c r="J40" s="41">
        <f t="shared" si="8"/>
        <v>0.8</v>
      </c>
      <c r="K40" s="41">
        <f t="shared" si="9"/>
        <v>0.90900000000000003</v>
      </c>
      <c r="L40" s="41">
        <f t="shared" si="10"/>
        <v>0.70899999999999996</v>
      </c>
      <c r="M40" s="41">
        <f t="shared" si="11"/>
        <v>0.83599999999999997</v>
      </c>
      <c r="N40" s="36">
        <f>INDEX('Team Scores'!AP$4:AP$59, MATCH(A40,'Team Scores'!A$4:A$59, 0))</f>
        <v>3</v>
      </c>
      <c r="O40" s="36">
        <f>INDEX('Team Scores'!AQ$4:AQ$59, MATCH(A40,'Team Scores'!A$4:A$59, 0))</f>
        <v>0</v>
      </c>
      <c r="P40" s="36">
        <f>INDEX('Team Scores'!AR$4:AR$59, MATCH(A40,'Team Scores'!A$4:A$59, 0))</f>
        <v>2</v>
      </c>
      <c r="Q40" s="36">
        <f>INDEX('Team Scores'!AS$4:AS$59, MATCH(A40,'Team Scores'!A$4:A$59, 0))</f>
        <v>5</v>
      </c>
      <c r="R40" s="41">
        <f t="shared" si="12"/>
        <v>0.78100000000000003</v>
      </c>
      <c r="S40" s="41">
        <f t="shared" si="13"/>
        <v>0</v>
      </c>
      <c r="T40" s="41">
        <f t="shared" si="14"/>
        <v>0.67200000000000004</v>
      </c>
      <c r="U40" s="41">
        <f t="shared" si="15"/>
        <v>0.67200000000000004</v>
      </c>
    </row>
    <row r="41" spans="1:21" ht="16" x14ac:dyDescent="0.2">
      <c r="A41" s="35">
        <v>5881</v>
      </c>
      <c r="B41" s="36">
        <f>INDEX('Team Scores'!P$4:P$59, MATCH(A41,'Team Scores'!A$4:A$59, 0))</f>
        <v>12</v>
      </c>
      <c r="C41" s="36">
        <f>INDEX('Team Scores'!Q$4:Q$59, MATCH(A41,'Team Scores'!A$4:A$59, 0))</f>
        <v>2.4</v>
      </c>
      <c r="D41" s="36">
        <f>INDEX('Team Scores'!AD$4:AD$59, MATCH(A41,'Team Scores'!A$4:A$59, 0))</f>
        <v>45</v>
      </c>
      <c r="E41" s="36">
        <f>INDEX('Team Scores'!AE$4:AE$59, MATCH(A41,'Team Scores'!A$4:A$59, 0))</f>
        <v>9</v>
      </c>
      <c r="F41" s="36">
        <f>INDEX('Team Scores'!AL$4:AL$59, MATCH(A41,'Team Scores'!A$4:A$59, 0))</f>
        <v>6</v>
      </c>
      <c r="G41" s="36">
        <f>INDEX('Team Scores'!AM$4:AM$59, MATCH(A41,'Team Scores'!A$4:A$59, 0))</f>
        <v>1.2</v>
      </c>
      <c r="H41" s="36">
        <f>INDEX('Team Scores'!AN$4:AN$59, MATCH(A41,'Team Scores'!A$4:A$59, 0))</f>
        <v>63</v>
      </c>
      <c r="I41" s="36">
        <f>INDEX('Team Scores'!AO$4:AO$59, MATCH(A41,'Team Scores'!A$4:A$59, 0))</f>
        <v>12.6</v>
      </c>
      <c r="J41" s="41">
        <f t="shared" si="8"/>
        <v>0.47199999999999998</v>
      </c>
      <c r="K41" s="41">
        <f t="shared" si="9"/>
        <v>0.436</v>
      </c>
      <c r="L41" s="41">
        <f t="shared" si="10"/>
        <v>0.52700000000000002</v>
      </c>
      <c r="M41" s="41">
        <f t="shared" si="11"/>
        <v>0.4</v>
      </c>
      <c r="N41" s="36">
        <f>INDEX('Team Scores'!AP$4:AP$59, MATCH(A41,'Team Scores'!A$4:A$59, 0))</f>
        <v>3</v>
      </c>
      <c r="O41" s="36">
        <f>INDEX('Team Scores'!AQ$4:AQ$59, MATCH(A41,'Team Scores'!A$4:A$59, 0))</f>
        <v>1</v>
      </c>
      <c r="P41" s="36">
        <f>INDEX('Team Scores'!AR$4:AR$59, MATCH(A41,'Team Scores'!A$4:A$59, 0))</f>
        <v>2</v>
      </c>
      <c r="Q41" s="36">
        <f>INDEX('Team Scores'!AS$4:AS$59, MATCH(A41,'Team Scores'!A$4:A$59, 0))</f>
        <v>6</v>
      </c>
      <c r="R41" s="41">
        <f t="shared" si="12"/>
        <v>0.78100000000000003</v>
      </c>
      <c r="S41" s="41">
        <f t="shared" si="13"/>
        <v>0.56299999999999994</v>
      </c>
      <c r="T41" s="41">
        <f t="shared" si="14"/>
        <v>0.67200000000000004</v>
      </c>
      <c r="U41" s="41">
        <f t="shared" si="15"/>
        <v>0.78100000000000003</v>
      </c>
    </row>
    <row r="42" spans="1:21" ht="16" x14ac:dyDescent="0.2">
      <c r="A42" s="35">
        <v>6300</v>
      </c>
      <c r="B42" s="36">
        <f>INDEX('Team Scores'!P$4:P$59, MATCH(A42,'Team Scores'!A$4:A$59, 0))</f>
        <v>6</v>
      </c>
      <c r="C42" s="36">
        <f>INDEX('Team Scores'!Q$4:Q$59, MATCH(A42,'Team Scores'!A$4:A$59, 0))</f>
        <v>1.5</v>
      </c>
      <c r="D42" s="36">
        <f>INDEX('Team Scores'!AD$4:AD$59, MATCH(A42,'Team Scores'!A$4:A$59, 0))</f>
        <v>43</v>
      </c>
      <c r="E42" s="36">
        <f>INDEX('Team Scores'!AE$4:AE$59, MATCH(A42,'Team Scores'!A$4:A$59, 0))</f>
        <v>10.75</v>
      </c>
      <c r="F42" s="36">
        <f>INDEX('Team Scores'!AL$4:AL$59, MATCH(A42,'Team Scores'!A$4:A$59, 0))</f>
        <v>16</v>
      </c>
      <c r="G42" s="36">
        <f>INDEX('Team Scores'!AM$4:AM$59, MATCH(A42,'Team Scores'!A$4:A$59, 0))</f>
        <v>4</v>
      </c>
      <c r="H42" s="36">
        <f>INDEX('Team Scores'!AN$4:AN$59, MATCH(A42,'Team Scores'!A$4:A$59, 0))</f>
        <v>65</v>
      </c>
      <c r="I42" s="36">
        <f>INDEX('Team Scores'!AO$4:AO$59, MATCH(A42,'Team Scores'!A$4:A$59, 0))</f>
        <v>16.25</v>
      </c>
      <c r="J42" s="41">
        <f t="shared" si="8"/>
        <v>0.127</v>
      </c>
      <c r="K42" s="41">
        <f t="shared" si="9"/>
        <v>0.4</v>
      </c>
      <c r="L42" s="41">
        <f t="shared" si="10"/>
        <v>0.8</v>
      </c>
      <c r="M42" s="41">
        <f t="shared" si="11"/>
        <v>0.436</v>
      </c>
      <c r="N42" s="36">
        <f>INDEX('Team Scores'!AP$4:AP$59, MATCH(A42,'Team Scores'!A$4:A$59, 0))</f>
        <v>2</v>
      </c>
      <c r="O42" s="36">
        <f>INDEX('Team Scores'!AQ$4:AQ$59, MATCH(A42,'Team Scores'!A$4:A$59, 0))</f>
        <v>0</v>
      </c>
      <c r="P42" s="36">
        <f>INDEX('Team Scores'!AR$4:AR$59, MATCH(A42,'Team Scores'!A$4:A$59, 0))</f>
        <v>2</v>
      </c>
      <c r="Q42" s="36">
        <f>INDEX('Team Scores'!AS$4:AS$59, MATCH(A42,'Team Scores'!A$4:A$59, 0))</f>
        <v>4</v>
      </c>
      <c r="R42" s="41">
        <f t="shared" si="12"/>
        <v>0.436</v>
      </c>
      <c r="S42" s="41">
        <f t="shared" si="13"/>
        <v>0</v>
      </c>
      <c r="T42" s="41">
        <f t="shared" si="14"/>
        <v>0.67200000000000004</v>
      </c>
      <c r="U42" s="41">
        <f t="shared" si="15"/>
        <v>0.58099999999999996</v>
      </c>
    </row>
    <row r="43" spans="1:21" ht="16" x14ac:dyDescent="0.2">
      <c r="A43" s="35">
        <v>6401</v>
      </c>
      <c r="B43" s="36">
        <f>INDEX('Team Scores'!P$4:P$59, MATCH(A43,'Team Scores'!A$4:A$59, 0))</f>
        <v>10</v>
      </c>
      <c r="C43" s="36">
        <f>INDEX('Team Scores'!Q$4:Q$59, MATCH(A43,'Team Scores'!A$4:A$59, 0))</f>
        <v>3.3333333333333335</v>
      </c>
      <c r="D43" s="36">
        <f>INDEX('Team Scores'!AD$4:AD$59, MATCH(A43,'Team Scores'!A$4:A$59, 0))</f>
        <v>55</v>
      </c>
      <c r="E43" s="36">
        <f>INDEX('Team Scores'!AE$4:AE$59, MATCH(A43,'Team Scores'!A$4:A$59, 0))</f>
        <v>18.333333333333332</v>
      </c>
      <c r="F43" s="36">
        <f>INDEX('Team Scores'!AL$4:AL$59, MATCH(A43,'Team Scores'!A$4:A$59, 0))</f>
        <v>2</v>
      </c>
      <c r="G43" s="36">
        <f>INDEX('Team Scores'!AM$4:AM$59, MATCH(A43,'Team Scores'!A$4:A$59, 0))</f>
        <v>0.66666666666666663</v>
      </c>
      <c r="H43" s="36">
        <f>INDEX('Team Scores'!AN$4:AN$59, MATCH(A43,'Team Scores'!A$4:A$59, 0))</f>
        <v>67</v>
      </c>
      <c r="I43" s="36">
        <f>INDEX('Team Scores'!AO$4:AO$59, MATCH(A43,'Team Scores'!A$4:A$59, 0))</f>
        <v>22.333333333333332</v>
      </c>
      <c r="J43" s="41">
        <f t="shared" si="8"/>
        <v>0.4</v>
      </c>
      <c r="K43" s="41">
        <f t="shared" si="9"/>
        <v>0.52700000000000002</v>
      </c>
      <c r="L43" s="41">
        <f t="shared" si="10"/>
        <v>0.16300000000000001</v>
      </c>
      <c r="M43" s="41">
        <f t="shared" si="11"/>
        <v>0.47199999999999998</v>
      </c>
      <c r="N43" s="36">
        <f>INDEX('Team Scores'!AP$4:AP$59, MATCH(A43,'Team Scores'!A$4:A$59, 0))</f>
        <v>3</v>
      </c>
      <c r="O43" s="36">
        <f>INDEX('Team Scores'!AQ$4:AQ$59, MATCH(A43,'Team Scores'!A$4:A$59, 0))</f>
        <v>1</v>
      </c>
      <c r="P43" s="36">
        <f>INDEX('Team Scores'!AR$4:AR$59, MATCH(A43,'Team Scores'!A$4:A$59, 0))</f>
        <v>1</v>
      </c>
      <c r="Q43" s="36">
        <f>INDEX('Team Scores'!AS$4:AS$59, MATCH(A43,'Team Scores'!A$4:A$59, 0))</f>
        <v>5</v>
      </c>
      <c r="R43" s="41">
        <f t="shared" si="12"/>
        <v>0.78100000000000003</v>
      </c>
      <c r="S43" s="41">
        <f t="shared" si="13"/>
        <v>0.56299999999999994</v>
      </c>
      <c r="T43" s="41">
        <f t="shared" si="14"/>
        <v>0.254</v>
      </c>
      <c r="U43" s="41">
        <f t="shared" si="15"/>
        <v>0.67200000000000004</v>
      </c>
    </row>
    <row r="44" spans="1:21" ht="16" x14ac:dyDescent="0.2">
      <c r="A44" s="35">
        <v>6463</v>
      </c>
      <c r="B44" s="36">
        <f>INDEX('Team Scores'!P$4:P$59, MATCH(A44,'Team Scores'!A$4:A$59, 0))</f>
        <v>6</v>
      </c>
      <c r="C44" s="36">
        <f>INDEX('Team Scores'!Q$4:Q$59, MATCH(A44,'Team Scores'!A$4:A$59, 0))</f>
        <v>1.5</v>
      </c>
      <c r="D44" s="36">
        <f>INDEX('Team Scores'!AD$4:AD$59, MATCH(A44,'Team Scores'!A$4:A$59, 0))</f>
        <v>57</v>
      </c>
      <c r="E44" s="36">
        <f>INDEX('Team Scores'!AE$4:AE$59, MATCH(A44,'Team Scores'!A$4:A$59, 0))</f>
        <v>14.25</v>
      </c>
      <c r="F44" s="36">
        <f>INDEX('Team Scores'!AL$4:AL$59, MATCH(A44,'Team Scores'!A$4:A$59, 0))</f>
        <v>0</v>
      </c>
      <c r="G44" s="36">
        <f>INDEX('Team Scores'!AM$4:AM$59, MATCH(A44,'Team Scores'!A$4:A$59, 0))</f>
        <v>0</v>
      </c>
      <c r="H44" s="36">
        <f>INDEX('Team Scores'!AN$4:AN$59, MATCH(A44,'Team Scores'!A$4:A$59, 0))</f>
        <v>63</v>
      </c>
      <c r="I44" s="36">
        <f>INDEX('Team Scores'!AO$4:AO$59, MATCH(A44,'Team Scores'!A$4:A$59, 0))</f>
        <v>15.75</v>
      </c>
      <c r="J44" s="41">
        <f t="shared" si="8"/>
        <v>0.127</v>
      </c>
      <c r="K44" s="41">
        <f t="shared" si="9"/>
        <v>0.56299999999999994</v>
      </c>
      <c r="L44" s="41">
        <f t="shared" si="10"/>
        <v>0</v>
      </c>
      <c r="M44" s="41">
        <f t="shared" si="11"/>
        <v>0.4</v>
      </c>
      <c r="N44" s="36">
        <f>INDEX('Team Scores'!AP$4:AP$59, MATCH(A44,'Team Scores'!A$4:A$59, 0))</f>
        <v>1</v>
      </c>
      <c r="O44" s="36">
        <f>INDEX('Team Scores'!AQ$4:AQ$59, MATCH(A44,'Team Scores'!A$4:A$59, 0))</f>
        <v>0</v>
      </c>
      <c r="P44" s="36">
        <f>INDEX('Team Scores'!AR$4:AR$59, MATCH(A44,'Team Scores'!A$4:A$59, 0))</f>
        <v>1</v>
      </c>
      <c r="Q44" s="36">
        <f>INDEX('Team Scores'!AS$4:AS$59, MATCH(A44,'Team Scores'!A$4:A$59, 0))</f>
        <v>2</v>
      </c>
      <c r="R44" s="41">
        <f t="shared" si="12"/>
        <v>0.109</v>
      </c>
      <c r="S44" s="41">
        <f t="shared" si="13"/>
        <v>0</v>
      </c>
      <c r="T44" s="41">
        <f t="shared" si="14"/>
        <v>0.254</v>
      </c>
      <c r="U44" s="41">
        <f t="shared" si="15"/>
        <v>0.2</v>
      </c>
    </row>
    <row r="45" spans="1:21" ht="16" x14ac:dyDescent="0.2">
      <c r="A45" s="35">
        <v>6621</v>
      </c>
      <c r="B45" s="36">
        <f>INDEX('Team Scores'!P$4:P$59, MATCH(A45,'Team Scores'!A$4:A$59, 0))</f>
        <v>47</v>
      </c>
      <c r="C45" s="36">
        <f>INDEX('Team Scores'!Q$4:Q$59, MATCH(A45,'Team Scores'!A$4:A$59, 0))</f>
        <v>11.75</v>
      </c>
      <c r="D45" s="36">
        <f>INDEX('Team Scores'!AD$4:AD$59, MATCH(A45,'Team Scores'!A$4:A$59, 0))</f>
        <v>176</v>
      </c>
      <c r="E45" s="36">
        <f>INDEX('Team Scores'!AE$4:AE$59, MATCH(A45,'Team Scores'!A$4:A$59, 0))</f>
        <v>44</v>
      </c>
      <c r="F45" s="36">
        <f>INDEX('Team Scores'!AL$4:AL$59, MATCH(A45,'Team Scores'!A$4:A$59, 0))</f>
        <v>38</v>
      </c>
      <c r="G45" s="36">
        <f>INDEX('Team Scores'!AM$4:AM$59, MATCH(A45,'Team Scores'!A$4:A$59, 0))</f>
        <v>9.5</v>
      </c>
      <c r="H45" s="36">
        <f>INDEX('Team Scores'!AN$4:AN$59, MATCH(A45,'Team Scores'!A$4:A$59, 0))</f>
        <v>261</v>
      </c>
      <c r="I45" s="36">
        <f>INDEX('Team Scores'!AO$4:AO$59, MATCH(A45,'Team Scores'!A$4:A$59, 0))</f>
        <v>65.25</v>
      </c>
      <c r="J45" s="41">
        <f t="shared" si="8"/>
        <v>0.90900000000000003</v>
      </c>
      <c r="K45" s="41">
        <f t="shared" si="9"/>
        <v>0.98099999999999998</v>
      </c>
      <c r="L45" s="41">
        <f t="shared" si="10"/>
        <v>0.94499999999999995</v>
      </c>
      <c r="M45" s="41">
        <f t="shared" si="11"/>
        <v>0.96299999999999997</v>
      </c>
      <c r="N45" s="36">
        <f>INDEX('Team Scores'!AP$4:AP$59, MATCH(A45,'Team Scores'!A$4:A$59, 0))</f>
        <v>4</v>
      </c>
      <c r="O45" s="36">
        <f>INDEX('Team Scores'!AQ$4:AQ$59, MATCH(A45,'Team Scores'!A$4:A$59, 0))</f>
        <v>2</v>
      </c>
      <c r="P45" s="36">
        <f>INDEX('Team Scores'!AR$4:AR$59, MATCH(A45,'Team Scores'!A$4:A$59, 0))</f>
        <v>4</v>
      </c>
      <c r="Q45" s="36">
        <f>INDEX('Team Scores'!AS$4:AS$59, MATCH(A45,'Team Scores'!A$4:A$59, 0))</f>
        <v>10</v>
      </c>
      <c r="R45" s="41">
        <f t="shared" si="12"/>
        <v>0.92700000000000005</v>
      </c>
      <c r="S45" s="41">
        <f t="shared" si="13"/>
        <v>0.872</v>
      </c>
      <c r="T45" s="41">
        <f t="shared" si="14"/>
        <v>0.98099999999999998</v>
      </c>
      <c r="U45" s="41">
        <f t="shared" si="15"/>
        <v>0.96299999999999997</v>
      </c>
    </row>
    <row r="46" spans="1:21" ht="16" x14ac:dyDescent="0.2">
      <c r="A46" s="35">
        <v>6648</v>
      </c>
      <c r="B46" s="36">
        <f>INDEX('Team Scores'!P$4:P$59, MATCH(A46,'Team Scores'!A$4:A$59, 0))</f>
        <v>6</v>
      </c>
      <c r="C46" s="36">
        <f>INDEX('Team Scores'!Q$4:Q$59, MATCH(A46,'Team Scores'!A$4:A$59, 0))</f>
        <v>3</v>
      </c>
      <c r="D46" s="36">
        <f>INDEX('Team Scores'!AD$4:AD$59, MATCH(A46,'Team Scores'!A$4:A$59, 0))</f>
        <v>12</v>
      </c>
      <c r="E46" s="36">
        <f>INDEX('Team Scores'!AE$4:AE$59, MATCH(A46,'Team Scores'!A$4:A$59, 0))</f>
        <v>6</v>
      </c>
      <c r="F46" s="36">
        <f>INDEX('Team Scores'!AL$4:AL$59, MATCH(A46,'Team Scores'!A$4:A$59, 0))</f>
        <v>2</v>
      </c>
      <c r="G46" s="36">
        <f>INDEX('Team Scores'!AM$4:AM$59, MATCH(A46,'Team Scores'!A$4:A$59, 0))</f>
        <v>1</v>
      </c>
      <c r="H46" s="36">
        <f>INDEX('Team Scores'!AN$4:AN$59, MATCH(A46,'Team Scores'!A$4:A$59, 0))</f>
        <v>20</v>
      </c>
      <c r="I46" s="36">
        <f>INDEX('Team Scores'!AO$4:AO$59, MATCH(A46,'Team Scores'!A$4:A$59, 0))</f>
        <v>10</v>
      </c>
      <c r="J46" s="41">
        <f t="shared" si="8"/>
        <v>0.127</v>
      </c>
      <c r="K46" s="41">
        <f t="shared" si="9"/>
        <v>7.1999999999999995E-2</v>
      </c>
      <c r="L46" s="41">
        <f t="shared" si="10"/>
        <v>0.16300000000000001</v>
      </c>
      <c r="M46" s="41">
        <f t="shared" si="11"/>
        <v>7.1999999999999995E-2</v>
      </c>
      <c r="N46" s="36">
        <f>INDEX('Team Scores'!AP$4:AP$59, MATCH(A46,'Team Scores'!A$4:A$59, 0))</f>
        <v>2</v>
      </c>
      <c r="O46" s="36">
        <f>INDEX('Team Scores'!AQ$4:AQ$59, MATCH(A46,'Team Scores'!A$4:A$59, 0))</f>
        <v>0</v>
      </c>
      <c r="P46" s="36">
        <f>INDEX('Team Scores'!AR$4:AR$59, MATCH(A46,'Team Scores'!A$4:A$59, 0))</f>
        <v>1</v>
      </c>
      <c r="Q46" s="36">
        <f>INDEX('Team Scores'!AS$4:AS$59, MATCH(A46,'Team Scores'!A$4:A$59, 0))</f>
        <v>3</v>
      </c>
      <c r="R46" s="41">
        <f t="shared" si="12"/>
        <v>0.436</v>
      </c>
      <c r="S46" s="41">
        <f t="shared" si="13"/>
        <v>0</v>
      </c>
      <c r="T46" s="41">
        <f t="shared" si="14"/>
        <v>0.254</v>
      </c>
      <c r="U46" s="41">
        <f t="shared" si="15"/>
        <v>0.36299999999999999</v>
      </c>
    </row>
    <row r="47" spans="1:21" ht="16" x14ac:dyDescent="0.2">
      <c r="A47" s="35">
        <v>6806</v>
      </c>
      <c r="B47" s="36">
        <f>INDEX('Team Scores'!P$4:P$59, MATCH(A47,'Team Scores'!A$4:A$59, 0))</f>
        <v>6</v>
      </c>
      <c r="C47" s="36">
        <f>INDEX('Team Scores'!Q$4:Q$59, MATCH(A47,'Team Scores'!A$4:A$59, 0))</f>
        <v>3</v>
      </c>
      <c r="D47" s="36">
        <f>INDEX('Team Scores'!AD$4:AD$59, MATCH(A47,'Team Scores'!A$4:A$59, 0))</f>
        <v>36</v>
      </c>
      <c r="E47" s="36">
        <f>INDEX('Team Scores'!AE$4:AE$59, MATCH(A47,'Team Scores'!A$4:A$59, 0))</f>
        <v>18</v>
      </c>
      <c r="F47" s="36">
        <f>INDEX('Team Scores'!AL$4:AL$59, MATCH(A47,'Team Scores'!A$4:A$59, 0))</f>
        <v>2</v>
      </c>
      <c r="G47" s="36">
        <f>INDEX('Team Scores'!AM$4:AM$59, MATCH(A47,'Team Scores'!A$4:A$59, 0))</f>
        <v>1</v>
      </c>
      <c r="H47" s="36">
        <f>INDEX('Team Scores'!AN$4:AN$59, MATCH(A47,'Team Scores'!A$4:A$59, 0))</f>
        <v>44</v>
      </c>
      <c r="I47" s="36">
        <f>INDEX('Team Scores'!AO$4:AO$59, MATCH(A47,'Team Scores'!A$4:A$59, 0))</f>
        <v>22</v>
      </c>
      <c r="J47" s="41">
        <f t="shared" si="8"/>
        <v>0.127</v>
      </c>
      <c r="K47" s="41">
        <f t="shared" si="9"/>
        <v>0.34499999999999997</v>
      </c>
      <c r="L47" s="41">
        <f t="shared" si="10"/>
        <v>0.16300000000000001</v>
      </c>
      <c r="M47" s="41">
        <f t="shared" si="11"/>
        <v>0.23599999999999999</v>
      </c>
      <c r="N47" s="36">
        <f>INDEX('Team Scores'!AP$4:AP$59, MATCH(A47,'Team Scores'!A$4:A$59, 0))</f>
        <v>1</v>
      </c>
      <c r="O47" s="36">
        <f>INDEX('Team Scores'!AQ$4:AQ$59, MATCH(A47,'Team Scores'!A$4:A$59, 0))</f>
        <v>0</v>
      </c>
      <c r="P47" s="36">
        <f>INDEX('Team Scores'!AR$4:AR$59, MATCH(A47,'Team Scores'!A$4:A$59, 0))</f>
        <v>2</v>
      </c>
      <c r="Q47" s="36">
        <f>INDEX('Team Scores'!AS$4:AS$59, MATCH(A47,'Team Scores'!A$4:A$59, 0))</f>
        <v>3</v>
      </c>
      <c r="R47" s="41">
        <f t="shared" si="12"/>
        <v>0.109</v>
      </c>
      <c r="S47" s="41">
        <f t="shared" si="13"/>
        <v>0</v>
      </c>
      <c r="T47" s="41">
        <f t="shared" si="14"/>
        <v>0.67200000000000004</v>
      </c>
      <c r="U47" s="41">
        <f t="shared" si="15"/>
        <v>0.36299999999999999</v>
      </c>
    </row>
    <row r="48" spans="1:21" ht="16" x14ac:dyDescent="0.2">
      <c r="A48" s="35">
        <v>6911</v>
      </c>
      <c r="B48" s="36">
        <f>INDEX('Team Scores'!P$4:P$59, MATCH(A48,'Team Scores'!A$4:A$59, 0))</f>
        <v>3</v>
      </c>
      <c r="C48" s="36">
        <f>INDEX('Team Scores'!Q$4:Q$59, MATCH(A48,'Team Scores'!A$4:A$59, 0))</f>
        <v>0.75</v>
      </c>
      <c r="D48" s="36">
        <f>INDEX('Team Scores'!AD$4:AD$59, MATCH(A48,'Team Scores'!A$4:A$59, 0))</f>
        <v>92</v>
      </c>
      <c r="E48" s="36">
        <f>INDEX('Team Scores'!AE$4:AE$59, MATCH(A48,'Team Scores'!A$4:A$59, 0))</f>
        <v>23</v>
      </c>
      <c r="F48" s="36">
        <f>INDEX('Team Scores'!AL$4:AL$59, MATCH(A48,'Team Scores'!A$4:A$59, 0))</f>
        <v>14</v>
      </c>
      <c r="G48" s="36">
        <f>INDEX('Team Scores'!AM$4:AM$59, MATCH(A48,'Team Scores'!A$4:A$59, 0))</f>
        <v>3.5</v>
      </c>
      <c r="H48" s="36">
        <f>INDEX('Team Scores'!AN$4:AN$59, MATCH(A48,'Team Scores'!A$4:A$59, 0))</f>
        <v>109</v>
      </c>
      <c r="I48" s="36">
        <f>INDEX('Team Scores'!AO$4:AO$59, MATCH(A48,'Team Scores'!A$4:A$59, 0))</f>
        <v>27.25</v>
      </c>
      <c r="J48" s="41">
        <f t="shared" si="8"/>
        <v>7.1999999999999995E-2</v>
      </c>
      <c r="K48" s="41">
        <f t="shared" si="9"/>
        <v>0.78100000000000003</v>
      </c>
      <c r="L48" s="41">
        <f t="shared" si="10"/>
        <v>0.70899999999999996</v>
      </c>
      <c r="M48" s="41">
        <f t="shared" si="11"/>
        <v>0.67200000000000004</v>
      </c>
      <c r="N48" s="36">
        <f>INDEX('Team Scores'!AP$4:AP$59, MATCH(A48,'Team Scores'!A$4:A$59, 0))</f>
        <v>2</v>
      </c>
      <c r="O48" s="36">
        <f>INDEX('Team Scores'!AQ$4:AQ$59, MATCH(A48,'Team Scores'!A$4:A$59, 0))</f>
        <v>2</v>
      </c>
      <c r="P48" s="36">
        <f>INDEX('Team Scores'!AR$4:AR$59, MATCH(A48,'Team Scores'!A$4:A$59, 0))</f>
        <v>2</v>
      </c>
      <c r="Q48" s="36">
        <f>INDEX('Team Scores'!AS$4:AS$59, MATCH(A48,'Team Scores'!A$4:A$59, 0))</f>
        <v>6</v>
      </c>
      <c r="R48" s="41">
        <f t="shared" si="12"/>
        <v>0.436</v>
      </c>
      <c r="S48" s="41">
        <f t="shared" si="13"/>
        <v>0.872</v>
      </c>
      <c r="T48" s="41">
        <f t="shared" si="14"/>
        <v>0.67200000000000004</v>
      </c>
      <c r="U48" s="41">
        <f t="shared" si="15"/>
        <v>0.78100000000000003</v>
      </c>
    </row>
    <row r="49" spans="1:21" ht="16" x14ac:dyDescent="0.2">
      <c r="A49" s="35">
        <v>7030</v>
      </c>
      <c r="B49" s="36">
        <f>INDEX('Team Scores'!P$4:P$59, MATCH(A49,'Team Scores'!A$4:A$59, 0))</f>
        <v>12</v>
      </c>
      <c r="C49" s="36">
        <f>INDEX('Team Scores'!Q$4:Q$59, MATCH(A49,'Team Scores'!A$4:A$59, 0))</f>
        <v>4</v>
      </c>
      <c r="D49" s="36">
        <f>INDEX('Team Scores'!AD$4:AD$59, MATCH(A49,'Team Scores'!A$4:A$59, 0))</f>
        <v>2</v>
      </c>
      <c r="E49" s="36">
        <f>INDEX('Team Scores'!AE$4:AE$59, MATCH(A49,'Team Scores'!A$4:A$59, 0))</f>
        <v>0.66666666666666663</v>
      </c>
      <c r="F49" s="36">
        <f>INDEX('Team Scores'!AL$4:AL$59, MATCH(A49,'Team Scores'!A$4:A$59, 0))</f>
        <v>6</v>
      </c>
      <c r="G49" s="36">
        <f>INDEX('Team Scores'!AM$4:AM$59, MATCH(A49,'Team Scores'!A$4:A$59, 0))</f>
        <v>2</v>
      </c>
      <c r="H49" s="36">
        <f>INDEX('Team Scores'!AN$4:AN$59, MATCH(A49,'Team Scores'!A$4:A$59, 0))</f>
        <v>20</v>
      </c>
      <c r="I49" s="36">
        <f>INDEX('Team Scores'!AO$4:AO$59, MATCH(A49,'Team Scores'!A$4:A$59, 0))</f>
        <v>6.666666666666667</v>
      </c>
      <c r="J49" s="41">
        <f t="shared" si="8"/>
        <v>0.47199999999999998</v>
      </c>
      <c r="K49" s="41">
        <f t="shared" si="9"/>
        <v>1.7999999999999999E-2</v>
      </c>
      <c r="L49" s="41">
        <f t="shared" si="10"/>
        <v>0.52700000000000002</v>
      </c>
      <c r="M49" s="41">
        <f t="shared" si="11"/>
        <v>7.1999999999999995E-2</v>
      </c>
      <c r="N49" s="36">
        <f>INDEX('Team Scores'!AP$4:AP$59, MATCH(A49,'Team Scores'!A$4:A$59, 0))</f>
        <v>3</v>
      </c>
      <c r="O49" s="36">
        <f>INDEX('Team Scores'!AQ$4:AQ$59, MATCH(A49,'Team Scores'!A$4:A$59, 0))</f>
        <v>1</v>
      </c>
      <c r="P49" s="36">
        <f>INDEX('Team Scores'!AR$4:AR$59, MATCH(A49,'Team Scores'!A$4:A$59, 0))</f>
        <v>1</v>
      </c>
      <c r="Q49" s="36">
        <f>INDEX('Team Scores'!AS$4:AS$59, MATCH(A49,'Team Scores'!A$4:A$59, 0))</f>
        <v>5</v>
      </c>
      <c r="R49" s="41">
        <f t="shared" si="12"/>
        <v>0.78100000000000003</v>
      </c>
      <c r="S49" s="41">
        <f t="shared" si="13"/>
        <v>0.56299999999999994</v>
      </c>
      <c r="T49" s="41">
        <f t="shared" si="14"/>
        <v>0.254</v>
      </c>
      <c r="U49" s="41">
        <f t="shared" si="15"/>
        <v>0.67200000000000004</v>
      </c>
    </row>
    <row r="50" spans="1:21" ht="16" x14ac:dyDescent="0.2">
      <c r="A50" s="35">
        <v>7031</v>
      </c>
      <c r="B50" s="36">
        <f>INDEX('Team Scores'!P$4:P$59, MATCH(A50,'Team Scores'!A$4:A$59, 0))</f>
        <v>0</v>
      </c>
      <c r="C50" s="36">
        <f>INDEX('Team Scores'!Q$4:Q$59, MATCH(A50,'Team Scores'!A$4:A$59, 0))</f>
        <v>0</v>
      </c>
      <c r="D50" s="36">
        <f>INDEX('Team Scores'!AD$4:AD$59, MATCH(A50,'Team Scores'!A$4:A$59, 0))</f>
        <v>3</v>
      </c>
      <c r="E50" s="36">
        <f>INDEX('Team Scores'!AE$4:AE$59, MATCH(A50,'Team Scores'!A$4:A$59, 0))</f>
        <v>3</v>
      </c>
      <c r="F50" s="36">
        <f>INDEX('Team Scores'!AL$4:AL$59, MATCH(A50,'Team Scores'!A$4:A$59, 0))</f>
        <v>0</v>
      </c>
      <c r="G50" s="36">
        <f>INDEX('Team Scores'!AM$4:AM$59, MATCH(A50,'Team Scores'!A$4:A$59, 0))</f>
        <v>0</v>
      </c>
      <c r="H50" s="36">
        <f>INDEX('Team Scores'!AN$4:AN$59, MATCH(A50,'Team Scores'!A$4:A$59, 0))</f>
        <v>3</v>
      </c>
      <c r="I50" s="36">
        <f>INDEX('Team Scores'!AO$4:AO$59, MATCH(A50,'Team Scores'!A$4:A$59, 0))</f>
        <v>3</v>
      </c>
      <c r="J50" s="41">
        <f t="shared" si="8"/>
        <v>0</v>
      </c>
      <c r="K50" s="41">
        <f t="shared" si="9"/>
        <v>3.5999999999999997E-2</v>
      </c>
      <c r="L50" s="41">
        <f t="shared" si="10"/>
        <v>0</v>
      </c>
      <c r="M50" s="41">
        <f t="shared" si="11"/>
        <v>0</v>
      </c>
      <c r="N50" s="36">
        <f>INDEX('Team Scores'!AP$4:AP$59, MATCH(A50,'Team Scores'!A$4:A$59, 0))</f>
        <v>0</v>
      </c>
      <c r="O50" s="36">
        <f>INDEX('Team Scores'!AQ$4:AQ$59, MATCH(A50,'Team Scores'!A$4:A$59, 0))</f>
        <v>0</v>
      </c>
      <c r="P50" s="36">
        <f>INDEX('Team Scores'!AR$4:AR$59, MATCH(A50,'Team Scores'!A$4:A$59, 0))</f>
        <v>0</v>
      </c>
      <c r="Q50" s="36">
        <f>INDEX('Team Scores'!AS$4:AS$59, MATCH(A50,'Team Scores'!A$4:A$59, 0))</f>
        <v>0</v>
      </c>
      <c r="R50" s="41">
        <f t="shared" si="12"/>
        <v>0</v>
      </c>
      <c r="S50" s="41">
        <f t="shared" si="13"/>
        <v>0</v>
      </c>
      <c r="T50" s="41">
        <f t="shared" si="14"/>
        <v>0</v>
      </c>
      <c r="U50" s="41">
        <f t="shared" si="15"/>
        <v>0</v>
      </c>
    </row>
    <row r="51" spans="1:21" ht="16" x14ac:dyDescent="0.2">
      <c r="A51" s="35">
        <v>7504</v>
      </c>
      <c r="B51" s="36">
        <f>INDEX('Team Scores'!P$4:P$59, MATCH(A51,'Team Scores'!A$4:A$59, 0))</f>
        <v>10</v>
      </c>
      <c r="C51" s="36">
        <f>INDEX('Team Scores'!Q$4:Q$59, MATCH(A51,'Team Scores'!A$4:A$59, 0))</f>
        <v>5</v>
      </c>
      <c r="D51" s="36">
        <f>INDEX('Team Scores'!AD$4:AD$59, MATCH(A51,'Team Scores'!A$4:A$59, 0))</f>
        <v>54</v>
      </c>
      <c r="E51" s="36">
        <f>INDEX('Team Scores'!AE$4:AE$59, MATCH(A51,'Team Scores'!A$4:A$59, 0))</f>
        <v>27</v>
      </c>
      <c r="F51" s="36">
        <f>INDEX('Team Scores'!AL$4:AL$59, MATCH(A51,'Team Scores'!A$4:A$59, 0))</f>
        <v>4</v>
      </c>
      <c r="G51" s="36">
        <f>INDEX('Team Scores'!AM$4:AM$59, MATCH(A51,'Team Scores'!A$4:A$59, 0))</f>
        <v>2</v>
      </c>
      <c r="H51" s="36">
        <f>INDEX('Team Scores'!AN$4:AN$59, MATCH(A51,'Team Scores'!A$4:A$59, 0))</f>
        <v>68</v>
      </c>
      <c r="I51" s="36">
        <f>INDEX('Team Scores'!AO$4:AO$59, MATCH(A51,'Team Scores'!A$4:A$59, 0))</f>
        <v>34</v>
      </c>
      <c r="J51" s="41">
        <f t="shared" si="8"/>
        <v>0.4</v>
      </c>
      <c r="K51" s="41">
        <f t="shared" si="9"/>
        <v>0.49</v>
      </c>
      <c r="L51" s="41">
        <f t="shared" si="10"/>
        <v>0.36299999999999999</v>
      </c>
      <c r="M51" s="41">
        <f t="shared" si="11"/>
        <v>0.49</v>
      </c>
      <c r="N51" s="36">
        <f>INDEX('Team Scores'!AP$4:AP$59, MATCH(A51,'Team Scores'!A$4:A$59, 0))</f>
        <v>1</v>
      </c>
      <c r="O51" s="36">
        <f>INDEX('Team Scores'!AQ$4:AQ$59, MATCH(A51,'Team Scores'!A$4:A$59, 0))</f>
        <v>0</v>
      </c>
      <c r="P51" s="36">
        <f>INDEX('Team Scores'!AR$4:AR$59, MATCH(A51,'Team Scores'!A$4:A$59, 0))</f>
        <v>1</v>
      </c>
      <c r="Q51" s="36">
        <f>INDEX('Team Scores'!AS$4:AS$59, MATCH(A51,'Team Scores'!A$4:A$59, 0))</f>
        <v>2</v>
      </c>
      <c r="R51" s="41">
        <f t="shared" si="12"/>
        <v>0.109</v>
      </c>
      <c r="S51" s="41">
        <f t="shared" si="13"/>
        <v>0</v>
      </c>
      <c r="T51" s="41">
        <f t="shared" si="14"/>
        <v>0.254</v>
      </c>
      <c r="U51" s="41">
        <f t="shared" si="15"/>
        <v>0.2</v>
      </c>
    </row>
    <row r="52" spans="1:21" ht="16" x14ac:dyDescent="0.2">
      <c r="A52" s="35">
        <v>7605</v>
      </c>
      <c r="B52" s="36">
        <f>INDEX('Team Scores'!P$4:P$59, MATCH(A52,'Team Scores'!A$4:A$59, 0))</f>
        <v>7</v>
      </c>
      <c r="C52" s="36">
        <f>INDEX('Team Scores'!Q$4:Q$59, MATCH(A52,'Team Scores'!A$4:A$59, 0))</f>
        <v>7</v>
      </c>
      <c r="D52" s="36">
        <f>INDEX('Team Scores'!AD$4:AD$59, MATCH(A52,'Team Scores'!A$4:A$59, 0))</f>
        <v>0</v>
      </c>
      <c r="E52" s="36">
        <f>INDEX('Team Scores'!AE$4:AE$59, MATCH(A52,'Team Scores'!A$4:A$59, 0))</f>
        <v>0</v>
      </c>
      <c r="F52" s="36">
        <f>INDEX('Team Scores'!AL$4:AL$59, MATCH(A52,'Team Scores'!A$4:A$59, 0))</f>
        <v>2</v>
      </c>
      <c r="G52" s="36">
        <f>INDEX('Team Scores'!AM$4:AM$59, MATCH(A52,'Team Scores'!A$4:A$59, 0))</f>
        <v>0</v>
      </c>
      <c r="H52" s="36">
        <f>INDEX('Team Scores'!AN$4:AN$59, MATCH(A52,'Team Scores'!A$4:A$59, 0))</f>
        <v>9</v>
      </c>
      <c r="I52" s="36">
        <f>INDEX('Team Scores'!AO$4:AO$59, MATCH(A52,'Team Scores'!A$4:A$59, 0))</f>
        <v>9</v>
      </c>
      <c r="J52" s="41">
        <f t="shared" si="8"/>
        <v>0.28999999999999998</v>
      </c>
      <c r="K52" s="41">
        <f t="shared" si="9"/>
        <v>0</v>
      </c>
      <c r="L52" s="41">
        <f t="shared" si="10"/>
        <v>0.16300000000000001</v>
      </c>
      <c r="M52" s="41">
        <f t="shared" si="11"/>
        <v>1.7999999999999999E-2</v>
      </c>
      <c r="N52" s="36">
        <f>INDEX('Team Scores'!AP$4:AP$59, MATCH(A52,'Team Scores'!A$4:A$59, 0))</f>
        <v>1</v>
      </c>
      <c r="O52" s="36">
        <f>INDEX('Team Scores'!AQ$4:AQ$59, MATCH(A52,'Team Scores'!A$4:A$59, 0))</f>
        <v>0</v>
      </c>
      <c r="P52" s="36">
        <f>INDEX('Team Scores'!AR$4:AR$59, MATCH(A52,'Team Scores'!A$4:A$59, 0))</f>
        <v>0</v>
      </c>
      <c r="Q52" s="36">
        <f>INDEX('Team Scores'!AS$4:AS$59, MATCH(A52,'Team Scores'!A$4:A$59, 0))</f>
        <v>1</v>
      </c>
      <c r="R52" s="41">
        <f t="shared" si="12"/>
        <v>0.109</v>
      </c>
      <c r="S52" s="41">
        <f t="shared" si="13"/>
        <v>0</v>
      </c>
      <c r="T52" s="41">
        <f t="shared" si="14"/>
        <v>0</v>
      </c>
      <c r="U52" s="41">
        <f t="shared" si="15"/>
        <v>0.09</v>
      </c>
    </row>
    <row r="53" spans="1:21" ht="16" x14ac:dyDescent="0.2">
      <c r="A53" s="35">
        <v>7718</v>
      </c>
      <c r="B53" s="36">
        <f>INDEX('Team Scores'!P$4:P$59, MATCH(A53,'Team Scores'!A$4:A$59, 0))</f>
        <v>9</v>
      </c>
      <c r="C53" s="36">
        <f>INDEX('Team Scores'!Q$4:Q$59, MATCH(A53,'Team Scores'!A$4:A$59, 0))</f>
        <v>3</v>
      </c>
      <c r="D53" s="36">
        <f>INDEX('Team Scores'!AD$4:AD$59, MATCH(A53,'Team Scores'!A$4:A$59, 0))</f>
        <v>20</v>
      </c>
      <c r="E53" s="36">
        <f>INDEX('Team Scores'!AE$4:AE$59, MATCH(A53,'Team Scores'!A$4:A$59, 0))</f>
        <v>6.666666666666667</v>
      </c>
      <c r="F53" s="36">
        <f>INDEX('Team Scores'!AL$4:AL$59, MATCH(A53,'Team Scores'!A$4:A$59, 0))</f>
        <v>6</v>
      </c>
      <c r="G53" s="36">
        <f>INDEX('Team Scores'!AM$4:AM$59, MATCH(A53,'Team Scores'!A$4:A$59, 0))</f>
        <v>2</v>
      </c>
      <c r="H53" s="36">
        <f>INDEX('Team Scores'!AN$4:AN$59, MATCH(A53,'Team Scores'!A$4:A$59, 0))</f>
        <v>35</v>
      </c>
      <c r="I53" s="36">
        <f>INDEX('Team Scores'!AO$4:AO$59, MATCH(A53,'Team Scores'!A$4:A$59, 0))</f>
        <v>11.666666666666666</v>
      </c>
      <c r="J53" s="41">
        <f t="shared" si="8"/>
        <v>0.309</v>
      </c>
      <c r="K53" s="41">
        <f t="shared" si="9"/>
        <v>0.16300000000000001</v>
      </c>
      <c r="L53" s="41">
        <f t="shared" si="10"/>
        <v>0.52700000000000002</v>
      </c>
      <c r="M53" s="41">
        <f t="shared" si="11"/>
        <v>0.18099999999999999</v>
      </c>
      <c r="N53" s="36">
        <f>INDEX('Team Scores'!AP$4:AP$59, MATCH(A53,'Team Scores'!A$4:A$59, 0))</f>
        <v>3</v>
      </c>
      <c r="O53" s="36">
        <f>INDEX('Team Scores'!AQ$4:AQ$59, MATCH(A53,'Team Scores'!A$4:A$59, 0))</f>
        <v>10</v>
      </c>
      <c r="P53" s="36">
        <f>INDEX('Team Scores'!AR$4:AR$59, MATCH(A53,'Team Scores'!A$4:A$59, 0))</f>
        <v>2</v>
      </c>
      <c r="Q53" s="36">
        <f>INDEX('Team Scores'!AS$4:AS$59, MATCH(A53,'Team Scores'!A$4:A$59, 0))</f>
        <v>15</v>
      </c>
      <c r="R53" s="41">
        <f t="shared" si="12"/>
        <v>0.78100000000000003</v>
      </c>
      <c r="S53" s="41">
        <f t="shared" si="13"/>
        <v>1</v>
      </c>
      <c r="T53" s="41">
        <f t="shared" si="14"/>
        <v>0.67200000000000004</v>
      </c>
      <c r="U53" s="41">
        <f t="shared" si="15"/>
        <v>1</v>
      </c>
    </row>
    <row r="54" spans="1:21" ht="16" x14ac:dyDescent="0.2">
      <c r="A54" s="35">
        <v>7759</v>
      </c>
      <c r="B54" s="36">
        <f>INDEX('Team Scores'!P$4:P$59, MATCH(A54,'Team Scores'!A$4:A$59, 0))</f>
        <v>9</v>
      </c>
      <c r="C54" s="36">
        <f>INDEX('Team Scores'!Q$4:Q$59, MATCH(A54,'Team Scores'!A$4:A$59, 0))</f>
        <v>2.25</v>
      </c>
      <c r="D54" s="36">
        <f>INDEX('Team Scores'!AD$4:AD$59, MATCH(A54,'Team Scores'!A$4:A$59, 0))</f>
        <v>55</v>
      </c>
      <c r="E54" s="36">
        <f>INDEX('Team Scores'!AE$4:AE$59, MATCH(A54,'Team Scores'!A$4:A$59, 0))</f>
        <v>13.75</v>
      </c>
      <c r="F54" s="36">
        <f>INDEX('Team Scores'!AL$4:AL$59, MATCH(A54,'Team Scores'!A$4:A$59, 0))</f>
        <v>6</v>
      </c>
      <c r="G54" s="36">
        <f>INDEX('Team Scores'!AM$4:AM$59, MATCH(A54,'Team Scores'!A$4:A$59, 0))</f>
        <v>1.5</v>
      </c>
      <c r="H54" s="36">
        <f>INDEX('Team Scores'!AN$4:AN$59, MATCH(A54,'Team Scores'!A$4:A$59, 0))</f>
        <v>70</v>
      </c>
      <c r="I54" s="36">
        <f>INDEX('Team Scores'!AO$4:AO$59, MATCH(A54,'Team Scores'!A$4:A$59, 0))</f>
        <v>17.5</v>
      </c>
      <c r="J54" s="41">
        <f t="shared" si="8"/>
        <v>0.309</v>
      </c>
      <c r="K54" s="41">
        <f t="shared" si="9"/>
        <v>0.52700000000000002</v>
      </c>
      <c r="L54" s="41">
        <f t="shared" si="10"/>
        <v>0.52700000000000002</v>
      </c>
      <c r="M54" s="41">
        <f t="shared" si="11"/>
        <v>0.50900000000000001</v>
      </c>
      <c r="N54" s="36">
        <f>INDEX('Team Scores'!AP$4:AP$59, MATCH(A54,'Team Scores'!A$4:A$59, 0))</f>
        <v>2</v>
      </c>
      <c r="O54" s="36">
        <f>INDEX('Team Scores'!AQ$4:AQ$59, MATCH(A54,'Team Scores'!A$4:A$59, 0))</f>
        <v>0</v>
      </c>
      <c r="P54" s="36">
        <f>INDEX('Team Scores'!AR$4:AR$59, MATCH(A54,'Team Scores'!A$4:A$59, 0))</f>
        <v>1</v>
      </c>
      <c r="Q54" s="36">
        <f>INDEX('Team Scores'!AS$4:AS$59, MATCH(A54,'Team Scores'!A$4:A$59, 0))</f>
        <v>3</v>
      </c>
      <c r="R54" s="41">
        <f t="shared" si="12"/>
        <v>0.436</v>
      </c>
      <c r="S54" s="41">
        <f t="shared" si="13"/>
        <v>0</v>
      </c>
      <c r="T54" s="41">
        <f t="shared" si="14"/>
        <v>0.254</v>
      </c>
      <c r="U54" s="41">
        <f t="shared" si="15"/>
        <v>0.36299999999999999</v>
      </c>
    </row>
    <row r="55" spans="1:21" ht="16" x14ac:dyDescent="0.2">
      <c r="A55" s="35">
        <v>8067</v>
      </c>
      <c r="B55" s="36">
        <f>INDEX('Team Scores'!P$4:P$59, MATCH(A55,'Team Scores'!A$4:A$59, 0))</f>
        <v>6</v>
      </c>
      <c r="C55" s="36">
        <f>INDEX('Team Scores'!Q$4:Q$59, MATCH(A55,'Team Scores'!A$4:A$59, 0))</f>
        <v>3</v>
      </c>
      <c r="D55" s="36">
        <f>INDEX('Team Scores'!AD$4:AD$59, MATCH(A55,'Team Scores'!A$4:A$59, 0))</f>
        <v>27</v>
      </c>
      <c r="E55" s="36">
        <f>INDEX('Team Scores'!AE$4:AE$59, MATCH(A55,'Team Scores'!A$4:A$59, 0))</f>
        <v>13.5</v>
      </c>
      <c r="F55" s="36">
        <f>INDEX('Team Scores'!AL$4:AL$59, MATCH(A55,'Team Scores'!A$4:A$59, 0))</f>
        <v>2</v>
      </c>
      <c r="G55" s="36">
        <f>INDEX('Team Scores'!AM$4:AM$59, MATCH(A55,'Team Scores'!A$4:A$59, 0))</f>
        <v>1</v>
      </c>
      <c r="H55" s="36">
        <f>INDEX('Team Scores'!AN$4:AN$59, MATCH(A55,'Team Scores'!A$4:A$59, 0))</f>
        <v>35</v>
      </c>
      <c r="I55" s="36">
        <f>INDEX('Team Scores'!AO$4:AO$59, MATCH(A55,'Team Scores'!A$4:A$59, 0))</f>
        <v>17.5</v>
      </c>
      <c r="J55" s="41">
        <f t="shared" si="8"/>
        <v>0.127</v>
      </c>
      <c r="K55" s="41">
        <f t="shared" si="9"/>
        <v>0.254</v>
      </c>
      <c r="L55" s="41">
        <f t="shared" si="10"/>
        <v>0.16300000000000001</v>
      </c>
      <c r="M55" s="41">
        <f t="shared" si="11"/>
        <v>0.18099999999999999</v>
      </c>
      <c r="N55" s="36">
        <f>INDEX('Team Scores'!AP$4:AP$59, MATCH(A55,'Team Scores'!A$4:A$59, 0))</f>
        <v>2</v>
      </c>
      <c r="O55" s="36">
        <f>INDEX('Team Scores'!AQ$4:AQ$59, MATCH(A55,'Team Scores'!A$4:A$59, 0))</f>
        <v>0</v>
      </c>
      <c r="P55" s="36">
        <f>INDEX('Team Scores'!AR$4:AR$59, MATCH(A55,'Team Scores'!A$4:A$59, 0))</f>
        <v>0</v>
      </c>
      <c r="Q55" s="36">
        <f>INDEX('Team Scores'!AS$4:AS$59, MATCH(A55,'Team Scores'!A$4:A$59, 0))</f>
        <v>2</v>
      </c>
      <c r="R55" s="41">
        <f t="shared" si="12"/>
        <v>0.436</v>
      </c>
      <c r="S55" s="41">
        <f t="shared" si="13"/>
        <v>0</v>
      </c>
      <c r="T55" s="41">
        <f t="shared" si="14"/>
        <v>0</v>
      </c>
      <c r="U55" s="41">
        <f t="shared" si="15"/>
        <v>0.2</v>
      </c>
    </row>
    <row r="56" spans="1:21" ht="16" x14ac:dyDescent="0.2">
      <c r="A56" s="35">
        <v>9468</v>
      </c>
      <c r="B56" s="36">
        <f>INDEX('Team Scores'!P$4:P$59, MATCH(A56,'Team Scores'!A$4:A$59, 0))</f>
        <v>6</v>
      </c>
      <c r="C56" s="36">
        <f>INDEX('Team Scores'!Q$4:Q$59, MATCH(A56,'Team Scores'!A$4:A$59, 0))</f>
        <v>3</v>
      </c>
      <c r="D56" s="36">
        <f>INDEX('Team Scores'!AD$4:AD$59, MATCH(A56,'Team Scores'!A$4:A$59, 0))</f>
        <v>16</v>
      </c>
      <c r="E56" s="36">
        <f>INDEX('Team Scores'!AE$4:AE$59, MATCH(A56,'Team Scores'!A$4:A$59, 0))</f>
        <v>8</v>
      </c>
      <c r="F56" s="36">
        <f>INDEX('Team Scores'!AL$4:AL$59, MATCH(A56,'Team Scores'!A$4:A$59, 0))</f>
        <v>4</v>
      </c>
      <c r="G56" s="36">
        <f>INDEX('Team Scores'!AM$4:AM$59, MATCH(A56,'Team Scores'!A$4:A$59, 0))</f>
        <v>2</v>
      </c>
      <c r="H56" s="36">
        <f>INDEX('Team Scores'!AN$4:AN$59, MATCH(A56,'Team Scores'!A$4:A$59, 0))</f>
        <v>26</v>
      </c>
      <c r="I56" s="36">
        <f>INDEX('Team Scores'!AO$4:AO$59, MATCH(A56,'Team Scores'!A$4:A$59, 0))</f>
        <v>13</v>
      </c>
      <c r="J56" s="41">
        <f t="shared" si="8"/>
        <v>0.127</v>
      </c>
      <c r="K56" s="41">
        <f t="shared" si="9"/>
        <v>0.127</v>
      </c>
      <c r="L56" s="41">
        <f t="shared" si="10"/>
        <v>0.36299999999999999</v>
      </c>
      <c r="M56" s="41">
        <f t="shared" si="11"/>
        <v>0.14499999999999999</v>
      </c>
      <c r="N56" s="36">
        <f>INDEX('Team Scores'!AP$4:AP$59, MATCH(A56,'Team Scores'!A$4:A$59, 0))</f>
        <v>0</v>
      </c>
      <c r="O56" s="36">
        <f>INDEX('Team Scores'!AQ$4:AQ$59, MATCH(A56,'Team Scores'!A$4:A$59, 0))</f>
        <v>0</v>
      </c>
      <c r="P56" s="36">
        <f>INDEX('Team Scores'!AR$4:AR$59, MATCH(A56,'Team Scores'!A$4:A$59, 0))</f>
        <v>0</v>
      </c>
      <c r="Q56" s="36">
        <f>INDEX('Team Scores'!AS$4:AS$59, MATCH(A56,'Team Scores'!A$4:A$59, 0))</f>
        <v>0</v>
      </c>
      <c r="R56" s="41">
        <f t="shared" si="12"/>
        <v>0</v>
      </c>
      <c r="S56" s="41">
        <f t="shared" si="13"/>
        <v>0</v>
      </c>
      <c r="T56" s="41">
        <f t="shared" si="14"/>
        <v>0</v>
      </c>
      <c r="U56" s="41">
        <f t="shared" si="15"/>
        <v>0</v>
      </c>
    </row>
    <row r="57" spans="1:21" ht="16" x14ac:dyDescent="0.2">
      <c r="A57" s="35">
        <v>9624</v>
      </c>
      <c r="B57" s="36">
        <f>INDEX('Team Scores'!P$4:P$59, MATCH(A57,'Team Scores'!A$4:A$59, 0))</f>
        <v>34</v>
      </c>
      <c r="C57" s="36">
        <f>INDEX('Team Scores'!Q$4:Q$59, MATCH(A57,'Team Scores'!A$4:A$59, 0))</f>
        <v>8.5</v>
      </c>
      <c r="D57" s="36">
        <f>INDEX('Team Scores'!AD$4:AD$59, MATCH(A57,'Team Scores'!A$4:A$59, 0))</f>
        <v>76</v>
      </c>
      <c r="E57" s="36">
        <f>INDEX('Team Scores'!AE$4:AE$59, MATCH(A57,'Team Scores'!A$4:A$59, 0))</f>
        <v>19</v>
      </c>
      <c r="F57" s="36">
        <f>INDEX('Team Scores'!AL$4:AL$59, MATCH(A57,'Team Scores'!A$4:A$59, 0))</f>
        <v>4</v>
      </c>
      <c r="G57" s="36">
        <f>INDEX('Team Scores'!AM$4:AM$59, MATCH(A57,'Team Scores'!A$4:A$59, 0))</f>
        <v>1</v>
      </c>
      <c r="H57" s="36">
        <f>INDEX('Team Scores'!AN$4:AN$59, MATCH(A57,'Team Scores'!A$4:A$59, 0))</f>
        <v>114</v>
      </c>
      <c r="I57" s="36">
        <f>INDEX('Team Scores'!AO$4:AO$59, MATCH(A57,'Team Scores'!A$4:A$59, 0))</f>
        <v>28.5</v>
      </c>
      <c r="J57" s="41">
        <f t="shared" si="8"/>
        <v>0.81799999999999995</v>
      </c>
      <c r="K57" s="41">
        <f t="shared" si="9"/>
        <v>0.72699999999999998</v>
      </c>
      <c r="L57" s="41">
        <f t="shared" si="10"/>
        <v>0.36299999999999999</v>
      </c>
      <c r="M57" s="41">
        <f t="shared" si="11"/>
        <v>0.69</v>
      </c>
      <c r="N57" s="36">
        <f>INDEX('Team Scores'!AP$4:AP$59, MATCH(A57,'Team Scores'!A$4:A$59, 0))</f>
        <v>4</v>
      </c>
      <c r="O57" s="36">
        <f>INDEX('Team Scores'!AQ$4:AQ$59, MATCH(A57,'Team Scores'!A$4:A$59, 0))</f>
        <v>2</v>
      </c>
      <c r="P57" s="36">
        <f>INDEX('Team Scores'!AR$4:AR$59, MATCH(A57,'Team Scores'!A$4:A$59, 0))</f>
        <v>1</v>
      </c>
      <c r="Q57" s="36">
        <f>INDEX('Team Scores'!AS$4:AS$59, MATCH(A57,'Team Scores'!A$4:A$59, 0))</f>
        <v>7</v>
      </c>
      <c r="R57" s="41">
        <f t="shared" si="12"/>
        <v>0.92700000000000005</v>
      </c>
      <c r="S57" s="41">
        <f t="shared" si="13"/>
        <v>0.872</v>
      </c>
      <c r="T57" s="41">
        <f t="shared" si="14"/>
        <v>0.254</v>
      </c>
      <c r="U57" s="41">
        <f t="shared" si="15"/>
        <v>0.90900000000000003</v>
      </c>
    </row>
    <row r="58" spans="1:21" ht="16" x14ac:dyDescent="0.2">
      <c r="A58" s="35">
        <v>10352</v>
      </c>
      <c r="B58" s="36">
        <f>INDEX('Team Scores'!P$4:P$59, MATCH(A58,'Team Scores'!A$4:A$59, 0))</f>
        <v>6</v>
      </c>
      <c r="C58" s="36">
        <f>INDEX('Team Scores'!Q$4:Q$59, MATCH(A58,'Team Scores'!A$4:A$59, 0))</f>
        <v>6</v>
      </c>
      <c r="D58" s="36">
        <f>INDEX('Team Scores'!AD$4:AD$59, MATCH(A58,'Team Scores'!A$4:A$59, 0))</f>
        <v>8</v>
      </c>
      <c r="E58" s="36">
        <f>INDEX('Team Scores'!AE$4:AE$59, MATCH(A58,'Team Scores'!A$4:A$59, 0))</f>
        <v>8</v>
      </c>
      <c r="F58" s="36">
        <f>INDEX('Team Scores'!AL$4:AL$59, MATCH(A58,'Team Scores'!A$4:A$59, 0))</f>
        <v>2</v>
      </c>
      <c r="G58" s="36">
        <f>INDEX('Team Scores'!AM$4:AM$59, MATCH(A58,'Team Scores'!A$4:A$59, 0))</f>
        <v>2</v>
      </c>
      <c r="H58" s="36">
        <f>INDEX('Team Scores'!AN$4:AN$59, MATCH(A58,'Team Scores'!A$4:A$59, 0))</f>
        <v>16</v>
      </c>
      <c r="I58" s="36">
        <f>INDEX('Team Scores'!AO$4:AO$59, MATCH(A58,'Team Scores'!A$4:A$59, 0))</f>
        <v>16</v>
      </c>
      <c r="J58" s="41">
        <f t="shared" si="8"/>
        <v>0.127</v>
      </c>
      <c r="K58" s="41">
        <f t="shared" si="9"/>
        <v>5.3999999999999999E-2</v>
      </c>
      <c r="L58" s="41">
        <f t="shared" si="10"/>
        <v>0.16300000000000001</v>
      </c>
      <c r="M58" s="41">
        <f t="shared" si="11"/>
        <v>5.3999999999999999E-2</v>
      </c>
      <c r="N58" s="36">
        <f>INDEX('Team Scores'!AP$4:AP$59, MATCH(A58,'Team Scores'!A$4:A$59, 0))</f>
        <v>1</v>
      </c>
      <c r="O58" s="36">
        <f>INDEX('Team Scores'!AQ$4:AQ$59, MATCH(A58,'Team Scores'!A$4:A$59, 0))</f>
        <v>1</v>
      </c>
      <c r="P58" s="36">
        <f>INDEX('Team Scores'!AR$4:AR$59, MATCH(A58,'Team Scores'!A$4:A$59, 0))</f>
        <v>1</v>
      </c>
      <c r="Q58" s="36">
        <f>INDEX('Team Scores'!AS$4:AS$59, MATCH(A58,'Team Scores'!A$4:A$59, 0))</f>
        <v>3</v>
      </c>
      <c r="R58" s="41">
        <f t="shared" si="12"/>
        <v>0.109</v>
      </c>
      <c r="S58" s="41">
        <f t="shared" si="13"/>
        <v>0.56299999999999994</v>
      </c>
      <c r="T58" s="41">
        <f t="shared" si="14"/>
        <v>0.254</v>
      </c>
      <c r="U58" s="41">
        <f t="shared" si="15"/>
        <v>0.36299999999999999</v>
      </c>
    </row>
    <row r="59" spans="1:21" ht="16" x14ac:dyDescent="0.2">
      <c r="A59" s="35">
        <v>10714</v>
      </c>
      <c r="B59" s="36">
        <f>INDEX('Team Scores'!P$4:P$59, MATCH(A59,'Team Scores'!A$4:A$59, 0))</f>
        <v>27</v>
      </c>
      <c r="C59" s="36">
        <f>INDEX('Team Scores'!Q$4:Q$59, MATCH(A59,'Team Scores'!A$4:A$59, 0))</f>
        <v>9</v>
      </c>
      <c r="D59" s="36">
        <f>INDEX('Team Scores'!AD$4:AD$59, MATCH(A59,'Team Scores'!A$4:A$59, 0))</f>
        <v>105</v>
      </c>
      <c r="E59" s="36">
        <f>INDEX('Team Scores'!AE$4:AE$59, MATCH(A59,'Team Scores'!A$4:A$59, 0))</f>
        <v>35</v>
      </c>
      <c r="F59" s="36">
        <f>INDEX('Team Scores'!AL$4:AL$59, MATCH(A59,'Team Scores'!A$4:A$59, 0))</f>
        <v>6</v>
      </c>
      <c r="G59" s="36">
        <f>INDEX('Team Scores'!AM$4:AM$59, MATCH(A59,'Team Scores'!A$4:A$59, 0))</f>
        <v>2</v>
      </c>
      <c r="H59" s="36">
        <f>INDEX('Team Scores'!AN$4:AN$59, MATCH(A59,'Team Scores'!A$4:A$59, 0))</f>
        <v>138</v>
      </c>
      <c r="I59" s="36">
        <f>INDEX('Team Scores'!AO$4:AO$59, MATCH(A59,'Team Scores'!A$4:A$59, 0))</f>
        <v>46</v>
      </c>
      <c r="J59" s="41">
        <f t="shared" si="8"/>
        <v>0.745</v>
      </c>
      <c r="K59" s="41">
        <f t="shared" si="9"/>
        <v>0.872</v>
      </c>
      <c r="L59" s="41">
        <f t="shared" si="10"/>
        <v>0.52700000000000002</v>
      </c>
      <c r="M59" s="41">
        <f t="shared" si="11"/>
        <v>0.8</v>
      </c>
      <c r="N59" s="36">
        <f>INDEX('Team Scores'!AP$4:AP$59, MATCH(A59,'Team Scores'!A$4:A$59, 0))</f>
        <v>1</v>
      </c>
      <c r="O59" s="36">
        <f>INDEX('Team Scores'!AQ$4:AQ$59, MATCH(A59,'Team Scores'!A$4:A$59, 0))</f>
        <v>0</v>
      </c>
      <c r="P59" s="36">
        <f>INDEX('Team Scores'!AR$4:AR$59, MATCH(A59,'Team Scores'!A$4:A$59, 0))</f>
        <v>1</v>
      </c>
      <c r="Q59" s="36">
        <f>INDEX('Team Scores'!AS$4:AS$59, MATCH(A59,'Team Scores'!A$4:A$59, 0))</f>
        <v>2</v>
      </c>
      <c r="R59" s="41">
        <f t="shared" si="12"/>
        <v>0.109</v>
      </c>
      <c r="S59" s="41">
        <f t="shared" si="13"/>
        <v>0</v>
      </c>
      <c r="T59" s="41">
        <f t="shared" si="14"/>
        <v>0.254</v>
      </c>
      <c r="U59" s="41">
        <f t="shared" si="15"/>
        <v>0.2</v>
      </c>
    </row>
  </sheetData>
  <autoFilter ref="A3:U3" xr:uid="{00000000-0009-0000-0000-000005000000}"/>
  <mergeCells count="8">
    <mergeCell ref="F2:G2"/>
    <mergeCell ref="B2:C2"/>
    <mergeCell ref="H2:I2"/>
    <mergeCell ref="D2:E2"/>
    <mergeCell ref="R1:U1"/>
    <mergeCell ref="N1:Q1"/>
    <mergeCell ref="B1:I1"/>
    <mergeCell ref="J1:M1"/>
  </mergeCells>
  <conditionalFormatting sqref="J4:M59">
    <cfRule type="colorScale" priority="1">
      <colorScale>
        <cfvo type="min"/>
        <cfvo type="percentile" val="50"/>
        <cfvo type="max"/>
        <color rgb="FFCB4335"/>
        <color rgb="FFD68910"/>
        <color rgb="FF229954"/>
      </colorScale>
    </cfRule>
  </conditionalFormatting>
  <conditionalFormatting sqref="R4:U59">
    <cfRule type="colorScale" priority="2">
      <colorScale>
        <cfvo type="min"/>
        <cfvo type="percentile" val="50"/>
        <cfvo type="max"/>
        <color rgb="FFCB4335"/>
        <color rgb="FFD68910"/>
        <color rgb="FF229954"/>
      </colorScale>
    </cfRule>
  </conditionalFormatting>
  <pageMargins left="0.75" right="0.75" top="1" bottom="1" header="0.5" footer="0.5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1"/>
  <sheetViews>
    <sheetView zoomScale="150" zoomScaleNormal="150" workbookViewId="0">
      <selection activeCell="A2" sqref="A2"/>
    </sheetView>
  </sheetViews>
  <sheetFormatPr baseColWidth="10" defaultRowHeight="15" x14ac:dyDescent="0.2"/>
  <cols>
    <col min="1" max="2" width="25.83203125" customWidth="1"/>
  </cols>
  <sheetData>
    <row r="1" spans="1:2" ht="16" customHeight="1" x14ac:dyDescent="0.2">
      <c r="A1" s="5" t="s">
        <v>330</v>
      </c>
      <c r="B1" s="5" t="s">
        <v>331</v>
      </c>
    </row>
    <row r="2" spans="1:2" x14ac:dyDescent="0.2">
      <c r="A2" s="26" t="str">
        <f t="array" ref="A2:A3">_xlfn._xlws.SORT(_xlfn.UNIQUE(MatchScoutingData!B2:B9997))</f>
        <v>Andrew McCadden</v>
      </c>
      <c r="B2" s="26">
        <f>COUNTIF(MatchScoutingData!B$2:B$9997, $A2)</f>
        <v>32</v>
      </c>
    </row>
    <row r="3" spans="1:2" x14ac:dyDescent="0.2">
      <c r="A3" s="26" t="str">
        <v>Asher Stuckey</v>
      </c>
      <c r="B3" s="26">
        <f>COUNTIF(MatchScoutingData!B$2:B$9997, $A3)</f>
        <v>8</v>
      </c>
    </row>
    <row r="4" spans="1:2" x14ac:dyDescent="0.2">
      <c r="A4" s="26"/>
      <c r="B4" s="26">
        <f>COUNTIF(MatchScoutingData!B$2:B$9997, $A4)</f>
        <v>0</v>
      </c>
    </row>
    <row r="5" spans="1:2" x14ac:dyDescent="0.2">
      <c r="A5" s="26"/>
      <c r="B5" s="26">
        <f>COUNTIF(MatchScoutingData!B$2:B$9997, $A5)</f>
        <v>0</v>
      </c>
    </row>
    <row r="6" spans="1:2" x14ac:dyDescent="0.2">
      <c r="A6" s="26"/>
      <c r="B6" s="26">
        <f>COUNTIF(MatchScoutingData!B$2:B$9997, $A6)</f>
        <v>0</v>
      </c>
    </row>
    <row r="7" spans="1:2" x14ac:dyDescent="0.2">
      <c r="A7" s="26"/>
      <c r="B7" s="26">
        <f>COUNTIF(MatchScoutingData!B$2:B$9997, $A7)</f>
        <v>0</v>
      </c>
    </row>
    <row r="8" spans="1:2" x14ac:dyDescent="0.2">
      <c r="A8" s="26"/>
      <c r="B8" s="26">
        <f>COUNTIF(MatchScoutingData!B$2:B$9997, $A8)</f>
        <v>0</v>
      </c>
    </row>
    <row r="9" spans="1:2" x14ac:dyDescent="0.2">
      <c r="A9" s="26"/>
      <c r="B9" s="26">
        <f>COUNTIF(MatchScoutingData!B$2:B$9997, $A9)</f>
        <v>0</v>
      </c>
    </row>
    <row r="10" spans="1:2" x14ac:dyDescent="0.2">
      <c r="A10" s="26"/>
      <c r="B10" s="26">
        <f>COUNTIF(MatchScoutingData!B$2:B$9997, $A10)</f>
        <v>0</v>
      </c>
    </row>
    <row r="11" spans="1:2" x14ac:dyDescent="0.2">
      <c r="A11" s="26"/>
      <c r="B11" s="26">
        <f>COUNTIF(MatchScoutingData!B$2:B$9997, $A11)</f>
        <v>0</v>
      </c>
    </row>
    <row r="12" spans="1:2" x14ac:dyDescent="0.2">
      <c r="A12" s="26"/>
      <c r="B12" s="26">
        <f>COUNTIF(MatchScoutingData!B$2:B$9997, $A12)</f>
        <v>0</v>
      </c>
    </row>
    <row r="13" spans="1:2" x14ac:dyDescent="0.2">
      <c r="A13" s="26"/>
      <c r="B13" s="26">
        <f>COUNTIF(MatchScoutingData!B$2:B$9997, $A13)</f>
        <v>0</v>
      </c>
    </row>
    <row r="14" spans="1:2" x14ac:dyDescent="0.2">
      <c r="A14" s="26"/>
      <c r="B14" s="26">
        <f>COUNTIF(MatchScoutingData!B$2:B$9997, $A14)</f>
        <v>0</v>
      </c>
    </row>
    <row r="15" spans="1:2" x14ac:dyDescent="0.2">
      <c r="A15" s="26"/>
      <c r="B15" s="26">
        <f>COUNTIF(MatchScoutingData!B$2:B$9997, $A15)</f>
        <v>0</v>
      </c>
    </row>
    <row r="16" spans="1:2" x14ac:dyDescent="0.2">
      <c r="A16" s="26"/>
      <c r="B16" s="26">
        <f>COUNTIF(MatchScoutingData!B$2:B$9997, $A16)</f>
        <v>0</v>
      </c>
    </row>
    <row r="17" spans="1:2" x14ac:dyDescent="0.2">
      <c r="A17" s="26"/>
      <c r="B17" s="26">
        <f>COUNTIF(MatchScoutingData!B$2:B$9997, $A17)</f>
        <v>0</v>
      </c>
    </row>
    <row r="18" spans="1:2" x14ac:dyDescent="0.2">
      <c r="A18" s="26"/>
      <c r="B18" s="26">
        <f>COUNTIF(MatchScoutingData!B$2:B$9997, $A18)</f>
        <v>0</v>
      </c>
    </row>
    <row r="19" spans="1:2" x14ac:dyDescent="0.2">
      <c r="A19" s="26"/>
      <c r="B19" s="26">
        <f>COUNTIF(MatchScoutingData!B$2:B$9997, $A19)</f>
        <v>0</v>
      </c>
    </row>
    <row r="20" spans="1:2" x14ac:dyDescent="0.2">
      <c r="A20" s="26"/>
      <c r="B20" s="26">
        <f>COUNTIF(MatchScoutingData!B$2:B$9997, $A20)</f>
        <v>0</v>
      </c>
    </row>
    <row r="21" spans="1:2" x14ac:dyDescent="0.2">
      <c r="A21" s="26"/>
      <c r="B21" s="26">
        <f>COUNTIF(MatchScoutingData!B$2:B$9997, $A21)</f>
        <v>0</v>
      </c>
    </row>
    <row r="22" spans="1:2" x14ac:dyDescent="0.2">
      <c r="A22" s="26"/>
      <c r="B22" s="26">
        <f>COUNTIF(MatchScoutingData!B$2:B$9997, $A22)</f>
        <v>0</v>
      </c>
    </row>
    <row r="23" spans="1:2" x14ac:dyDescent="0.2">
      <c r="A23" s="26"/>
      <c r="B23" s="26">
        <f>COUNTIF(MatchScoutingData!B$2:B$9997, $A23)</f>
        <v>0</v>
      </c>
    </row>
    <row r="24" spans="1:2" x14ac:dyDescent="0.2">
      <c r="A24" s="26"/>
      <c r="B24" s="26">
        <f>COUNTIF(MatchScoutingData!B$2:B$9997, $A24)</f>
        <v>0</v>
      </c>
    </row>
    <row r="25" spans="1:2" x14ac:dyDescent="0.2">
      <c r="A25" s="26"/>
      <c r="B25" s="26">
        <f>COUNTIF(MatchScoutingData!B$2:B$9997, $A25)</f>
        <v>0</v>
      </c>
    </row>
    <row r="26" spans="1:2" x14ac:dyDescent="0.2">
      <c r="A26" s="26"/>
      <c r="B26" s="26">
        <f>COUNTIF(MatchScoutingData!B$2:B$9997, $A26)</f>
        <v>0</v>
      </c>
    </row>
    <row r="27" spans="1:2" x14ac:dyDescent="0.2">
      <c r="A27" s="26"/>
      <c r="B27" s="26">
        <f>COUNTIF(MatchScoutingData!B$2:B$9997, $A27)</f>
        <v>0</v>
      </c>
    </row>
    <row r="28" spans="1:2" x14ac:dyDescent="0.2">
      <c r="A28" s="26"/>
      <c r="B28" s="26">
        <f>COUNTIF(MatchScoutingData!B$2:B$9997, $A28)</f>
        <v>0</v>
      </c>
    </row>
    <row r="29" spans="1:2" x14ac:dyDescent="0.2">
      <c r="A29" s="26"/>
      <c r="B29" s="26">
        <f>COUNTIF(MatchScoutingData!B$2:B$9997, $A29)</f>
        <v>0</v>
      </c>
    </row>
    <row r="30" spans="1:2" x14ac:dyDescent="0.2">
      <c r="A30" s="26"/>
      <c r="B30" s="26">
        <f>COUNTIF(MatchScoutingData!B$2:B$9997, $A30)</f>
        <v>0</v>
      </c>
    </row>
    <row r="31" spans="1:2" x14ac:dyDescent="0.2">
      <c r="A31" s="26"/>
      <c r="B31" s="26">
        <f>COUNTIF(MatchScoutingData!B$2:B$9997, $A31)</f>
        <v>0</v>
      </c>
    </row>
    <row r="32" spans="1:2" x14ac:dyDescent="0.2">
      <c r="A32" s="26"/>
      <c r="B32" s="26">
        <f>COUNTIF(MatchScoutingData!B$2:B$9997, $A32)</f>
        <v>0</v>
      </c>
    </row>
    <row r="33" spans="1:2" x14ac:dyDescent="0.2">
      <c r="A33" s="26"/>
      <c r="B33" s="26">
        <f>COUNTIF(MatchScoutingData!B$2:B$9997, $A33)</f>
        <v>0</v>
      </c>
    </row>
    <row r="34" spans="1:2" x14ac:dyDescent="0.2">
      <c r="A34" s="26"/>
      <c r="B34" s="26">
        <f>COUNTIF(MatchScoutingData!B$2:B$9997, $A34)</f>
        <v>0</v>
      </c>
    </row>
    <row r="35" spans="1:2" x14ac:dyDescent="0.2">
      <c r="A35" s="26"/>
      <c r="B35" s="26">
        <f>COUNTIF(MatchScoutingData!B$2:B$9997, $A35)</f>
        <v>0</v>
      </c>
    </row>
    <row r="36" spans="1:2" x14ac:dyDescent="0.2">
      <c r="A36" s="26"/>
      <c r="B36" s="26">
        <f>COUNTIF(MatchScoutingData!B$2:B$9997, $A36)</f>
        <v>0</v>
      </c>
    </row>
    <row r="37" spans="1:2" x14ac:dyDescent="0.2">
      <c r="A37" s="26"/>
      <c r="B37" s="26">
        <f>COUNTIF(MatchScoutingData!B$2:B$9997, $A37)</f>
        <v>0</v>
      </c>
    </row>
    <row r="38" spans="1:2" x14ac:dyDescent="0.2">
      <c r="A38" s="26"/>
      <c r="B38" s="26">
        <f>COUNTIF(MatchScoutingData!B$2:B$9997, $A38)</f>
        <v>0</v>
      </c>
    </row>
    <row r="39" spans="1:2" x14ac:dyDescent="0.2">
      <c r="A39" s="26"/>
      <c r="B39" s="26">
        <f>COUNTIF(MatchScoutingData!B$2:B$9997, $A39)</f>
        <v>0</v>
      </c>
    </row>
    <row r="40" spans="1:2" x14ac:dyDescent="0.2">
      <c r="A40" s="26"/>
      <c r="B40" s="26">
        <f>COUNTIF(MatchScoutingData!B$2:B$9997, $A40)</f>
        <v>0</v>
      </c>
    </row>
    <row r="41" spans="1:2" x14ac:dyDescent="0.2">
      <c r="A41" s="26"/>
      <c r="B41" s="26">
        <f>COUNTIF(MatchScoutingData!B$2:B$9997, $A41)</f>
        <v>0</v>
      </c>
    </row>
    <row r="42" spans="1:2" x14ac:dyDescent="0.2">
      <c r="A42" s="26"/>
      <c r="B42" s="26">
        <f>COUNTIF(MatchScoutingData!B$2:B$9997, $A42)</f>
        <v>0</v>
      </c>
    </row>
    <row r="43" spans="1:2" x14ac:dyDescent="0.2">
      <c r="A43" s="26"/>
      <c r="B43" s="26">
        <f>COUNTIF(MatchScoutingData!B$2:B$9997, $A43)</f>
        <v>0</v>
      </c>
    </row>
    <row r="44" spans="1:2" x14ac:dyDescent="0.2">
      <c r="A44" s="26"/>
      <c r="B44" s="26">
        <f>COUNTIF(MatchScoutingData!B$2:B$9997, $A44)</f>
        <v>0</v>
      </c>
    </row>
    <row r="45" spans="1:2" x14ac:dyDescent="0.2">
      <c r="A45" s="26"/>
      <c r="B45" s="26">
        <f>COUNTIF(MatchScoutingData!B$2:B$9997, $A45)</f>
        <v>0</v>
      </c>
    </row>
    <row r="46" spans="1:2" x14ac:dyDescent="0.2">
      <c r="A46" s="26"/>
      <c r="B46" s="26">
        <f>COUNTIF(MatchScoutingData!B$2:B$9997, $A46)</f>
        <v>0</v>
      </c>
    </row>
    <row r="47" spans="1:2" x14ac:dyDescent="0.2">
      <c r="A47" s="26"/>
      <c r="B47" s="26">
        <f>COUNTIF(MatchScoutingData!B$2:B$9997, $A47)</f>
        <v>0</v>
      </c>
    </row>
    <row r="48" spans="1:2" x14ac:dyDescent="0.2">
      <c r="A48" s="26"/>
      <c r="B48" s="26">
        <f>COUNTIF(MatchScoutingData!B$2:B$9997, $A48)</f>
        <v>0</v>
      </c>
    </row>
    <row r="49" spans="1:2" x14ac:dyDescent="0.2">
      <c r="A49" s="26"/>
      <c r="B49" s="26">
        <f>COUNTIF(MatchScoutingData!B$2:B$9997, $A49)</f>
        <v>0</v>
      </c>
    </row>
    <row r="50" spans="1:2" x14ac:dyDescent="0.2">
      <c r="A50" s="26"/>
      <c r="B50" s="26">
        <f>COUNTIF(MatchScoutingData!B$2:B$9997, $A50)</f>
        <v>0</v>
      </c>
    </row>
    <row r="51" spans="1:2" x14ac:dyDescent="0.2">
      <c r="A51" s="26"/>
      <c r="B51" s="26">
        <f>COUNTIF(MatchScoutingData!B$2:B$9997, $A51)</f>
        <v>0</v>
      </c>
    </row>
    <row r="52" spans="1:2" x14ac:dyDescent="0.2">
      <c r="A52" s="26"/>
      <c r="B52" s="26">
        <f>COUNTIF(MatchScoutingData!B$2:B$9997, $A52)</f>
        <v>0</v>
      </c>
    </row>
    <row r="53" spans="1:2" x14ac:dyDescent="0.2">
      <c r="A53" s="26"/>
      <c r="B53" s="26">
        <f>COUNTIF(MatchScoutingData!B$2:B$9997, $A53)</f>
        <v>0</v>
      </c>
    </row>
    <row r="54" spans="1:2" x14ac:dyDescent="0.2">
      <c r="A54" s="26"/>
      <c r="B54" s="26">
        <f>COUNTIF(MatchScoutingData!B$2:B$9997, $A54)</f>
        <v>0</v>
      </c>
    </row>
    <row r="55" spans="1:2" x14ac:dyDescent="0.2">
      <c r="A55" s="26"/>
      <c r="B55" s="26">
        <f>COUNTIF(MatchScoutingData!B$2:B$9997, $A55)</f>
        <v>0</v>
      </c>
    </row>
    <row r="56" spans="1:2" x14ac:dyDescent="0.2">
      <c r="A56" s="26"/>
      <c r="B56" s="26">
        <f>COUNTIF(MatchScoutingData!B$2:B$9997, $A56)</f>
        <v>0</v>
      </c>
    </row>
    <row r="57" spans="1:2" x14ac:dyDescent="0.2">
      <c r="A57" s="26"/>
      <c r="B57" s="26">
        <f>COUNTIF(MatchScoutingData!B$2:B$9997, $A57)</f>
        <v>0</v>
      </c>
    </row>
    <row r="58" spans="1:2" x14ac:dyDescent="0.2">
      <c r="A58" s="26"/>
      <c r="B58" s="26">
        <f>COUNTIF(MatchScoutingData!B$2:B$9997, $A58)</f>
        <v>0</v>
      </c>
    </row>
    <row r="59" spans="1:2" x14ac:dyDescent="0.2">
      <c r="A59" s="26"/>
      <c r="B59" s="26">
        <f>COUNTIF(MatchScoutingData!B$2:B$9997, $A59)</f>
        <v>0</v>
      </c>
    </row>
    <row r="60" spans="1:2" x14ac:dyDescent="0.2">
      <c r="A60" s="26"/>
      <c r="B60" s="26">
        <f>COUNTIF(MatchScoutingData!B$2:B$9997, $A60)</f>
        <v>0</v>
      </c>
    </row>
    <row r="61" spans="1:2" x14ac:dyDescent="0.2">
      <c r="A61" s="26"/>
      <c r="B61" s="26">
        <f>COUNTIF(MatchScoutingData!B$2:B$9997, $A61)</f>
        <v>0</v>
      </c>
    </row>
    <row r="62" spans="1:2" x14ac:dyDescent="0.2">
      <c r="A62" s="26"/>
      <c r="B62" s="26">
        <f>COUNTIF(MatchScoutingData!B$2:B$9997, $A62)</f>
        <v>0</v>
      </c>
    </row>
    <row r="63" spans="1:2" x14ac:dyDescent="0.2">
      <c r="A63" s="26"/>
      <c r="B63" s="26">
        <f>COUNTIF(MatchScoutingData!B$2:B$9997, $A63)</f>
        <v>0</v>
      </c>
    </row>
    <row r="64" spans="1:2" x14ac:dyDescent="0.2">
      <c r="A64" s="26"/>
      <c r="B64" s="26">
        <f>COUNTIF(MatchScoutingData!B$2:B$9997, $A64)</f>
        <v>0</v>
      </c>
    </row>
    <row r="65" spans="1:2" x14ac:dyDescent="0.2">
      <c r="A65" s="26"/>
      <c r="B65" s="26">
        <f>COUNTIF(MatchScoutingData!B$2:B$9997, $A65)</f>
        <v>0</v>
      </c>
    </row>
    <row r="66" spans="1:2" x14ac:dyDescent="0.2">
      <c r="A66" s="26"/>
      <c r="B66" s="26">
        <f>COUNTIF(MatchScoutingData!B$2:B$9997, $A66)</f>
        <v>0</v>
      </c>
    </row>
    <row r="67" spans="1:2" x14ac:dyDescent="0.2">
      <c r="A67" s="26"/>
      <c r="B67" s="26">
        <f>COUNTIF(MatchScoutingData!B$2:B$9997, $A67)</f>
        <v>0</v>
      </c>
    </row>
    <row r="68" spans="1:2" x14ac:dyDescent="0.2">
      <c r="A68" s="26"/>
      <c r="B68" s="26">
        <f>COUNTIF(MatchScoutingData!B$2:B$9997, $A68)</f>
        <v>0</v>
      </c>
    </row>
    <row r="69" spans="1:2" x14ac:dyDescent="0.2">
      <c r="A69" s="26"/>
      <c r="B69" s="26">
        <f>COUNTIF(MatchScoutingData!B$2:B$9997, $A69)</f>
        <v>0</v>
      </c>
    </row>
    <row r="70" spans="1:2" x14ac:dyDescent="0.2">
      <c r="A70" s="26"/>
      <c r="B70" s="26">
        <f>COUNTIF(MatchScoutingData!B$2:B$9997, $A70)</f>
        <v>0</v>
      </c>
    </row>
    <row r="71" spans="1:2" x14ac:dyDescent="0.2">
      <c r="A71" s="26"/>
      <c r="B71" s="26">
        <f>COUNTIF(MatchScoutingData!B$2:B$9997, $A71)</f>
        <v>0</v>
      </c>
    </row>
    <row r="72" spans="1:2" x14ac:dyDescent="0.2">
      <c r="A72" s="26"/>
      <c r="B72" s="26">
        <f>COUNTIF(MatchScoutingData!B$2:B$9997, $A72)</f>
        <v>0</v>
      </c>
    </row>
    <row r="73" spans="1:2" x14ac:dyDescent="0.2">
      <c r="A73" s="26"/>
      <c r="B73" s="26">
        <f>COUNTIF(MatchScoutingData!B$2:B$9997, $A73)</f>
        <v>0</v>
      </c>
    </row>
    <row r="74" spans="1:2" x14ac:dyDescent="0.2">
      <c r="A74" s="26"/>
      <c r="B74" s="26">
        <f>COUNTIF(MatchScoutingData!B$2:B$9997, $A74)</f>
        <v>0</v>
      </c>
    </row>
    <row r="75" spans="1:2" x14ac:dyDescent="0.2">
      <c r="A75" s="26"/>
      <c r="B75" s="26">
        <f>COUNTIF(MatchScoutingData!B$2:B$9997, $A75)</f>
        <v>0</v>
      </c>
    </row>
    <row r="76" spans="1:2" x14ac:dyDescent="0.2">
      <c r="A76" s="26"/>
      <c r="B76" s="26">
        <f>COUNTIF(MatchScoutingData!B$2:B$9997, $A76)</f>
        <v>0</v>
      </c>
    </row>
    <row r="77" spans="1:2" x14ac:dyDescent="0.2">
      <c r="A77" s="26"/>
      <c r="B77" s="26">
        <f>COUNTIF(MatchScoutingData!B$2:B$9997, $A77)</f>
        <v>0</v>
      </c>
    </row>
    <row r="78" spans="1:2" x14ac:dyDescent="0.2">
      <c r="A78" s="26"/>
      <c r="B78" s="26">
        <f>COUNTIF(MatchScoutingData!B$2:B$9997, $A78)</f>
        <v>0</v>
      </c>
    </row>
    <row r="79" spans="1:2" x14ac:dyDescent="0.2">
      <c r="A79" s="26"/>
      <c r="B79" s="26">
        <f>COUNTIF(MatchScoutingData!B$2:B$9997, $A79)</f>
        <v>0</v>
      </c>
    </row>
    <row r="80" spans="1:2" x14ac:dyDescent="0.2">
      <c r="A80" s="26"/>
      <c r="B80" s="26">
        <f>COUNTIF(MatchScoutingData!B$2:B$9997, $A80)</f>
        <v>0</v>
      </c>
    </row>
    <row r="81" spans="1:2" x14ac:dyDescent="0.2">
      <c r="A81" s="26"/>
      <c r="B81" s="26">
        <f>COUNTIF(MatchScoutingData!B$2:B$9997, $A81)</f>
        <v>0</v>
      </c>
    </row>
    <row r="82" spans="1:2" x14ac:dyDescent="0.2">
      <c r="A82" s="26"/>
      <c r="B82" s="26">
        <f>COUNTIF(MatchScoutingData!B$2:B$9997, $A82)</f>
        <v>0</v>
      </c>
    </row>
    <row r="83" spans="1:2" x14ac:dyDescent="0.2">
      <c r="A83" s="26"/>
      <c r="B83" s="26">
        <f>COUNTIF(MatchScoutingData!B$2:B$9997, $A83)</f>
        <v>0</v>
      </c>
    </row>
    <row r="84" spans="1:2" x14ac:dyDescent="0.2">
      <c r="A84" s="26"/>
      <c r="B84" s="26">
        <f>COUNTIF(MatchScoutingData!B$2:B$9997, $A84)</f>
        <v>0</v>
      </c>
    </row>
    <row r="85" spans="1:2" x14ac:dyDescent="0.2">
      <c r="A85" s="26"/>
      <c r="B85" s="26">
        <f>COUNTIF(MatchScoutingData!B$2:B$9997, $A85)</f>
        <v>0</v>
      </c>
    </row>
    <row r="86" spans="1:2" x14ac:dyDescent="0.2">
      <c r="A86" s="26"/>
      <c r="B86" s="26">
        <f>COUNTIF(MatchScoutingData!B$2:B$9997, $A86)</f>
        <v>0</v>
      </c>
    </row>
    <row r="87" spans="1:2" x14ac:dyDescent="0.2">
      <c r="A87" s="26"/>
      <c r="B87" s="26">
        <f>COUNTIF(MatchScoutingData!B$2:B$9997, $A87)</f>
        <v>0</v>
      </c>
    </row>
    <row r="88" spans="1:2" x14ac:dyDescent="0.2">
      <c r="A88" s="26"/>
      <c r="B88" s="26">
        <f>COUNTIF(MatchScoutingData!B$2:B$9997, $A88)</f>
        <v>0</v>
      </c>
    </row>
    <row r="89" spans="1:2" x14ac:dyDescent="0.2">
      <c r="A89" s="26"/>
      <c r="B89" s="26">
        <f>COUNTIF(MatchScoutingData!B$2:B$9997, $A89)</f>
        <v>0</v>
      </c>
    </row>
    <row r="90" spans="1:2" x14ac:dyDescent="0.2">
      <c r="A90" s="26"/>
      <c r="B90" s="26">
        <f>COUNTIF(MatchScoutingData!B$2:B$9997, $A90)</f>
        <v>0</v>
      </c>
    </row>
    <row r="91" spans="1:2" x14ac:dyDescent="0.2">
      <c r="A91" s="26"/>
      <c r="B91" s="26">
        <f>COUNTIF(MatchScoutingData!B$2:B$9997, $A91)</f>
        <v>0</v>
      </c>
    </row>
    <row r="92" spans="1:2" x14ac:dyDescent="0.2">
      <c r="A92" s="26"/>
      <c r="B92" s="26">
        <f>COUNTIF(MatchScoutingData!B$2:B$9997, $A92)</f>
        <v>0</v>
      </c>
    </row>
    <row r="93" spans="1:2" x14ac:dyDescent="0.2">
      <c r="A93" s="26"/>
      <c r="B93" s="26">
        <f>COUNTIF(MatchScoutingData!B$2:B$9997, $A93)</f>
        <v>0</v>
      </c>
    </row>
    <row r="94" spans="1:2" x14ac:dyDescent="0.2">
      <c r="A94" s="26"/>
      <c r="B94" s="26">
        <f>COUNTIF(MatchScoutingData!B$2:B$9997, $A94)</f>
        <v>0</v>
      </c>
    </row>
    <row r="95" spans="1:2" x14ac:dyDescent="0.2">
      <c r="A95" s="26"/>
      <c r="B95" s="26">
        <f>COUNTIF(MatchScoutingData!B$2:B$9997, $A95)</f>
        <v>0</v>
      </c>
    </row>
    <row r="96" spans="1:2" x14ac:dyDescent="0.2">
      <c r="A96" s="26"/>
      <c r="B96" s="26">
        <f>COUNTIF(MatchScoutingData!B$2:B$9997, $A96)</f>
        <v>0</v>
      </c>
    </row>
    <row r="97" spans="1:2" x14ac:dyDescent="0.2">
      <c r="A97" s="26"/>
      <c r="B97" s="26">
        <f>COUNTIF(MatchScoutingData!B$2:B$9997, $A97)</f>
        <v>0</v>
      </c>
    </row>
    <row r="98" spans="1:2" x14ac:dyDescent="0.2">
      <c r="A98" s="26"/>
      <c r="B98" s="26">
        <f>COUNTIF(MatchScoutingData!B$2:B$9997, $A98)</f>
        <v>0</v>
      </c>
    </row>
    <row r="99" spans="1:2" x14ac:dyDescent="0.2">
      <c r="A99" s="26"/>
      <c r="B99" s="26">
        <f>COUNTIF(MatchScoutingData!B$2:B$9997, $A99)</f>
        <v>0</v>
      </c>
    </row>
    <row r="100" spans="1:2" x14ac:dyDescent="0.2">
      <c r="A100" s="26"/>
      <c r="B100" s="26">
        <f>COUNTIF(MatchScoutingData!B$2:B$9997, $A100)</f>
        <v>0</v>
      </c>
    </row>
    <row r="101" spans="1:2" x14ac:dyDescent="0.2">
      <c r="A101" s="26"/>
      <c r="B101" s="26">
        <f>COUNTIF(MatchScoutingData!B$2:B$9997, $A101)</f>
        <v>0</v>
      </c>
    </row>
  </sheetData>
  <autoFilter ref="A1:B101" xr:uid="{00000000-0009-0000-0000-000006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57"/>
  <sheetViews>
    <sheetView zoomScale="150" zoomScaleNormal="150" workbookViewId="0">
      <selection activeCell="A2" sqref="A2"/>
    </sheetView>
  </sheetViews>
  <sheetFormatPr baseColWidth="10" defaultRowHeight="15" x14ac:dyDescent="0.2"/>
  <cols>
    <col min="1" max="7" width="18.83203125" customWidth="1"/>
  </cols>
  <sheetData>
    <row r="1" spans="1:7" s="25" customFormat="1" ht="16" customHeight="1" x14ac:dyDescent="0.2">
      <c r="A1" s="5" t="s">
        <v>5</v>
      </c>
      <c r="B1" s="5" t="s">
        <v>332</v>
      </c>
      <c r="C1" s="5" t="s">
        <v>333</v>
      </c>
      <c r="D1" s="5" t="s">
        <v>334</v>
      </c>
      <c r="E1" s="5" t="s">
        <v>335</v>
      </c>
      <c r="F1" s="5" t="s">
        <v>336</v>
      </c>
      <c r="G1" s="5" t="s">
        <v>337</v>
      </c>
    </row>
    <row r="2" spans="1:7" x14ac:dyDescent="0.2">
      <c r="A2">
        <f>'Team Summary'!A4</f>
        <v>20</v>
      </c>
      <c r="B2">
        <f>'Team Summary'!B4</f>
        <v>23</v>
      </c>
      <c r="C2">
        <f>'Team Summary'!C4</f>
        <v>7.666666666666667</v>
      </c>
      <c r="D2">
        <f>'Team Summary'!D4</f>
        <v>141</v>
      </c>
      <c r="E2">
        <f>'Team Summary'!E4</f>
        <v>47</v>
      </c>
      <c r="F2">
        <f>'Team Summary'!F4</f>
        <v>36</v>
      </c>
      <c r="G2">
        <f>'Team Summary'!G4</f>
        <v>12</v>
      </c>
    </row>
    <row r="3" spans="1:7" x14ac:dyDescent="0.2">
      <c r="A3">
        <f>'Team Summary'!A5</f>
        <v>191</v>
      </c>
      <c r="B3">
        <f>'Team Summary'!B5</f>
        <v>86</v>
      </c>
      <c r="C3">
        <f>'Team Summary'!C5</f>
        <v>17.2</v>
      </c>
      <c r="D3">
        <f>'Team Summary'!D5</f>
        <v>143</v>
      </c>
      <c r="E3">
        <f>'Team Summary'!E5</f>
        <v>28.6</v>
      </c>
      <c r="F3">
        <f>'Team Summary'!F5</f>
        <v>30</v>
      </c>
      <c r="G3">
        <f>'Team Summary'!G5</f>
        <v>6</v>
      </c>
    </row>
    <row r="4" spans="1:7" x14ac:dyDescent="0.2">
      <c r="A4">
        <f>'Team Summary'!A6</f>
        <v>229</v>
      </c>
      <c r="B4">
        <f>'Team Summary'!B6</f>
        <v>6</v>
      </c>
      <c r="C4">
        <f>'Team Summary'!C6</f>
        <v>1.2</v>
      </c>
      <c r="D4">
        <f>'Team Summary'!D6</f>
        <v>36</v>
      </c>
      <c r="E4">
        <f>'Team Summary'!E6</f>
        <v>7.2</v>
      </c>
      <c r="F4">
        <f>'Team Summary'!F6</f>
        <v>4</v>
      </c>
      <c r="G4">
        <f>'Team Summary'!G6</f>
        <v>0.8</v>
      </c>
    </row>
    <row r="5" spans="1:7" x14ac:dyDescent="0.2">
      <c r="A5">
        <f>'Team Summary'!A7</f>
        <v>250</v>
      </c>
      <c r="B5">
        <f>'Team Summary'!B7</f>
        <v>9</v>
      </c>
      <c r="C5">
        <f>'Team Summary'!C7</f>
        <v>2.25</v>
      </c>
      <c r="D5">
        <f>'Team Summary'!D7</f>
        <v>54</v>
      </c>
      <c r="E5">
        <f>'Team Summary'!E7</f>
        <v>13.5</v>
      </c>
      <c r="F5">
        <f>'Team Summary'!F7</f>
        <v>38</v>
      </c>
      <c r="G5">
        <f>'Team Summary'!G7</f>
        <v>9.5</v>
      </c>
    </row>
    <row r="6" spans="1:7" x14ac:dyDescent="0.2">
      <c r="A6">
        <f>'Team Summary'!A8</f>
        <v>334</v>
      </c>
      <c r="B6">
        <f>'Team Summary'!B8</f>
        <v>6</v>
      </c>
      <c r="C6">
        <f>'Team Summary'!C8</f>
        <v>2</v>
      </c>
      <c r="D6">
        <f>'Team Summary'!D8</f>
        <v>40</v>
      </c>
      <c r="E6">
        <f>'Team Summary'!E8</f>
        <v>13.333333333333334</v>
      </c>
      <c r="F6">
        <f>'Team Summary'!F8</f>
        <v>4</v>
      </c>
      <c r="G6">
        <f>'Team Summary'!G8</f>
        <v>1.3333333333333333</v>
      </c>
    </row>
    <row r="7" spans="1:7" x14ac:dyDescent="0.2">
      <c r="A7">
        <f>'Team Summary'!A9</f>
        <v>358</v>
      </c>
      <c r="B7">
        <f>'Team Summary'!B9</f>
        <v>88</v>
      </c>
      <c r="C7">
        <f>'Team Summary'!C9</f>
        <v>44</v>
      </c>
      <c r="D7">
        <f>'Team Summary'!D9</f>
        <v>28</v>
      </c>
      <c r="E7">
        <f>'Team Summary'!E9</f>
        <v>14</v>
      </c>
      <c r="F7">
        <f>'Team Summary'!F9</f>
        <v>2</v>
      </c>
      <c r="G7">
        <f>'Team Summary'!G9</f>
        <v>1</v>
      </c>
    </row>
    <row r="8" spans="1:7" x14ac:dyDescent="0.2">
      <c r="A8">
        <f>'Team Summary'!A10</f>
        <v>424</v>
      </c>
      <c r="B8">
        <f>'Team Summary'!B10</f>
        <v>16</v>
      </c>
      <c r="C8">
        <f>'Team Summary'!C10</f>
        <v>5.333333333333333</v>
      </c>
      <c r="D8">
        <f>'Team Summary'!D10</f>
        <v>79</v>
      </c>
      <c r="E8">
        <f>'Team Summary'!E10</f>
        <v>26.333333333333332</v>
      </c>
      <c r="F8">
        <f>'Team Summary'!F10</f>
        <v>24</v>
      </c>
      <c r="G8">
        <f>'Team Summary'!G10</f>
        <v>8</v>
      </c>
    </row>
    <row r="9" spans="1:7" x14ac:dyDescent="0.2">
      <c r="A9">
        <f>'Team Summary'!A11</f>
        <v>578</v>
      </c>
      <c r="B9">
        <f>'Team Summary'!B11</f>
        <v>9</v>
      </c>
      <c r="C9">
        <f>'Team Summary'!C11</f>
        <v>1.8</v>
      </c>
      <c r="D9">
        <f>'Team Summary'!D11</f>
        <v>63</v>
      </c>
      <c r="E9">
        <f>'Team Summary'!E11</f>
        <v>12.6</v>
      </c>
      <c r="F9">
        <f>'Team Summary'!F11</f>
        <v>0</v>
      </c>
      <c r="G9">
        <f>'Team Summary'!G11</f>
        <v>0</v>
      </c>
    </row>
    <row r="10" spans="1:7" x14ac:dyDescent="0.2">
      <c r="A10">
        <f>'Team Summary'!A12</f>
        <v>639</v>
      </c>
      <c r="B10">
        <f>'Team Summary'!B12</f>
        <v>0</v>
      </c>
      <c r="C10">
        <f>'Team Summary'!C12</f>
        <v>0</v>
      </c>
      <c r="D10">
        <f>'Team Summary'!D12</f>
        <v>23</v>
      </c>
      <c r="E10">
        <f>'Team Summary'!E12</f>
        <v>7.666666666666667</v>
      </c>
      <c r="F10">
        <f>'Team Summary'!F12</f>
        <v>0</v>
      </c>
      <c r="G10">
        <f>'Team Summary'!G12</f>
        <v>0</v>
      </c>
    </row>
    <row r="11" spans="1:7" x14ac:dyDescent="0.2">
      <c r="A11">
        <f>'Team Summary'!A13</f>
        <v>810</v>
      </c>
      <c r="B11">
        <f>'Team Summary'!B13</f>
        <v>43</v>
      </c>
      <c r="C11">
        <f>'Team Summary'!C13</f>
        <v>10.75</v>
      </c>
      <c r="D11">
        <f>'Team Summary'!D13</f>
        <v>118</v>
      </c>
      <c r="E11">
        <f>'Team Summary'!E13</f>
        <v>29.5</v>
      </c>
      <c r="F11">
        <f>'Team Summary'!F13</f>
        <v>4</v>
      </c>
      <c r="G11">
        <f>'Team Summary'!G13</f>
        <v>1</v>
      </c>
    </row>
    <row r="12" spans="1:7" x14ac:dyDescent="0.2">
      <c r="A12">
        <f>'Team Summary'!A14</f>
        <v>870</v>
      </c>
      <c r="B12">
        <f>'Team Summary'!B14</f>
        <v>61</v>
      </c>
      <c r="C12">
        <f>'Team Summary'!C14</f>
        <v>15.25</v>
      </c>
      <c r="D12">
        <f>'Team Summary'!D14</f>
        <v>103</v>
      </c>
      <c r="E12">
        <f>'Team Summary'!E14</f>
        <v>25.75</v>
      </c>
      <c r="F12">
        <f>'Team Summary'!F14</f>
        <v>38</v>
      </c>
      <c r="G12">
        <f>'Team Summary'!G14</f>
        <v>9.5</v>
      </c>
    </row>
    <row r="13" spans="1:7" x14ac:dyDescent="0.2">
      <c r="A13">
        <f>'Team Summary'!A15</f>
        <v>1126</v>
      </c>
      <c r="B13">
        <f>'Team Summary'!B15</f>
        <v>9</v>
      </c>
      <c r="C13">
        <f>'Team Summary'!C15</f>
        <v>2.25</v>
      </c>
      <c r="D13">
        <f>'Team Summary'!D15</f>
        <v>25</v>
      </c>
      <c r="E13">
        <f>'Team Summary'!E15</f>
        <v>6.25</v>
      </c>
      <c r="F13">
        <f>'Team Summary'!F15</f>
        <v>14</v>
      </c>
      <c r="G13">
        <f>'Team Summary'!G15</f>
        <v>3.5</v>
      </c>
    </row>
    <row r="14" spans="1:7" x14ac:dyDescent="0.2">
      <c r="A14">
        <f>'Team Summary'!A16</f>
        <v>1468</v>
      </c>
      <c r="B14">
        <f>'Team Summary'!B16</f>
        <v>614</v>
      </c>
      <c r="C14">
        <f>'Team Summary'!C16</f>
        <v>307</v>
      </c>
      <c r="D14">
        <f>'Team Summary'!D16</f>
        <v>30</v>
      </c>
      <c r="E14">
        <f>'Team Summary'!E16</f>
        <v>15</v>
      </c>
      <c r="F14">
        <f>'Team Summary'!F16</f>
        <v>6</v>
      </c>
      <c r="G14">
        <f>'Team Summary'!G16</f>
        <v>3</v>
      </c>
    </row>
    <row r="15" spans="1:7" x14ac:dyDescent="0.2">
      <c r="A15">
        <f>'Team Summary'!A17</f>
        <v>1493</v>
      </c>
      <c r="B15">
        <f>'Team Summary'!B17</f>
        <v>17</v>
      </c>
      <c r="C15">
        <f>'Team Summary'!C17</f>
        <v>17</v>
      </c>
      <c r="D15">
        <f>'Team Summary'!D17</f>
        <v>72</v>
      </c>
      <c r="E15">
        <f>'Team Summary'!E17</f>
        <v>72</v>
      </c>
      <c r="F15">
        <f>'Team Summary'!F17</f>
        <v>0</v>
      </c>
      <c r="G15">
        <f>'Team Summary'!G17</f>
        <v>0</v>
      </c>
    </row>
    <row r="16" spans="1:7" x14ac:dyDescent="0.2">
      <c r="A16">
        <f>'Team Summary'!A18</f>
        <v>1518</v>
      </c>
      <c r="B16">
        <f>'Team Summary'!B18</f>
        <v>0</v>
      </c>
      <c r="C16">
        <f>'Team Summary'!C18</f>
        <v>0</v>
      </c>
      <c r="D16">
        <f>'Team Summary'!D18</f>
        <v>20</v>
      </c>
      <c r="E16">
        <f>'Team Summary'!E18</f>
        <v>20</v>
      </c>
      <c r="F16">
        <f>'Team Summary'!F18</f>
        <v>0</v>
      </c>
      <c r="G16">
        <f>'Team Summary'!G18</f>
        <v>0</v>
      </c>
    </row>
    <row r="17" spans="1:7" x14ac:dyDescent="0.2">
      <c r="A17">
        <f>'Team Summary'!A19</f>
        <v>1591</v>
      </c>
      <c r="B17">
        <f>'Team Summary'!B19</f>
        <v>10</v>
      </c>
      <c r="C17">
        <f>'Team Summary'!C19</f>
        <v>5</v>
      </c>
      <c r="D17">
        <f>'Team Summary'!D19</f>
        <v>65</v>
      </c>
      <c r="E17">
        <f>'Team Summary'!E19</f>
        <v>32.5</v>
      </c>
      <c r="F17">
        <f>'Team Summary'!F19</f>
        <v>6</v>
      </c>
      <c r="G17">
        <f>'Team Summary'!G19</f>
        <v>3</v>
      </c>
    </row>
    <row r="18" spans="1:7" x14ac:dyDescent="0.2">
      <c r="A18">
        <f>'Team Summary'!A20</f>
        <v>1796</v>
      </c>
      <c r="B18">
        <f>'Team Summary'!B20</f>
        <v>41</v>
      </c>
      <c r="C18">
        <f>'Team Summary'!C20</f>
        <v>20.5</v>
      </c>
      <c r="D18">
        <f>'Team Summary'!D20</f>
        <v>104</v>
      </c>
      <c r="E18">
        <f>'Team Summary'!E20</f>
        <v>52</v>
      </c>
      <c r="F18">
        <f>'Team Summary'!F20</f>
        <v>24</v>
      </c>
      <c r="G18">
        <f>'Team Summary'!G20</f>
        <v>12</v>
      </c>
    </row>
    <row r="19" spans="1:7" x14ac:dyDescent="0.2">
      <c r="A19">
        <f>'Team Summary'!A21</f>
        <v>1880</v>
      </c>
      <c r="B19">
        <f>'Team Summary'!B21</f>
        <v>30</v>
      </c>
      <c r="C19">
        <f>'Team Summary'!C21</f>
        <v>10</v>
      </c>
      <c r="D19">
        <f>'Team Summary'!D21</f>
        <v>82</v>
      </c>
      <c r="E19">
        <f>'Team Summary'!E21</f>
        <v>27.333333333333332</v>
      </c>
      <c r="F19">
        <f>'Team Summary'!F21</f>
        <v>6</v>
      </c>
      <c r="G19">
        <f>'Team Summary'!G21</f>
        <v>2</v>
      </c>
    </row>
    <row r="20" spans="1:7" x14ac:dyDescent="0.2">
      <c r="A20">
        <f>'Team Summary'!A22</f>
        <v>2053</v>
      </c>
      <c r="B20">
        <f>'Team Summary'!B22</f>
        <v>0</v>
      </c>
      <c r="C20">
        <f>'Team Summary'!C22</f>
        <v>0</v>
      </c>
      <c r="D20">
        <f>'Team Summary'!D22</f>
        <v>13</v>
      </c>
      <c r="E20">
        <f>'Team Summary'!E22</f>
        <v>13</v>
      </c>
      <c r="F20">
        <f>'Team Summary'!F22</f>
        <v>0</v>
      </c>
      <c r="G20">
        <f>'Team Summary'!G22</f>
        <v>0</v>
      </c>
    </row>
    <row r="21" spans="1:7" x14ac:dyDescent="0.2">
      <c r="A21">
        <f>'Team Summary'!A23</f>
        <v>2601</v>
      </c>
      <c r="B21">
        <f>'Team Summary'!B23</f>
        <v>13</v>
      </c>
      <c r="C21">
        <f>'Team Summary'!C23</f>
        <v>6.5</v>
      </c>
      <c r="D21">
        <f>'Team Summary'!D23</f>
        <v>61</v>
      </c>
      <c r="E21">
        <f>'Team Summary'!E23</f>
        <v>30.5</v>
      </c>
      <c r="F21">
        <f>'Team Summary'!F23</f>
        <v>0</v>
      </c>
      <c r="G21">
        <f>'Team Summary'!G23</f>
        <v>0</v>
      </c>
    </row>
    <row r="22" spans="1:7" x14ac:dyDescent="0.2">
      <c r="A22">
        <f>'Team Summary'!A24</f>
        <v>2791</v>
      </c>
      <c r="B22">
        <f>'Team Summary'!B24</f>
        <v>20</v>
      </c>
      <c r="C22">
        <f>'Team Summary'!C24</f>
        <v>6.666666666666667</v>
      </c>
      <c r="D22">
        <f>'Team Summary'!D24</f>
        <v>32</v>
      </c>
      <c r="E22">
        <f>'Team Summary'!E24</f>
        <v>10.666666666666666</v>
      </c>
      <c r="F22">
        <f>'Team Summary'!F24</f>
        <v>4</v>
      </c>
      <c r="G22">
        <f>'Team Summary'!G24</f>
        <v>1.3333333333333333</v>
      </c>
    </row>
    <row r="23" spans="1:7" x14ac:dyDescent="0.2">
      <c r="A23">
        <f>'Team Summary'!A25</f>
        <v>2869</v>
      </c>
      <c r="B23">
        <f>'Team Summary'!B25</f>
        <v>10</v>
      </c>
      <c r="C23">
        <f>'Team Summary'!C25</f>
        <v>10</v>
      </c>
      <c r="D23">
        <f>'Team Summary'!D25</f>
        <v>18</v>
      </c>
      <c r="E23">
        <f>'Team Summary'!E25</f>
        <v>18</v>
      </c>
      <c r="F23">
        <f>'Team Summary'!F25</f>
        <v>12</v>
      </c>
      <c r="G23">
        <f>'Team Summary'!G25</f>
        <v>12</v>
      </c>
    </row>
    <row r="24" spans="1:7" x14ac:dyDescent="0.2">
      <c r="A24">
        <f>'Team Summary'!A26</f>
        <v>2875</v>
      </c>
      <c r="B24">
        <f>'Team Summary'!B26</f>
        <v>41</v>
      </c>
      <c r="C24">
        <f>'Team Summary'!C26</f>
        <v>13.666666666666666</v>
      </c>
      <c r="D24">
        <f>'Team Summary'!D26</f>
        <v>95</v>
      </c>
      <c r="E24">
        <f>'Team Summary'!E26</f>
        <v>31.666666666666668</v>
      </c>
      <c r="F24">
        <f>'Team Summary'!F26</f>
        <v>4</v>
      </c>
      <c r="G24">
        <f>'Team Summary'!G26</f>
        <v>1.3333333333333333</v>
      </c>
    </row>
    <row r="25" spans="1:7" x14ac:dyDescent="0.2">
      <c r="A25">
        <f>'Team Summary'!A27</f>
        <v>3003</v>
      </c>
      <c r="B25">
        <f>'Team Summary'!B27</f>
        <v>20</v>
      </c>
      <c r="C25">
        <f>'Team Summary'!C27</f>
        <v>10</v>
      </c>
      <c r="D25">
        <f>'Team Summary'!D27</f>
        <v>62</v>
      </c>
      <c r="E25">
        <f>'Team Summary'!E27</f>
        <v>31</v>
      </c>
      <c r="F25">
        <f>'Team Summary'!F27</f>
        <v>14</v>
      </c>
      <c r="G25">
        <f>'Team Summary'!G27</f>
        <v>7</v>
      </c>
    </row>
    <row r="26" spans="1:7" x14ac:dyDescent="0.2">
      <c r="A26">
        <f>'Team Summary'!A28</f>
        <v>3044</v>
      </c>
      <c r="B26">
        <f>'Team Summary'!B28</f>
        <v>30</v>
      </c>
      <c r="C26">
        <f>'Team Summary'!C28</f>
        <v>10</v>
      </c>
      <c r="D26">
        <f>'Team Summary'!D28</f>
        <v>74</v>
      </c>
      <c r="E26">
        <f>'Team Summary'!E28</f>
        <v>24.666666666666668</v>
      </c>
      <c r="F26">
        <f>'Team Summary'!F28</f>
        <v>14</v>
      </c>
      <c r="G26">
        <f>'Team Summary'!G28</f>
        <v>4.666666666666667</v>
      </c>
    </row>
    <row r="27" spans="1:7" x14ac:dyDescent="0.2">
      <c r="A27">
        <f>'Team Summary'!A29</f>
        <v>3117</v>
      </c>
      <c r="B27">
        <f>'Team Summary'!B29</f>
        <v>13</v>
      </c>
      <c r="C27">
        <f>'Team Summary'!C29</f>
        <v>4.333333333333333</v>
      </c>
      <c r="D27">
        <f>'Team Summary'!D29</f>
        <v>96</v>
      </c>
      <c r="E27">
        <f>'Team Summary'!E29</f>
        <v>32</v>
      </c>
      <c r="F27">
        <f>'Team Summary'!F29</f>
        <v>16</v>
      </c>
      <c r="G27">
        <f>'Team Summary'!G29</f>
        <v>5.333333333333333</v>
      </c>
    </row>
    <row r="28" spans="1:7" x14ac:dyDescent="0.2">
      <c r="A28">
        <f>'Team Summary'!A30</f>
        <v>3171</v>
      </c>
      <c r="B28">
        <f>'Team Summary'!B30</f>
        <v>20</v>
      </c>
      <c r="C28">
        <f>'Team Summary'!C30</f>
        <v>5</v>
      </c>
      <c r="D28">
        <f>'Team Summary'!D30</f>
        <v>13</v>
      </c>
      <c r="E28">
        <f>'Team Summary'!E30</f>
        <v>3.25</v>
      </c>
      <c r="F28">
        <f>'Team Summary'!F30</f>
        <v>16</v>
      </c>
      <c r="G28">
        <f>'Team Summary'!G30</f>
        <v>4</v>
      </c>
    </row>
    <row r="29" spans="1:7" x14ac:dyDescent="0.2">
      <c r="A29">
        <f>'Team Summary'!A31</f>
        <v>3173</v>
      </c>
      <c r="B29">
        <f>'Team Summary'!B31</f>
        <v>71</v>
      </c>
      <c r="C29">
        <f>'Team Summary'!C31</f>
        <v>14.2</v>
      </c>
      <c r="D29">
        <f>'Team Summary'!D31</f>
        <v>176</v>
      </c>
      <c r="E29">
        <f>'Team Summary'!E31</f>
        <v>35.200000000000003</v>
      </c>
      <c r="F29">
        <f>'Team Summary'!F31</f>
        <v>50</v>
      </c>
      <c r="G29">
        <f>'Team Summary'!G31</f>
        <v>10</v>
      </c>
    </row>
    <row r="30" spans="1:7" x14ac:dyDescent="0.2">
      <c r="A30">
        <f>'Team Summary'!A32</f>
        <v>3181</v>
      </c>
      <c r="B30">
        <f>'Team Summary'!B32</f>
        <v>13</v>
      </c>
      <c r="C30">
        <f>'Team Summary'!C32</f>
        <v>4.333333333333333</v>
      </c>
      <c r="D30">
        <f>'Team Summary'!D32</f>
        <v>35</v>
      </c>
      <c r="E30">
        <f>'Team Summary'!E32</f>
        <v>11.666666666666666</v>
      </c>
      <c r="F30">
        <f>'Team Summary'!F32</f>
        <v>6</v>
      </c>
      <c r="G30">
        <f>'Team Summary'!G32</f>
        <v>2</v>
      </c>
    </row>
    <row r="31" spans="1:7" x14ac:dyDescent="0.2">
      <c r="A31">
        <f>'Team Summary'!A33</f>
        <v>3360</v>
      </c>
      <c r="B31">
        <f>'Team Summary'!B33</f>
        <v>3</v>
      </c>
      <c r="C31">
        <f>'Team Summary'!C33</f>
        <v>3</v>
      </c>
      <c r="D31">
        <f>'Team Summary'!D33</f>
        <v>24</v>
      </c>
      <c r="E31">
        <f>'Team Summary'!E33</f>
        <v>24</v>
      </c>
      <c r="F31">
        <f>'Team Summary'!F33</f>
        <v>2</v>
      </c>
      <c r="G31">
        <f>'Team Summary'!G33</f>
        <v>2</v>
      </c>
    </row>
    <row r="32" spans="1:7" x14ac:dyDescent="0.2">
      <c r="A32">
        <f>'Team Summary'!A34</f>
        <v>3550</v>
      </c>
      <c r="B32">
        <f>'Team Summary'!B34</f>
        <v>20</v>
      </c>
      <c r="C32">
        <f>'Team Summary'!C34</f>
        <v>6.666666666666667</v>
      </c>
      <c r="D32">
        <f>'Team Summary'!D34</f>
        <v>69</v>
      </c>
      <c r="E32">
        <f>'Team Summary'!E34</f>
        <v>23</v>
      </c>
      <c r="F32">
        <f>'Team Summary'!F34</f>
        <v>4</v>
      </c>
      <c r="G32">
        <f>'Team Summary'!G34</f>
        <v>1.3333333333333333</v>
      </c>
    </row>
    <row r="33" spans="1:7" x14ac:dyDescent="0.2">
      <c r="A33">
        <f>'Team Summary'!A35</f>
        <v>3950</v>
      </c>
      <c r="B33">
        <f>'Team Summary'!B35</f>
        <v>17</v>
      </c>
      <c r="C33">
        <f>'Team Summary'!C35</f>
        <v>17</v>
      </c>
      <c r="D33">
        <f>'Team Summary'!D35</f>
        <v>43</v>
      </c>
      <c r="E33">
        <f>'Team Summary'!E35</f>
        <v>43</v>
      </c>
      <c r="F33">
        <f>'Team Summary'!F35</f>
        <v>2</v>
      </c>
      <c r="G33">
        <f>'Team Summary'!G35</f>
        <v>2</v>
      </c>
    </row>
    <row r="34" spans="1:7" x14ac:dyDescent="0.2">
      <c r="A34">
        <f>'Team Summary'!A36</f>
        <v>4122</v>
      </c>
      <c r="B34">
        <f>'Team Summary'!B36</f>
        <v>34</v>
      </c>
      <c r="C34">
        <f>'Team Summary'!C36</f>
        <v>11.333333333333334</v>
      </c>
      <c r="D34">
        <f>'Team Summary'!D36</f>
        <v>108</v>
      </c>
      <c r="E34">
        <f>'Team Summary'!E36</f>
        <v>36</v>
      </c>
      <c r="F34">
        <f>'Team Summary'!F36</f>
        <v>36</v>
      </c>
      <c r="G34">
        <f>'Team Summary'!G36</f>
        <v>12</v>
      </c>
    </row>
    <row r="35" spans="1:7" x14ac:dyDescent="0.2">
      <c r="A35">
        <f>'Team Summary'!A37</f>
        <v>4458</v>
      </c>
      <c r="B35">
        <f>'Team Summary'!B37</f>
        <v>20</v>
      </c>
      <c r="C35">
        <f>'Team Summary'!C37</f>
        <v>10</v>
      </c>
      <c r="D35">
        <f>'Team Summary'!D37</f>
        <v>64</v>
      </c>
      <c r="E35">
        <f>'Team Summary'!E37</f>
        <v>32</v>
      </c>
      <c r="F35">
        <f>'Team Summary'!F37</f>
        <v>0</v>
      </c>
      <c r="G35">
        <f>'Team Summary'!G37</f>
        <v>0</v>
      </c>
    </row>
    <row r="36" spans="1:7" x14ac:dyDescent="0.2">
      <c r="A36">
        <f>'Team Summary'!A38</f>
        <v>4571</v>
      </c>
      <c r="B36">
        <f>'Team Summary'!B38</f>
        <v>13</v>
      </c>
      <c r="C36">
        <f>'Team Summary'!C38</f>
        <v>6.5</v>
      </c>
      <c r="D36">
        <f>'Team Summary'!D38</f>
        <v>51</v>
      </c>
      <c r="E36">
        <f>'Team Summary'!E38</f>
        <v>25.5</v>
      </c>
      <c r="F36">
        <f>'Team Summary'!F38</f>
        <v>2</v>
      </c>
      <c r="G36">
        <f>'Team Summary'!G38</f>
        <v>1</v>
      </c>
    </row>
    <row r="37" spans="1:7" x14ac:dyDescent="0.2">
      <c r="A37">
        <f>'Team Summary'!A39</f>
        <v>5149</v>
      </c>
      <c r="B37">
        <f>'Team Summary'!B39</f>
        <v>3</v>
      </c>
      <c r="C37">
        <f>'Team Summary'!C39</f>
        <v>1.5</v>
      </c>
      <c r="D37">
        <f>'Team Summary'!D39</f>
        <v>49</v>
      </c>
      <c r="E37">
        <f>'Team Summary'!E39</f>
        <v>24.5</v>
      </c>
      <c r="F37">
        <f>'Team Summary'!F39</f>
        <v>2</v>
      </c>
      <c r="G37">
        <f>'Team Summary'!G39</f>
        <v>1</v>
      </c>
    </row>
    <row r="38" spans="1:7" x14ac:dyDescent="0.2">
      <c r="A38">
        <f>'Team Summary'!A40</f>
        <v>5528</v>
      </c>
      <c r="B38">
        <f>'Team Summary'!B40</f>
        <v>33</v>
      </c>
      <c r="C38">
        <f>'Team Summary'!C40</f>
        <v>11</v>
      </c>
      <c r="D38">
        <f>'Team Summary'!D40</f>
        <v>114</v>
      </c>
      <c r="E38">
        <f>'Team Summary'!E40</f>
        <v>38</v>
      </c>
      <c r="F38">
        <f>'Team Summary'!F40</f>
        <v>14</v>
      </c>
      <c r="G38">
        <f>'Team Summary'!G40</f>
        <v>4.666666666666667</v>
      </c>
    </row>
    <row r="39" spans="1:7" x14ac:dyDescent="0.2">
      <c r="A39">
        <f>'Team Summary'!A41</f>
        <v>5881</v>
      </c>
      <c r="B39">
        <f>'Team Summary'!B41</f>
        <v>12</v>
      </c>
      <c r="C39">
        <f>'Team Summary'!C41</f>
        <v>2.4</v>
      </c>
      <c r="D39">
        <f>'Team Summary'!D41</f>
        <v>45</v>
      </c>
      <c r="E39">
        <f>'Team Summary'!E41</f>
        <v>9</v>
      </c>
      <c r="F39">
        <f>'Team Summary'!F41</f>
        <v>6</v>
      </c>
      <c r="G39">
        <f>'Team Summary'!G41</f>
        <v>1.2</v>
      </c>
    </row>
    <row r="40" spans="1:7" x14ac:dyDescent="0.2">
      <c r="A40">
        <f>'Team Summary'!A42</f>
        <v>6300</v>
      </c>
      <c r="B40">
        <f>'Team Summary'!B42</f>
        <v>6</v>
      </c>
      <c r="C40">
        <f>'Team Summary'!C42</f>
        <v>1.5</v>
      </c>
      <c r="D40">
        <f>'Team Summary'!D42</f>
        <v>43</v>
      </c>
      <c r="E40">
        <f>'Team Summary'!E42</f>
        <v>10.75</v>
      </c>
      <c r="F40">
        <f>'Team Summary'!F42</f>
        <v>16</v>
      </c>
      <c r="G40">
        <f>'Team Summary'!G42</f>
        <v>4</v>
      </c>
    </row>
    <row r="41" spans="1:7" x14ac:dyDescent="0.2">
      <c r="A41">
        <f>'Team Summary'!A43</f>
        <v>6401</v>
      </c>
      <c r="B41">
        <f>'Team Summary'!B43</f>
        <v>10</v>
      </c>
      <c r="C41">
        <f>'Team Summary'!C43</f>
        <v>3.3333333333333335</v>
      </c>
      <c r="D41">
        <f>'Team Summary'!D43</f>
        <v>55</v>
      </c>
      <c r="E41">
        <f>'Team Summary'!E43</f>
        <v>18.333333333333332</v>
      </c>
      <c r="F41">
        <f>'Team Summary'!F43</f>
        <v>2</v>
      </c>
      <c r="G41">
        <f>'Team Summary'!G43</f>
        <v>0.66666666666666663</v>
      </c>
    </row>
    <row r="42" spans="1:7" x14ac:dyDescent="0.2">
      <c r="A42">
        <f>'Team Summary'!A44</f>
        <v>6463</v>
      </c>
      <c r="B42">
        <f>'Team Summary'!B44</f>
        <v>6</v>
      </c>
      <c r="C42">
        <f>'Team Summary'!C44</f>
        <v>1.5</v>
      </c>
      <c r="D42">
        <f>'Team Summary'!D44</f>
        <v>57</v>
      </c>
      <c r="E42">
        <f>'Team Summary'!E44</f>
        <v>14.25</v>
      </c>
      <c r="F42">
        <f>'Team Summary'!F44</f>
        <v>0</v>
      </c>
      <c r="G42">
        <f>'Team Summary'!G44</f>
        <v>0</v>
      </c>
    </row>
    <row r="43" spans="1:7" x14ac:dyDescent="0.2">
      <c r="A43">
        <f>'Team Summary'!A45</f>
        <v>6621</v>
      </c>
      <c r="B43">
        <f>'Team Summary'!B45</f>
        <v>47</v>
      </c>
      <c r="C43">
        <f>'Team Summary'!C45</f>
        <v>11.75</v>
      </c>
      <c r="D43">
        <f>'Team Summary'!D45</f>
        <v>176</v>
      </c>
      <c r="E43">
        <f>'Team Summary'!E45</f>
        <v>44</v>
      </c>
      <c r="F43">
        <f>'Team Summary'!F45</f>
        <v>38</v>
      </c>
      <c r="G43">
        <f>'Team Summary'!G45</f>
        <v>9.5</v>
      </c>
    </row>
    <row r="44" spans="1:7" x14ac:dyDescent="0.2">
      <c r="A44">
        <f>'Team Summary'!A46</f>
        <v>6648</v>
      </c>
      <c r="B44">
        <f>'Team Summary'!B46</f>
        <v>6</v>
      </c>
      <c r="C44">
        <f>'Team Summary'!C46</f>
        <v>3</v>
      </c>
      <c r="D44">
        <f>'Team Summary'!D46</f>
        <v>12</v>
      </c>
      <c r="E44">
        <f>'Team Summary'!E46</f>
        <v>6</v>
      </c>
      <c r="F44">
        <f>'Team Summary'!F46</f>
        <v>2</v>
      </c>
      <c r="G44">
        <f>'Team Summary'!G46</f>
        <v>1</v>
      </c>
    </row>
    <row r="45" spans="1:7" x14ac:dyDescent="0.2">
      <c r="A45">
        <f>'Team Summary'!A47</f>
        <v>6806</v>
      </c>
      <c r="B45">
        <f>'Team Summary'!B47</f>
        <v>6</v>
      </c>
      <c r="C45">
        <f>'Team Summary'!C47</f>
        <v>3</v>
      </c>
      <c r="D45">
        <f>'Team Summary'!D47</f>
        <v>36</v>
      </c>
      <c r="E45">
        <f>'Team Summary'!E47</f>
        <v>18</v>
      </c>
      <c r="F45">
        <f>'Team Summary'!F47</f>
        <v>2</v>
      </c>
      <c r="G45">
        <f>'Team Summary'!G47</f>
        <v>1</v>
      </c>
    </row>
    <row r="46" spans="1:7" x14ac:dyDescent="0.2">
      <c r="A46">
        <f>'Team Summary'!A48</f>
        <v>6911</v>
      </c>
      <c r="B46">
        <f>'Team Summary'!B48</f>
        <v>3</v>
      </c>
      <c r="C46">
        <f>'Team Summary'!C48</f>
        <v>0.75</v>
      </c>
      <c r="D46">
        <f>'Team Summary'!D48</f>
        <v>92</v>
      </c>
      <c r="E46">
        <f>'Team Summary'!E48</f>
        <v>23</v>
      </c>
      <c r="F46">
        <f>'Team Summary'!F48</f>
        <v>14</v>
      </c>
      <c r="G46">
        <f>'Team Summary'!G48</f>
        <v>3.5</v>
      </c>
    </row>
    <row r="47" spans="1:7" x14ac:dyDescent="0.2">
      <c r="A47">
        <f>'Team Summary'!A49</f>
        <v>7030</v>
      </c>
      <c r="B47">
        <f>'Team Summary'!B49</f>
        <v>12</v>
      </c>
      <c r="C47">
        <f>'Team Summary'!C49</f>
        <v>4</v>
      </c>
      <c r="D47">
        <f>'Team Summary'!D49</f>
        <v>2</v>
      </c>
      <c r="E47">
        <f>'Team Summary'!E49</f>
        <v>0.66666666666666663</v>
      </c>
      <c r="F47">
        <f>'Team Summary'!F49</f>
        <v>6</v>
      </c>
      <c r="G47">
        <f>'Team Summary'!G49</f>
        <v>2</v>
      </c>
    </row>
    <row r="48" spans="1:7" x14ac:dyDescent="0.2">
      <c r="A48">
        <f>'Team Summary'!A50</f>
        <v>7031</v>
      </c>
      <c r="B48">
        <f>'Team Summary'!B50</f>
        <v>0</v>
      </c>
      <c r="C48">
        <f>'Team Summary'!C50</f>
        <v>0</v>
      </c>
      <c r="D48">
        <f>'Team Summary'!D50</f>
        <v>3</v>
      </c>
      <c r="E48">
        <f>'Team Summary'!E50</f>
        <v>3</v>
      </c>
      <c r="F48">
        <f>'Team Summary'!F50</f>
        <v>0</v>
      </c>
      <c r="G48">
        <f>'Team Summary'!G50</f>
        <v>0</v>
      </c>
    </row>
    <row r="49" spans="1:7" x14ac:dyDescent="0.2">
      <c r="A49">
        <f>'Team Summary'!A51</f>
        <v>7504</v>
      </c>
      <c r="B49">
        <f>'Team Summary'!B51</f>
        <v>10</v>
      </c>
      <c r="C49">
        <f>'Team Summary'!C51</f>
        <v>5</v>
      </c>
      <c r="D49">
        <f>'Team Summary'!D51</f>
        <v>54</v>
      </c>
      <c r="E49">
        <f>'Team Summary'!E51</f>
        <v>27</v>
      </c>
      <c r="F49">
        <f>'Team Summary'!F51</f>
        <v>4</v>
      </c>
      <c r="G49">
        <f>'Team Summary'!G51</f>
        <v>2</v>
      </c>
    </row>
    <row r="50" spans="1:7" x14ac:dyDescent="0.2">
      <c r="A50">
        <f>'Team Summary'!A52</f>
        <v>7605</v>
      </c>
      <c r="B50">
        <f>'Team Summary'!B52</f>
        <v>7</v>
      </c>
      <c r="C50">
        <f>'Team Summary'!C52</f>
        <v>7</v>
      </c>
      <c r="D50">
        <f>'Team Summary'!D52</f>
        <v>0</v>
      </c>
      <c r="E50">
        <f>'Team Summary'!E52</f>
        <v>0</v>
      </c>
      <c r="F50">
        <f>'Team Summary'!F52</f>
        <v>2</v>
      </c>
      <c r="G50">
        <f>'Team Summary'!G52</f>
        <v>0</v>
      </c>
    </row>
    <row r="51" spans="1:7" x14ac:dyDescent="0.2">
      <c r="A51">
        <f>'Team Summary'!A53</f>
        <v>7718</v>
      </c>
      <c r="B51">
        <f>'Team Summary'!B53</f>
        <v>9</v>
      </c>
      <c r="C51">
        <f>'Team Summary'!C53</f>
        <v>3</v>
      </c>
      <c r="D51">
        <f>'Team Summary'!D53</f>
        <v>20</v>
      </c>
      <c r="E51">
        <f>'Team Summary'!E53</f>
        <v>6.666666666666667</v>
      </c>
      <c r="F51">
        <f>'Team Summary'!F53</f>
        <v>6</v>
      </c>
      <c r="G51">
        <f>'Team Summary'!G53</f>
        <v>2</v>
      </c>
    </row>
    <row r="52" spans="1:7" x14ac:dyDescent="0.2">
      <c r="A52">
        <f>'Team Summary'!A54</f>
        <v>7759</v>
      </c>
      <c r="B52">
        <f>'Team Summary'!B54</f>
        <v>9</v>
      </c>
      <c r="C52">
        <f>'Team Summary'!C54</f>
        <v>2.25</v>
      </c>
      <c r="D52">
        <f>'Team Summary'!D54</f>
        <v>55</v>
      </c>
      <c r="E52">
        <f>'Team Summary'!E54</f>
        <v>13.75</v>
      </c>
      <c r="F52">
        <f>'Team Summary'!F54</f>
        <v>6</v>
      </c>
      <c r="G52">
        <f>'Team Summary'!G54</f>
        <v>1.5</v>
      </c>
    </row>
    <row r="53" spans="1:7" x14ac:dyDescent="0.2">
      <c r="A53">
        <f>'Team Summary'!A55</f>
        <v>8067</v>
      </c>
      <c r="B53">
        <f>'Team Summary'!B55</f>
        <v>6</v>
      </c>
      <c r="C53">
        <f>'Team Summary'!C55</f>
        <v>3</v>
      </c>
      <c r="D53">
        <f>'Team Summary'!D55</f>
        <v>27</v>
      </c>
      <c r="E53">
        <f>'Team Summary'!E55</f>
        <v>13.5</v>
      </c>
      <c r="F53">
        <f>'Team Summary'!F55</f>
        <v>2</v>
      </c>
      <c r="G53">
        <f>'Team Summary'!G55</f>
        <v>1</v>
      </c>
    </row>
    <row r="54" spans="1:7" x14ac:dyDescent="0.2">
      <c r="A54">
        <f>'Team Summary'!A56</f>
        <v>9468</v>
      </c>
      <c r="B54">
        <f>'Team Summary'!B56</f>
        <v>6</v>
      </c>
      <c r="C54">
        <f>'Team Summary'!C56</f>
        <v>3</v>
      </c>
      <c r="D54">
        <f>'Team Summary'!D56</f>
        <v>16</v>
      </c>
      <c r="E54">
        <f>'Team Summary'!E56</f>
        <v>8</v>
      </c>
      <c r="F54">
        <f>'Team Summary'!F56</f>
        <v>4</v>
      </c>
      <c r="G54">
        <f>'Team Summary'!G56</f>
        <v>2</v>
      </c>
    </row>
    <row r="55" spans="1:7" x14ac:dyDescent="0.2">
      <c r="A55">
        <f>'Team Summary'!A57</f>
        <v>9624</v>
      </c>
      <c r="B55">
        <f>'Team Summary'!B57</f>
        <v>34</v>
      </c>
      <c r="C55">
        <f>'Team Summary'!C57</f>
        <v>8.5</v>
      </c>
      <c r="D55">
        <f>'Team Summary'!D57</f>
        <v>76</v>
      </c>
      <c r="E55">
        <f>'Team Summary'!E57</f>
        <v>19</v>
      </c>
      <c r="F55">
        <f>'Team Summary'!F57</f>
        <v>4</v>
      </c>
      <c r="G55">
        <f>'Team Summary'!G57</f>
        <v>1</v>
      </c>
    </row>
    <row r="56" spans="1:7" x14ac:dyDescent="0.2">
      <c r="A56">
        <f>'Team Summary'!A58</f>
        <v>10352</v>
      </c>
      <c r="B56">
        <f>'Team Summary'!B58</f>
        <v>6</v>
      </c>
      <c r="C56">
        <f>'Team Summary'!C58</f>
        <v>6</v>
      </c>
      <c r="D56">
        <f>'Team Summary'!D58</f>
        <v>8</v>
      </c>
      <c r="E56">
        <f>'Team Summary'!E58</f>
        <v>8</v>
      </c>
      <c r="F56">
        <f>'Team Summary'!F58</f>
        <v>2</v>
      </c>
      <c r="G56">
        <f>'Team Summary'!G58</f>
        <v>2</v>
      </c>
    </row>
    <row r="57" spans="1:7" x14ac:dyDescent="0.2">
      <c r="A57">
        <f>'Team Summary'!A59</f>
        <v>10714</v>
      </c>
      <c r="B57">
        <f>'Team Summary'!B59</f>
        <v>27</v>
      </c>
      <c r="C57">
        <f>'Team Summary'!C59</f>
        <v>9</v>
      </c>
      <c r="D57">
        <f>'Team Summary'!D59</f>
        <v>105</v>
      </c>
      <c r="E57">
        <f>'Team Summary'!E59</f>
        <v>35</v>
      </c>
      <c r="F57">
        <f>'Team Summary'!F59</f>
        <v>6</v>
      </c>
      <c r="G57">
        <f>'Team Summary'!G59</f>
        <v>2</v>
      </c>
    </row>
  </sheetData>
  <autoFilter ref="A1:G1" xr:uid="{00000000-0009-0000-0000-000007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MatchScoutingData</vt:lpstr>
      <vt:lpstr>Event</vt:lpstr>
      <vt:lpstr>Teams</vt:lpstr>
      <vt:lpstr>Matches</vt:lpstr>
      <vt:lpstr>Team Scores</vt:lpstr>
      <vt:lpstr>Team Summary</vt:lpstr>
      <vt:lpstr>PB Scouter Summary</vt:lpstr>
      <vt:lpstr>PB Team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Hurrell</cp:lastModifiedBy>
  <dcterms:created xsi:type="dcterms:W3CDTF">2025-01-14T14:14:10Z</dcterms:created>
  <dcterms:modified xsi:type="dcterms:W3CDTF">2025-09-25T19:39:07Z</dcterms:modified>
</cp:coreProperties>
</file>