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ba/data/2026/2026nytr/"/>
    </mc:Choice>
  </mc:AlternateContent>
  <xr:revisionPtr revIDLastSave="0" documentId="13_ncr:1_{852DFBC1-EE19-694D-892C-127186AC3E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<sst xmlns="http://schemas.openxmlformats.org/spreadsheetml/2006/main" count="122" uniqueCount="82">
  <si>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</si>
  <si>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</si>
  <si>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</si>
  <si>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</si>
  <si>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</si>
  <si>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</si>
  <si>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</si>
  <si>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</si>
  <si>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</si>
  <si>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</si>
  <si>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</si>
  <si>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</si>
  <si>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</si>
  <si>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</si>
  <si>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</si>
  <si>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Auto</t>
  </si>
  <si>
    <t>Teleop</t>
  </si>
  <si>
    <t>Endgame</t>
  </si>
  <si>
    <t>Overall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</si>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</sst>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6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12" t="s">
        <v>0</v>
      </c>
      <c r="B1" s="12" t="s">
        <v>27</v>
      </c>
      <c r="C1" s="12" t="s">
        <v>1</v>
      </c>
      <c r="D1" s="12" t="s">
        <v>2</v>
      </c>
      <c r="E1" s="12" t="s">
        <v>3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69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B1" s="12" t="s">
        <v>49</v>
      </c>
      <c r="AC1" s="12" t="s">
        <v>4</v>
      </c>
    </row>
    <row r="2" spans="1:29" ht="16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9" ht="16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9" ht="16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9" ht="16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9" ht="16" customHeight="1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9" ht="16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9" ht="16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9" ht="16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9" ht="16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9" ht="16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9" ht="16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9" ht="16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9" ht="16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9" ht="16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9" ht="16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6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6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6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6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6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6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6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6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6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6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6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6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6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6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6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6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6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6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6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6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6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6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6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6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6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6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6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6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6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6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6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6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6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6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6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6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6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6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6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6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6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6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6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6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6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6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6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6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6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6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6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6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6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6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6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6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6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6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6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6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6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6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6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6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6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6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6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6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6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6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6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6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6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6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6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6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6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6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6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6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6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6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6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6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6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6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6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6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6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6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6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6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6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6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6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6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6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6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6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6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6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6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6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6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6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6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6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6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6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6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6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6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6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6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6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6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6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6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6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6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6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6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6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6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6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6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6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6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6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6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6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6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6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6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6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6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6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6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6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6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6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6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6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6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6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6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6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6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6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6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6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6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6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6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6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6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6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6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6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6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6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6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6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6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6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6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6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6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6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6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6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6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6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6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6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6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6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6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6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6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6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6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6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6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6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6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6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6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6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6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6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6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6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6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6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6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6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6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6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6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6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6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6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6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6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6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6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6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6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6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6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6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6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6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6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6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6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6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6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6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6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6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6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6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6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6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6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6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6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6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6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6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6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6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6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6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6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6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6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6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6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6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6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6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6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6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6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6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6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6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6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6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6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6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6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6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6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6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6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6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6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6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6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6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6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6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6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6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6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6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6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6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6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6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6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6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6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6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6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6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6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6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6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6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6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6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6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6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6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6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6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6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6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6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6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6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6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6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6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6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6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6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6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6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6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6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6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6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6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6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6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6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6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6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6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6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6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6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6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6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6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6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6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6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6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6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6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6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6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6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6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6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6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6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6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6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6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6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6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6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6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6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6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6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6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6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6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6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6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6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6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6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6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6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6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6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6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6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6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6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6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6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6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6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6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6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6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6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6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6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6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6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6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6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6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6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6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6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6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6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6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6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6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6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6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6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6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6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6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6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6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6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6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6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6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6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6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6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6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6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6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6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6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6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6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6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6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6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6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6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6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6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6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6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6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6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6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6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6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6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6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6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6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6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6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6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6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6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6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6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6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6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6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6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6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6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6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6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6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6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6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6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6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6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6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6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6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6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6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6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6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6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6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6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6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6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6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6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6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6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6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6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6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6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6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6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6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6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6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6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6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6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6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6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6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6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6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6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6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6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x14ac:dyDescent="0.2">
      <c r="A2" s="4"/>
    </row>
    <row r="3" spans="1:31" ht="16" x14ac:dyDescent="0.2">
      <c r="A3" s="4"/>
    </row>
    <row r="4" spans="1:31" ht="16" x14ac:dyDescent="0.2">
      <c r="A4" s="4"/>
    </row>
    <row r="5" spans="1:31" ht="16" x14ac:dyDescent="0.2">
      <c r="A5" s="4"/>
    </row>
    <row r="6" spans="1:31" ht="16" x14ac:dyDescent="0.2">
      <c r="A6" s="4"/>
    </row>
    <row r="7" spans="1:31" ht="16" x14ac:dyDescent="0.2">
      <c r="A7" s="4"/>
    </row>
    <row r="8" spans="1:31" ht="16" x14ac:dyDescent="0.2">
      <c r="A8" s="4"/>
    </row>
    <row r="9" spans="1:31" ht="16" x14ac:dyDescent="0.2">
      <c r="A9" s="4"/>
    </row>
    <row r="10" spans="1:31" ht="16" x14ac:dyDescent="0.2">
      <c r="A10" s="4"/>
    </row>
    <row r="11" spans="1:31" ht="16" x14ac:dyDescent="0.2">
      <c r="A11" s="4"/>
    </row>
    <row r="12" spans="1:31" ht="16" x14ac:dyDescent="0.2">
      <c r="A12" s="4"/>
    </row>
    <row r="13" spans="1:31" ht="16" x14ac:dyDescent="0.2">
      <c r="A13" s="4"/>
    </row>
    <row r="14" spans="1:31" ht="16" x14ac:dyDescent="0.2">
      <c r="A14" s="4"/>
    </row>
    <row r="15" spans="1:31" ht="16" x14ac:dyDescent="0.2">
      <c r="A15" s="4"/>
    </row>
    <row r="16" spans="1:31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8" ht="20" customHeight="1" x14ac:dyDescent="0.2">
      <c r="A1" s="5" t="s">
        <v>1</v>
      </c>
      <c r="B1" s="5" t="s">
        <v>14</v>
      </c>
      <c r="C1" s="9" t="s">
        <v>76</v>
      </c>
      <c r="D1" s="9" t="s">
        <v>77</v>
      </c>
      <c r="E1" s="9" t="s">
        <v>78</v>
      </c>
      <c r="F1" s="10" t="s">
        <v>79</v>
      </c>
      <c r="G1" s="10" t="s">
        <v>80</v>
      </c>
      <c r="H1" s="10" t="s">
        <v>81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3"/>
    </row>
    <row r="2" spans="1:26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</row>
    <row r="3" spans="1:2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2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31" width="6.83203125" customWidth="1"/>
  </cols>
  <sheetData>
    <row r="1" spans="1:31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2"/>
      <c r="AA1" s="30" t="s">
        <v>18</v>
      </c>
      <c r="AB1" s="30"/>
      <c r="AC1" s="30"/>
      <c r="AD1" s="30"/>
      <c r="AE1" s="30"/>
    </row>
    <row r="2" spans="1:31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  <c r="AA2" s="15" t="s">
        <v>15</v>
      </c>
      <c r="AB2" s="16" t="s">
        <v>16</v>
      </c>
      <c r="AC2" s="17" t="s">
        <v>17</v>
      </c>
      <c r="AD2" s="20" t="s">
        <v>72</v>
      </c>
      <c r="AE2" s="21" t="s">
        <v>75</v>
      </c>
    </row>
  </sheetData>
  <autoFilter ref="A2:AE2" xr:uid="{8299AA4A-5D09-AD47-9627-5C6D2535B1BB}"/>
  <mergeCells count="5">
    <mergeCell ref="C1:G1"/>
    <mergeCell ref="H1:O1"/>
    <mergeCell ref="P1:T1"/>
    <mergeCell ref="U1:Z1"/>
    <mergeCell ref="AA1:AE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5" t="s">
        <v>25</v>
      </c>
      <c r="B1" s="5" t="s">
        <v>26</v>
      </c>
    </row>
    <row r="2" spans="1:2" x14ac:dyDescent="0.2">
      <c r="A2" s="8" cm="1">
        <f t="array" ref="A2">_xlfn._xlws.SORT(_xlfn.UNIQUE(MatchScoutingData!B2:B9991))</f>
        <v>0</v>
      </c>
      <c r="B2" s="8">
        <f>COUNTIF(MatchScoutingData!B$2:B$9991, $A2)</f>
        <v>0</v>
      </c>
    </row>
    <row r="3" spans="1:2" x14ac:dyDescent="0.2">
      <c r="A3" s="8"/>
      <c r="B3" s="8">
        <f>COUNTIF(MatchScoutingData!B$2:B$9991, $A3)</f>
        <v>0</v>
      </c>
    </row>
    <row r="4" spans="1:2" x14ac:dyDescent="0.2">
      <c r="A4" s="8"/>
      <c r="B4" s="8">
        <f>COUNTIF(MatchScoutingData!B$2:B$9991, $A4)</f>
        <v>0</v>
      </c>
    </row>
    <row r="5" spans="1:2" x14ac:dyDescent="0.2">
      <c r="A5" s="8"/>
      <c r="B5" s="8">
        <f>COUNTIF(MatchScoutingData!B$2:B$9991, $A5)</f>
        <v>0</v>
      </c>
    </row>
    <row r="6" spans="1:2" x14ac:dyDescent="0.2">
      <c r="A6" s="8"/>
      <c r="B6" s="8">
        <f>COUNTIF(MatchScoutingData!B$2:B$9991, $A6)</f>
        <v>0</v>
      </c>
    </row>
    <row r="7" spans="1:2" x14ac:dyDescent="0.2">
      <c r="A7" s="8"/>
      <c r="B7" s="8">
        <f>COUNTIF(MatchScoutingData!B$2:B$9991, $A7)</f>
        <v>0</v>
      </c>
    </row>
    <row r="8" spans="1:2" x14ac:dyDescent="0.2">
      <c r="A8" s="8"/>
      <c r="B8" s="8">
        <f>COUNTIF(MatchScoutingData!B$2:B$9991, $A8)</f>
        <v>0</v>
      </c>
    </row>
    <row r="9" spans="1:2" x14ac:dyDescent="0.2">
      <c r="A9" s="8"/>
      <c r="B9" s="8">
        <f>COUNTIF(MatchScoutingData!B$2:B$9991, $A9)</f>
        <v>0</v>
      </c>
    </row>
    <row r="10" spans="1:2" x14ac:dyDescent="0.2">
      <c r="A10" s="8"/>
      <c r="B10" s="8">
        <f>COUNTIF(MatchScoutingData!B$2:B$9991, $A10)</f>
        <v>0</v>
      </c>
    </row>
    <row r="11" spans="1:2" x14ac:dyDescent="0.2">
      <c r="A11" s="8"/>
      <c r="B11" s="8">
        <f>COUNTIF(MatchScoutingData!B$2:B$9991, $A11)</f>
        <v>0</v>
      </c>
    </row>
    <row r="12" spans="1:2" x14ac:dyDescent="0.2">
      <c r="A12" s="8"/>
      <c r="B12" s="8">
        <f>COUNTIF(MatchScoutingData!B$2:B$9991, $A12)</f>
        <v>0</v>
      </c>
    </row>
    <row r="13" spans="1:2" x14ac:dyDescent="0.2">
      <c r="A13" s="8"/>
      <c r="B13" s="8">
        <f>COUNTIF(MatchScoutingData!B$2:B$9991, $A13)</f>
        <v>0</v>
      </c>
    </row>
    <row r="14" spans="1:2" x14ac:dyDescent="0.2">
      <c r="A14" s="8"/>
      <c r="B14" s="8">
        <f>COUNTIF(MatchScoutingData!B$2:B$9991, $A14)</f>
        <v>0</v>
      </c>
    </row>
    <row r="15" spans="1:2" x14ac:dyDescent="0.2">
      <c r="A15" s="8"/>
      <c r="B15" s="8">
        <f>COUNTIF(MatchScoutingData!B$2:B$9991, $A15)</f>
        <v>0</v>
      </c>
    </row>
    <row r="16" spans="1:2" x14ac:dyDescent="0.2">
      <c r="A16" s="8"/>
      <c r="B16" s="8">
        <f>COUNTIF(MatchScoutingData!B$2:B$9991, $A16)</f>
        <v>0</v>
      </c>
    </row>
    <row r="17" spans="1:2" x14ac:dyDescent="0.2">
      <c r="A17" s="8"/>
      <c r="B17" s="8">
        <f>COUNTIF(MatchScoutingData!B$2:B$9991, $A17)</f>
        <v>0</v>
      </c>
    </row>
    <row r="18" spans="1:2" x14ac:dyDescent="0.2">
      <c r="A18" s="8"/>
      <c r="B18" s="8">
        <f>COUNTIF(MatchScoutingData!B$2:B$9991, $A18)</f>
        <v>0</v>
      </c>
    </row>
    <row r="19" spans="1:2" x14ac:dyDescent="0.2">
      <c r="A19" s="8"/>
      <c r="B19" s="8">
        <f>COUNTIF(MatchScoutingData!B$2:B$9991, $A19)</f>
        <v>0</v>
      </c>
    </row>
    <row r="20" spans="1:2" x14ac:dyDescent="0.2">
      <c r="A20" s="8"/>
      <c r="B20" s="8">
        <f>COUNTIF(MatchScoutingData!B$2:B$9991, $A20)</f>
        <v>0</v>
      </c>
    </row>
    <row r="21" spans="1:2" x14ac:dyDescent="0.2">
      <c r="A21" s="8"/>
      <c r="B21" s="8">
        <f>COUNTIF(MatchScoutingData!B$2:B$9991, $A21)</f>
        <v>0</v>
      </c>
    </row>
    <row r="22" spans="1:2" x14ac:dyDescent="0.2">
      <c r="A22" s="8"/>
      <c r="B22" s="8">
        <f>COUNTIF(MatchScoutingData!B$2:B$9991, $A22)</f>
        <v>0</v>
      </c>
    </row>
    <row r="23" spans="1:2" x14ac:dyDescent="0.2">
      <c r="A23" s="8"/>
      <c r="B23" s="8">
        <f>COUNTIF(MatchScoutingData!B$2:B$9991, $A23)</f>
        <v>0</v>
      </c>
    </row>
    <row r="24" spans="1:2" x14ac:dyDescent="0.2">
      <c r="A24" s="8"/>
      <c r="B24" s="8">
        <f>COUNTIF(MatchScoutingData!B$2:B$9991, $A24)</f>
        <v>0</v>
      </c>
    </row>
    <row r="25" spans="1:2" x14ac:dyDescent="0.2">
      <c r="A25" s="8"/>
      <c r="B25" s="8">
        <f>COUNTIF(MatchScoutingData!B$2:B$9991, $A25)</f>
        <v>0</v>
      </c>
    </row>
    <row r="26" spans="1:2" x14ac:dyDescent="0.2">
      <c r="A26" s="8"/>
      <c r="B26" s="8">
        <f>COUNTIF(MatchScoutingData!B$2:B$9991, $A26)</f>
        <v>0</v>
      </c>
    </row>
    <row r="27" spans="1:2" x14ac:dyDescent="0.2">
      <c r="A27" s="8"/>
      <c r="B27" s="8">
        <f>COUNTIF(MatchScoutingData!B$2:B$9991, $A27)</f>
        <v>0</v>
      </c>
    </row>
    <row r="28" spans="1:2" x14ac:dyDescent="0.2">
      <c r="A28" s="8"/>
      <c r="B28" s="8">
        <f>COUNTIF(MatchScoutingData!B$2:B$9991, $A28)</f>
        <v>0</v>
      </c>
    </row>
    <row r="29" spans="1:2" x14ac:dyDescent="0.2">
      <c r="A29" s="8"/>
      <c r="B29" s="8">
        <f>COUNTIF(MatchScoutingData!B$2:B$9991, $A29)</f>
        <v>0</v>
      </c>
    </row>
    <row r="30" spans="1:2" x14ac:dyDescent="0.2">
      <c r="A30" s="8"/>
      <c r="B30" s="8">
        <f>COUNTIF(MatchScoutingData!B$2:B$9991, $A30)</f>
        <v>0</v>
      </c>
    </row>
    <row r="31" spans="1:2" x14ac:dyDescent="0.2">
      <c r="A31" s="8"/>
      <c r="B31" s="8">
        <f>COUNTIF(MatchScoutingData!B$2:B$9991, $A31)</f>
        <v>0</v>
      </c>
    </row>
    <row r="32" spans="1:2" x14ac:dyDescent="0.2">
      <c r="A32" s="8"/>
      <c r="B32" s="8">
        <f>COUNTIF(MatchScoutingData!B$2:B$9991, $A32)</f>
        <v>0</v>
      </c>
    </row>
    <row r="33" spans="1:2" x14ac:dyDescent="0.2">
      <c r="A33" s="8"/>
      <c r="B33" s="8">
        <f>COUNTIF(MatchScoutingData!B$2:B$9991, $A33)</f>
        <v>0</v>
      </c>
    </row>
    <row r="34" spans="1:2" x14ac:dyDescent="0.2">
      <c r="A34" s="8"/>
      <c r="B34" s="8">
        <f>COUNTIF(MatchScoutingData!B$2:B$9991, $A34)</f>
        <v>0</v>
      </c>
    </row>
    <row r="35" spans="1:2" x14ac:dyDescent="0.2">
      <c r="A35" s="8"/>
      <c r="B35" s="8">
        <f>COUNTIF(MatchScoutingData!B$2:B$9991, $A35)</f>
        <v>0</v>
      </c>
    </row>
    <row r="36" spans="1:2" x14ac:dyDescent="0.2">
      <c r="A36" s="8"/>
      <c r="B36" s="8">
        <f>COUNTIF(MatchScoutingData!B$2:B$9991, $A36)</f>
        <v>0</v>
      </c>
    </row>
    <row r="37" spans="1:2" x14ac:dyDescent="0.2">
      <c r="A37" s="8"/>
      <c r="B37" s="8">
        <f>COUNTIF(MatchScoutingData!B$2:B$9991, $A37)</f>
        <v>0</v>
      </c>
    </row>
    <row r="38" spans="1:2" x14ac:dyDescent="0.2">
      <c r="A38" s="8"/>
      <c r="B38" s="8">
        <f>COUNTIF(MatchScoutingData!B$2:B$9991, $A38)</f>
        <v>0</v>
      </c>
    </row>
    <row r="39" spans="1:2" x14ac:dyDescent="0.2">
      <c r="A39" s="8"/>
      <c r="B39" s="8">
        <f>COUNTIF(MatchScoutingData!B$2:B$9991, $A39)</f>
        <v>0</v>
      </c>
    </row>
    <row r="40" spans="1:2" x14ac:dyDescent="0.2">
      <c r="A40" s="8"/>
      <c r="B40" s="8">
        <f>COUNTIF(MatchScoutingData!B$2:B$9991, $A40)</f>
        <v>0</v>
      </c>
    </row>
    <row r="41" spans="1:2" x14ac:dyDescent="0.2">
      <c r="A41" s="8"/>
      <c r="B41" s="8">
        <f>COUNTIF(MatchScoutingData!B$2:B$9991, $A41)</f>
        <v>0</v>
      </c>
    </row>
    <row r="42" spans="1:2" x14ac:dyDescent="0.2">
      <c r="A42" s="8"/>
      <c r="B42" s="8">
        <f>COUNTIF(MatchScoutingData!B$2:B$9991, $A42)</f>
        <v>0</v>
      </c>
    </row>
    <row r="43" spans="1:2" x14ac:dyDescent="0.2">
      <c r="A43" s="8"/>
      <c r="B43" s="8">
        <f>COUNTIF(MatchScoutingData!B$2:B$9991, $A43)</f>
        <v>0</v>
      </c>
    </row>
    <row r="44" spans="1:2" x14ac:dyDescent="0.2">
      <c r="A44" s="8"/>
      <c r="B44" s="8">
        <f>COUNTIF(MatchScoutingData!B$2:B$9991, $A44)</f>
        <v>0</v>
      </c>
    </row>
    <row r="45" spans="1:2" x14ac:dyDescent="0.2">
      <c r="A45" s="8"/>
      <c r="B45" s="8">
        <f>COUNTIF(MatchScoutingData!B$2:B$9991, $A45)</f>
        <v>0</v>
      </c>
    </row>
    <row r="46" spans="1:2" x14ac:dyDescent="0.2">
      <c r="A46" s="8"/>
      <c r="B46" s="8">
        <f>COUNTIF(MatchScoutingData!B$2:B$9991, $A46)</f>
        <v>0</v>
      </c>
    </row>
    <row r="47" spans="1:2" x14ac:dyDescent="0.2">
      <c r="A47" s="8"/>
      <c r="B47" s="8">
        <f>COUNTIF(MatchScoutingData!B$2:B$9991, $A47)</f>
        <v>0</v>
      </c>
    </row>
    <row r="48" spans="1:2" x14ac:dyDescent="0.2">
      <c r="A48" s="8"/>
      <c r="B48" s="8">
        <f>COUNTIF(MatchScoutingData!B$2:B$9991, $A48)</f>
        <v>0</v>
      </c>
    </row>
    <row r="49" spans="1:2" x14ac:dyDescent="0.2">
      <c r="A49" s="8"/>
      <c r="B49" s="8">
        <f>COUNTIF(MatchScoutingData!B$2:B$9991, $A49)</f>
        <v>0</v>
      </c>
    </row>
    <row r="50" spans="1:2" x14ac:dyDescent="0.2">
      <c r="A50" s="8"/>
      <c r="B50" s="8">
        <f>COUNTIF(MatchScoutingData!B$2:B$9991, $A50)</f>
        <v>0</v>
      </c>
    </row>
    <row r="51" spans="1:2" x14ac:dyDescent="0.2">
      <c r="A51" s="8"/>
      <c r="B51" s="8">
        <f>COUNTIF(MatchScoutingData!B$2:B$9991, $A51)</f>
        <v>0</v>
      </c>
    </row>
    <row r="52" spans="1:2" x14ac:dyDescent="0.2">
      <c r="A52" s="8"/>
      <c r="B52" s="8">
        <f>COUNTIF(MatchScoutingData!B$2:B$9991, $A52)</f>
        <v>0</v>
      </c>
    </row>
    <row r="53" spans="1:2" x14ac:dyDescent="0.2">
      <c r="A53" s="8"/>
      <c r="B53" s="8">
        <f>COUNTIF(MatchScoutingData!B$2:B$9991, $A53)</f>
        <v>0</v>
      </c>
    </row>
    <row r="54" spans="1:2" x14ac:dyDescent="0.2">
      <c r="A54" s="8"/>
      <c r="B54" s="8">
        <f>COUNTIF(MatchScoutingData!B$2:B$9991, $A54)</f>
        <v>0</v>
      </c>
    </row>
    <row r="55" spans="1:2" x14ac:dyDescent="0.2">
      <c r="A55" s="8"/>
      <c r="B55" s="8">
        <f>COUNTIF(MatchScoutingData!B$2:B$9991, $A55)</f>
        <v>0</v>
      </c>
    </row>
    <row r="56" spans="1:2" x14ac:dyDescent="0.2">
      <c r="A56" s="8"/>
      <c r="B56" s="8">
        <f>COUNTIF(MatchScoutingData!B$2:B$9991, $A56)</f>
        <v>0</v>
      </c>
    </row>
    <row r="57" spans="1:2" x14ac:dyDescent="0.2">
      <c r="A57" s="8"/>
      <c r="B57" s="8">
        <f>COUNTIF(MatchScoutingData!B$2:B$9991, $A57)</f>
        <v>0</v>
      </c>
    </row>
    <row r="58" spans="1:2" x14ac:dyDescent="0.2">
      <c r="A58" s="8"/>
      <c r="B58" s="8">
        <f>COUNTIF(MatchScoutingData!B$2:B$9991, $A58)</f>
        <v>0</v>
      </c>
    </row>
    <row r="59" spans="1:2" x14ac:dyDescent="0.2">
      <c r="A59" s="8"/>
      <c r="B59" s="8">
        <f>COUNTIF(MatchScoutingData!B$2:B$9991, $A59)</f>
        <v>0</v>
      </c>
    </row>
    <row r="60" spans="1:2" x14ac:dyDescent="0.2">
      <c r="A60" s="8"/>
      <c r="B60" s="8">
        <f>COUNTIF(MatchScoutingData!B$2:B$9991, $A60)</f>
        <v>0</v>
      </c>
    </row>
    <row r="61" spans="1:2" x14ac:dyDescent="0.2">
      <c r="A61" s="8"/>
      <c r="B61" s="8">
        <f>COUNTIF(MatchScoutingData!B$2:B$9991, $A61)</f>
        <v>0</v>
      </c>
    </row>
    <row r="62" spans="1:2" x14ac:dyDescent="0.2">
      <c r="A62" s="8"/>
      <c r="B62" s="8">
        <f>COUNTIF(MatchScoutingData!B$2:B$9991, $A62)</f>
        <v>0</v>
      </c>
    </row>
    <row r="63" spans="1:2" x14ac:dyDescent="0.2">
      <c r="A63" s="8"/>
      <c r="B63" s="8">
        <f>COUNTIF(MatchScoutingData!B$2:B$9991, $A63)</f>
        <v>0</v>
      </c>
    </row>
    <row r="64" spans="1:2" x14ac:dyDescent="0.2">
      <c r="A64" s="8"/>
      <c r="B64" s="8">
        <f>COUNTIF(MatchScoutingData!B$2:B$9991, $A64)</f>
        <v>0</v>
      </c>
    </row>
    <row r="65" spans="1:2" x14ac:dyDescent="0.2">
      <c r="A65" s="8"/>
      <c r="B65" s="8">
        <f>COUNTIF(MatchScoutingData!B$2:B$9991, $A65)</f>
        <v>0</v>
      </c>
    </row>
    <row r="66" spans="1:2" x14ac:dyDescent="0.2">
      <c r="A66" s="8"/>
      <c r="B66" s="8">
        <f>COUNTIF(MatchScoutingData!B$2:B$9991, $A66)</f>
        <v>0</v>
      </c>
    </row>
    <row r="67" spans="1:2" x14ac:dyDescent="0.2">
      <c r="A67" s="8"/>
      <c r="B67" s="8">
        <f>COUNTIF(MatchScoutingData!B$2:B$9991, $A67)</f>
        <v>0</v>
      </c>
    </row>
    <row r="68" spans="1:2" x14ac:dyDescent="0.2">
      <c r="A68" s="8"/>
      <c r="B68" s="8">
        <f>COUNTIF(MatchScoutingData!B$2:B$9991, $A68)</f>
        <v>0</v>
      </c>
    </row>
    <row r="69" spans="1:2" x14ac:dyDescent="0.2">
      <c r="A69" s="8"/>
      <c r="B69" s="8">
        <f>COUNTIF(MatchScoutingData!B$2:B$9991, $A69)</f>
        <v>0</v>
      </c>
    </row>
    <row r="70" spans="1:2" x14ac:dyDescent="0.2">
      <c r="A70" s="8"/>
      <c r="B70" s="8">
        <f>COUNTIF(MatchScoutingData!B$2:B$9991, $A70)</f>
        <v>0</v>
      </c>
    </row>
    <row r="71" spans="1:2" x14ac:dyDescent="0.2">
      <c r="A71" s="8"/>
      <c r="B71" s="8">
        <f>COUNTIF(MatchScoutingData!B$2:B$9991, $A71)</f>
        <v>0</v>
      </c>
    </row>
    <row r="72" spans="1:2" x14ac:dyDescent="0.2">
      <c r="A72" s="8"/>
      <c r="B72" s="8">
        <f>COUNTIF(MatchScoutingData!B$2:B$9991, $A72)</f>
        <v>0</v>
      </c>
    </row>
    <row r="73" spans="1:2" x14ac:dyDescent="0.2">
      <c r="A73" s="8"/>
      <c r="B73" s="8">
        <f>COUNTIF(MatchScoutingData!B$2:B$9991, $A73)</f>
        <v>0</v>
      </c>
    </row>
    <row r="74" spans="1:2" x14ac:dyDescent="0.2">
      <c r="A74" s="8"/>
      <c r="B74" s="8">
        <f>COUNTIF(MatchScoutingData!B$2:B$9991, $A74)</f>
        <v>0</v>
      </c>
    </row>
    <row r="75" spans="1:2" x14ac:dyDescent="0.2">
      <c r="A75" s="8"/>
      <c r="B75" s="8">
        <f>COUNTIF(MatchScoutingData!B$2:B$9991, $A75)</f>
        <v>0</v>
      </c>
    </row>
    <row r="76" spans="1:2" x14ac:dyDescent="0.2">
      <c r="A76" s="8"/>
      <c r="B76" s="8">
        <f>COUNTIF(MatchScoutingData!B$2:B$9991, $A76)</f>
        <v>0</v>
      </c>
    </row>
    <row r="77" spans="1:2" x14ac:dyDescent="0.2">
      <c r="A77" s="8"/>
      <c r="B77" s="8">
        <f>COUNTIF(MatchScoutingData!B$2:B$9991, $A77)</f>
        <v>0</v>
      </c>
    </row>
    <row r="78" spans="1:2" x14ac:dyDescent="0.2">
      <c r="A78" s="8"/>
      <c r="B78" s="8">
        <f>COUNTIF(MatchScoutingData!B$2:B$9991, $A78)</f>
        <v>0</v>
      </c>
    </row>
    <row r="79" spans="1:2" x14ac:dyDescent="0.2">
      <c r="A79" s="8"/>
      <c r="B79" s="8">
        <f>COUNTIF(MatchScoutingData!B$2:B$9991, $A79)</f>
        <v>0</v>
      </c>
    </row>
    <row r="80" spans="1:2" x14ac:dyDescent="0.2">
      <c r="A80" s="8"/>
      <c r="B80" s="8">
        <f>COUNTIF(MatchScoutingData!B$2:B$9991, $A80)</f>
        <v>0</v>
      </c>
    </row>
    <row r="81" spans="1:2" x14ac:dyDescent="0.2">
      <c r="A81" s="8"/>
      <c r="B81" s="8">
        <f>COUNTIF(MatchScoutingData!B$2:B$9991, $A81)</f>
        <v>0</v>
      </c>
    </row>
    <row r="82" spans="1:2" x14ac:dyDescent="0.2">
      <c r="A82" s="8"/>
      <c r="B82" s="8">
        <f>COUNTIF(MatchScoutingData!B$2:B$9991, $A82)</f>
        <v>0</v>
      </c>
    </row>
    <row r="83" spans="1:2" x14ac:dyDescent="0.2">
      <c r="A83" s="8"/>
      <c r="B83" s="8">
        <f>COUNTIF(MatchScoutingData!B$2:B$9991, $A83)</f>
        <v>0</v>
      </c>
    </row>
    <row r="84" spans="1:2" x14ac:dyDescent="0.2">
      <c r="A84" s="8"/>
      <c r="B84" s="8">
        <f>COUNTIF(MatchScoutingData!B$2:B$9991, $A84)</f>
        <v>0</v>
      </c>
    </row>
    <row r="85" spans="1:2" x14ac:dyDescent="0.2">
      <c r="A85" s="8"/>
      <c r="B85" s="8">
        <f>COUNTIF(MatchScoutingData!B$2:B$9991, $A85)</f>
        <v>0</v>
      </c>
    </row>
    <row r="86" spans="1:2" x14ac:dyDescent="0.2">
      <c r="A86" s="8"/>
      <c r="B86" s="8">
        <f>COUNTIF(MatchScoutingData!B$2:B$9991, $A86)</f>
        <v>0</v>
      </c>
    </row>
    <row r="87" spans="1:2" x14ac:dyDescent="0.2">
      <c r="A87" s="8"/>
      <c r="B87" s="8">
        <f>COUNTIF(MatchScoutingData!B$2:B$9991, $A87)</f>
        <v>0</v>
      </c>
    </row>
    <row r="88" spans="1:2" x14ac:dyDescent="0.2">
      <c r="A88" s="8"/>
      <c r="B88" s="8">
        <f>COUNTIF(MatchScoutingData!B$2:B$9991, $A88)</f>
        <v>0</v>
      </c>
    </row>
    <row r="89" spans="1:2" x14ac:dyDescent="0.2">
      <c r="A89" s="8"/>
      <c r="B89" s="8">
        <f>COUNTIF(MatchScoutingData!B$2:B$9991, $A89)</f>
        <v>0</v>
      </c>
    </row>
    <row r="90" spans="1:2" x14ac:dyDescent="0.2">
      <c r="A90" s="8"/>
      <c r="B90" s="8">
        <f>COUNTIF(MatchScoutingData!B$2:B$9991, $A90)</f>
        <v>0</v>
      </c>
    </row>
    <row r="91" spans="1:2" x14ac:dyDescent="0.2">
      <c r="A91" s="8"/>
      <c r="B91" s="8">
        <f>COUNTIF(MatchScoutingData!B$2:B$9991, $A91)</f>
        <v>0</v>
      </c>
    </row>
    <row r="92" spans="1:2" x14ac:dyDescent="0.2">
      <c r="A92" s="8"/>
      <c r="B92" s="8">
        <f>COUNTIF(MatchScoutingData!B$2:B$9991, $A92)</f>
        <v>0</v>
      </c>
    </row>
    <row r="93" spans="1:2" x14ac:dyDescent="0.2">
      <c r="A93" s="8"/>
      <c r="B93" s="8">
        <f>COUNTIF(MatchScoutingData!B$2:B$9991, $A93)</f>
        <v>0</v>
      </c>
    </row>
    <row r="94" spans="1:2" x14ac:dyDescent="0.2">
      <c r="A94" s="8"/>
      <c r="B94" s="8">
        <f>COUNTIF(MatchScoutingData!B$2:B$9991, $A94)</f>
        <v>0</v>
      </c>
    </row>
    <row r="95" spans="1:2" x14ac:dyDescent="0.2">
      <c r="A95" s="8"/>
      <c r="B95" s="8">
        <f>COUNTIF(MatchScoutingData!B$2:B$9991, $A95)</f>
        <v>0</v>
      </c>
    </row>
    <row r="96" spans="1:2" x14ac:dyDescent="0.2">
      <c r="A96" s="8"/>
      <c r="B96" s="8">
        <f>COUNTIF(MatchScoutingData!B$2:B$9991, $A96)</f>
        <v>0</v>
      </c>
    </row>
    <row r="97" spans="1:2" x14ac:dyDescent="0.2">
      <c r="A97" s="8"/>
      <c r="B97" s="8">
        <f>COUNTIF(MatchScoutingData!B$2:B$9991, $A97)</f>
        <v>0</v>
      </c>
    </row>
    <row r="98" spans="1:2" x14ac:dyDescent="0.2">
      <c r="A98" s="8"/>
      <c r="B98" s="8">
        <f>COUNTIF(MatchScoutingData!B$2:B$9991, $A98)</f>
        <v>0</v>
      </c>
    </row>
    <row r="99" spans="1:2" x14ac:dyDescent="0.2">
      <c r="A99" s="8"/>
      <c r="B99" s="8">
        <f>COUNTIF(MatchScoutingData!B$2:B$9991, $A99)</f>
        <v>0</v>
      </c>
    </row>
    <row r="100" spans="1:2" x14ac:dyDescent="0.2">
      <c r="A100" s="8"/>
      <c r="B100" s="8">
        <f>COUNTIF(MatchScoutingData!B$2:B$9991, $A100)</f>
        <v>0</v>
      </c>
    </row>
    <row r="101" spans="1:2" x14ac:dyDescent="0.2">
      <c r="A101" s="8"/>
      <c r="B101" s="8">
        <f>COUNTIF(MatchScoutingData!B$2:B$9991,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7" customFormat="1" ht="16" x14ac:dyDescent="0.2">
      <c r="A1" s="5" t="s">
        <v>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2026-03-24T18:19:39Z</dcterms:modified>
</cp:coreProperties>
</file>