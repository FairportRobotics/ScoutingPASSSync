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0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  <sheet name="PB Scouter Summary" sheetId="7" state="visible" r:id="rId7"/>
    <sheet name="PB Team Summary" sheetId="8" state="visible" r:id="rId8"/>
  </sheets>
  <definedNames>
    <definedName name="_xlnm._FilterDatabase" localSheetId="0" hidden="1">'MatchScoutingData'!$A$1:$AI$1</definedName>
    <definedName name="_xlnm._FilterDatabase" localSheetId="2" hidden="1">'Teams'!$A$1:$E$1</definedName>
    <definedName name="_xlnm._FilterDatabase" localSheetId="3" hidden="1">'Matches'!$A$1:$H$1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6" hidden="1">'PB Scouter Summary'!$A$1:$B$101</definedName>
    <definedName name="_xlnm._FilterDatabase" localSheetId="7" hidden="1">'PB Team Summary'!$A$1:$G$1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;\-0;;@"/>
    <numFmt numFmtId="165" formatCode="#,##0;-[Red]#,##0;&quot;-&quot;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 (Body)"/>
      <sz val="11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color rgb="00000000"/>
      <sz val="12"/>
    </font>
    <font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8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D09996"/>
        <bgColor rgb="00D09996"/>
      </patternFill>
    </fill>
    <fill>
      <patternFill patternType="solid">
        <fgColor rgb="00E89149"/>
        <bgColor rgb="00E89149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6" applyAlignment="1" pivotButton="0" quotePrefix="0" xfId="0">
      <alignment horizontal="left" textRotation="90"/>
    </xf>
    <xf numFmtId="0" fontId="5" fillId="0" borderId="0" pivotButton="0" quotePrefix="0" xfId="0"/>
    <xf numFmtId="164" fontId="0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3" borderId="0" applyAlignment="1" pivotButton="0" quotePrefix="0" xfId="0">
      <alignment horizontal="center" textRotation="90"/>
    </xf>
    <xf numFmtId="0" fontId="3" fillId="3" borderId="5" applyAlignment="1" pivotButton="0" quotePrefix="0" xfId="0">
      <alignment horizontal="center" textRotation="90"/>
    </xf>
    <xf numFmtId="0" fontId="1" fillId="3" borderId="5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2" borderId="0" applyAlignment="1" pivotButton="0" quotePrefix="0" xfId="0">
      <alignment horizontal="center" textRotation="90"/>
    </xf>
    <xf numFmtId="0" fontId="1" fillId="3" borderId="0" applyAlignment="1" pivotButton="0" quotePrefix="0" xfId="0">
      <alignment horizontal="center" textRotation="90"/>
    </xf>
    <xf numFmtId="0" fontId="1" fillId="3" borderId="1" applyAlignment="1" pivotButton="0" quotePrefix="0" xfId="0">
      <alignment horizontal="center" textRotation="90"/>
    </xf>
    <xf numFmtId="0" fontId="1" fillId="8" borderId="1" applyAlignment="1" pivotButton="0" quotePrefix="0" xfId="0">
      <alignment horizontal="center" textRotation="90"/>
    </xf>
    <xf numFmtId="0" fontId="1" fillId="7" borderId="3" applyAlignment="1" pivotButton="0" quotePrefix="0" xfId="0">
      <alignment horizontal="center" vertical="center"/>
    </xf>
    <xf numFmtId="0" fontId="1" fillId="7" borderId="4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8" fillId="9" borderId="0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165" fontId="9" fillId="0" borderId="0" pivotButton="0" quotePrefix="0" xfId="0"/>
    <xf numFmtId="0" fontId="10" fillId="1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D09996"/>
          <bgColor rgb="00D0999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2"/>
  <sheetViews>
    <sheetView tabSelected="1"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/>
  <sheetData>
    <row r="1" ht="125" customHeight="1">
      <c r="A1" s="12" t="inlineStr">
        <is>
          <t>Key</t>
        </is>
      </c>
      <c r="B1" s="12" t="inlineStr">
        <is>
          <t>Scouter PIN</t>
        </is>
      </c>
      <c r="C1" s="12" t="inlineStr">
        <is>
          <t>Match</t>
        </is>
      </c>
      <c r="D1" s="12" t="inlineStr">
        <is>
          <t>Alliance</t>
        </is>
      </c>
      <c r="E1" s="12" t="inlineStr">
        <is>
          <t>Team</t>
        </is>
      </c>
      <c r="F1" s="12" t="inlineStr">
        <is>
          <t>Climbing Attempted</t>
        </is>
      </c>
      <c r="G1" s="12" t="inlineStr">
        <is>
          <t>Robot Reach Level 1</t>
        </is>
      </c>
      <c r="H1" s="12" t="inlineStr">
        <is>
          <t>Robot Move in Auto</t>
        </is>
      </c>
      <c r="I1" s="12" t="inlineStr">
        <is>
          <t>A-Stop Activated</t>
        </is>
      </c>
      <c r="J1" s="12" t="inlineStr">
        <is>
          <t>Total Fuel Scored</t>
        </is>
      </c>
      <c r="K1" s="12" t="inlineStr">
        <is>
          <t>Speed to Shoot Fuel</t>
        </is>
      </c>
      <c r="L1" s="12" t="inlineStr">
        <is>
          <t>Accuracy to Shoot Fuel</t>
        </is>
      </c>
      <c r="M1" s="12" t="inlineStr">
        <is>
          <t>Number of Fuel Collected</t>
        </is>
      </c>
      <c r="N1" s="12" t="inlineStr">
        <is>
          <t>Duirng Inactive, did Collect</t>
        </is>
      </c>
      <c r="O1" s="12" t="inlineStr">
        <is>
          <t>During Inactive, did Pass</t>
        </is>
      </c>
      <c r="P1" s="12" t="inlineStr">
        <is>
          <t>Collect from Alliance Zone</t>
        </is>
      </c>
      <c r="Q1" s="12" t="inlineStr">
        <is>
          <t>Collect from Neutral Zone</t>
        </is>
      </c>
      <c r="R1" s="12" t="inlineStr">
        <is>
          <t>Was Intake Good</t>
        </is>
      </c>
      <c r="S1" s="12" t="inlineStr">
        <is>
          <t>Climb, Scucess, Level (Endgame)</t>
        </is>
      </c>
      <c r="T1" s="12" t="inlineStr">
        <is>
          <t>Defensive Whole Game</t>
        </is>
      </c>
      <c r="U1" s="12" t="inlineStr">
        <is>
          <t>Shot from Same Position</t>
        </is>
      </c>
      <c r="V1" s="12" t="inlineStr">
        <is>
          <t>Continue to Shoot Until End</t>
        </is>
      </c>
      <c r="W1" s="12" t="inlineStr">
        <is>
          <t>Grade Robot's Performance</t>
        </is>
      </c>
      <c r="X1" s="12" t="inlineStr">
        <is>
          <t>Result of Match (Postmatch)</t>
        </is>
      </c>
      <c r="Y1" s="12" t="inlineStr">
        <is>
          <t>Energized Ranking Point</t>
        </is>
      </c>
      <c r="Z1" s="12" t="inlineStr">
        <is>
          <t>Supercharged Ranking Point</t>
        </is>
      </c>
      <c r="AA1" s="12" t="inlineStr">
        <is>
          <t>Traversal Ranking Point</t>
        </is>
      </c>
      <c r="AB1" s="12" t="inlineStr">
        <is>
          <t>Total Points Scored</t>
        </is>
      </c>
      <c r="AC1" s="12" t="inlineStr">
        <is>
          <t>Comments</t>
        </is>
      </c>
    </row>
    <row r="2" ht="16" customHeight="1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16" customHeight="1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6" customHeight="1">
      <c r="A4" s="1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16" customHeight="1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 ht="16" customHeight="1">
      <c r="A6" s="1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 ht="16" customHeight="1">
      <c r="A7" s="1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 ht="16" customHeight="1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 ht="16" customHeight="1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 ht="16" customHeight="1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 ht="16" customHeight="1">
      <c r="A11" s="1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 ht="16" customHeight="1">
      <c r="A12" s="1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 ht="16" customHeight="1">
      <c r="A13" s="1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 ht="16" customHeight="1">
      <c r="A14" s="1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 ht="16" customHeight="1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 ht="16" customHeight="1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 ht="16" customHeight="1">
      <c r="A17" s="1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16" customHeight="1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16" customHeight="1">
      <c r="A19" s="1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 ht="16" customHeight="1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 ht="16" customHeight="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 ht="16" customHeight="1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 ht="16" customHeight="1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 ht="16" customHeight="1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 ht="16" customHeight="1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 ht="16" customHeight="1">
      <c r="A26" s="1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 ht="16" customHeight="1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 ht="16" customHeight="1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 ht="16" customHeight="1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 ht="16" customHeight="1">
      <c r="A30" s="1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 ht="16" customHeight="1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 ht="16" customHeight="1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 ht="16" customHeight="1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 ht="16" customHeight="1">
      <c r="A34" s="1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 ht="16" customHeight="1">
      <c r="A35" s="1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 ht="16" customHeight="1">
      <c r="A36" s="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 ht="16" customHeight="1">
      <c r="A37" s="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 ht="16" customHeight="1">
      <c r="A38" s="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 ht="16" customHeight="1">
      <c r="A39" s="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 ht="16" customHeight="1">
      <c r="A40" s="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 ht="16" customHeight="1">
      <c r="A41" s="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 ht="16" customHeight="1">
      <c r="A42" s="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 ht="16" customHeight="1">
      <c r="A43" s="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 ht="16" customHeight="1">
      <c r="A44" s="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 ht="16" customHeight="1">
      <c r="A45" s="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 ht="16" customHeight="1">
      <c r="A46" s="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 ht="16" customHeight="1">
      <c r="A47" s="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 ht="16" customHeight="1">
      <c r="A48" s="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 ht="16" customHeight="1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 ht="16" customHeight="1">
      <c r="A50" s="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 ht="16" customHeight="1">
      <c r="A51" s="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 ht="16" customHeight="1">
      <c r="A52" s="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 ht="16" customHeight="1">
      <c r="A53" s="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 ht="16" customHeight="1">
      <c r="A54" s="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 ht="16" customHeight="1">
      <c r="A55" s="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 ht="16" customHeight="1">
      <c r="A56" s="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 ht="16" customHeight="1">
      <c r="A57" s="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 ht="16" customHeight="1">
      <c r="A58" s="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 ht="16" customHeight="1">
      <c r="A59" s="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 ht="16" customHeight="1">
      <c r="A60" s="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 ht="16" customHeight="1">
      <c r="A61" s="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 ht="16" customHeight="1">
      <c r="A62" s="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 ht="16" customHeight="1">
      <c r="A63" s="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 ht="16" customHeight="1">
      <c r="A64" s="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 ht="16" customHeight="1">
      <c r="A65" s="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 ht="16" customHeight="1">
      <c r="A66" s="1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 ht="16" customHeight="1">
      <c r="A67" s="1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 ht="16" customHeight="1">
      <c r="A68" s="1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 ht="16" customHeight="1">
      <c r="A69" s="1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 ht="16" customHeight="1">
      <c r="A70" s="1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16" customHeight="1">
      <c r="A71" s="1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16" customHeight="1">
      <c r="A72" s="1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16" customHeight="1">
      <c r="A73" s="1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16" customHeight="1">
      <c r="A74" s="1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16" customHeight="1">
      <c r="A75" s="1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16" customHeight="1">
      <c r="A76" s="1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16" customHeight="1">
      <c r="A77" s="1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16" customHeight="1">
      <c r="A78" s="1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16" customHeight="1">
      <c r="A79" s="1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 ht="16" customHeight="1">
      <c r="A80" s="1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 ht="16" customHeight="1">
      <c r="A81" s="1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 ht="16" customHeight="1">
      <c r="A82" s="1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 ht="16" customHeight="1">
      <c r="A83" s="1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 ht="16" customHeight="1">
      <c r="A84" s="1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 ht="16" customHeight="1">
      <c r="A85" s="1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 ht="16" customHeight="1">
      <c r="A86" s="1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 ht="16" customHeight="1">
      <c r="A87" s="1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 ht="16" customHeight="1">
      <c r="A88" s="1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 ht="16" customHeight="1">
      <c r="A89" s="1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 ht="16" customHeight="1">
      <c r="A90" s="1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 ht="16" customHeight="1">
      <c r="A91" s="1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 ht="16" customHeight="1">
      <c r="A92" s="1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 ht="16" customHeight="1">
      <c r="A93" s="1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 ht="16" customHeight="1">
      <c r="A94" s="1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 ht="16" customHeight="1">
      <c r="A95" s="1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 ht="16" customHeight="1">
      <c r="A96" s="1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 ht="16" customHeight="1">
      <c r="A97" s="1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 ht="16" customHeight="1">
      <c r="A98" s="1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 ht="16" customHeight="1">
      <c r="A99" s="1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 ht="16" customHeight="1">
      <c r="A100" s="1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 ht="16" customHeight="1">
      <c r="A101" s="1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 ht="16" customHeight="1">
      <c r="A102" s="1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 ht="16" customHeight="1">
      <c r="A103" s="1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 ht="16" customHeight="1">
      <c r="A104" s="1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 ht="16" customHeight="1">
      <c r="A105" s="1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 ht="16" customHeight="1">
      <c r="A106" s="1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 ht="16" customHeight="1">
      <c r="A107" s="1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 ht="16" customHeight="1">
      <c r="A108" s="1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 ht="16" customHeight="1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 ht="16" customHeight="1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 ht="16" customHeight="1">
      <c r="A111" s="1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 ht="16" customHeight="1">
      <c r="A112" s="1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 ht="16" customHeight="1">
      <c r="A113" s="1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 ht="16" customHeight="1">
      <c r="A114" s="1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 ht="16" customHeight="1">
      <c r="A115" s="1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 ht="16" customHeight="1">
      <c r="A116" s="1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 ht="16" customHeight="1">
      <c r="A117" s="1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 ht="16" customHeight="1">
      <c r="A118" s="1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 ht="16" customHeight="1">
      <c r="A119" s="1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 ht="16" customHeight="1">
      <c r="A120" s="1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 ht="16" customHeight="1">
      <c r="A121" s="1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 ht="16" customHeight="1">
      <c r="A122" s="1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 ht="16" customHeight="1">
      <c r="A123" s="1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 ht="16" customHeight="1">
      <c r="A124" s="1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 ht="16" customHeight="1">
      <c r="A125" s="1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 ht="16" customHeight="1">
      <c r="A126" s="1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 ht="16" customHeight="1">
      <c r="A127" s="1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 ht="16" customHeight="1">
      <c r="A128" s="1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 ht="16" customHeight="1">
      <c r="A129" s="1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 ht="16" customHeight="1">
      <c r="A130" s="1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 ht="16" customHeight="1">
      <c r="A131" s="1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 ht="16" customHeight="1">
      <c r="A132" s="1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 ht="16" customHeight="1">
      <c r="A133" s="1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 ht="16" customHeight="1">
      <c r="A134" s="1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 ht="16" customHeight="1">
      <c r="A135" s="1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 ht="16" customHeight="1">
      <c r="A136" s="1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 ht="16" customHeight="1">
      <c r="A137" s="1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 ht="16" customHeight="1">
      <c r="A138" s="1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 ht="16" customHeight="1">
      <c r="A139" s="1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 ht="16" customHeight="1">
      <c r="A140" s="1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 ht="16" customHeight="1">
      <c r="A141" s="1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 ht="16" customHeight="1">
      <c r="A142" s="1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 ht="16" customHeight="1">
      <c r="A143" s="1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 ht="16" customHeight="1">
      <c r="A144" s="1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 ht="16" customHeight="1">
      <c r="A145" s="1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 ht="16" customHeight="1">
      <c r="A146" s="1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 ht="16" customHeight="1">
      <c r="A147" s="1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 ht="16" customHeight="1">
      <c r="A148" s="1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 ht="16" customHeight="1">
      <c r="A149" s="1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 ht="16" customHeight="1">
      <c r="A150" s="1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 ht="16" customHeight="1">
      <c r="A151" s="1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 ht="16" customHeight="1">
      <c r="A152" s="1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 ht="16" customHeight="1">
      <c r="A153" s="1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 ht="16" customHeight="1">
      <c r="A154" s="1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 ht="16" customHeight="1">
      <c r="A155" s="1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 ht="16" customHeight="1">
      <c r="A156" s="1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 ht="16" customHeight="1">
      <c r="A157" s="1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 ht="16" customHeight="1">
      <c r="A158" s="1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 ht="16" customHeight="1">
      <c r="A159" s="1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 ht="16" customHeight="1">
      <c r="A160" s="1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 ht="16" customHeight="1">
      <c r="A161" s="1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 ht="16" customHeight="1">
      <c r="A162" s="1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 ht="16" customHeight="1">
      <c r="A163" s="1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 ht="16" customHeight="1">
      <c r="A164" s="1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 ht="16" customHeight="1">
      <c r="A165" s="1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 ht="16" customHeight="1">
      <c r="A166" s="1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 ht="16" customHeight="1">
      <c r="A167" s="1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 ht="16" customHeight="1">
      <c r="A168" s="1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 ht="16" customHeight="1">
      <c r="A169" s="1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 ht="16" customHeight="1">
      <c r="A170" s="1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 ht="16" customHeight="1">
      <c r="A171" s="1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 ht="16" customHeight="1">
      <c r="A172" s="1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 ht="16" customHeight="1">
      <c r="A173" s="1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 ht="16" customHeight="1">
      <c r="A174" s="1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 ht="16" customHeight="1">
      <c r="A175" s="1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 ht="16" customHeight="1">
      <c r="A176" s="1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 ht="16" customHeight="1">
      <c r="A177" s="1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 ht="16" customHeight="1">
      <c r="A178" s="1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 ht="16" customHeight="1">
      <c r="A179" s="1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 ht="16" customHeight="1">
      <c r="A180" s="1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 ht="16" customHeight="1">
      <c r="A181" s="1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 ht="16" customHeight="1">
      <c r="A182" s="1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 ht="16" customHeight="1">
      <c r="A183" s="1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 ht="16" customHeight="1">
      <c r="A184" s="1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 ht="16" customHeight="1">
      <c r="A185" s="1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 ht="16" customHeight="1">
      <c r="A186" s="1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 ht="16" customHeight="1">
      <c r="A187" s="1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 ht="16" customHeight="1">
      <c r="A188" s="1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 ht="16" customHeight="1">
      <c r="A189" s="1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 ht="16" customHeight="1">
      <c r="A190" s="1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 ht="16" customHeight="1">
      <c r="A191" s="1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 ht="16" customHeight="1">
      <c r="A192" s="1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 ht="16" customHeight="1">
      <c r="A193" s="1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 ht="16" customHeight="1">
      <c r="A194" s="1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 ht="16" customHeight="1">
      <c r="A195" s="1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 ht="16" customHeight="1">
      <c r="A196" s="1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 ht="16" customHeight="1">
      <c r="A197" s="1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 ht="16" customHeight="1">
      <c r="A198" s="1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 ht="16" customHeight="1">
      <c r="A199" s="1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 ht="16" customHeight="1">
      <c r="A200" s="1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 ht="16" customHeight="1">
      <c r="A201" s="1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</row>
    <row r="202" ht="16" customHeight="1">
      <c r="A202" s="1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 ht="16" customHeight="1">
      <c r="A203" s="1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</row>
    <row r="204" ht="16" customHeight="1">
      <c r="A204" s="1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 ht="16" customHeight="1">
      <c r="A205" s="1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</row>
    <row r="206" ht="16" customHeight="1">
      <c r="A206" s="1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 ht="16" customHeight="1">
      <c r="A207" s="1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</row>
    <row r="208" ht="16" customHeight="1">
      <c r="A208" s="1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 ht="16" customHeight="1">
      <c r="A209" s="1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</row>
    <row r="210" ht="16" customHeight="1">
      <c r="A210" s="1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 ht="16" customHeight="1">
      <c r="A211" s="1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</row>
    <row r="212" ht="16" customHeight="1">
      <c r="A212" s="1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 ht="16" customHeight="1">
      <c r="A213" s="1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</row>
    <row r="214" ht="16" customHeight="1">
      <c r="A214" s="1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 ht="16" customHeight="1">
      <c r="A215" s="1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</row>
    <row r="216" ht="16" customHeight="1">
      <c r="A216" s="1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 ht="16" customHeight="1">
      <c r="A217" s="1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</row>
    <row r="218" ht="16" customHeight="1">
      <c r="A218" s="1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 ht="16" customHeight="1">
      <c r="A219" s="1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</row>
    <row r="220" ht="16" customHeight="1">
      <c r="A220" s="1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 ht="16" customHeight="1">
      <c r="A221" s="1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</row>
    <row r="222" ht="16" customHeight="1">
      <c r="A222" s="1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 ht="16" customHeight="1">
      <c r="A223" s="1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</row>
    <row r="224" ht="16" customHeight="1">
      <c r="A224" s="1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 ht="16" customHeight="1">
      <c r="A225" s="1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</row>
    <row r="226" ht="16" customHeight="1">
      <c r="A226" s="1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 ht="16" customHeight="1">
      <c r="A227" s="1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</row>
    <row r="228" ht="16" customHeight="1">
      <c r="A228" s="1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 ht="16" customHeight="1">
      <c r="A229" s="1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</row>
    <row r="230" ht="16" customHeight="1">
      <c r="A230" s="1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 ht="16" customHeight="1">
      <c r="A231" s="1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</row>
    <row r="232" ht="16" customHeight="1">
      <c r="A232" s="1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 ht="16" customHeight="1">
      <c r="A233" s="1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</row>
    <row r="234" ht="16" customHeight="1">
      <c r="A234" s="1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 ht="16" customHeight="1">
      <c r="A235" s="1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</row>
    <row r="236" ht="16" customHeight="1">
      <c r="A236" s="1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 ht="16" customHeight="1">
      <c r="A237" s="1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</row>
    <row r="238" ht="16" customHeight="1">
      <c r="A238" s="1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 ht="16" customHeight="1">
      <c r="A239" s="1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</row>
    <row r="240" ht="16" customHeight="1">
      <c r="A240" s="1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 ht="16" customHeight="1">
      <c r="A241" s="1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</row>
    <row r="242" ht="16" customHeight="1">
      <c r="A242" s="1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 ht="16" customHeight="1">
      <c r="A243" s="1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</row>
    <row r="244" ht="16" customHeight="1">
      <c r="A244" s="1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 ht="16" customHeight="1">
      <c r="A245" s="1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</row>
    <row r="246" ht="16" customHeight="1">
      <c r="A246" s="1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 ht="16" customHeight="1">
      <c r="A247" s="1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</row>
    <row r="248" ht="16" customHeight="1">
      <c r="A248" s="1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 ht="16" customHeight="1">
      <c r="A249" s="1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</row>
    <row r="250" ht="16" customHeight="1">
      <c r="A250" s="1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 ht="16" customHeight="1">
      <c r="A251" s="1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</row>
    <row r="252" ht="16" customHeight="1">
      <c r="A252" s="1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 ht="16" customHeight="1">
      <c r="A253" s="1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</row>
    <row r="254" ht="16" customHeight="1">
      <c r="A254" s="1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 ht="16" customHeight="1">
      <c r="A255" s="1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</row>
    <row r="256" ht="16" customHeight="1">
      <c r="A256" s="1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 ht="16" customHeight="1">
      <c r="A257" s="1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</row>
    <row r="258" ht="16" customHeight="1">
      <c r="A258" s="1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 ht="16" customHeight="1">
      <c r="A259" s="1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</row>
    <row r="260" ht="16" customHeight="1">
      <c r="A260" s="1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 ht="16" customHeight="1">
      <c r="A261" s="1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 ht="16" customHeight="1">
      <c r="A262" s="1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 ht="16" customHeight="1">
      <c r="A263" s="1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 ht="16" customHeight="1">
      <c r="A264" s="1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 ht="16" customHeight="1">
      <c r="A265" s="1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 ht="16" customHeight="1">
      <c r="A266" s="1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 ht="16" customHeight="1">
      <c r="A267" s="1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 ht="16" customHeight="1">
      <c r="A268" s="1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 ht="16" customHeight="1">
      <c r="A269" s="1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 ht="16" customHeight="1">
      <c r="A270" s="1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 ht="16" customHeight="1">
      <c r="A271" s="1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 ht="16" customHeight="1">
      <c r="A272" s="1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 ht="16" customHeight="1">
      <c r="A273" s="1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 ht="16" customHeight="1">
      <c r="A274" s="1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 ht="16" customHeight="1">
      <c r="A275" s="1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 ht="16" customHeight="1">
      <c r="A276" s="1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 ht="16" customHeight="1">
      <c r="A277" s="1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 ht="16" customHeight="1">
      <c r="A278" s="1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 ht="16" customHeight="1">
      <c r="A279" s="1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 ht="16" customHeight="1">
      <c r="A280" s="1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 ht="16" customHeight="1">
      <c r="A281" s="1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 ht="16" customHeight="1">
      <c r="A282" s="1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 ht="16" customHeight="1">
      <c r="A283" s="1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 ht="16" customHeight="1">
      <c r="A284" s="1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 ht="16" customHeight="1">
      <c r="A285" s="1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 ht="16" customHeight="1">
      <c r="A286" s="1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 ht="16" customHeight="1">
      <c r="A287" s="1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 ht="16" customHeight="1">
      <c r="A288" s="1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 ht="16" customHeight="1">
      <c r="A289" s="1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 ht="16" customHeight="1">
      <c r="A290" s="1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 ht="16" customHeight="1">
      <c r="A291" s="1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 ht="16" customHeight="1">
      <c r="A292" s="1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 ht="16" customHeight="1">
      <c r="A293" s="1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 ht="16" customHeight="1">
      <c r="A294" s="1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 ht="16" customHeight="1">
      <c r="A295" s="1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 ht="16" customHeight="1">
      <c r="A296" s="1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 ht="16" customHeight="1">
      <c r="A297" s="1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 ht="16" customHeight="1">
      <c r="A298" s="1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 ht="16" customHeight="1">
      <c r="A299" s="1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 ht="16" customHeight="1">
      <c r="A300" s="1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 ht="16" customHeight="1">
      <c r="A301" s="1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 ht="16" customHeight="1">
      <c r="A302" s="1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 ht="16" customHeight="1">
      <c r="A303" s="1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 ht="16" customHeight="1">
      <c r="A304" s="1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 ht="16" customHeight="1">
      <c r="A305" s="1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 ht="16" customHeight="1">
      <c r="A306" s="1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 ht="16" customHeight="1">
      <c r="A307" s="1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 ht="16" customHeight="1">
      <c r="A308" s="1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 ht="16" customHeight="1">
      <c r="A309" s="1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 ht="16" customHeight="1">
      <c r="A310" s="1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 ht="16" customHeight="1">
      <c r="A311" s="1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 ht="16" customHeight="1">
      <c r="A312" s="1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 ht="16" customHeight="1">
      <c r="A313" s="1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 ht="16" customHeight="1">
      <c r="A314" s="1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 ht="16" customHeight="1">
      <c r="A315" s="1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 ht="16" customHeight="1">
      <c r="A316" s="1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 ht="16" customHeight="1">
      <c r="A317" s="1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 ht="16" customHeight="1">
      <c r="A318" s="1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 ht="16" customHeight="1">
      <c r="A319" s="1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 ht="16" customHeight="1">
      <c r="A320" s="1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 ht="16" customHeight="1">
      <c r="A321" s="1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 ht="16" customHeight="1">
      <c r="A322" s="1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 ht="16" customHeight="1">
      <c r="A323" s="1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 ht="16" customHeight="1">
      <c r="A324" s="1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 ht="16" customHeight="1">
      <c r="A325" s="1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 ht="16" customHeight="1">
      <c r="A326" s="1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 ht="16" customHeight="1">
      <c r="A327" s="1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 ht="16" customHeight="1">
      <c r="A328" s="1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 ht="16" customHeight="1">
      <c r="A329" s="1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 ht="16" customHeight="1">
      <c r="A330" s="1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 ht="16" customHeight="1">
      <c r="A331" s="1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 ht="16" customHeight="1">
      <c r="A332" s="1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 ht="16" customHeight="1">
      <c r="A333" s="1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 ht="16" customHeight="1">
      <c r="A334" s="1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 ht="16" customHeight="1">
      <c r="A335" s="1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 ht="16" customHeight="1">
      <c r="A336" s="1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 ht="16" customHeight="1">
      <c r="A337" s="1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 ht="16" customHeight="1">
      <c r="A338" s="1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 ht="16" customHeight="1">
      <c r="A339" s="1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 ht="16" customHeight="1">
      <c r="A340" s="1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 ht="16" customHeight="1">
      <c r="A341" s="1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 ht="16" customHeight="1">
      <c r="A342" s="1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 ht="16" customHeight="1">
      <c r="A343" s="1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 ht="16" customHeight="1">
      <c r="A344" s="1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 ht="16" customHeight="1">
      <c r="A345" s="1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 ht="16" customHeight="1">
      <c r="A346" s="1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 ht="16" customHeight="1">
      <c r="A347" s="1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 ht="16" customHeight="1">
      <c r="A348" s="1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 ht="16" customHeight="1">
      <c r="A349" s="1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 ht="16" customHeight="1">
      <c r="A350" s="1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 ht="16" customHeight="1">
      <c r="A351" s="1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 ht="16" customHeight="1">
      <c r="A352" s="1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 ht="16" customHeight="1">
      <c r="A353" s="1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 ht="16" customHeight="1">
      <c r="A354" s="1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 ht="16" customHeight="1">
      <c r="A355" s="1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 ht="16" customHeight="1">
      <c r="A356" s="1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 ht="16" customHeight="1">
      <c r="A357" s="1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 ht="16" customHeight="1">
      <c r="A358" s="1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 ht="16" customHeight="1">
      <c r="A359" s="1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 ht="16" customHeight="1">
      <c r="A360" s="1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 ht="16" customHeight="1">
      <c r="A361" s="1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 ht="16" customHeight="1">
      <c r="A362" s="1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 ht="16" customHeight="1">
      <c r="A363" s="1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 ht="16" customHeight="1">
      <c r="A364" s="1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 ht="16" customHeight="1">
      <c r="A365" s="1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 ht="16" customHeight="1">
      <c r="A366" s="1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 ht="16" customHeight="1">
      <c r="A367" s="1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 ht="16" customHeight="1">
      <c r="A368" s="1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 ht="16" customHeight="1">
      <c r="A369" s="1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 ht="16" customHeight="1">
      <c r="A370" s="1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 ht="16" customHeight="1">
      <c r="A371" s="1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 ht="16" customHeight="1">
      <c r="A372" s="1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 ht="16" customHeight="1">
      <c r="A373" s="1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 ht="16" customHeight="1">
      <c r="A374" s="1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 ht="16" customHeight="1">
      <c r="A375" s="1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 ht="16" customHeight="1">
      <c r="A376" s="1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 ht="16" customHeight="1">
      <c r="A377" s="1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 ht="16" customHeight="1">
      <c r="A378" s="1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 ht="16" customHeight="1">
      <c r="A379" s="1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 ht="16" customHeight="1">
      <c r="A380" s="1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 ht="16" customHeight="1">
      <c r="A381" s="1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 ht="16" customHeight="1">
      <c r="A382" s="1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 ht="16" customHeight="1">
      <c r="A383" s="1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 ht="16" customHeight="1">
      <c r="A384" s="1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 ht="16" customHeight="1">
      <c r="A385" s="1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 ht="16" customHeight="1">
      <c r="A386" s="1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 ht="16" customHeight="1">
      <c r="A387" s="1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 ht="16" customHeight="1">
      <c r="A388" s="1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 ht="16" customHeight="1">
      <c r="A389" s="1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 ht="16" customHeight="1">
      <c r="A390" s="1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 ht="16" customHeight="1">
      <c r="A391" s="1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 ht="16" customHeight="1">
      <c r="A392" s="1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 ht="16" customHeight="1">
      <c r="A393" s="1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 ht="16" customHeight="1">
      <c r="A394" s="1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 ht="16" customHeight="1">
      <c r="A395" s="1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 ht="16" customHeight="1">
      <c r="A396" s="1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 ht="16" customHeight="1">
      <c r="A397" s="1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 ht="16" customHeight="1">
      <c r="A398" s="1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 ht="16" customHeight="1">
      <c r="A399" s="1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 ht="16" customHeight="1">
      <c r="A400" s="1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 ht="16" customHeight="1">
      <c r="A401" s="1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 ht="16" customHeight="1">
      <c r="A402" s="1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 ht="16" customHeight="1">
      <c r="A403" s="1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 ht="16" customHeight="1">
      <c r="A404" s="1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 ht="16" customHeight="1">
      <c r="A405" s="1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 ht="16" customHeight="1">
      <c r="A406" s="1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 ht="16" customHeight="1">
      <c r="A407" s="1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 ht="16" customHeight="1">
      <c r="A408" s="1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 ht="16" customHeight="1">
      <c r="A409" s="1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 ht="16" customHeight="1">
      <c r="A410" s="1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 ht="16" customHeight="1">
      <c r="A411" s="1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 ht="16" customHeight="1">
      <c r="A412" s="1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 ht="16" customHeight="1">
      <c r="A413" s="1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 ht="16" customHeight="1">
      <c r="A414" s="1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 ht="16" customHeight="1">
      <c r="A415" s="1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 ht="16" customHeight="1">
      <c r="A416" s="1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 ht="16" customHeight="1">
      <c r="A417" s="1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 ht="16" customHeight="1">
      <c r="A418" s="1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 ht="16" customHeight="1">
      <c r="A419" s="1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 ht="16" customHeight="1">
      <c r="A420" s="1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 ht="16" customHeight="1">
      <c r="A421" s="1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 ht="16" customHeight="1">
      <c r="A422" s="1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 ht="16" customHeight="1">
      <c r="A423" s="1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 ht="16" customHeight="1">
      <c r="A424" s="1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 ht="16" customHeight="1">
      <c r="A425" s="1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 ht="16" customHeight="1">
      <c r="A426" s="1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 ht="16" customHeight="1">
      <c r="A427" s="1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 ht="16" customHeight="1">
      <c r="A428" s="1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 ht="16" customHeight="1">
      <c r="A429" s="1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 ht="16" customHeight="1">
      <c r="A430" s="1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 ht="16" customHeight="1">
      <c r="A431" s="1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 ht="16" customHeight="1">
      <c r="A432" s="1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 ht="16" customHeight="1">
      <c r="A433" s="1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 ht="16" customHeight="1">
      <c r="A434" s="1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 ht="16" customHeight="1">
      <c r="A435" s="1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 ht="16" customHeight="1">
      <c r="A436" s="1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 ht="16" customHeight="1">
      <c r="A437" s="1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 ht="16" customHeight="1">
      <c r="A438" s="1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 ht="16" customHeight="1">
      <c r="A439" s="1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 ht="16" customHeight="1">
      <c r="A440" s="1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 ht="16" customHeight="1">
      <c r="A441" s="1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 ht="16" customHeight="1">
      <c r="A442" s="1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 ht="16" customHeight="1">
      <c r="A443" s="1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 ht="16" customHeight="1">
      <c r="A444" s="1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 ht="16" customHeight="1">
      <c r="A445" s="1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 ht="16" customHeight="1">
      <c r="A446" s="1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 ht="16" customHeight="1">
      <c r="A447" s="1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 ht="16" customHeight="1">
      <c r="A448" s="1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 ht="16" customHeight="1">
      <c r="A449" s="1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 ht="16" customHeight="1">
      <c r="A450" s="1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 ht="16" customHeight="1">
      <c r="A451" s="1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 ht="16" customHeight="1">
      <c r="A452" s="1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 ht="16" customHeight="1">
      <c r="A453" s="1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 ht="16" customHeight="1">
      <c r="A454" s="1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 ht="16" customHeight="1">
      <c r="A455" s="1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 ht="16" customHeight="1">
      <c r="A456" s="1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 ht="16" customHeight="1">
      <c r="A457" s="1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 ht="16" customHeight="1">
      <c r="A458" s="1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 ht="16" customHeight="1">
      <c r="A459" s="1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 ht="16" customHeight="1">
      <c r="A460" s="1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 ht="16" customHeight="1">
      <c r="A461" s="1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 ht="16" customHeight="1">
      <c r="A462" s="1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 ht="16" customHeight="1">
      <c r="A463" s="1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 ht="16" customHeight="1">
      <c r="A464" s="1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 ht="16" customHeight="1">
      <c r="A465" s="1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 ht="16" customHeight="1">
      <c r="A466" s="1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 ht="16" customHeight="1">
      <c r="A467" s="1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 ht="16" customHeight="1">
      <c r="A468" s="1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 ht="16" customHeight="1">
      <c r="A469" s="1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 ht="16" customHeight="1">
      <c r="A470" s="1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 ht="16" customHeight="1">
      <c r="A471" s="1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 ht="16" customHeight="1">
      <c r="A472" s="1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 ht="16" customHeight="1">
      <c r="A473" s="1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 ht="16" customHeight="1">
      <c r="A474" s="1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 ht="16" customHeight="1">
      <c r="A475" s="1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 ht="16" customHeight="1">
      <c r="A476" s="1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 ht="16" customHeight="1">
      <c r="A477" s="1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 ht="16" customHeight="1">
      <c r="A478" s="1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 ht="16" customHeight="1">
      <c r="A479" s="1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 ht="16" customHeight="1">
      <c r="A480" s="1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 ht="16" customHeight="1">
      <c r="A481" s="1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 ht="16" customHeight="1">
      <c r="A482" s="1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 ht="16" customHeight="1">
      <c r="A483" s="1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 ht="16" customHeight="1">
      <c r="A484" s="1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 ht="16" customHeight="1">
      <c r="A485" s="1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 ht="16" customHeight="1">
      <c r="A486" s="1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 ht="16" customHeight="1">
      <c r="A487" s="1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 ht="16" customHeight="1">
      <c r="A488" s="1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 ht="16" customHeight="1">
      <c r="A489" s="1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 ht="16" customHeight="1">
      <c r="A490" s="1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 ht="16" customHeight="1">
      <c r="A491" s="1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 ht="16" customHeight="1">
      <c r="A492" s="1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 ht="16" customHeight="1">
      <c r="A493" s="1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 ht="16" customHeight="1">
      <c r="A494" s="1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 ht="16" customHeight="1">
      <c r="A495" s="1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 ht="16" customHeight="1">
      <c r="A496" s="1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 ht="16" customHeight="1">
      <c r="A497" s="1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 ht="16" customHeight="1">
      <c r="A498" s="1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 ht="16" customHeight="1">
      <c r="A499" s="1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6" customHeight="1">
      <c r="A991" s="1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6" customHeight="1">
      <c r="A992" s="1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</sheetData>
  <autoFilter ref="A1:AI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33" t="inlineStr">
        <is>
          <t>2026nytr</t>
        </is>
      </c>
    </row>
    <row r="2" ht="16" customHeight="1">
      <c r="A2" s="3" t="inlineStr">
        <is>
          <t>FIRST Key</t>
        </is>
      </c>
      <c r="B2" s="33" t="inlineStr">
        <is>
          <t>nytr</t>
        </is>
      </c>
    </row>
    <row r="3" ht="16" customHeight="1">
      <c r="A3" s="3" t="inlineStr">
        <is>
          <t>Name</t>
        </is>
      </c>
      <c r="B3" s="33" t="inlineStr">
        <is>
          <t>New York Tech Valley Regional</t>
        </is>
      </c>
    </row>
    <row r="4" ht="16" customHeight="1">
      <c r="A4" s="3" t="inlineStr">
        <is>
          <t>Location</t>
        </is>
      </c>
      <c r="B4" s="33" t="inlineStr">
        <is>
          <t>MVP Arena</t>
        </is>
      </c>
    </row>
    <row r="5" ht="16" customHeight="1">
      <c r="A5" s="3" t="inlineStr">
        <is>
          <t>Start Date</t>
        </is>
      </c>
      <c r="B5" s="33" t="inlineStr">
        <is>
          <t>2026-04-15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1"/>
  <sheetViews>
    <sheetView zoomScale="150" zoomScaleNormal="15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" customWidth="1" min="4" max="4"/>
    <col width="15" customWidth="1" min="5" max="5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5" t="inlineStr">
        <is>
          <t>Rookie Year</t>
        </is>
      </c>
      <c r="E1" s="5" t="inlineStr">
        <is>
          <t>TBA Key</t>
        </is>
      </c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</row>
    <row r="2" ht="16" customHeight="1">
      <c r="A2" s="33" t="n">
        <v>20</v>
      </c>
      <c r="B2" t="inlineStr">
        <is>
          <t>The Rocketeers</t>
        </is>
      </c>
      <c r="C2" t="inlineStr">
        <is>
          <t>Shenendehowa High School</t>
        </is>
      </c>
      <c r="D2" t="n">
        <v>1992</v>
      </c>
      <c r="E2" t="inlineStr">
        <is>
          <t>frc20</t>
        </is>
      </c>
    </row>
    <row r="3" ht="16" customHeight="1">
      <c r="A3" s="33" t="n">
        <v>191</v>
      </c>
      <c r="B3" t="inlineStr">
        <is>
          <t>X-CATS</t>
        </is>
      </c>
      <c r="C3" t="inlineStr">
        <is>
          <t>Wilson Magnet High School</t>
        </is>
      </c>
      <c r="D3" t="n">
        <v>1992</v>
      </c>
      <c r="E3" t="inlineStr">
        <is>
          <t>frc191</t>
        </is>
      </c>
    </row>
    <row r="4" ht="16" customHeight="1">
      <c r="A4" s="33" t="n">
        <v>229</v>
      </c>
      <c r="B4" t="inlineStr">
        <is>
          <t>Division By Zero</t>
        </is>
      </c>
      <c r="C4" t="inlineStr">
        <is>
          <t>Norwood-Norfolk Sr High School &amp; Massena High School</t>
        </is>
      </c>
      <c r="D4" t="n">
        <v>1999</v>
      </c>
      <c r="E4" t="inlineStr">
        <is>
          <t>frc229</t>
        </is>
      </c>
    </row>
    <row r="5" ht="16" customHeight="1">
      <c r="A5" s="33" t="n">
        <v>250</v>
      </c>
      <c r="B5" t="inlineStr">
        <is>
          <t>The Dynamos</t>
        </is>
      </c>
      <c r="C5" t="inlineStr">
        <is>
          <t>Colonie Central High School</t>
        </is>
      </c>
      <c r="D5" t="n">
        <v>1999</v>
      </c>
      <c r="E5" t="inlineStr">
        <is>
          <t>frc250</t>
        </is>
      </c>
    </row>
    <row r="6" ht="16" customHeight="1">
      <c r="A6" s="33" t="n">
        <v>263</v>
      </c>
      <c r="B6" t="inlineStr">
        <is>
          <t>Aftershock</t>
        </is>
      </c>
      <c r="C6" t="inlineStr">
        <is>
          <t>Sachem High Schools North and East</t>
        </is>
      </c>
      <c r="D6" t="n">
        <v>1999</v>
      </c>
      <c r="E6" t="inlineStr">
        <is>
          <t>frc263</t>
        </is>
      </c>
    </row>
    <row r="7" ht="16" customHeight="1">
      <c r="A7" s="33" t="n">
        <v>271</v>
      </c>
      <c r="B7" t="inlineStr">
        <is>
          <t>Mechanical Marauders</t>
        </is>
      </c>
      <c r="C7" t="inlineStr">
        <is>
          <t>Bay Shore High School</t>
        </is>
      </c>
      <c r="D7" t="n">
        <v>1999</v>
      </c>
      <c r="E7" t="inlineStr">
        <is>
          <t>frc271</t>
        </is>
      </c>
    </row>
    <row r="8" ht="16" customHeight="1">
      <c r="A8" s="33" t="n">
        <v>287</v>
      </c>
      <c r="B8" t="inlineStr">
        <is>
          <t>Floyd Robotics</t>
        </is>
      </c>
      <c r="C8" t="inlineStr">
        <is>
          <t>William Floyd High School</t>
        </is>
      </c>
      <c r="D8" t="n">
        <v>1999</v>
      </c>
      <c r="E8" t="inlineStr">
        <is>
          <t>frc287</t>
        </is>
      </c>
    </row>
    <row r="9" ht="16" customHeight="1">
      <c r="A9" s="33" t="n">
        <v>424</v>
      </c>
      <c r="B9" t="inlineStr">
        <is>
          <t>Rust Belt Robotics</t>
        </is>
      </c>
      <c r="C9" t="inlineStr">
        <is>
          <t>Churchville-Chili High School &amp; Bausch &amp; Lomb Incorporated</t>
        </is>
      </c>
      <c r="D9" t="n">
        <v>2000</v>
      </c>
      <c r="E9" t="inlineStr">
        <is>
          <t>frc424</t>
        </is>
      </c>
    </row>
    <row r="10" ht="16" customHeight="1">
      <c r="A10" s="33" t="n">
        <v>533</v>
      </c>
      <c r="B10" t="inlineStr">
        <is>
          <t>The PSIcotics</t>
        </is>
      </c>
      <c r="C10" t="inlineStr">
        <is>
          <t>Lindenhurst Senior High School</t>
        </is>
      </c>
      <c r="D10" t="n">
        <v>2001</v>
      </c>
      <c r="E10" t="inlineStr">
        <is>
          <t>frc533</t>
        </is>
      </c>
    </row>
    <row r="11" ht="16" customHeight="1">
      <c r="A11" s="33" t="n">
        <v>578</v>
      </c>
      <c r="B11" t="inlineStr">
        <is>
          <t>Fairport Robotics</t>
        </is>
      </c>
      <c r="C11" t="inlineStr">
        <is>
          <t>Fairport High School</t>
        </is>
      </c>
      <c r="D11" t="n">
        <v>2001</v>
      </c>
      <c r="E11" t="inlineStr">
        <is>
          <t>frc578</t>
        </is>
      </c>
    </row>
    <row r="12" ht="16" customHeight="1">
      <c r="A12" s="33" t="n">
        <v>677</v>
      </c>
      <c r="B12" t="inlineStr">
        <is>
          <t>Murphy's Outlaws</t>
        </is>
      </c>
      <c r="C12" t="inlineStr">
        <is>
          <t>Columbus School for Girls</t>
        </is>
      </c>
      <c r="D12" t="n">
        <v>2001</v>
      </c>
      <c r="E12" t="inlineStr">
        <is>
          <t>frc677</t>
        </is>
      </c>
    </row>
    <row r="13" ht="16" customHeight="1">
      <c r="A13" s="33" t="n">
        <v>806</v>
      </c>
      <c r="B13" t="inlineStr">
        <is>
          <t>The Brooklyn Blacksmiths</t>
        </is>
      </c>
      <c r="C13" t="inlineStr">
        <is>
          <t>Xaverian High School</t>
        </is>
      </c>
      <c r="D13" t="n">
        <v>2002</v>
      </c>
      <c r="E13" t="inlineStr">
        <is>
          <t>frc806</t>
        </is>
      </c>
    </row>
    <row r="14" ht="16" customHeight="1">
      <c r="A14" s="33" t="n">
        <v>870</v>
      </c>
      <c r="B14" t="inlineStr">
        <is>
          <t>TEAM  R. I. C. E.</t>
        </is>
      </c>
      <c r="C14" t="inlineStr">
        <is>
          <t>Southold Jr Sr High School</t>
        </is>
      </c>
      <c r="D14" t="n">
        <v>2002</v>
      </c>
      <c r="E14" t="inlineStr">
        <is>
          <t>frc870</t>
        </is>
      </c>
    </row>
    <row r="15" ht="16" customHeight="1">
      <c r="A15" s="33" t="n">
        <v>1126</v>
      </c>
      <c r="B15" t="inlineStr">
        <is>
          <t>SPARX</t>
        </is>
      </c>
      <c r="C15" t="inlineStr">
        <is>
          <t>Schroeder High School &amp; Webster Thomas High School</t>
        </is>
      </c>
      <c r="D15" t="n">
        <v>2003</v>
      </c>
      <c r="E15" t="inlineStr">
        <is>
          <t>frc1126</t>
        </is>
      </c>
    </row>
    <row r="16" ht="16" customHeight="1">
      <c r="A16" s="33" t="n">
        <v>1405</v>
      </c>
      <c r="B16" t="inlineStr">
        <is>
          <t>Finney Falcons</t>
        </is>
      </c>
      <c r="C16" t="inlineStr">
        <is>
          <t>The Charles Finney School</t>
        </is>
      </c>
      <c r="D16" t="n">
        <v>2004</v>
      </c>
      <c r="E16" t="inlineStr">
        <is>
          <t>frc1405</t>
        </is>
      </c>
    </row>
    <row r="17" ht="16" customHeight="1">
      <c r="A17" s="33" t="n">
        <v>1493</v>
      </c>
      <c r="B17" t="inlineStr">
        <is>
          <t>Falcons</t>
        </is>
      </c>
      <c r="C17" t="inlineStr">
        <is>
          <t>Albany High School</t>
        </is>
      </c>
      <c r="D17" t="n">
        <v>2004</v>
      </c>
      <c r="E17" t="inlineStr">
        <is>
          <t>frc1493</t>
        </is>
      </c>
    </row>
    <row r="18" ht="16" customHeight="1">
      <c r="A18" s="33" t="n">
        <v>1559</v>
      </c>
      <c r="B18" t="inlineStr">
        <is>
          <t>Devil Tech</t>
        </is>
      </c>
      <c r="C18" t="inlineStr">
        <is>
          <t>Victor High School</t>
        </is>
      </c>
      <c r="D18" t="n">
        <v>2005</v>
      </c>
      <c r="E18" t="inlineStr">
        <is>
          <t>frc1559</t>
        </is>
      </c>
    </row>
    <row r="19" ht="16" customHeight="1">
      <c r="A19" s="33" t="n">
        <v>1591</v>
      </c>
      <c r="B19" t="inlineStr">
        <is>
          <t>Greece Gladiators</t>
        </is>
      </c>
      <c r="C19" t="inlineStr">
        <is>
          <t>Odyssey Academy &amp; Athena High School &amp; Olympia High School &amp; Arcadia High School</t>
        </is>
      </c>
      <c r="D19" t="n">
        <v>2005</v>
      </c>
      <c r="E19" t="inlineStr">
        <is>
          <t>frc1591</t>
        </is>
      </c>
    </row>
    <row r="20" ht="16" customHeight="1">
      <c r="A20" s="33" t="n">
        <v>1796</v>
      </c>
      <c r="B20" t="inlineStr">
        <is>
          <t>RoboTigers</t>
        </is>
      </c>
      <c r="C20" t="inlineStr">
        <is>
          <t>Queens Technical High School</t>
        </is>
      </c>
      <c r="D20" t="n">
        <v>2006</v>
      </c>
      <c r="E20" t="inlineStr">
        <is>
          <t>frc1796</t>
        </is>
      </c>
    </row>
    <row r="21" ht="16" customHeight="1">
      <c r="A21" s="33" t="n">
        <v>1880</v>
      </c>
      <c r="B21" t="inlineStr">
        <is>
          <t>Warriors of East Harlem</t>
        </is>
      </c>
      <c r="C21" t="inlineStr">
        <is>
          <t>NASA</t>
        </is>
      </c>
      <c r="D21" t="n">
        <v>2006</v>
      </c>
      <c r="E21" t="inlineStr">
        <is>
          <t>frc1880</t>
        </is>
      </c>
    </row>
    <row r="22" ht="16" customHeight="1">
      <c r="A22" s="33" t="n">
        <v>2053</v>
      </c>
      <c r="B22" t="inlineStr">
        <is>
          <t>Southern Tier Robotics</t>
        </is>
      </c>
      <c r="C22" t="inlineStr">
        <is>
          <t>Vestal Senior High School</t>
        </is>
      </c>
      <c r="D22" t="n">
        <v>2007</v>
      </c>
      <c r="E22" t="inlineStr">
        <is>
          <t>frc2053</t>
        </is>
      </c>
    </row>
    <row r="23" ht="16" customHeight="1">
      <c r="A23" s="33" t="n">
        <v>2340</v>
      </c>
      <c r="B23" t="inlineStr">
        <is>
          <t>Mercy Robotics-Xcentrics</t>
        </is>
      </c>
      <c r="C23" t="inlineStr">
        <is>
          <t>Our Lady of Mercy School</t>
        </is>
      </c>
      <c r="D23" t="n">
        <v>2008</v>
      </c>
      <c r="E23" t="inlineStr">
        <is>
          <t>frc2340</t>
        </is>
      </c>
    </row>
    <row r="24" ht="16" customHeight="1">
      <c r="A24" s="33" t="n">
        <v>2791</v>
      </c>
      <c r="B24" t="inlineStr">
        <is>
          <t>Shaker Robotics</t>
        </is>
      </c>
      <c r="C24" t="inlineStr">
        <is>
          <t>Shaker High School</t>
        </is>
      </c>
      <c r="D24" t="n">
        <v>2009</v>
      </c>
      <c r="E24" t="inlineStr">
        <is>
          <t>frc2791</t>
        </is>
      </c>
    </row>
    <row r="25" ht="16" customHeight="1">
      <c r="A25" s="33" t="n">
        <v>3003</v>
      </c>
      <c r="B25" t="inlineStr">
        <is>
          <t>TAN(X)</t>
        </is>
      </c>
      <c r="C25" t="inlineStr">
        <is>
          <t>Canandaigua Academy</t>
        </is>
      </c>
      <c r="D25" t="n">
        <v>2009</v>
      </c>
      <c r="E25" t="inlineStr">
        <is>
          <t>frc3003</t>
        </is>
      </c>
    </row>
    <row r="26" ht="16" customHeight="1">
      <c r="A26" s="33" t="n">
        <v>3044</v>
      </c>
      <c r="B26" t="inlineStr">
        <is>
          <t>Team 0xBE4</t>
        </is>
      </c>
      <c r="C26" t="inlineStr">
        <is>
          <t>Ballston Spa High School</t>
        </is>
      </c>
      <c r="D26" t="n">
        <v>2009</v>
      </c>
      <c r="E26" t="inlineStr">
        <is>
          <t>frc3044</t>
        </is>
      </c>
    </row>
    <row r="27" ht="16" customHeight="1">
      <c r="A27" s="33" t="n">
        <v>3171</v>
      </c>
      <c r="B27" t="inlineStr">
        <is>
          <t>HURRICANES</t>
        </is>
      </c>
      <c r="C27" t="inlineStr">
        <is>
          <t>Westhampton Beach High School</t>
        </is>
      </c>
      <c r="D27" t="n">
        <v>2010</v>
      </c>
      <c r="E27" t="inlineStr">
        <is>
          <t>frc3171</t>
        </is>
      </c>
    </row>
    <row r="28" ht="16" customHeight="1">
      <c r="A28" s="33" t="n">
        <v>3173</v>
      </c>
      <c r="B28" t="inlineStr">
        <is>
          <t>IgKnighters</t>
        </is>
      </c>
      <c r="C28" t="inlineStr">
        <is>
          <t>McQuaid Jesuit High School</t>
        </is>
      </c>
      <c r="D28" t="n">
        <v>2010</v>
      </c>
      <c r="E28" t="inlineStr">
        <is>
          <t>frc3173</t>
        </is>
      </c>
    </row>
    <row r="29" ht="16" customHeight="1">
      <c r="A29" s="33" t="n">
        <v>3181</v>
      </c>
      <c r="B29" t="inlineStr">
        <is>
          <t>Pittsford Panthers</t>
        </is>
      </c>
      <c r="C29" t="inlineStr">
        <is>
          <t>Pittsford Sutherland High Sch &amp; Pittsford Mendon High School</t>
        </is>
      </c>
      <c r="D29" t="n">
        <v>2010</v>
      </c>
      <c r="E29" t="inlineStr">
        <is>
          <t>frc3181</t>
        </is>
      </c>
    </row>
    <row r="30" ht="16" customHeight="1">
      <c r="A30" s="33" t="n">
        <v>3624</v>
      </c>
      <c r="B30" t="inlineStr">
        <is>
          <t>Soaring Colts</t>
        </is>
      </c>
      <c r="C30" t="inlineStr">
        <is>
          <t>Half Hollow Hills High Sch W &amp; Half Hollow Hills High Sch E</t>
        </is>
      </c>
      <c r="D30" t="n">
        <v>2011</v>
      </c>
      <c r="E30" t="inlineStr">
        <is>
          <t>frc3624</t>
        </is>
      </c>
    </row>
    <row r="31" ht="16" customHeight="1">
      <c r="A31" s="33" t="n">
        <v>4121</v>
      </c>
      <c r="B31" t="inlineStr">
        <is>
          <t>Viking  Robotics</t>
        </is>
      </c>
      <c r="C31" t="inlineStr">
        <is>
          <t>Hoover High School</t>
        </is>
      </c>
      <c r="D31" t="n">
        <v>2012</v>
      </c>
      <c r="E31" t="inlineStr">
        <is>
          <t>frc4121</t>
        </is>
      </c>
    </row>
    <row r="32" ht="16" customHeight="1">
      <c r="A32" s="33" t="n">
        <v>4122</v>
      </c>
      <c r="B32" t="inlineStr">
        <is>
          <t>Ossining OBOTS</t>
        </is>
      </c>
      <c r="C32" t="inlineStr">
        <is>
          <t>Ossining High School</t>
        </is>
      </c>
      <c r="D32" t="n">
        <v>2012</v>
      </c>
      <c r="E32" t="inlineStr">
        <is>
          <t>frc4122</t>
        </is>
      </c>
    </row>
    <row r="33">
      <c r="A33" s="33" t="n">
        <v>4601</v>
      </c>
      <c r="B33" t="inlineStr">
        <is>
          <t>Circuit Birds</t>
        </is>
      </c>
      <c r="C33" t="inlineStr">
        <is>
          <t>Canfield High School</t>
        </is>
      </c>
      <c r="D33" t="n">
        <v>2013</v>
      </c>
      <c r="E33" t="inlineStr">
        <is>
          <t>frc4601</t>
        </is>
      </c>
    </row>
    <row r="34">
      <c r="A34" s="33" t="n">
        <v>4930</v>
      </c>
      <c r="B34" t="inlineStr">
        <is>
          <t>Electric Mayhem</t>
        </is>
      </c>
      <c r="C34" t="inlineStr">
        <is>
          <t>Nichols School</t>
        </is>
      </c>
      <c r="D34" t="n">
        <v>2014</v>
      </c>
      <c r="E34" t="inlineStr">
        <is>
          <t>frc4930</t>
        </is>
      </c>
    </row>
    <row r="35">
      <c r="A35" s="33" t="n">
        <v>5016</v>
      </c>
      <c r="B35" t="inlineStr">
        <is>
          <t>Huntington Robotics</t>
        </is>
      </c>
      <c r="C35" t="inlineStr">
        <is>
          <t>Huntington High School</t>
        </is>
      </c>
      <c r="D35" t="n">
        <v>2014</v>
      </c>
      <c r="E35" t="inlineStr">
        <is>
          <t>frc5016</t>
        </is>
      </c>
    </row>
    <row r="36">
      <c r="A36" s="33" t="n">
        <v>5149</v>
      </c>
      <c r="B36" t="inlineStr">
        <is>
          <t>TroyBotics</t>
        </is>
      </c>
      <c r="C36" t="inlineStr">
        <is>
          <t>Troy High School</t>
        </is>
      </c>
      <c r="D36" t="n">
        <v>2014</v>
      </c>
      <c r="E36" t="inlineStr">
        <is>
          <t>frc5149</t>
        </is>
      </c>
    </row>
    <row r="37">
      <c r="A37" s="33" t="n">
        <v>5590</v>
      </c>
      <c r="B37" t="inlineStr">
        <is>
          <t>Alumiboti</t>
        </is>
      </c>
      <c r="C37" t="inlineStr">
        <is>
          <t>St Joseph Collegiate Institute</t>
        </is>
      </c>
      <c r="D37" t="n">
        <v>2015</v>
      </c>
      <c r="E37" t="inlineStr">
        <is>
          <t>frc5590</t>
        </is>
      </c>
    </row>
    <row r="38">
      <c r="A38" s="33" t="n">
        <v>5736</v>
      </c>
      <c r="B38" t="inlineStr">
        <is>
          <t>Kingsmen Robotics</t>
        </is>
      </c>
      <c r="C38" t="inlineStr">
        <is>
          <t>Kings Park High School</t>
        </is>
      </c>
      <c r="D38" t="n">
        <v>2015</v>
      </c>
      <c r="E38" t="inlineStr">
        <is>
          <t>frc5736</t>
        </is>
      </c>
    </row>
    <row r="39">
      <c r="A39" s="33" t="n">
        <v>5881</v>
      </c>
      <c r="B39" t="inlineStr">
        <is>
          <t>TVHS Dragons</t>
        </is>
      </c>
      <c r="C39" t="inlineStr">
        <is>
          <t>Tech Valley High School</t>
        </is>
      </c>
      <c r="D39" t="n">
        <v>2016</v>
      </c>
      <c r="E39" t="inlineStr">
        <is>
          <t>frc5881</t>
        </is>
      </c>
    </row>
    <row r="40">
      <c r="A40" s="33" t="n">
        <v>6300</v>
      </c>
      <c r="B40" t="inlineStr">
        <is>
          <t>The Northwoodians</t>
        </is>
      </c>
      <c r="C40" t="inlineStr">
        <is>
          <t>Northwood School</t>
        </is>
      </c>
      <c r="D40" t="n">
        <v>2017</v>
      </c>
      <c r="E40" t="inlineStr">
        <is>
          <t>frc6300</t>
        </is>
      </c>
    </row>
    <row r="41">
      <c r="A41" s="33" t="n">
        <v>6436</v>
      </c>
      <c r="B41" t="inlineStr">
        <is>
          <t>PARS ROBOTICS</t>
        </is>
      </c>
      <c r="C41" t="inlineStr">
        <is>
          <t>Borsa Istanbul Başakşehir Mesleki ve Teknik Anadolu Lisesi</t>
        </is>
      </c>
      <c r="D41" t="n">
        <v>2017</v>
      </c>
      <c r="E41" t="inlineStr">
        <is>
          <t>frc6436</t>
        </is>
      </c>
    </row>
    <row r="42">
      <c r="A42" s="33" t="n">
        <v>6463</v>
      </c>
      <c r="B42" t="inlineStr">
        <is>
          <t>Robotic Reapers</t>
        </is>
      </c>
      <c r="C42" t="inlineStr">
        <is>
          <t>Ulster Boces</t>
        </is>
      </c>
      <c r="D42" t="n">
        <v>2017</v>
      </c>
      <c r="E42" t="inlineStr">
        <is>
          <t>frc6463</t>
        </is>
      </c>
    </row>
    <row r="43">
      <c r="A43" s="33" t="n">
        <v>6621</v>
      </c>
      <c r="B43" t="inlineStr">
        <is>
          <t>Artemis</t>
        </is>
      </c>
      <c r="C43" t="inlineStr">
        <is>
          <t>Chatham High School</t>
        </is>
      </c>
      <c r="D43" t="n">
        <v>2017</v>
      </c>
      <c r="E43" t="inlineStr">
        <is>
          <t>frc6621</t>
        </is>
      </c>
    </row>
    <row r="44">
      <c r="A44" s="33" t="n">
        <v>6648</v>
      </c>
      <c r="B44" t="inlineStr">
        <is>
          <t>MechaSpartans</t>
        </is>
      </c>
      <c r="C44" t="inlineStr">
        <is>
          <t>John Adams High School</t>
        </is>
      </c>
      <c r="D44" t="n">
        <v>2017</v>
      </c>
      <c r="E44" t="inlineStr">
        <is>
          <t>frc6648</t>
        </is>
      </c>
    </row>
    <row r="45">
      <c r="A45" s="33" t="n">
        <v>6806</v>
      </c>
      <c r="B45" t="inlineStr">
        <is>
          <t>Mineola Wild Reds</t>
        </is>
      </c>
      <c r="C45" t="inlineStr">
        <is>
          <t>Mineola High School</t>
        </is>
      </c>
      <c r="D45" t="n">
        <v>2018</v>
      </c>
      <c r="E45" t="inlineStr">
        <is>
          <t>frc6806</t>
        </is>
      </c>
    </row>
    <row r="46">
      <c r="A46" s="33" t="n">
        <v>7031</v>
      </c>
      <c r="B46" t="inlineStr">
        <is>
          <t>Duanesburg Jr./Sr. High School</t>
        </is>
      </c>
      <c r="C46" t="inlineStr">
        <is>
          <t>Duanesburg Jr Sr High School</t>
        </is>
      </c>
      <c r="D46" t="n">
        <v>2018</v>
      </c>
      <c r="E46" t="inlineStr">
        <is>
          <t>frc7031</t>
        </is>
      </c>
    </row>
    <row r="47">
      <c r="A47" s="33" t="n">
        <v>7504</v>
      </c>
      <c r="B47" t="inlineStr">
        <is>
          <t>CyBearBots</t>
        </is>
      </c>
      <c r="C47" t="inlineStr">
        <is>
          <t>Brewster High School</t>
        </is>
      </c>
      <c r="D47" t="n">
        <v>2019</v>
      </c>
      <c r="E47" t="inlineStr">
        <is>
          <t>frc7504</t>
        </is>
      </c>
    </row>
    <row r="48">
      <c r="A48" s="33" t="n">
        <v>7605</v>
      </c>
      <c r="B48" t="inlineStr">
        <is>
          <t>ASTRO</t>
        </is>
      </c>
      <c r="C48" t="inlineStr">
        <is>
          <t>Académie Ste-Therese</t>
        </is>
      </c>
      <c r="D48" t="n">
        <v>2019</v>
      </c>
      <c r="E48" t="inlineStr">
        <is>
          <t>frc7605</t>
        </is>
      </c>
    </row>
    <row r="49">
      <c r="A49" s="33" t="n">
        <v>7718</v>
      </c>
      <c r="B49" t="inlineStr">
        <is>
          <t>HVPA Dragons</t>
        </is>
      </c>
      <c r="C49" t="inlineStr">
        <is>
          <t>Home School</t>
        </is>
      </c>
      <c r="D49" t="n">
        <v>2019</v>
      </c>
      <c r="E49" t="inlineStr">
        <is>
          <t>frc7718</t>
        </is>
      </c>
    </row>
    <row r="50">
      <c r="A50" s="33" t="n">
        <v>7759</v>
      </c>
      <c r="B50" t="inlineStr">
        <is>
          <t>Bulldog Bytes</t>
        </is>
      </c>
      <c r="C50" t="inlineStr">
        <is>
          <t>Irvington High School</t>
        </is>
      </c>
      <c r="D50" t="n">
        <v>2019</v>
      </c>
      <c r="E50" t="inlineStr">
        <is>
          <t>frc7759</t>
        </is>
      </c>
    </row>
    <row r="51">
      <c r="A51" s="33" t="n">
        <v>7903</v>
      </c>
      <c r="B51" t="inlineStr">
        <is>
          <t>Tigers</t>
        </is>
      </c>
      <c r="C51" t="inlineStr">
        <is>
          <t>Rochester Prep High School</t>
        </is>
      </c>
      <c r="D51" t="n">
        <v>2019</v>
      </c>
      <c r="E51" t="inlineStr">
        <is>
          <t>frc7903</t>
        </is>
      </c>
    </row>
    <row r="52">
      <c r="A52" s="33" t="n">
        <v>8222</v>
      </c>
      <c r="B52" t="inlineStr">
        <is>
          <t>The Argonauts</t>
        </is>
      </c>
      <c r="C52" t="inlineStr">
        <is>
          <t>Davis Aerospace &amp; Maritime HS</t>
        </is>
      </c>
      <c r="D52" t="n">
        <v>2020</v>
      </c>
      <c r="E52" t="inlineStr">
        <is>
          <t>frc8222</t>
        </is>
      </c>
    </row>
    <row r="53">
      <c r="A53" s="33" t="n">
        <v>9194</v>
      </c>
      <c r="B53" t="inlineStr">
        <is>
          <t>Gemin√-1s</t>
        </is>
      </c>
      <c r="C53" t="inlineStr">
        <is>
          <t>KSS Robotics</t>
        </is>
      </c>
      <c r="D53" t="n">
        <v>2023</v>
      </c>
      <c r="E53" t="inlineStr">
        <is>
          <t>frc9194</t>
        </is>
      </c>
    </row>
    <row r="54">
      <c r="A54" s="33" t="n">
        <v>9545</v>
      </c>
      <c r="B54" t="inlineStr">
        <is>
          <t>Caracal Robotics</t>
        </is>
      </c>
      <c r="C54" t="inlineStr">
        <is>
          <t>MEHMET RIFAT EVYAP MESLEKİ VE TEKNİK ANADOLU LİSESİ</t>
        </is>
      </c>
      <c r="D54" t="n">
        <v>2024</v>
      </c>
      <c r="E54" t="inlineStr">
        <is>
          <t>frc9545</t>
        </is>
      </c>
    </row>
    <row r="55">
      <c r="A55" s="33" t="n">
        <v>9624</v>
      </c>
      <c r="B55" t="inlineStr">
        <is>
          <t>Dynamiques 9624</t>
        </is>
      </c>
      <c r="C55" t="inlineStr">
        <is>
          <t>College Charles Lemoyne</t>
        </is>
      </c>
      <c r="D55" t="n">
        <v>2024</v>
      </c>
      <c r="E55" t="inlineStr">
        <is>
          <t>frc9624</t>
        </is>
      </c>
    </row>
    <row r="56">
      <c r="A56" s="33" t="n">
        <v>10202</v>
      </c>
      <c r="B56" t="inlineStr">
        <is>
          <t>NOVATRON</t>
        </is>
      </c>
      <c r="C56" t="inlineStr">
        <is>
          <t>Büyükşehir Hüseyin Yıldız Anadolu Lisesi</t>
        </is>
      </c>
      <c r="D56" t="n">
        <v>2025</v>
      </c>
      <c r="E56" t="inlineStr">
        <is>
          <t>frc10202</t>
        </is>
      </c>
    </row>
    <row r="57">
      <c r="A57" s="33" t="n">
        <v>10413</v>
      </c>
      <c r="B57" t="inlineStr">
        <is>
          <t>Flux Robotics</t>
        </is>
      </c>
      <c r="C57" t="inlineStr">
        <is>
          <t>Family/Community</t>
        </is>
      </c>
      <c r="D57" t="n">
        <v>2025</v>
      </c>
      <c r="E57" t="inlineStr">
        <is>
          <t>frc10413</t>
        </is>
      </c>
    </row>
    <row r="58">
      <c r="A58" s="33" t="n">
        <v>10582</v>
      </c>
      <c r="B58" t="inlineStr">
        <is>
          <t>The Technochauns</t>
        </is>
      </c>
      <c r="C58" t="inlineStr">
        <is>
          <t>Ursuline High School</t>
        </is>
      </c>
      <c r="D58" t="n">
        <v>2025</v>
      </c>
      <c r="E58" t="inlineStr">
        <is>
          <t>frc10582</t>
        </is>
      </c>
    </row>
    <row r="59">
      <c r="A59" s="33" t="n">
        <v>10604</v>
      </c>
      <c r="B59" t="inlineStr">
        <is>
          <t>Demirören Robotics</t>
        </is>
      </c>
      <c r="C59" t="inlineStr">
        <is>
          <t>Demirören Medya ve Teknoloji Mesleki ve Teknik Anadolu Lisesi</t>
        </is>
      </c>
      <c r="D59" t="n">
        <v>2025</v>
      </c>
      <c r="E59" t="inlineStr">
        <is>
          <t>frc10604</t>
        </is>
      </c>
    </row>
    <row r="60">
      <c r="A60" s="33" t="n">
        <v>10714</v>
      </c>
      <c r="B60" t="inlineStr">
        <is>
          <t>RAMpage.AI</t>
        </is>
      </c>
      <c r="C60" t="inlineStr">
        <is>
          <t>Amsterdam High School</t>
        </is>
      </c>
      <c r="D60" t="n">
        <v>2025</v>
      </c>
      <c r="E60" t="inlineStr">
        <is>
          <t>frc10714</t>
        </is>
      </c>
    </row>
    <row r="61">
      <c r="A61" s="33" t="n">
        <v>11010</v>
      </c>
      <c r="B61" t="inlineStr">
        <is>
          <t>Bobcats</t>
        </is>
      </c>
      <c r="C61" t="inlineStr">
        <is>
          <t>Hüseyin Avni Sözen Anadolu Lisesi</t>
        </is>
      </c>
      <c r="D61" t="n">
        <v>2026</v>
      </c>
      <c r="E61" t="inlineStr">
        <is>
          <t>frc11010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34" t="inlineStr">
        <is>
          <t>Match</t>
        </is>
      </c>
      <c r="B1" s="34" t="inlineStr">
        <is>
          <t>Start Time</t>
        </is>
      </c>
      <c r="C1" s="35" t="inlineStr">
        <is>
          <t>Blue 1</t>
        </is>
      </c>
      <c r="D1" s="35" t="inlineStr">
        <is>
          <t>Blue 2</t>
        </is>
      </c>
      <c r="E1" s="35" t="inlineStr">
        <is>
          <t>Blue 3</t>
        </is>
      </c>
      <c r="F1" s="36" t="inlineStr">
        <is>
          <t>Red 1</t>
        </is>
      </c>
      <c r="G1" s="36" t="inlineStr">
        <is>
          <t>Red 2</t>
        </is>
      </c>
      <c r="H1" s="36" t="inlineStr">
        <is>
          <t>Red 3</t>
        </is>
      </c>
    </row>
    <row r="2">
      <c r="J2" t="inlineStr">
        <is>
          <t>Match was not Scouted (incorrect)</t>
        </is>
      </c>
    </row>
    <row r="4">
      <c r="J4" s="37" t="inlineStr">
        <is>
          <t>Match was Scouted (correct)</t>
        </is>
      </c>
    </row>
    <row r="6">
      <c r="J6" s="38" t="inlineStr">
        <is>
          <t>Match was Scouted twice (incorrect)</t>
        </is>
      </c>
    </row>
    <row r="8">
      <c r="J8" s="39" t="inlineStr">
        <is>
          <t>Team was Scouted twice (incorrect)</t>
        </is>
      </c>
    </row>
    <row r="10">
      <c r="J10" t="inlineStr">
        <is>
          <t>Wrong Team was Scouted (incorrect)</t>
        </is>
      </c>
    </row>
  </sheetData>
  <autoFilter ref="A1:H1"/>
  <conditionalFormatting sqref="C2:H1000">
    <cfRule type="expression" priority="1" dxfId="2">
      <formula>=COUNTIF(MatchScoutingData!$A$2:$A$1000, CONCATENATE($A2,".",C$1)) = 1</formula>
    </cfRule>
    <cfRule type="expression" priority="2" dxfId="3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99"/>
  <sheetViews>
    <sheetView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10" defaultColWidth="8.83203125" defaultRowHeight="15" outlineLevelCol="0"/>
  <cols>
    <col width="6.83203125" customWidth="1" min="2" max="26"/>
  </cols>
  <sheetData>
    <row r="1" ht="17" customHeight="1" thickBot="1">
      <c r="A1" s="6" t="n"/>
      <c r="B1" s="6" t="n"/>
      <c r="C1" s="24" t="inlineStr">
        <is>
          <t>Auto</t>
        </is>
      </c>
      <c r="D1" s="31" t="n"/>
      <c r="E1" s="31" t="n"/>
      <c r="F1" s="31" t="n"/>
      <c r="G1" s="31" t="n"/>
      <c r="H1" s="26" t="inlineStr">
        <is>
          <t>Teleop</t>
        </is>
      </c>
      <c r="I1" s="31" t="n"/>
      <c r="J1" s="31" t="n"/>
      <c r="K1" s="31" t="n"/>
      <c r="L1" s="31" t="n"/>
      <c r="M1" s="31" t="n"/>
      <c r="N1" s="31" t="n"/>
      <c r="O1" s="31" t="n"/>
      <c r="P1" s="28" t="inlineStr">
        <is>
          <t>Endgame</t>
        </is>
      </c>
      <c r="Q1" s="31" t="n"/>
      <c r="R1" s="31" t="n"/>
      <c r="S1" s="31" t="n"/>
      <c r="T1" s="31" t="n"/>
      <c r="U1" s="23" t="inlineStr">
        <is>
          <t>Post Match</t>
        </is>
      </c>
      <c r="V1" s="31" t="n"/>
      <c r="W1" s="31" t="n"/>
      <c r="X1" s="31" t="n"/>
      <c r="Y1" s="31" t="n"/>
      <c r="Z1" s="32" t="n"/>
    </row>
    <row r="2" ht="130" customHeight="1" thickBot="1">
      <c r="A2" s="13" t="inlineStr">
        <is>
          <t>Team</t>
        </is>
      </c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18" t="inlineStr">
        <is>
          <t>Match Results</t>
        </is>
      </c>
      <c r="V2" s="18" t="inlineStr">
        <is>
          <t>Total Points</t>
        </is>
      </c>
      <c r="W2" s="18" t="inlineStr">
        <is>
          <t>Energized Ranking</t>
        </is>
      </c>
      <c r="X2" s="18" t="inlineStr">
        <is>
          <t>Supercharged Ranking</t>
        </is>
      </c>
      <c r="Y2" s="18" t="inlineStr">
        <is>
          <t>Traversal Ranking</t>
        </is>
      </c>
      <c r="Z2" s="19" t="inlineStr">
        <is>
          <t>Total Ranking Points</t>
        </is>
      </c>
    </row>
    <row r="3">
      <c r="A3" s="11" t="n">
        <v>20</v>
      </c>
      <c r="B3" s="40">
        <f>COUNTIF(MatchScoutingData!E$2:E$1000, $A3)</f>
        <v/>
      </c>
      <c r="C3" s="40">
        <f>SUMIF(MatchScoutingData!$E$2:$E$1000, $A3, MatchScoutingData!F$2:F$1000)</f>
        <v/>
      </c>
      <c r="D3" s="40">
        <f>SUMIF(MatchScoutingData!$E$2:$E$1000, $A3, MatchScoutingData!G$2:G$1000)</f>
        <v/>
      </c>
      <c r="E3" s="40">
        <f>SUMIF(MatchScoutingData!$E$2:$E$1000, $A3, MatchScoutingData!H$2:H$1000)</f>
        <v/>
      </c>
      <c r="F3" s="40">
        <f>SUMIF(MatchScoutingData!$E$2:$E$1000, $A3, MatchScoutingData!I$2:I$1000)</f>
        <v/>
      </c>
      <c r="G3" s="40">
        <f>SUMIF(MatchScoutingData!$E$2:$E$1000, $A3, MatchScoutingData!J$2:J$1000)</f>
        <v/>
      </c>
      <c r="H3" s="40">
        <f>SUMIF(MatchScoutingData!$E$2:$E$1000, $A3, MatchScoutingData!K$2:K$1000)</f>
        <v/>
      </c>
      <c r="I3" s="40">
        <f>SUMIF(MatchScoutingData!$E$2:$E$1000, $A3, MatchScoutingData!L$2:L$1000)</f>
        <v/>
      </c>
      <c r="J3" s="40">
        <f>SUMIF(MatchScoutingData!$E$2:$E$1000, $A3, MatchScoutingData!M$2:M$1000)</f>
        <v/>
      </c>
      <c r="K3" s="40">
        <f>SUMIF(MatchScoutingData!$E$2:$E$1000, $A3, MatchScoutingData!N$2:N$1000)</f>
        <v/>
      </c>
      <c r="L3" s="40">
        <f>SUMIF(MatchScoutingData!$E$2:$E$1000, $A3, MatchScoutingData!O$2:O$1000)</f>
        <v/>
      </c>
      <c r="M3" s="40">
        <f>SUMIF(MatchScoutingData!$E$2:$E$1000, $A3, MatchScoutingData!P$2:P$1000)</f>
        <v/>
      </c>
      <c r="N3" s="40">
        <f>SUMIF(MatchScoutingData!$E$2:$E$1000, $A3, MatchScoutingData!Q$2:Q$1000)</f>
        <v/>
      </c>
      <c r="O3" s="40">
        <f>SUMIF(MatchScoutingData!$E$2:$E$1000, $A3, MatchScoutingData!R$2:R$1000)</f>
        <v/>
      </c>
      <c r="P3" s="40">
        <f>SUMIF(MatchScoutingData!$E$2:$E$1000, $A3, MatchScoutingData!S$2:S$1000)</f>
        <v/>
      </c>
      <c r="Q3" s="40">
        <f>SUMIF(MatchScoutingData!$E$2:$E$1000, $A3, MatchScoutingData!T$2:T$1000)</f>
        <v/>
      </c>
      <c r="R3" s="40">
        <f>SUMIF(MatchScoutingData!$E$2:$E$1000, $A3, MatchScoutingData!U$2:U$1000)</f>
        <v/>
      </c>
      <c r="S3" s="40">
        <f>SUMIF(MatchScoutingData!$E$2:$E$1000, $A3, MatchScoutingData!V$2:V$1000)</f>
        <v/>
      </c>
      <c r="T3" s="40">
        <f>SUMIF(MatchScoutingData!$E$2:$E$1000, $A3, MatchScoutingData!W$2:W$1000)</f>
        <v/>
      </c>
      <c r="U3" s="40">
        <f>SUMIF(MatchScoutingData!$E$2:$E$1000, $A3, MatchScoutingData!X$2:X$1000)</f>
        <v/>
      </c>
      <c r="V3" s="40">
        <f>SUMIF(MatchScoutingData!$E$2:$E$1000, $A3, MatchScoutingData!AB$2:AB$1000)</f>
        <v/>
      </c>
      <c r="W3" s="40">
        <f>SUMIF(MatchScoutingData!$E$2:$E$1000, $A3, MatchScoutingData!Y$2:Y$1000)</f>
        <v/>
      </c>
      <c r="X3" s="40">
        <f>SUMIF(MatchScoutingData!$E$2:$E$1000, $A3, MatchScoutingData!Z$2:Z$1000)</f>
        <v/>
      </c>
      <c r="Y3" s="40">
        <f>SUMIF(MatchScoutingData!$E$2:$E$1000, $A3, MatchScoutingData!AA$2:AA$1000)</f>
        <v/>
      </c>
      <c r="Z3" s="40">
        <f>SUM(W3:Y3)</f>
        <v/>
      </c>
    </row>
    <row r="4">
      <c r="A4" s="11" t="n">
        <v>191</v>
      </c>
      <c r="B4" s="40">
        <f>COUNTIF(MatchScoutingData!E$2:E$1000, $A4)</f>
        <v/>
      </c>
      <c r="C4" s="40">
        <f>SUMIF(MatchScoutingData!$E$2:$E$1000, $A4, MatchScoutingData!F$2:F$1000)</f>
        <v/>
      </c>
      <c r="D4" s="40">
        <f>SUMIF(MatchScoutingData!$E$2:$E$1000, $A4, MatchScoutingData!G$2:G$1000)</f>
        <v/>
      </c>
      <c r="E4" s="40">
        <f>SUMIF(MatchScoutingData!$E$2:$E$1000, $A4, MatchScoutingData!H$2:H$1000)</f>
        <v/>
      </c>
      <c r="F4" s="40">
        <f>SUMIF(MatchScoutingData!$E$2:$E$1000, $A4, MatchScoutingData!I$2:I$1000)</f>
        <v/>
      </c>
      <c r="G4" s="40">
        <f>SUMIF(MatchScoutingData!$E$2:$E$1000, $A4, MatchScoutingData!J$2:J$1000)</f>
        <v/>
      </c>
      <c r="H4" s="40">
        <f>SUMIF(MatchScoutingData!$E$2:$E$1000, $A4, MatchScoutingData!K$2:K$1000)</f>
        <v/>
      </c>
      <c r="I4" s="40">
        <f>SUMIF(MatchScoutingData!$E$2:$E$1000, $A4, MatchScoutingData!L$2:L$1000)</f>
        <v/>
      </c>
      <c r="J4" s="40">
        <f>SUMIF(MatchScoutingData!$E$2:$E$1000, $A4, MatchScoutingData!M$2:M$1000)</f>
        <v/>
      </c>
      <c r="K4" s="40">
        <f>SUMIF(MatchScoutingData!$E$2:$E$1000, $A4, MatchScoutingData!N$2:N$1000)</f>
        <v/>
      </c>
      <c r="L4" s="40">
        <f>SUMIF(MatchScoutingData!$E$2:$E$1000, $A4, MatchScoutingData!O$2:O$1000)</f>
        <v/>
      </c>
      <c r="M4" s="40">
        <f>SUMIF(MatchScoutingData!$E$2:$E$1000, $A4, MatchScoutingData!P$2:P$1000)</f>
        <v/>
      </c>
      <c r="N4" s="40">
        <f>SUMIF(MatchScoutingData!$E$2:$E$1000, $A4, MatchScoutingData!Q$2:Q$1000)</f>
        <v/>
      </c>
      <c r="O4" s="40">
        <f>SUMIF(MatchScoutingData!$E$2:$E$1000, $A4, MatchScoutingData!R$2:R$1000)</f>
        <v/>
      </c>
      <c r="P4" s="40">
        <f>SUMIF(MatchScoutingData!$E$2:$E$1000, $A4, MatchScoutingData!S$2:S$1000)</f>
        <v/>
      </c>
      <c r="Q4" s="40">
        <f>SUMIF(MatchScoutingData!$E$2:$E$1000, $A4, MatchScoutingData!T$2:T$1000)</f>
        <v/>
      </c>
      <c r="R4" s="40">
        <f>SUMIF(MatchScoutingData!$E$2:$E$1000, $A4, MatchScoutingData!U$2:U$1000)</f>
        <v/>
      </c>
      <c r="S4" s="40">
        <f>SUMIF(MatchScoutingData!$E$2:$E$1000, $A4, MatchScoutingData!V$2:V$1000)</f>
        <v/>
      </c>
      <c r="T4" s="40">
        <f>SUMIF(MatchScoutingData!$E$2:$E$1000, $A4, MatchScoutingData!W$2:W$1000)</f>
        <v/>
      </c>
      <c r="U4" s="40">
        <f>SUMIF(MatchScoutingData!$E$2:$E$1000, $A4, MatchScoutingData!X$2:X$1000)</f>
        <v/>
      </c>
      <c r="V4" s="40">
        <f>SUMIF(MatchScoutingData!$E$2:$E$1000, $A4, MatchScoutingData!AB$2:AB$1000)</f>
        <v/>
      </c>
      <c r="W4" s="40">
        <f>SUMIF(MatchScoutingData!$E$2:$E$1000, $A4, MatchScoutingData!Y$2:Y$1000)</f>
        <v/>
      </c>
      <c r="X4" s="40">
        <f>SUMIF(MatchScoutingData!$E$2:$E$1000, $A4, MatchScoutingData!Z$2:Z$1000)</f>
        <v/>
      </c>
      <c r="Y4" s="40">
        <f>SUMIF(MatchScoutingData!$E$2:$E$1000, $A4, MatchScoutingData!AA$2:AA$1000)</f>
        <v/>
      </c>
      <c r="Z4" s="40">
        <f>SUM(W4:Y4)</f>
        <v/>
      </c>
    </row>
    <row r="5">
      <c r="A5" s="11" t="n">
        <v>229</v>
      </c>
      <c r="B5" s="40">
        <f>COUNTIF(MatchScoutingData!E$2:E$1000, $A5)</f>
        <v/>
      </c>
      <c r="C5" s="40">
        <f>SUMIF(MatchScoutingData!$E$2:$E$1000, $A5, MatchScoutingData!F$2:F$1000)</f>
        <v/>
      </c>
      <c r="D5" s="40">
        <f>SUMIF(MatchScoutingData!$E$2:$E$1000, $A5, MatchScoutingData!G$2:G$1000)</f>
        <v/>
      </c>
      <c r="E5" s="40">
        <f>SUMIF(MatchScoutingData!$E$2:$E$1000, $A5, MatchScoutingData!H$2:H$1000)</f>
        <v/>
      </c>
      <c r="F5" s="40">
        <f>SUMIF(MatchScoutingData!$E$2:$E$1000, $A5, MatchScoutingData!I$2:I$1000)</f>
        <v/>
      </c>
      <c r="G5" s="40">
        <f>SUMIF(MatchScoutingData!$E$2:$E$1000, $A5, MatchScoutingData!J$2:J$1000)</f>
        <v/>
      </c>
      <c r="H5" s="40">
        <f>SUMIF(MatchScoutingData!$E$2:$E$1000, $A5, MatchScoutingData!K$2:K$1000)</f>
        <v/>
      </c>
      <c r="I5" s="40">
        <f>SUMIF(MatchScoutingData!$E$2:$E$1000, $A5, MatchScoutingData!L$2:L$1000)</f>
        <v/>
      </c>
      <c r="J5" s="40">
        <f>SUMIF(MatchScoutingData!$E$2:$E$1000, $A5, MatchScoutingData!M$2:M$1000)</f>
        <v/>
      </c>
      <c r="K5" s="40">
        <f>SUMIF(MatchScoutingData!$E$2:$E$1000, $A5, MatchScoutingData!N$2:N$1000)</f>
        <v/>
      </c>
      <c r="L5" s="40">
        <f>SUMIF(MatchScoutingData!$E$2:$E$1000, $A5, MatchScoutingData!O$2:O$1000)</f>
        <v/>
      </c>
      <c r="M5" s="40">
        <f>SUMIF(MatchScoutingData!$E$2:$E$1000, $A5, MatchScoutingData!P$2:P$1000)</f>
        <v/>
      </c>
      <c r="N5" s="40">
        <f>SUMIF(MatchScoutingData!$E$2:$E$1000, $A5, MatchScoutingData!Q$2:Q$1000)</f>
        <v/>
      </c>
      <c r="O5" s="40">
        <f>SUMIF(MatchScoutingData!$E$2:$E$1000, $A5, MatchScoutingData!R$2:R$1000)</f>
        <v/>
      </c>
      <c r="P5" s="40">
        <f>SUMIF(MatchScoutingData!$E$2:$E$1000, $A5, MatchScoutingData!S$2:S$1000)</f>
        <v/>
      </c>
      <c r="Q5" s="40">
        <f>SUMIF(MatchScoutingData!$E$2:$E$1000, $A5, MatchScoutingData!T$2:T$1000)</f>
        <v/>
      </c>
      <c r="R5" s="40">
        <f>SUMIF(MatchScoutingData!$E$2:$E$1000, $A5, MatchScoutingData!U$2:U$1000)</f>
        <v/>
      </c>
      <c r="S5" s="40">
        <f>SUMIF(MatchScoutingData!$E$2:$E$1000, $A5, MatchScoutingData!V$2:V$1000)</f>
        <v/>
      </c>
      <c r="T5" s="40">
        <f>SUMIF(MatchScoutingData!$E$2:$E$1000, $A5, MatchScoutingData!W$2:W$1000)</f>
        <v/>
      </c>
      <c r="U5" s="40">
        <f>SUMIF(MatchScoutingData!$E$2:$E$1000, $A5, MatchScoutingData!X$2:X$1000)</f>
        <v/>
      </c>
      <c r="V5" s="40">
        <f>SUMIF(MatchScoutingData!$E$2:$E$1000, $A5, MatchScoutingData!AB$2:AB$1000)</f>
        <v/>
      </c>
      <c r="W5" s="40">
        <f>SUMIF(MatchScoutingData!$E$2:$E$1000, $A5, MatchScoutingData!Y$2:Y$1000)</f>
        <v/>
      </c>
      <c r="X5" s="40">
        <f>SUMIF(MatchScoutingData!$E$2:$E$1000, $A5, MatchScoutingData!Z$2:Z$1000)</f>
        <v/>
      </c>
      <c r="Y5" s="40">
        <f>SUMIF(MatchScoutingData!$E$2:$E$1000, $A5, MatchScoutingData!AA$2:AA$1000)</f>
        <v/>
      </c>
      <c r="Z5" s="40">
        <f>SUM(W5:Y5)</f>
        <v/>
      </c>
    </row>
    <row r="6">
      <c r="A6" s="11" t="n">
        <v>250</v>
      </c>
      <c r="B6" s="40">
        <f>COUNTIF(MatchScoutingData!E$2:E$1000, $A6)</f>
        <v/>
      </c>
      <c r="C6" s="40">
        <f>SUMIF(MatchScoutingData!$E$2:$E$1000, $A6, MatchScoutingData!F$2:F$1000)</f>
        <v/>
      </c>
      <c r="D6" s="40">
        <f>SUMIF(MatchScoutingData!$E$2:$E$1000, $A6, MatchScoutingData!G$2:G$1000)</f>
        <v/>
      </c>
      <c r="E6" s="40">
        <f>SUMIF(MatchScoutingData!$E$2:$E$1000, $A6, MatchScoutingData!H$2:H$1000)</f>
        <v/>
      </c>
      <c r="F6" s="40">
        <f>SUMIF(MatchScoutingData!$E$2:$E$1000, $A6, MatchScoutingData!I$2:I$1000)</f>
        <v/>
      </c>
      <c r="G6" s="40">
        <f>SUMIF(MatchScoutingData!$E$2:$E$1000, $A6, MatchScoutingData!J$2:J$1000)</f>
        <v/>
      </c>
      <c r="H6" s="40">
        <f>SUMIF(MatchScoutingData!$E$2:$E$1000, $A6, MatchScoutingData!K$2:K$1000)</f>
        <v/>
      </c>
      <c r="I6" s="40">
        <f>SUMIF(MatchScoutingData!$E$2:$E$1000, $A6, MatchScoutingData!L$2:L$1000)</f>
        <v/>
      </c>
      <c r="J6" s="40">
        <f>SUMIF(MatchScoutingData!$E$2:$E$1000, $A6, MatchScoutingData!M$2:M$1000)</f>
        <v/>
      </c>
      <c r="K6" s="40">
        <f>SUMIF(MatchScoutingData!$E$2:$E$1000, $A6, MatchScoutingData!N$2:N$1000)</f>
        <v/>
      </c>
      <c r="L6" s="40">
        <f>SUMIF(MatchScoutingData!$E$2:$E$1000, $A6, MatchScoutingData!O$2:O$1000)</f>
        <v/>
      </c>
      <c r="M6" s="40">
        <f>SUMIF(MatchScoutingData!$E$2:$E$1000, $A6, MatchScoutingData!P$2:P$1000)</f>
        <v/>
      </c>
      <c r="N6" s="40">
        <f>SUMIF(MatchScoutingData!$E$2:$E$1000, $A6, MatchScoutingData!Q$2:Q$1000)</f>
        <v/>
      </c>
      <c r="O6" s="40">
        <f>SUMIF(MatchScoutingData!$E$2:$E$1000, $A6, MatchScoutingData!R$2:R$1000)</f>
        <v/>
      </c>
      <c r="P6" s="40">
        <f>SUMIF(MatchScoutingData!$E$2:$E$1000, $A6, MatchScoutingData!S$2:S$1000)</f>
        <v/>
      </c>
      <c r="Q6" s="40">
        <f>SUMIF(MatchScoutingData!$E$2:$E$1000, $A6, MatchScoutingData!T$2:T$1000)</f>
        <v/>
      </c>
      <c r="R6" s="40">
        <f>SUMIF(MatchScoutingData!$E$2:$E$1000, $A6, MatchScoutingData!U$2:U$1000)</f>
        <v/>
      </c>
      <c r="S6" s="40">
        <f>SUMIF(MatchScoutingData!$E$2:$E$1000, $A6, MatchScoutingData!V$2:V$1000)</f>
        <v/>
      </c>
      <c r="T6" s="40">
        <f>SUMIF(MatchScoutingData!$E$2:$E$1000, $A6, MatchScoutingData!W$2:W$1000)</f>
        <v/>
      </c>
      <c r="U6" s="40">
        <f>SUMIF(MatchScoutingData!$E$2:$E$1000, $A6, MatchScoutingData!X$2:X$1000)</f>
        <v/>
      </c>
      <c r="V6" s="40">
        <f>SUMIF(MatchScoutingData!$E$2:$E$1000, $A6, MatchScoutingData!AB$2:AB$1000)</f>
        <v/>
      </c>
      <c r="W6" s="40">
        <f>SUMIF(MatchScoutingData!$E$2:$E$1000, $A6, MatchScoutingData!Y$2:Y$1000)</f>
        <v/>
      </c>
      <c r="X6" s="40">
        <f>SUMIF(MatchScoutingData!$E$2:$E$1000, $A6, MatchScoutingData!Z$2:Z$1000)</f>
        <v/>
      </c>
      <c r="Y6" s="40">
        <f>SUMIF(MatchScoutingData!$E$2:$E$1000, $A6, MatchScoutingData!AA$2:AA$1000)</f>
        <v/>
      </c>
      <c r="Z6" s="40">
        <f>SUM(W6:Y6)</f>
        <v/>
      </c>
    </row>
    <row r="7">
      <c r="A7" s="11" t="n">
        <v>263</v>
      </c>
      <c r="B7" s="40">
        <f>COUNTIF(MatchScoutingData!E$2:E$1000, $A7)</f>
        <v/>
      </c>
      <c r="C7" s="40">
        <f>SUMIF(MatchScoutingData!$E$2:$E$1000, $A7, MatchScoutingData!F$2:F$1000)</f>
        <v/>
      </c>
      <c r="D7" s="40">
        <f>SUMIF(MatchScoutingData!$E$2:$E$1000, $A7, MatchScoutingData!G$2:G$1000)</f>
        <v/>
      </c>
      <c r="E7" s="40">
        <f>SUMIF(MatchScoutingData!$E$2:$E$1000, $A7, MatchScoutingData!H$2:H$1000)</f>
        <v/>
      </c>
      <c r="F7" s="40">
        <f>SUMIF(MatchScoutingData!$E$2:$E$1000, $A7, MatchScoutingData!I$2:I$1000)</f>
        <v/>
      </c>
      <c r="G7" s="40">
        <f>SUMIF(MatchScoutingData!$E$2:$E$1000, $A7, MatchScoutingData!J$2:J$1000)</f>
        <v/>
      </c>
      <c r="H7" s="40">
        <f>SUMIF(MatchScoutingData!$E$2:$E$1000, $A7, MatchScoutingData!K$2:K$1000)</f>
        <v/>
      </c>
      <c r="I7" s="40">
        <f>SUMIF(MatchScoutingData!$E$2:$E$1000, $A7, MatchScoutingData!L$2:L$1000)</f>
        <v/>
      </c>
      <c r="J7" s="40">
        <f>SUMIF(MatchScoutingData!$E$2:$E$1000, $A7, MatchScoutingData!M$2:M$1000)</f>
        <v/>
      </c>
      <c r="K7" s="40">
        <f>SUMIF(MatchScoutingData!$E$2:$E$1000, $A7, MatchScoutingData!N$2:N$1000)</f>
        <v/>
      </c>
      <c r="L7" s="40">
        <f>SUMIF(MatchScoutingData!$E$2:$E$1000, $A7, MatchScoutingData!O$2:O$1000)</f>
        <v/>
      </c>
      <c r="M7" s="40">
        <f>SUMIF(MatchScoutingData!$E$2:$E$1000, $A7, MatchScoutingData!P$2:P$1000)</f>
        <v/>
      </c>
      <c r="N7" s="40">
        <f>SUMIF(MatchScoutingData!$E$2:$E$1000, $A7, MatchScoutingData!Q$2:Q$1000)</f>
        <v/>
      </c>
      <c r="O7" s="40">
        <f>SUMIF(MatchScoutingData!$E$2:$E$1000, $A7, MatchScoutingData!R$2:R$1000)</f>
        <v/>
      </c>
      <c r="P7" s="40">
        <f>SUMIF(MatchScoutingData!$E$2:$E$1000, $A7, MatchScoutingData!S$2:S$1000)</f>
        <v/>
      </c>
      <c r="Q7" s="40">
        <f>SUMIF(MatchScoutingData!$E$2:$E$1000, $A7, MatchScoutingData!T$2:T$1000)</f>
        <v/>
      </c>
      <c r="R7" s="40">
        <f>SUMIF(MatchScoutingData!$E$2:$E$1000, $A7, MatchScoutingData!U$2:U$1000)</f>
        <v/>
      </c>
      <c r="S7" s="40">
        <f>SUMIF(MatchScoutingData!$E$2:$E$1000, $A7, MatchScoutingData!V$2:V$1000)</f>
        <v/>
      </c>
      <c r="T7" s="40">
        <f>SUMIF(MatchScoutingData!$E$2:$E$1000, $A7, MatchScoutingData!W$2:W$1000)</f>
        <v/>
      </c>
      <c r="U7" s="40">
        <f>SUMIF(MatchScoutingData!$E$2:$E$1000, $A7, MatchScoutingData!X$2:X$1000)</f>
        <v/>
      </c>
      <c r="V7" s="40">
        <f>SUMIF(MatchScoutingData!$E$2:$E$1000, $A7, MatchScoutingData!AB$2:AB$1000)</f>
        <v/>
      </c>
      <c r="W7" s="40">
        <f>SUMIF(MatchScoutingData!$E$2:$E$1000, $A7, MatchScoutingData!Y$2:Y$1000)</f>
        <v/>
      </c>
      <c r="X7" s="40">
        <f>SUMIF(MatchScoutingData!$E$2:$E$1000, $A7, MatchScoutingData!Z$2:Z$1000)</f>
        <v/>
      </c>
      <c r="Y7" s="40">
        <f>SUMIF(MatchScoutingData!$E$2:$E$1000, $A7, MatchScoutingData!AA$2:AA$1000)</f>
        <v/>
      </c>
      <c r="Z7" s="40">
        <f>SUM(W7:Y7)</f>
        <v/>
      </c>
    </row>
    <row r="8">
      <c r="A8" s="11" t="n">
        <v>271</v>
      </c>
      <c r="B8" s="40">
        <f>COUNTIF(MatchScoutingData!E$2:E$1000, $A8)</f>
        <v/>
      </c>
      <c r="C8" s="40">
        <f>SUMIF(MatchScoutingData!$E$2:$E$1000, $A8, MatchScoutingData!F$2:F$1000)</f>
        <v/>
      </c>
      <c r="D8" s="40">
        <f>SUMIF(MatchScoutingData!$E$2:$E$1000, $A8, MatchScoutingData!G$2:G$1000)</f>
        <v/>
      </c>
      <c r="E8" s="40">
        <f>SUMIF(MatchScoutingData!$E$2:$E$1000, $A8, MatchScoutingData!H$2:H$1000)</f>
        <v/>
      </c>
      <c r="F8" s="40">
        <f>SUMIF(MatchScoutingData!$E$2:$E$1000, $A8, MatchScoutingData!I$2:I$1000)</f>
        <v/>
      </c>
      <c r="G8" s="40">
        <f>SUMIF(MatchScoutingData!$E$2:$E$1000, $A8, MatchScoutingData!J$2:J$1000)</f>
        <v/>
      </c>
      <c r="H8" s="40">
        <f>SUMIF(MatchScoutingData!$E$2:$E$1000, $A8, MatchScoutingData!K$2:K$1000)</f>
        <v/>
      </c>
      <c r="I8" s="40">
        <f>SUMIF(MatchScoutingData!$E$2:$E$1000, $A8, MatchScoutingData!L$2:L$1000)</f>
        <v/>
      </c>
      <c r="J8" s="40">
        <f>SUMIF(MatchScoutingData!$E$2:$E$1000, $A8, MatchScoutingData!M$2:M$1000)</f>
        <v/>
      </c>
      <c r="K8" s="40">
        <f>SUMIF(MatchScoutingData!$E$2:$E$1000, $A8, MatchScoutingData!N$2:N$1000)</f>
        <v/>
      </c>
      <c r="L8" s="40">
        <f>SUMIF(MatchScoutingData!$E$2:$E$1000, $A8, MatchScoutingData!O$2:O$1000)</f>
        <v/>
      </c>
      <c r="M8" s="40">
        <f>SUMIF(MatchScoutingData!$E$2:$E$1000, $A8, MatchScoutingData!P$2:P$1000)</f>
        <v/>
      </c>
      <c r="N8" s="40">
        <f>SUMIF(MatchScoutingData!$E$2:$E$1000, $A8, MatchScoutingData!Q$2:Q$1000)</f>
        <v/>
      </c>
      <c r="O8" s="40">
        <f>SUMIF(MatchScoutingData!$E$2:$E$1000, $A8, MatchScoutingData!R$2:R$1000)</f>
        <v/>
      </c>
      <c r="P8" s="40">
        <f>SUMIF(MatchScoutingData!$E$2:$E$1000, $A8, MatchScoutingData!S$2:S$1000)</f>
        <v/>
      </c>
      <c r="Q8" s="40">
        <f>SUMIF(MatchScoutingData!$E$2:$E$1000, $A8, MatchScoutingData!T$2:T$1000)</f>
        <v/>
      </c>
      <c r="R8" s="40">
        <f>SUMIF(MatchScoutingData!$E$2:$E$1000, $A8, MatchScoutingData!U$2:U$1000)</f>
        <v/>
      </c>
      <c r="S8" s="40">
        <f>SUMIF(MatchScoutingData!$E$2:$E$1000, $A8, MatchScoutingData!V$2:V$1000)</f>
        <v/>
      </c>
      <c r="T8" s="40">
        <f>SUMIF(MatchScoutingData!$E$2:$E$1000, $A8, MatchScoutingData!W$2:W$1000)</f>
        <v/>
      </c>
      <c r="U8" s="40">
        <f>SUMIF(MatchScoutingData!$E$2:$E$1000, $A8, MatchScoutingData!X$2:X$1000)</f>
        <v/>
      </c>
      <c r="V8" s="40">
        <f>SUMIF(MatchScoutingData!$E$2:$E$1000, $A8, MatchScoutingData!AB$2:AB$1000)</f>
        <v/>
      </c>
      <c r="W8" s="40">
        <f>SUMIF(MatchScoutingData!$E$2:$E$1000, $A8, MatchScoutingData!Y$2:Y$1000)</f>
        <v/>
      </c>
      <c r="X8" s="40">
        <f>SUMIF(MatchScoutingData!$E$2:$E$1000, $A8, MatchScoutingData!Z$2:Z$1000)</f>
        <v/>
      </c>
      <c r="Y8" s="40">
        <f>SUMIF(MatchScoutingData!$E$2:$E$1000, $A8, MatchScoutingData!AA$2:AA$1000)</f>
        <v/>
      </c>
      <c r="Z8" s="40">
        <f>SUM(W8:Y8)</f>
        <v/>
      </c>
    </row>
    <row r="9">
      <c r="A9" s="11" t="n">
        <v>287</v>
      </c>
      <c r="B9" s="40">
        <f>COUNTIF(MatchScoutingData!E$2:E$1000, $A9)</f>
        <v/>
      </c>
      <c r="C9" s="40">
        <f>SUMIF(MatchScoutingData!$E$2:$E$1000, $A9, MatchScoutingData!F$2:F$1000)</f>
        <v/>
      </c>
      <c r="D9" s="40">
        <f>SUMIF(MatchScoutingData!$E$2:$E$1000, $A9, MatchScoutingData!G$2:G$1000)</f>
        <v/>
      </c>
      <c r="E9" s="40">
        <f>SUMIF(MatchScoutingData!$E$2:$E$1000, $A9, MatchScoutingData!H$2:H$1000)</f>
        <v/>
      </c>
      <c r="F9" s="40">
        <f>SUMIF(MatchScoutingData!$E$2:$E$1000, $A9, MatchScoutingData!I$2:I$1000)</f>
        <v/>
      </c>
      <c r="G9" s="40">
        <f>SUMIF(MatchScoutingData!$E$2:$E$1000, $A9, MatchScoutingData!J$2:J$1000)</f>
        <v/>
      </c>
      <c r="H9" s="40">
        <f>SUMIF(MatchScoutingData!$E$2:$E$1000, $A9, MatchScoutingData!K$2:K$1000)</f>
        <v/>
      </c>
      <c r="I9" s="40">
        <f>SUMIF(MatchScoutingData!$E$2:$E$1000, $A9, MatchScoutingData!L$2:L$1000)</f>
        <v/>
      </c>
      <c r="J9" s="40">
        <f>SUMIF(MatchScoutingData!$E$2:$E$1000, $A9, MatchScoutingData!M$2:M$1000)</f>
        <v/>
      </c>
      <c r="K9" s="40">
        <f>SUMIF(MatchScoutingData!$E$2:$E$1000, $A9, MatchScoutingData!N$2:N$1000)</f>
        <v/>
      </c>
      <c r="L9" s="40">
        <f>SUMIF(MatchScoutingData!$E$2:$E$1000, $A9, MatchScoutingData!O$2:O$1000)</f>
        <v/>
      </c>
      <c r="M9" s="40">
        <f>SUMIF(MatchScoutingData!$E$2:$E$1000, $A9, MatchScoutingData!P$2:P$1000)</f>
        <v/>
      </c>
      <c r="N9" s="40">
        <f>SUMIF(MatchScoutingData!$E$2:$E$1000, $A9, MatchScoutingData!Q$2:Q$1000)</f>
        <v/>
      </c>
      <c r="O9" s="40">
        <f>SUMIF(MatchScoutingData!$E$2:$E$1000, $A9, MatchScoutingData!R$2:R$1000)</f>
        <v/>
      </c>
      <c r="P9" s="40">
        <f>SUMIF(MatchScoutingData!$E$2:$E$1000, $A9, MatchScoutingData!S$2:S$1000)</f>
        <v/>
      </c>
      <c r="Q9" s="40">
        <f>SUMIF(MatchScoutingData!$E$2:$E$1000, $A9, MatchScoutingData!T$2:T$1000)</f>
        <v/>
      </c>
      <c r="R9" s="40">
        <f>SUMIF(MatchScoutingData!$E$2:$E$1000, $A9, MatchScoutingData!U$2:U$1000)</f>
        <v/>
      </c>
      <c r="S9" s="40">
        <f>SUMIF(MatchScoutingData!$E$2:$E$1000, $A9, MatchScoutingData!V$2:V$1000)</f>
        <v/>
      </c>
      <c r="T9" s="40">
        <f>SUMIF(MatchScoutingData!$E$2:$E$1000, $A9, MatchScoutingData!W$2:W$1000)</f>
        <v/>
      </c>
      <c r="U9" s="40">
        <f>SUMIF(MatchScoutingData!$E$2:$E$1000, $A9, MatchScoutingData!X$2:X$1000)</f>
        <v/>
      </c>
      <c r="V9" s="40">
        <f>SUMIF(MatchScoutingData!$E$2:$E$1000, $A9, MatchScoutingData!AB$2:AB$1000)</f>
        <v/>
      </c>
      <c r="W9" s="40">
        <f>SUMIF(MatchScoutingData!$E$2:$E$1000, $A9, MatchScoutingData!Y$2:Y$1000)</f>
        <v/>
      </c>
      <c r="X9" s="40">
        <f>SUMIF(MatchScoutingData!$E$2:$E$1000, $A9, MatchScoutingData!Z$2:Z$1000)</f>
        <v/>
      </c>
      <c r="Y9" s="40">
        <f>SUMIF(MatchScoutingData!$E$2:$E$1000, $A9, MatchScoutingData!AA$2:AA$1000)</f>
        <v/>
      </c>
      <c r="Z9" s="40">
        <f>SUM(W9:Y9)</f>
        <v/>
      </c>
    </row>
    <row r="10">
      <c r="A10" s="11" t="n">
        <v>424</v>
      </c>
      <c r="B10" s="40">
        <f>COUNTIF(MatchScoutingData!E$2:E$1000, $A10)</f>
        <v/>
      </c>
      <c r="C10" s="40">
        <f>SUMIF(MatchScoutingData!$E$2:$E$1000, $A10, MatchScoutingData!F$2:F$1000)</f>
        <v/>
      </c>
      <c r="D10" s="40">
        <f>SUMIF(MatchScoutingData!$E$2:$E$1000, $A10, MatchScoutingData!G$2:G$1000)</f>
        <v/>
      </c>
      <c r="E10" s="40">
        <f>SUMIF(MatchScoutingData!$E$2:$E$1000, $A10, MatchScoutingData!H$2:H$1000)</f>
        <v/>
      </c>
      <c r="F10" s="40">
        <f>SUMIF(MatchScoutingData!$E$2:$E$1000, $A10, MatchScoutingData!I$2:I$1000)</f>
        <v/>
      </c>
      <c r="G10" s="40">
        <f>SUMIF(MatchScoutingData!$E$2:$E$1000, $A10, MatchScoutingData!J$2:J$1000)</f>
        <v/>
      </c>
      <c r="H10" s="40">
        <f>SUMIF(MatchScoutingData!$E$2:$E$1000, $A10, MatchScoutingData!K$2:K$1000)</f>
        <v/>
      </c>
      <c r="I10" s="40">
        <f>SUMIF(MatchScoutingData!$E$2:$E$1000, $A10, MatchScoutingData!L$2:L$1000)</f>
        <v/>
      </c>
      <c r="J10" s="40">
        <f>SUMIF(MatchScoutingData!$E$2:$E$1000, $A10, MatchScoutingData!M$2:M$1000)</f>
        <v/>
      </c>
      <c r="K10" s="40">
        <f>SUMIF(MatchScoutingData!$E$2:$E$1000, $A10, MatchScoutingData!N$2:N$1000)</f>
        <v/>
      </c>
      <c r="L10" s="40">
        <f>SUMIF(MatchScoutingData!$E$2:$E$1000, $A10, MatchScoutingData!O$2:O$1000)</f>
        <v/>
      </c>
      <c r="M10" s="40">
        <f>SUMIF(MatchScoutingData!$E$2:$E$1000, $A10, MatchScoutingData!P$2:P$1000)</f>
        <v/>
      </c>
      <c r="N10" s="40">
        <f>SUMIF(MatchScoutingData!$E$2:$E$1000, $A10, MatchScoutingData!Q$2:Q$1000)</f>
        <v/>
      </c>
      <c r="O10" s="40">
        <f>SUMIF(MatchScoutingData!$E$2:$E$1000, $A10, MatchScoutingData!R$2:R$1000)</f>
        <v/>
      </c>
      <c r="P10" s="40">
        <f>SUMIF(MatchScoutingData!$E$2:$E$1000, $A10, MatchScoutingData!S$2:S$1000)</f>
        <v/>
      </c>
      <c r="Q10" s="40">
        <f>SUMIF(MatchScoutingData!$E$2:$E$1000, $A10, MatchScoutingData!T$2:T$1000)</f>
        <v/>
      </c>
      <c r="R10" s="40">
        <f>SUMIF(MatchScoutingData!$E$2:$E$1000, $A10, MatchScoutingData!U$2:U$1000)</f>
        <v/>
      </c>
      <c r="S10" s="40">
        <f>SUMIF(MatchScoutingData!$E$2:$E$1000, $A10, MatchScoutingData!V$2:V$1000)</f>
        <v/>
      </c>
      <c r="T10" s="40">
        <f>SUMIF(MatchScoutingData!$E$2:$E$1000, $A10, MatchScoutingData!W$2:W$1000)</f>
        <v/>
      </c>
      <c r="U10" s="40">
        <f>SUMIF(MatchScoutingData!$E$2:$E$1000, $A10, MatchScoutingData!X$2:X$1000)</f>
        <v/>
      </c>
      <c r="V10" s="40">
        <f>SUMIF(MatchScoutingData!$E$2:$E$1000, $A10, MatchScoutingData!AB$2:AB$1000)</f>
        <v/>
      </c>
      <c r="W10" s="40">
        <f>SUMIF(MatchScoutingData!$E$2:$E$1000, $A10, MatchScoutingData!Y$2:Y$1000)</f>
        <v/>
      </c>
      <c r="X10" s="40">
        <f>SUMIF(MatchScoutingData!$E$2:$E$1000, $A10, MatchScoutingData!Z$2:Z$1000)</f>
        <v/>
      </c>
      <c r="Y10" s="40">
        <f>SUMIF(MatchScoutingData!$E$2:$E$1000, $A10, MatchScoutingData!AA$2:AA$1000)</f>
        <v/>
      </c>
      <c r="Z10" s="40">
        <f>SUM(W10:Y10)</f>
        <v/>
      </c>
    </row>
    <row r="11">
      <c r="A11" s="11" t="n">
        <v>533</v>
      </c>
      <c r="B11" s="40">
        <f>COUNTIF(MatchScoutingData!E$2:E$1000, $A11)</f>
        <v/>
      </c>
      <c r="C11" s="40">
        <f>SUMIF(MatchScoutingData!$E$2:$E$1000, $A11, MatchScoutingData!F$2:F$1000)</f>
        <v/>
      </c>
      <c r="D11" s="40">
        <f>SUMIF(MatchScoutingData!$E$2:$E$1000, $A11, MatchScoutingData!G$2:G$1000)</f>
        <v/>
      </c>
      <c r="E11" s="40">
        <f>SUMIF(MatchScoutingData!$E$2:$E$1000, $A11, MatchScoutingData!H$2:H$1000)</f>
        <v/>
      </c>
      <c r="F11" s="40">
        <f>SUMIF(MatchScoutingData!$E$2:$E$1000, $A11, MatchScoutingData!I$2:I$1000)</f>
        <v/>
      </c>
      <c r="G11" s="40">
        <f>SUMIF(MatchScoutingData!$E$2:$E$1000, $A11, MatchScoutingData!J$2:J$1000)</f>
        <v/>
      </c>
      <c r="H11" s="40">
        <f>SUMIF(MatchScoutingData!$E$2:$E$1000, $A11, MatchScoutingData!K$2:K$1000)</f>
        <v/>
      </c>
      <c r="I11" s="40">
        <f>SUMIF(MatchScoutingData!$E$2:$E$1000, $A11, MatchScoutingData!L$2:L$1000)</f>
        <v/>
      </c>
      <c r="J11" s="40">
        <f>SUMIF(MatchScoutingData!$E$2:$E$1000, $A11, MatchScoutingData!M$2:M$1000)</f>
        <v/>
      </c>
      <c r="K11" s="40">
        <f>SUMIF(MatchScoutingData!$E$2:$E$1000, $A11, MatchScoutingData!N$2:N$1000)</f>
        <v/>
      </c>
      <c r="L11" s="40">
        <f>SUMIF(MatchScoutingData!$E$2:$E$1000, $A11, MatchScoutingData!O$2:O$1000)</f>
        <v/>
      </c>
      <c r="M11" s="40">
        <f>SUMIF(MatchScoutingData!$E$2:$E$1000, $A11, MatchScoutingData!P$2:P$1000)</f>
        <v/>
      </c>
      <c r="N11" s="40">
        <f>SUMIF(MatchScoutingData!$E$2:$E$1000, $A11, MatchScoutingData!Q$2:Q$1000)</f>
        <v/>
      </c>
      <c r="O11" s="40">
        <f>SUMIF(MatchScoutingData!$E$2:$E$1000, $A11, MatchScoutingData!R$2:R$1000)</f>
        <v/>
      </c>
      <c r="P11" s="40">
        <f>SUMIF(MatchScoutingData!$E$2:$E$1000, $A11, MatchScoutingData!S$2:S$1000)</f>
        <v/>
      </c>
      <c r="Q11" s="40">
        <f>SUMIF(MatchScoutingData!$E$2:$E$1000, $A11, MatchScoutingData!T$2:T$1000)</f>
        <v/>
      </c>
      <c r="R11" s="40">
        <f>SUMIF(MatchScoutingData!$E$2:$E$1000, $A11, MatchScoutingData!U$2:U$1000)</f>
        <v/>
      </c>
      <c r="S11" s="40">
        <f>SUMIF(MatchScoutingData!$E$2:$E$1000, $A11, MatchScoutingData!V$2:V$1000)</f>
        <v/>
      </c>
      <c r="T11" s="40">
        <f>SUMIF(MatchScoutingData!$E$2:$E$1000, $A11, MatchScoutingData!W$2:W$1000)</f>
        <v/>
      </c>
      <c r="U11" s="40">
        <f>SUMIF(MatchScoutingData!$E$2:$E$1000, $A11, MatchScoutingData!X$2:X$1000)</f>
        <v/>
      </c>
      <c r="V11" s="40">
        <f>SUMIF(MatchScoutingData!$E$2:$E$1000, $A11, MatchScoutingData!AB$2:AB$1000)</f>
        <v/>
      </c>
      <c r="W11" s="40">
        <f>SUMIF(MatchScoutingData!$E$2:$E$1000, $A11, MatchScoutingData!Y$2:Y$1000)</f>
        <v/>
      </c>
      <c r="X11" s="40">
        <f>SUMIF(MatchScoutingData!$E$2:$E$1000, $A11, MatchScoutingData!Z$2:Z$1000)</f>
        <v/>
      </c>
      <c r="Y11" s="40">
        <f>SUMIF(MatchScoutingData!$E$2:$E$1000, $A11, MatchScoutingData!AA$2:AA$1000)</f>
        <v/>
      </c>
      <c r="Z11" s="40">
        <f>SUM(W11:Y11)</f>
        <v/>
      </c>
    </row>
    <row r="12">
      <c r="A12" s="11" t="n">
        <v>578</v>
      </c>
      <c r="B12" s="40">
        <f>COUNTIF(MatchScoutingData!E$2:E$1000, $A12)</f>
        <v/>
      </c>
      <c r="C12" s="40">
        <f>SUMIF(MatchScoutingData!$E$2:$E$1000, $A12, MatchScoutingData!F$2:F$1000)</f>
        <v/>
      </c>
      <c r="D12" s="40">
        <f>SUMIF(MatchScoutingData!$E$2:$E$1000, $A12, MatchScoutingData!G$2:G$1000)</f>
        <v/>
      </c>
      <c r="E12" s="40">
        <f>SUMIF(MatchScoutingData!$E$2:$E$1000, $A12, MatchScoutingData!H$2:H$1000)</f>
        <v/>
      </c>
      <c r="F12" s="40">
        <f>SUMIF(MatchScoutingData!$E$2:$E$1000, $A12, MatchScoutingData!I$2:I$1000)</f>
        <v/>
      </c>
      <c r="G12" s="40">
        <f>SUMIF(MatchScoutingData!$E$2:$E$1000, $A12, MatchScoutingData!J$2:J$1000)</f>
        <v/>
      </c>
      <c r="H12" s="40">
        <f>SUMIF(MatchScoutingData!$E$2:$E$1000, $A12, MatchScoutingData!K$2:K$1000)</f>
        <v/>
      </c>
      <c r="I12" s="40">
        <f>SUMIF(MatchScoutingData!$E$2:$E$1000, $A12, MatchScoutingData!L$2:L$1000)</f>
        <v/>
      </c>
      <c r="J12" s="40">
        <f>SUMIF(MatchScoutingData!$E$2:$E$1000, $A12, MatchScoutingData!M$2:M$1000)</f>
        <v/>
      </c>
      <c r="K12" s="40">
        <f>SUMIF(MatchScoutingData!$E$2:$E$1000, $A12, MatchScoutingData!N$2:N$1000)</f>
        <v/>
      </c>
      <c r="L12" s="40">
        <f>SUMIF(MatchScoutingData!$E$2:$E$1000, $A12, MatchScoutingData!O$2:O$1000)</f>
        <v/>
      </c>
      <c r="M12" s="40">
        <f>SUMIF(MatchScoutingData!$E$2:$E$1000, $A12, MatchScoutingData!P$2:P$1000)</f>
        <v/>
      </c>
      <c r="N12" s="40">
        <f>SUMIF(MatchScoutingData!$E$2:$E$1000, $A12, MatchScoutingData!Q$2:Q$1000)</f>
        <v/>
      </c>
      <c r="O12" s="40">
        <f>SUMIF(MatchScoutingData!$E$2:$E$1000, $A12, MatchScoutingData!R$2:R$1000)</f>
        <v/>
      </c>
      <c r="P12" s="40">
        <f>SUMIF(MatchScoutingData!$E$2:$E$1000, $A12, MatchScoutingData!S$2:S$1000)</f>
        <v/>
      </c>
      <c r="Q12" s="40">
        <f>SUMIF(MatchScoutingData!$E$2:$E$1000, $A12, MatchScoutingData!T$2:T$1000)</f>
        <v/>
      </c>
      <c r="R12" s="40">
        <f>SUMIF(MatchScoutingData!$E$2:$E$1000, $A12, MatchScoutingData!U$2:U$1000)</f>
        <v/>
      </c>
      <c r="S12" s="40">
        <f>SUMIF(MatchScoutingData!$E$2:$E$1000, $A12, MatchScoutingData!V$2:V$1000)</f>
        <v/>
      </c>
      <c r="T12" s="40">
        <f>SUMIF(MatchScoutingData!$E$2:$E$1000, $A12, MatchScoutingData!W$2:W$1000)</f>
        <v/>
      </c>
      <c r="U12" s="40">
        <f>SUMIF(MatchScoutingData!$E$2:$E$1000, $A12, MatchScoutingData!X$2:X$1000)</f>
        <v/>
      </c>
      <c r="V12" s="40">
        <f>SUMIF(MatchScoutingData!$E$2:$E$1000, $A12, MatchScoutingData!AB$2:AB$1000)</f>
        <v/>
      </c>
      <c r="W12" s="40">
        <f>SUMIF(MatchScoutingData!$E$2:$E$1000, $A12, MatchScoutingData!Y$2:Y$1000)</f>
        <v/>
      </c>
      <c r="X12" s="40">
        <f>SUMIF(MatchScoutingData!$E$2:$E$1000, $A12, MatchScoutingData!Z$2:Z$1000)</f>
        <v/>
      </c>
      <c r="Y12" s="40">
        <f>SUMIF(MatchScoutingData!$E$2:$E$1000, $A12, MatchScoutingData!AA$2:AA$1000)</f>
        <v/>
      </c>
      <c r="Z12" s="40">
        <f>SUM(W12:Y12)</f>
        <v/>
      </c>
    </row>
    <row r="13">
      <c r="A13" s="11" t="n">
        <v>677</v>
      </c>
      <c r="B13" s="40">
        <f>COUNTIF(MatchScoutingData!E$2:E$1000, $A13)</f>
        <v/>
      </c>
      <c r="C13" s="40">
        <f>SUMIF(MatchScoutingData!$E$2:$E$1000, $A13, MatchScoutingData!F$2:F$1000)</f>
        <v/>
      </c>
      <c r="D13" s="40">
        <f>SUMIF(MatchScoutingData!$E$2:$E$1000, $A13, MatchScoutingData!G$2:G$1000)</f>
        <v/>
      </c>
      <c r="E13" s="40">
        <f>SUMIF(MatchScoutingData!$E$2:$E$1000, $A13, MatchScoutingData!H$2:H$1000)</f>
        <v/>
      </c>
      <c r="F13" s="40">
        <f>SUMIF(MatchScoutingData!$E$2:$E$1000, $A13, MatchScoutingData!I$2:I$1000)</f>
        <v/>
      </c>
      <c r="G13" s="40">
        <f>SUMIF(MatchScoutingData!$E$2:$E$1000, $A13, MatchScoutingData!J$2:J$1000)</f>
        <v/>
      </c>
      <c r="H13" s="40">
        <f>SUMIF(MatchScoutingData!$E$2:$E$1000, $A13, MatchScoutingData!K$2:K$1000)</f>
        <v/>
      </c>
      <c r="I13" s="40">
        <f>SUMIF(MatchScoutingData!$E$2:$E$1000, $A13, MatchScoutingData!L$2:L$1000)</f>
        <v/>
      </c>
      <c r="J13" s="40">
        <f>SUMIF(MatchScoutingData!$E$2:$E$1000, $A13, MatchScoutingData!M$2:M$1000)</f>
        <v/>
      </c>
      <c r="K13" s="40">
        <f>SUMIF(MatchScoutingData!$E$2:$E$1000, $A13, MatchScoutingData!N$2:N$1000)</f>
        <v/>
      </c>
      <c r="L13" s="40">
        <f>SUMIF(MatchScoutingData!$E$2:$E$1000, $A13, MatchScoutingData!O$2:O$1000)</f>
        <v/>
      </c>
      <c r="M13" s="40">
        <f>SUMIF(MatchScoutingData!$E$2:$E$1000, $A13, MatchScoutingData!P$2:P$1000)</f>
        <v/>
      </c>
      <c r="N13" s="40">
        <f>SUMIF(MatchScoutingData!$E$2:$E$1000, $A13, MatchScoutingData!Q$2:Q$1000)</f>
        <v/>
      </c>
      <c r="O13" s="40">
        <f>SUMIF(MatchScoutingData!$E$2:$E$1000, $A13, MatchScoutingData!R$2:R$1000)</f>
        <v/>
      </c>
      <c r="P13" s="40">
        <f>SUMIF(MatchScoutingData!$E$2:$E$1000, $A13, MatchScoutingData!S$2:S$1000)</f>
        <v/>
      </c>
      <c r="Q13" s="40">
        <f>SUMIF(MatchScoutingData!$E$2:$E$1000, $A13, MatchScoutingData!T$2:T$1000)</f>
        <v/>
      </c>
      <c r="R13" s="40">
        <f>SUMIF(MatchScoutingData!$E$2:$E$1000, $A13, MatchScoutingData!U$2:U$1000)</f>
        <v/>
      </c>
      <c r="S13" s="40">
        <f>SUMIF(MatchScoutingData!$E$2:$E$1000, $A13, MatchScoutingData!V$2:V$1000)</f>
        <v/>
      </c>
      <c r="T13" s="40">
        <f>SUMIF(MatchScoutingData!$E$2:$E$1000, $A13, MatchScoutingData!W$2:W$1000)</f>
        <v/>
      </c>
      <c r="U13" s="40">
        <f>SUMIF(MatchScoutingData!$E$2:$E$1000, $A13, MatchScoutingData!X$2:X$1000)</f>
        <v/>
      </c>
      <c r="V13" s="40">
        <f>SUMIF(MatchScoutingData!$E$2:$E$1000, $A13, MatchScoutingData!AB$2:AB$1000)</f>
        <v/>
      </c>
      <c r="W13" s="40">
        <f>SUMIF(MatchScoutingData!$E$2:$E$1000, $A13, MatchScoutingData!Y$2:Y$1000)</f>
        <v/>
      </c>
      <c r="X13" s="40">
        <f>SUMIF(MatchScoutingData!$E$2:$E$1000, $A13, MatchScoutingData!Z$2:Z$1000)</f>
        <v/>
      </c>
      <c r="Y13" s="40">
        <f>SUMIF(MatchScoutingData!$E$2:$E$1000, $A13, MatchScoutingData!AA$2:AA$1000)</f>
        <v/>
      </c>
      <c r="Z13" s="40">
        <f>SUM(W13:Y13)</f>
        <v/>
      </c>
    </row>
    <row r="14">
      <c r="A14" s="11" t="n">
        <v>806</v>
      </c>
      <c r="B14" s="40">
        <f>COUNTIF(MatchScoutingData!E$2:E$1000, $A14)</f>
        <v/>
      </c>
      <c r="C14" s="40">
        <f>SUMIF(MatchScoutingData!$E$2:$E$1000, $A14, MatchScoutingData!F$2:F$1000)</f>
        <v/>
      </c>
      <c r="D14" s="40">
        <f>SUMIF(MatchScoutingData!$E$2:$E$1000, $A14, MatchScoutingData!G$2:G$1000)</f>
        <v/>
      </c>
      <c r="E14" s="40">
        <f>SUMIF(MatchScoutingData!$E$2:$E$1000, $A14, MatchScoutingData!H$2:H$1000)</f>
        <v/>
      </c>
      <c r="F14" s="40">
        <f>SUMIF(MatchScoutingData!$E$2:$E$1000, $A14, MatchScoutingData!I$2:I$1000)</f>
        <v/>
      </c>
      <c r="G14" s="40">
        <f>SUMIF(MatchScoutingData!$E$2:$E$1000, $A14, MatchScoutingData!J$2:J$1000)</f>
        <v/>
      </c>
      <c r="H14" s="40">
        <f>SUMIF(MatchScoutingData!$E$2:$E$1000, $A14, MatchScoutingData!K$2:K$1000)</f>
        <v/>
      </c>
      <c r="I14" s="40">
        <f>SUMIF(MatchScoutingData!$E$2:$E$1000, $A14, MatchScoutingData!L$2:L$1000)</f>
        <v/>
      </c>
      <c r="J14" s="40">
        <f>SUMIF(MatchScoutingData!$E$2:$E$1000, $A14, MatchScoutingData!M$2:M$1000)</f>
        <v/>
      </c>
      <c r="K14" s="40">
        <f>SUMIF(MatchScoutingData!$E$2:$E$1000, $A14, MatchScoutingData!N$2:N$1000)</f>
        <v/>
      </c>
      <c r="L14" s="40">
        <f>SUMIF(MatchScoutingData!$E$2:$E$1000, $A14, MatchScoutingData!O$2:O$1000)</f>
        <v/>
      </c>
      <c r="M14" s="40">
        <f>SUMIF(MatchScoutingData!$E$2:$E$1000, $A14, MatchScoutingData!P$2:P$1000)</f>
        <v/>
      </c>
      <c r="N14" s="40">
        <f>SUMIF(MatchScoutingData!$E$2:$E$1000, $A14, MatchScoutingData!Q$2:Q$1000)</f>
        <v/>
      </c>
      <c r="O14" s="40">
        <f>SUMIF(MatchScoutingData!$E$2:$E$1000, $A14, MatchScoutingData!R$2:R$1000)</f>
        <v/>
      </c>
      <c r="P14" s="40">
        <f>SUMIF(MatchScoutingData!$E$2:$E$1000, $A14, MatchScoutingData!S$2:S$1000)</f>
        <v/>
      </c>
      <c r="Q14" s="40">
        <f>SUMIF(MatchScoutingData!$E$2:$E$1000, $A14, MatchScoutingData!T$2:T$1000)</f>
        <v/>
      </c>
      <c r="R14" s="40">
        <f>SUMIF(MatchScoutingData!$E$2:$E$1000, $A14, MatchScoutingData!U$2:U$1000)</f>
        <v/>
      </c>
      <c r="S14" s="40">
        <f>SUMIF(MatchScoutingData!$E$2:$E$1000, $A14, MatchScoutingData!V$2:V$1000)</f>
        <v/>
      </c>
      <c r="T14" s="40">
        <f>SUMIF(MatchScoutingData!$E$2:$E$1000, $A14, MatchScoutingData!W$2:W$1000)</f>
        <v/>
      </c>
      <c r="U14" s="40">
        <f>SUMIF(MatchScoutingData!$E$2:$E$1000, $A14, MatchScoutingData!X$2:X$1000)</f>
        <v/>
      </c>
      <c r="V14" s="40">
        <f>SUMIF(MatchScoutingData!$E$2:$E$1000, $A14, MatchScoutingData!AB$2:AB$1000)</f>
        <v/>
      </c>
      <c r="W14" s="40">
        <f>SUMIF(MatchScoutingData!$E$2:$E$1000, $A14, MatchScoutingData!Y$2:Y$1000)</f>
        <v/>
      </c>
      <c r="X14" s="40">
        <f>SUMIF(MatchScoutingData!$E$2:$E$1000, $A14, MatchScoutingData!Z$2:Z$1000)</f>
        <v/>
      </c>
      <c r="Y14" s="40">
        <f>SUMIF(MatchScoutingData!$E$2:$E$1000, $A14, MatchScoutingData!AA$2:AA$1000)</f>
        <v/>
      </c>
      <c r="Z14" s="40">
        <f>SUM(W14:Y14)</f>
        <v/>
      </c>
    </row>
    <row r="15">
      <c r="A15" s="11" t="n">
        <v>870</v>
      </c>
      <c r="B15" s="40">
        <f>COUNTIF(MatchScoutingData!E$2:E$1000, $A15)</f>
        <v/>
      </c>
      <c r="C15" s="40">
        <f>SUMIF(MatchScoutingData!$E$2:$E$1000, $A15, MatchScoutingData!F$2:F$1000)</f>
        <v/>
      </c>
      <c r="D15" s="40">
        <f>SUMIF(MatchScoutingData!$E$2:$E$1000, $A15, MatchScoutingData!G$2:G$1000)</f>
        <v/>
      </c>
      <c r="E15" s="40">
        <f>SUMIF(MatchScoutingData!$E$2:$E$1000, $A15, MatchScoutingData!H$2:H$1000)</f>
        <v/>
      </c>
      <c r="F15" s="40">
        <f>SUMIF(MatchScoutingData!$E$2:$E$1000, $A15, MatchScoutingData!I$2:I$1000)</f>
        <v/>
      </c>
      <c r="G15" s="40">
        <f>SUMIF(MatchScoutingData!$E$2:$E$1000, $A15, MatchScoutingData!J$2:J$1000)</f>
        <v/>
      </c>
      <c r="H15" s="40">
        <f>SUMIF(MatchScoutingData!$E$2:$E$1000, $A15, MatchScoutingData!K$2:K$1000)</f>
        <v/>
      </c>
      <c r="I15" s="40">
        <f>SUMIF(MatchScoutingData!$E$2:$E$1000, $A15, MatchScoutingData!L$2:L$1000)</f>
        <v/>
      </c>
      <c r="J15" s="40">
        <f>SUMIF(MatchScoutingData!$E$2:$E$1000, $A15, MatchScoutingData!M$2:M$1000)</f>
        <v/>
      </c>
      <c r="K15" s="40">
        <f>SUMIF(MatchScoutingData!$E$2:$E$1000, $A15, MatchScoutingData!N$2:N$1000)</f>
        <v/>
      </c>
      <c r="L15" s="40">
        <f>SUMIF(MatchScoutingData!$E$2:$E$1000, $A15, MatchScoutingData!O$2:O$1000)</f>
        <v/>
      </c>
      <c r="M15" s="40">
        <f>SUMIF(MatchScoutingData!$E$2:$E$1000, $A15, MatchScoutingData!P$2:P$1000)</f>
        <v/>
      </c>
      <c r="N15" s="40">
        <f>SUMIF(MatchScoutingData!$E$2:$E$1000, $A15, MatchScoutingData!Q$2:Q$1000)</f>
        <v/>
      </c>
      <c r="O15" s="40">
        <f>SUMIF(MatchScoutingData!$E$2:$E$1000, $A15, MatchScoutingData!R$2:R$1000)</f>
        <v/>
      </c>
      <c r="P15" s="40">
        <f>SUMIF(MatchScoutingData!$E$2:$E$1000, $A15, MatchScoutingData!S$2:S$1000)</f>
        <v/>
      </c>
      <c r="Q15" s="40">
        <f>SUMIF(MatchScoutingData!$E$2:$E$1000, $A15, MatchScoutingData!T$2:T$1000)</f>
        <v/>
      </c>
      <c r="R15" s="40">
        <f>SUMIF(MatchScoutingData!$E$2:$E$1000, $A15, MatchScoutingData!U$2:U$1000)</f>
        <v/>
      </c>
      <c r="S15" s="40">
        <f>SUMIF(MatchScoutingData!$E$2:$E$1000, $A15, MatchScoutingData!V$2:V$1000)</f>
        <v/>
      </c>
      <c r="T15" s="40">
        <f>SUMIF(MatchScoutingData!$E$2:$E$1000, $A15, MatchScoutingData!W$2:W$1000)</f>
        <v/>
      </c>
      <c r="U15" s="40">
        <f>SUMIF(MatchScoutingData!$E$2:$E$1000, $A15, MatchScoutingData!X$2:X$1000)</f>
        <v/>
      </c>
      <c r="V15" s="40">
        <f>SUMIF(MatchScoutingData!$E$2:$E$1000, $A15, MatchScoutingData!AB$2:AB$1000)</f>
        <v/>
      </c>
      <c r="W15" s="40">
        <f>SUMIF(MatchScoutingData!$E$2:$E$1000, $A15, MatchScoutingData!Y$2:Y$1000)</f>
        <v/>
      </c>
      <c r="X15" s="40">
        <f>SUMIF(MatchScoutingData!$E$2:$E$1000, $A15, MatchScoutingData!Z$2:Z$1000)</f>
        <v/>
      </c>
      <c r="Y15" s="40">
        <f>SUMIF(MatchScoutingData!$E$2:$E$1000, $A15, MatchScoutingData!AA$2:AA$1000)</f>
        <v/>
      </c>
      <c r="Z15" s="40">
        <f>SUM(W15:Y15)</f>
        <v/>
      </c>
    </row>
    <row r="16">
      <c r="A16" s="11" t="n">
        <v>1126</v>
      </c>
      <c r="B16" s="40">
        <f>COUNTIF(MatchScoutingData!E$2:E$1000, $A16)</f>
        <v/>
      </c>
      <c r="C16" s="40">
        <f>SUMIF(MatchScoutingData!$E$2:$E$1000, $A16, MatchScoutingData!F$2:F$1000)</f>
        <v/>
      </c>
      <c r="D16" s="40">
        <f>SUMIF(MatchScoutingData!$E$2:$E$1000, $A16, MatchScoutingData!G$2:G$1000)</f>
        <v/>
      </c>
      <c r="E16" s="40">
        <f>SUMIF(MatchScoutingData!$E$2:$E$1000, $A16, MatchScoutingData!H$2:H$1000)</f>
        <v/>
      </c>
      <c r="F16" s="40">
        <f>SUMIF(MatchScoutingData!$E$2:$E$1000, $A16, MatchScoutingData!I$2:I$1000)</f>
        <v/>
      </c>
      <c r="G16" s="40">
        <f>SUMIF(MatchScoutingData!$E$2:$E$1000, $A16, MatchScoutingData!J$2:J$1000)</f>
        <v/>
      </c>
      <c r="H16" s="40">
        <f>SUMIF(MatchScoutingData!$E$2:$E$1000, $A16, MatchScoutingData!K$2:K$1000)</f>
        <v/>
      </c>
      <c r="I16" s="40">
        <f>SUMIF(MatchScoutingData!$E$2:$E$1000, $A16, MatchScoutingData!L$2:L$1000)</f>
        <v/>
      </c>
      <c r="J16" s="40">
        <f>SUMIF(MatchScoutingData!$E$2:$E$1000, $A16, MatchScoutingData!M$2:M$1000)</f>
        <v/>
      </c>
      <c r="K16" s="40">
        <f>SUMIF(MatchScoutingData!$E$2:$E$1000, $A16, MatchScoutingData!N$2:N$1000)</f>
        <v/>
      </c>
      <c r="L16" s="40">
        <f>SUMIF(MatchScoutingData!$E$2:$E$1000, $A16, MatchScoutingData!O$2:O$1000)</f>
        <v/>
      </c>
      <c r="M16" s="40">
        <f>SUMIF(MatchScoutingData!$E$2:$E$1000, $A16, MatchScoutingData!P$2:P$1000)</f>
        <v/>
      </c>
      <c r="N16" s="40">
        <f>SUMIF(MatchScoutingData!$E$2:$E$1000, $A16, MatchScoutingData!Q$2:Q$1000)</f>
        <v/>
      </c>
      <c r="O16" s="40">
        <f>SUMIF(MatchScoutingData!$E$2:$E$1000, $A16, MatchScoutingData!R$2:R$1000)</f>
        <v/>
      </c>
      <c r="P16" s="40">
        <f>SUMIF(MatchScoutingData!$E$2:$E$1000, $A16, MatchScoutingData!S$2:S$1000)</f>
        <v/>
      </c>
      <c r="Q16" s="40">
        <f>SUMIF(MatchScoutingData!$E$2:$E$1000, $A16, MatchScoutingData!T$2:T$1000)</f>
        <v/>
      </c>
      <c r="R16" s="40">
        <f>SUMIF(MatchScoutingData!$E$2:$E$1000, $A16, MatchScoutingData!U$2:U$1000)</f>
        <v/>
      </c>
      <c r="S16" s="40">
        <f>SUMIF(MatchScoutingData!$E$2:$E$1000, $A16, MatchScoutingData!V$2:V$1000)</f>
        <v/>
      </c>
      <c r="T16" s="40">
        <f>SUMIF(MatchScoutingData!$E$2:$E$1000, $A16, MatchScoutingData!W$2:W$1000)</f>
        <v/>
      </c>
      <c r="U16" s="40">
        <f>SUMIF(MatchScoutingData!$E$2:$E$1000, $A16, MatchScoutingData!X$2:X$1000)</f>
        <v/>
      </c>
      <c r="V16" s="40">
        <f>SUMIF(MatchScoutingData!$E$2:$E$1000, $A16, MatchScoutingData!AB$2:AB$1000)</f>
        <v/>
      </c>
      <c r="W16" s="40">
        <f>SUMIF(MatchScoutingData!$E$2:$E$1000, $A16, MatchScoutingData!Y$2:Y$1000)</f>
        <v/>
      </c>
      <c r="X16" s="40">
        <f>SUMIF(MatchScoutingData!$E$2:$E$1000, $A16, MatchScoutingData!Z$2:Z$1000)</f>
        <v/>
      </c>
      <c r="Y16" s="40">
        <f>SUMIF(MatchScoutingData!$E$2:$E$1000, $A16, MatchScoutingData!AA$2:AA$1000)</f>
        <v/>
      </c>
      <c r="Z16" s="40">
        <f>SUM(W16:Y16)</f>
        <v/>
      </c>
    </row>
    <row r="17">
      <c r="A17" s="11" t="n">
        <v>1405</v>
      </c>
      <c r="B17" s="40">
        <f>COUNTIF(MatchScoutingData!E$2:E$1000, $A17)</f>
        <v/>
      </c>
      <c r="C17" s="40">
        <f>SUMIF(MatchScoutingData!$E$2:$E$1000, $A17, MatchScoutingData!F$2:F$1000)</f>
        <v/>
      </c>
      <c r="D17" s="40">
        <f>SUMIF(MatchScoutingData!$E$2:$E$1000, $A17, MatchScoutingData!G$2:G$1000)</f>
        <v/>
      </c>
      <c r="E17" s="40">
        <f>SUMIF(MatchScoutingData!$E$2:$E$1000, $A17, MatchScoutingData!H$2:H$1000)</f>
        <v/>
      </c>
      <c r="F17" s="40">
        <f>SUMIF(MatchScoutingData!$E$2:$E$1000, $A17, MatchScoutingData!I$2:I$1000)</f>
        <v/>
      </c>
      <c r="G17" s="40">
        <f>SUMIF(MatchScoutingData!$E$2:$E$1000, $A17, MatchScoutingData!J$2:J$1000)</f>
        <v/>
      </c>
      <c r="H17" s="40">
        <f>SUMIF(MatchScoutingData!$E$2:$E$1000, $A17, MatchScoutingData!K$2:K$1000)</f>
        <v/>
      </c>
      <c r="I17" s="40">
        <f>SUMIF(MatchScoutingData!$E$2:$E$1000, $A17, MatchScoutingData!L$2:L$1000)</f>
        <v/>
      </c>
      <c r="J17" s="40">
        <f>SUMIF(MatchScoutingData!$E$2:$E$1000, $A17, MatchScoutingData!M$2:M$1000)</f>
        <v/>
      </c>
      <c r="K17" s="40">
        <f>SUMIF(MatchScoutingData!$E$2:$E$1000, $A17, MatchScoutingData!N$2:N$1000)</f>
        <v/>
      </c>
      <c r="L17" s="40">
        <f>SUMIF(MatchScoutingData!$E$2:$E$1000, $A17, MatchScoutingData!O$2:O$1000)</f>
        <v/>
      </c>
      <c r="M17" s="40">
        <f>SUMIF(MatchScoutingData!$E$2:$E$1000, $A17, MatchScoutingData!P$2:P$1000)</f>
        <v/>
      </c>
      <c r="N17" s="40">
        <f>SUMIF(MatchScoutingData!$E$2:$E$1000, $A17, MatchScoutingData!Q$2:Q$1000)</f>
        <v/>
      </c>
      <c r="O17" s="40">
        <f>SUMIF(MatchScoutingData!$E$2:$E$1000, $A17, MatchScoutingData!R$2:R$1000)</f>
        <v/>
      </c>
      <c r="P17" s="40">
        <f>SUMIF(MatchScoutingData!$E$2:$E$1000, $A17, MatchScoutingData!S$2:S$1000)</f>
        <v/>
      </c>
      <c r="Q17" s="40">
        <f>SUMIF(MatchScoutingData!$E$2:$E$1000, $A17, MatchScoutingData!T$2:T$1000)</f>
        <v/>
      </c>
      <c r="R17" s="40">
        <f>SUMIF(MatchScoutingData!$E$2:$E$1000, $A17, MatchScoutingData!U$2:U$1000)</f>
        <v/>
      </c>
      <c r="S17" s="40">
        <f>SUMIF(MatchScoutingData!$E$2:$E$1000, $A17, MatchScoutingData!V$2:V$1000)</f>
        <v/>
      </c>
      <c r="T17" s="40">
        <f>SUMIF(MatchScoutingData!$E$2:$E$1000, $A17, MatchScoutingData!W$2:W$1000)</f>
        <v/>
      </c>
      <c r="U17" s="40">
        <f>SUMIF(MatchScoutingData!$E$2:$E$1000, $A17, MatchScoutingData!X$2:X$1000)</f>
        <v/>
      </c>
      <c r="V17" s="40">
        <f>SUMIF(MatchScoutingData!$E$2:$E$1000, $A17, MatchScoutingData!AB$2:AB$1000)</f>
        <v/>
      </c>
      <c r="W17" s="40">
        <f>SUMIF(MatchScoutingData!$E$2:$E$1000, $A17, MatchScoutingData!Y$2:Y$1000)</f>
        <v/>
      </c>
      <c r="X17" s="40">
        <f>SUMIF(MatchScoutingData!$E$2:$E$1000, $A17, MatchScoutingData!Z$2:Z$1000)</f>
        <v/>
      </c>
      <c r="Y17" s="40">
        <f>SUMIF(MatchScoutingData!$E$2:$E$1000, $A17, MatchScoutingData!AA$2:AA$1000)</f>
        <v/>
      </c>
      <c r="Z17" s="40">
        <f>SUM(W17:Y17)</f>
        <v/>
      </c>
    </row>
    <row r="18">
      <c r="A18" s="11" t="n">
        <v>1493</v>
      </c>
      <c r="B18" s="40">
        <f>COUNTIF(MatchScoutingData!E$2:E$1000, $A18)</f>
        <v/>
      </c>
      <c r="C18" s="40">
        <f>SUMIF(MatchScoutingData!$E$2:$E$1000, $A18, MatchScoutingData!F$2:F$1000)</f>
        <v/>
      </c>
      <c r="D18" s="40">
        <f>SUMIF(MatchScoutingData!$E$2:$E$1000, $A18, MatchScoutingData!G$2:G$1000)</f>
        <v/>
      </c>
      <c r="E18" s="40">
        <f>SUMIF(MatchScoutingData!$E$2:$E$1000, $A18, MatchScoutingData!H$2:H$1000)</f>
        <v/>
      </c>
      <c r="F18" s="40">
        <f>SUMIF(MatchScoutingData!$E$2:$E$1000, $A18, MatchScoutingData!I$2:I$1000)</f>
        <v/>
      </c>
      <c r="G18" s="40">
        <f>SUMIF(MatchScoutingData!$E$2:$E$1000, $A18, MatchScoutingData!J$2:J$1000)</f>
        <v/>
      </c>
      <c r="H18" s="40">
        <f>SUMIF(MatchScoutingData!$E$2:$E$1000, $A18, MatchScoutingData!K$2:K$1000)</f>
        <v/>
      </c>
      <c r="I18" s="40">
        <f>SUMIF(MatchScoutingData!$E$2:$E$1000, $A18, MatchScoutingData!L$2:L$1000)</f>
        <v/>
      </c>
      <c r="J18" s="40">
        <f>SUMIF(MatchScoutingData!$E$2:$E$1000, $A18, MatchScoutingData!M$2:M$1000)</f>
        <v/>
      </c>
      <c r="K18" s="40">
        <f>SUMIF(MatchScoutingData!$E$2:$E$1000, $A18, MatchScoutingData!N$2:N$1000)</f>
        <v/>
      </c>
      <c r="L18" s="40">
        <f>SUMIF(MatchScoutingData!$E$2:$E$1000, $A18, MatchScoutingData!O$2:O$1000)</f>
        <v/>
      </c>
      <c r="M18" s="40">
        <f>SUMIF(MatchScoutingData!$E$2:$E$1000, $A18, MatchScoutingData!P$2:P$1000)</f>
        <v/>
      </c>
      <c r="N18" s="40">
        <f>SUMIF(MatchScoutingData!$E$2:$E$1000, $A18, MatchScoutingData!Q$2:Q$1000)</f>
        <v/>
      </c>
      <c r="O18" s="40">
        <f>SUMIF(MatchScoutingData!$E$2:$E$1000, $A18, MatchScoutingData!R$2:R$1000)</f>
        <v/>
      </c>
      <c r="P18" s="40">
        <f>SUMIF(MatchScoutingData!$E$2:$E$1000, $A18, MatchScoutingData!S$2:S$1000)</f>
        <v/>
      </c>
      <c r="Q18" s="40">
        <f>SUMIF(MatchScoutingData!$E$2:$E$1000, $A18, MatchScoutingData!T$2:T$1000)</f>
        <v/>
      </c>
      <c r="R18" s="40">
        <f>SUMIF(MatchScoutingData!$E$2:$E$1000, $A18, MatchScoutingData!U$2:U$1000)</f>
        <v/>
      </c>
      <c r="S18" s="40">
        <f>SUMIF(MatchScoutingData!$E$2:$E$1000, $A18, MatchScoutingData!V$2:V$1000)</f>
        <v/>
      </c>
      <c r="T18" s="40">
        <f>SUMIF(MatchScoutingData!$E$2:$E$1000, $A18, MatchScoutingData!W$2:W$1000)</f>
        <v/>
      </c>
      <c r="U18" s="40">
        <f>SUMIF(MatchScoutingData!$E$2:$E$1000, $A18, MatchScoutingData!X$2:X$1000)</f>
        <v/>
      </c>
      <c r="V18" s="40">
        <f>SUMIF(MatchScoutingData!$E$2:$E$1000, $A18, MatchScoutingData!AB$2:AB$1000)</f>
        <v/>
      </c>
      <c r="W18" s="40">
        <f>SUMIF(MatchScoutingData!$E$2:$E$1000, $A18, MatchScoutingData!Y$2:Y$1000)</f>
        <v/>
      </c>
      <c r="X18" s="40">
        <f>SUMIF(MatchScoutingData!$E$2:$E$1000, $A18, MatchScoutingData!Z$2:Z$1000)</f>
        <v/>
      </c>
      <c r="Y18" s="40">
        <f>SUMIF(MatchScoutingData!$E$2:$E$1000, $A18, MatchScoutingData!AA$2:AA$1000)</f>
        <v/>
      </c>
      <c r="Z18" s="40">
        <f>SUM(W18:Y18)</f>
        <v/>
      </c>
    </row>
    <row r="19">
      <c r="A19" s="11" t="n">
        <v>1559</v>
      </c>
      <c r="B19" s="40">
        <f>COUNTIF(MatchScoutingData!E$2:E$1000, $A19)</f>
        <v/>
      </c>
      <c r="C19" s="40">
        <f>SUMIF(MatchScoutingData!$E$2:$E$1000, $A19, MatchScoutingData!F$2:F$1000)</f>
        <v/>
      </c>
      <c r="D19" s="40">
        <f>SUMIF(MatchScoutingData!$E$2:$E$1000, $A19, MatchScoutingData!G$2:G$1000)</f>
        <v/>
      </c>
      <c r="E19" s="40">
        <f>SUMIF(MatchScoutingData!$E$2:$E$1000, $A19, MatchScoutingData!H$2:H$1000)</f>
        <v/>
      </c>
      <c r="F19" s="40">
        <f>SUMIF(MatchScoutingData!$E$2:$E$1000, $A19, MatchScoutingData!I$2:I$1000)</f>
        <v/>
      </c>
      <c r="G19" s="40">
        <f>SUMIF(MatchScoutingData!$E$2:$E$1000, $A19, MatchScoutingData!J$2:J$1000)</f>
        <v/>
      </c>
      <c r="H19" s="40">
        <f>SUMIF(MatchScoutingData!$E$2:$E$1000, $A19, MatchScoutingData!K$2:K$1000)</f>
        <v/>
      </c>
      <c r="I19" s="40">
        <f>SUMIF(MatchScoutingData!$E$2:$E$1000, $A19, MatchScoutingData!L$2:L$1000)</f>
        <v/>
      </c>
      <c r="J19" s="40">
        <f>SUMIF(MatchScoutingData!$E$2:$E$1000, $A19, MatchScoutingData!M$2:M$1000)</f>
        <v/>
      </c>
      <c r="K19" s="40">
        <f>SUMIF(MatchScoutingData!$E$2:$E$1000, $A19, MatchScoutingData!N$2:N$1000)</f>
        <v/>
      </c>
      <c r="L19" s="40">
        <f>SUMIF(MatchScoutingData!$E$2:$E$1000, $A19, MatchScoutingData!O$2:O$1000)</f>
        <v/>
      </c>
      <c r="M19" s="40">
        <f>SUMIF(MatchScoutingData!$E$2:$E$1000, $A19, MatchScoutingData!P$2:P$1000)</f>
        <v/>
      </c>
      <c r="N19" s="40">
        <f>SUMIF(MatchScoutingData!$E$2:$E$1000, $A19, MatchScoutingData!Q$2:Q$1000)</f>
        <v/>
      </c>
      <c r="O19" s="40">
        <f>SUMIF(MatchScoutingData!$E$2:$E$1000, $A19, MatchScoutingData!R$2:R$1000)</f>
        <v/>
      </c>
      <c r="P19" s="40">
        <f>SUMIF(MatchScoutingData!$E$2:$E$1000, $A19, MatchScoutingData!S$2:S$1000)</f>
        <v/>
      </c>
      <c r="Q19" s="40">
        <f>SUMIF(MatchScoutingData!$E$2:$E$1000, $A19, MatchScoutingData!T$2:T$1000)</f>
        <v/>
      </c>
      <c r="R19" s="40">
        <f>SUMIF(MatchScoutingData!$E$2:$E$1000, $A19, MatchScoutingData!U$2:U$1000)</f>
        <v/>
      </c>
      <c r="S19" s="40">
        <f>SUMIF(MatchScoutingData!$E$2:$E$1000, $A19, MatchScoutingData!V$2:V$1000)</f>
        <v/>
      </c>
      <c r="T19" s="40">
        <f>SUMIF(MatchScoutingData!$E$2:$E$1000, $A19, MatchScoutingData!W$2:W$1000)</f>
        <v/>
      </c>
      <c r="U19" s="40">
        <f>SUMIF(MatchScoutingData!$E$2:$E$1000, $A19, MatchScoutingData!X$2:X$1000)</f>
        <v/>
      </c>
      <c r="V19" s="40">
        <f>SUMIF(MatchScoutingData!$E$2:$E$1000, $A19, MatchScoutingData!AB$2:AB$1000)</f>
        <v/>
      </c>
      <c r="W19" s="40">
        <f>SUMIF(MatchScoutingData!$E$2:$E$1000, $A19, MatchScoutingData!Y$2:Y$1000)</f>
        <v/>
      </c>
      <c r="X19" s="40">
        <f>SUMIF(MatchScoutingData!$E$2:$E$1000, $A19, MatchScoutingData!Z$2:Z$1000)</f>
        <v/>
      </c>
      <c r="Y19" s="40">
        <f>SUMIF(MatchScoutingData!$E$2:$E$1000, $A19, MatchScoutingData!AA$2:AA$1000)</f>
        <v/>
      </c>
      <c r="Z19" s="40">
        <f>SUM(W19:Y19)</f>
        <v/>
      </c>
    </row>
    <row r="20">
      <c r="A20" s="11" t="n">
        <v>1591</v>
      </c>
      <c r="B20" s="40">
        <f>COUNTIF(MatchScoutingData!E$2:E$1000, $A20)</f>
        <v/>
      </c>
      <c r="C20" s="40">
        <f>SUMIF(MatchScoutingData!$E$2:$E$1000, $A20, MatchScoutingData!F$2:F$1000)</f>
        <v/>
      </c>
      <c r="D20" s="40">
        <f>SUMIF(MatchScoutingData!$E$2:$E$1000, $A20, MatchScoutingData!G$2:G$1000)</f>
        <v/>
      </c>
      <c r="E20" s="40">
        <f>SUMIF(MatchScoutingData!$E$2:$E$1000, $A20, MatchScoutingData!H$2:H$1000)</f>
        <v/>
      </c>
      <c r="F20" s="40">
        <f>SUMIF(MatchScoutingData!$E$2:$E$1000, $A20, MatchScoutingData!I$2:I$1000)</f>
        <v/>
      </c>
      <c r="G20" s="40">
        <f>SUMIF(MatchScoutingData!$E$2:$E$1000, $A20, MatchScoutingData!J$2:J$1000)</f>
        <v/>
      </c>
      <c r="H20" s="40">
        <f>SUMIF(MatchScoutingData!$E$2:$E$1000, $A20, MatchScoutingData!K$2:K$1000)</f>
        <v/>
      </c>
      <c r="I20" s="40">
        <f>SUMIF(MatchScoutingData!$E$2:$E$1000, $A20, MatchScoutingData!L$2:L$1000)</f>
        <v/>
      </c>
      <c r="J20" s="40">
        <f>SUMIF(MatchScoutingData!$E$2:$E$1000, $A20, MatchScoutingData!M$2:M$1000)</f>
        <v/>
      </c>
      <c r="K20" s="40">
        <f>SUMIF(MatchScoutingData!$E$2:$E$1000, $A20, MatchScoutingData!N$2:N$1000)</f>
        <v/>
      </c>
      <c r="L20" s="40">
        <f>SUMIF(MatchScoutingData!$E$2:$E$1000, $A20, MatchScoutingData!O$2:O$1000)</f>
        <v/>
      </c>
      <c r="M20" s="40">
        <f>SUMIF(MatchScoutingData!$E$2:$E$1000, $A20, MatchScoutingData!P$2:P$1000)</f>
        <v/>
      </c>
      <c r="N20" s="40">
        <f>SUMIF(MatchScoutingData!$E$2:$E$1000, $A20, MatchScoutingData!Q$2:Q$1000)</f>
        <v/>
      </c>
      <c r="O20" s="40">
        <f>SUMIF(MatchScoutingData!$E$2:$E$1000, $A20, MatchScoutingData!R$2:R$1000)</f>
        <v/>
      </c>
      <c r="P20" s="40">
        <f>SUMIF(MatchScoutingData!$E$2:$E$1000, $A20, MatchScoutingData!S$2:S$1000)</f>
        <v/>
      </c>
      <c r="Q20" s="40">
        <f>SUMIF(MatchScoutingData!$E$2:$E$1000, $A20, MatchScoutingData!T$2:T$1000)</f>
        <v/>
      </c>
      <c r="R20" s="40">
        <f>SUMIF(MatchScoutingData!$E$2:$E$1000, $A20, MatchScoutingData!U$2:U$1000)</f>
        <v/>
      </c>
      <c r="S20" s="40">
        <f>SUMIF(MatchScoutingData!$E$2:$E$1000, $A20, MatchScoutingData!V$2:V$1000)</f>
        <v/>
      </c>
      <c r="T20" s="40">
        <f>SUMIF(MatchScoutingData!$E$2:$E$1000, $A20, MatchScoutingData!W$2:W$1000)</f>
        <v/>
      </c>
      <c r="U20" s="40">
        <f>SUMIF(MatchScoutingData!$E$2:$E$1000, $A20, MatchScoutingData!X$2:X$1000)</f>
        <v/>
      </c>
      <c r="V20" s="40">
        <f>SUMIF(MatchScoutingData!$E$2:$E$1000, $A20, MatchScoutingData!AB$2:AB$1000)</f>
        <v/>
      </c>
      <c r="W20" s="40">
        <f>SUMIF(MatchScoutingData!$E$2:$E$1000, $A20, MatchScoutingData!Y$2:Y$1000)</f>
        <v/>
      </c>
      <c r="X20" s="40">
        <f>SUMIF(MatchScoutingData!$E$2:$E$1000, $A20, MatchScoutingData!Z$2:Z$1000)</f>
        <v/>
      </c>
      <c r="Y20" s="40">
        <f>SUMIF(MatchScoutingData!$E$2:$E$1000, $A20, MatchScoutingData!AA$2:AA$1000)</f>
        <v/>
      </c>
      <c r="Z20" s="40">
        <f>SUM(W20:Y20)</f>
        <v/>
      </c>
    </row>
    <row r="21">
      <c r="A21" s="11" t="n">
        <v>1796</v>
      </c>
      <c r="B21" s="40">
        <f>COUNTIF(MatchScoutingData!E$2:E$1000, $A21)</f>
        <v/>
      </c>
      <c r="C21" s="40">
        <f>SUMIF(MatchScoutingData!$E$2:$E$1000, $A21, MatchScoutingData!F$2:F$1000)</f>
        <v/>
      </c>
      <c r="D21" s="40">
        <f>SUMIF(MatchScoutingData!$E$2:$E$1000, $A21, MatchScoutingData!G$2:G$1000)</f>
        <v/>
      </c>
      <c r="E21" s="40">
        <f>SUMIF(MatchScoutingData!$E$2:$E$1000, $A21, MatchScoutingData!H$2:H$1000)</f>
        <v/>
      </c>
      <c r="F21" s="40">
        <f>SUMIF(MatchScoutingData!$E$2:$E$1000, $A21, MatchScoutingData!I$2:I$1000)</f>
        <v/>
      </c>
      <c r="G21" s="40">
        <f>SUMIF(MatchScoutingData!$E$2:$E$1000, $A21, MatchScoutingData!J$2:J$1000)</f>
        <v/>
      </c>
      <c r="H21" s="40">
        <f>SUMIF(MatchScoutingData!$E$2:$E$1000, $A21, MatchScoutingData!K$2:K$1000)</f>
        <v/>
      </c>
      <c r="I21" s="40">
        <f>SUMIF(MatchScoutingData!$E$2:$E$1000, $A21, MatchScoutingData!L$2:L$1000)</f>
        <v/>
      </c>
      <c r="J21" s="40">
        <f>SUMIF(MatchScoutingData!$E$2:$E$1000, $A21, MatchScoutingData!M$2:M$1000)</f>
        <v/>
      </c>
      <c r="K21" s="40">
        <f>SUMIF(MatchScoutingData!$E$2:$E$1000, $A21, MatchScoutingData!N$2:N$1000)</f>
        <v/>
      </c>
      <c r="L21" s="40">
        <f>SUMIF(MatchScoutingData!$E$2:$E$1000, $A21, MatchScoutingData!O$2:O$1000)</f>
        <v/>
      </c>
      <c r="M21" s="40">
        <f>SUMIF(MatchScoutingData!$E$2:$E$1000, $A21, MatchScoutingData!P$2:P$1000)</f>
        <v/>
      </c>
      <c r="N21" s="40">
        <f>SUMIF(MatchScoutingData!$E$2:$E$1000, $A21, MatchScoutingData!Q$2:Q$1000)</f>
        <v/>
      </c>
      <c r="O21" s="40">
        <f>SUMIF(MatchScoutingData!$E$2:$E$1000, $A21, MatchScoutingData!R$2:R$1000)</f>
        <v/>
      </c>
      <c r="P21" s="40">
        <f>SUMIF(MatchScoutingData!$E$2:$E$1000, $A21, MatchScoutingData!S$2:S$1000)</f>
        <v/>
      </c>
      <c r="Q21" s="40">
        <f>SUMIF(MatchScoutingData!$E$2:$E$1000, $A21, MatchScoutingData!T$2:T$1000)</f>
        <v/>
      </c>
      <c r="R21" s="40">
        <f>SUMIF(MatchScoutingData!$E$2:$E$1000, $A21, MatchScoutingData!U$2:U$1000)</f>
        <v/>
      </c>
      <c r="S21" s="40">
        <f>SUMIF(MatchScoutingData!$E$2:$E$1000, $A21, MatchScoutingData!V$2:V$1000)</f>
        <v/>
      </c>
      <c r="T21" s="40">
        <f>SUMIF(MatchScoutingData!$E$2:$E$1000, $A21, MatchScoutingData!W$2:W$1000)</f>
        <v/>
      </c>
      <c r="U21" s="40">
        <f>SUMIF(MatchScoutingData!$E$2:$E$1000, $A21, MatchScoutingData!X$2:X$1000)</f>
        <v/>
      </c>
      <c r="V21" s="40">
        <f>SUMIF(MatchScoutingData!$E$2:$E$1000, $A21, MatchScoutingData!AB$2:AB$1000)</f>
        <v/>
      </c>
      <c r="W21" s="40">
        <f>SUMIF(MatchScoutingData!$E$2:$E$1000, $A21, MatchScoutingData!Y$2:Y$1000)</f>
        <v/>
      </c>
      <c r="X21" s="40">
        <f>SUMIF(MatchScoutingData!$E$2:$E$1000, $A21, MatchScoutingData!Z$2:Z$1000)</f>
        <v/>
      </c>
      <c r="Y21" s="40">
        <f>SUMIF(MatchScoutingData!$E$2:$E$1000, $A21, MatchScoutingData!AA$2:AA$1000)</f>
        <v/>
      </c>
      <c r="Z21" s="40">
        <f>SUM(W21:Y21)</f>
        <v/>
      </c>
    </row>
    <row r="22">
      <c r="A22" s="11" t="n">
        <v>1880</v>
      </c>
      <c r="B22" s="40">
        <f>COUNTIF(MatchScoutingData!E$2:E$1000, $A22)</f>
        <v/>
      </c>
      <c r="C22" s="40">
        <f>SUMIF(MatchScoutingData!$E$2:$E$1000, $A22, MatchScoutingData!F$2:F$1000)</f>
        <v/>
      </c>
      <c r="D22" s="40">
        <f>SUMIF(MatchScoutingData!$E$2:$E$1000, $A22, MatchScoutingData!G$2:G$1000)</f>
        <v/>
      </c>
      <c r="E22" s="40">
        <f>SUMIF(MatchScoutingData!$E$2:$E$1000, $A22, MatchScoutingData!H$2:H$1000)</f>
        <v/>
      </c>
      <c r="F22" s="40">
        <f>SUMIF(MatchScoutingData!$E$2:$E$1000, $A22, MatchScoutingData!I$2:I$1000)</f>
        <v/>
      </c>
      <c r="G22" s="40">
        <f>SUMIF(MatchScoutingData!$E$2:$E$1000, $A22, MatchScoutingData!J$2:J$1000)</f>
        <v/>
      </c>
      <c r="H22" s="40">
        <f>SUMIF(MatchScoutingData!$E$2:$E$1000, $A22, MatchScoutingData!K$2:K$1000)</f>
        <v/>
      </c>
      <c r="I22" s="40">
        <f>SUMIF(MatchScoutingData!$E$2:$E$1000, $A22, MatchScoutingData!L$2:L$1000)</f>
        <v/>
      </c>
      <c r="J22" s="40">
        <f>SUMIF(MatchScoutingData!$E$2:$E$1000, $A22, MatchScoutingData!M$2:M$1000)</f>
        <v/>
      </c>
      <c r="K22" s="40">
        <f>SUMIF(MatchScoutingData!$E$2:$E$1000, $A22, MatchScoutingData!N$2:N$1000)</f>
        <v/>
      </c>
      <c r="L22" s="40">
        <f>SUMIF(MatchScoutingData!$E$2:$E$1000, $A22, MatchScoutingData!O$2:O$1000)</f>
        <v/>
      </c>
      <c r="M22" s="40">
        <f>SUMIF(MatchScoutingData!$E$2:$E$1000, $A22, MatchScoutingData!P$2:P$1000)</f>
        <v/>
      </c>
      <c r="N22" s="40">
        <f>SUMIF(MatchScoutingData!$E$2:$E$1000, $A22, MatchScoutingData!Q$2:Q$1000)</f>
        <v/>
      </c>
      <c r="O22" s="40">
        <f>SUMIF(MatchScoutingData!$E$2:$E$1000, $A22, MatchScoutingData!R$2:R$1000)</f>
        <v/>
      </c>
      <c r="P22" s="40">
        <f>SUMIF(MatchScoutingData!$E$2:$E$1000, $A22, MatchScoutingData!S$2:S$1000)</f>
        <v/>
      </c>
      <c r="Q22" s="40">
        <f>SUMIF(MatchScoutingData!$E$2:$E$1000, $A22, MatchScoutingData!T$2:T$1000)</f>
        <v/>
      </c>
      <c r="R22" s="40">
        <f>SUMIF(MatchScoutingData!$E$2:$E$1000, $A22, MatchScoutingData!U$2:U$1000)</f>
        <v/>
      </c>
      <c r="S22" s="40">
        <f>SUMIF(MatchScoutingData!$E$2:$E$1000, $A22, MatchScoutingData!V$2:V$1000)</f>
        <v/>
      </c>
      <c r="T22" s="40">
        <f>SUMIF(MatchScoutingData!$E$2:$E$1000, $A22, MatchScoutingData!W$2:W$1000)</f>
        <v/>
      </c>
      <c r="U22" s="40">
        <f>SUMIF(MatchScoutingData!$E$2:$E$1000, $A22, MatchScoutingData!X$2:X$1000)</f>
        <v/>
      </c>
      <c r="V22" s="40">
        <f>SUMIF(MatchScoutingData!$E$2:$E$1000, $A22, MatchScoutingData!AB$2:AB$1000)</f>
        <v/>
      </c>
      <c r="W22" s="40">
        <f>SUMIF(MatchScoutingData!$E$2:$E$1000, $A22, MatchScoutingData!Y$2:Y$1000)</f>
        <v/>
      </c>
      <c r="X22" s="40">
        <f>SUMIF(MatchScoutingData!$E$2:$E$1000, $A22, MatchScoutingData!Z$2:Z$1000)</f>
        <v/>
      </c>
      <c r="Y22" s="40">
        <f>SUMIF(MatchScoutingData!$E$2:$E$1000, $A22, MatchScoutingData!AA$2:AA$1000)</f>
        <v/>
      </c>
      <c r="Z22" s="40">
        <f>SUM(W22:Y22)</f>
        <v/>
      </c>
    </row>
    <row r="23">
      <c r="A23" s="11" t="n">
        <v>2053</v>
      </c>
      <c r="B23" s="40">
        <f>COUNTIF(MatchScoutingData!E$2:E$1000, $A23)</f>
        <v/>
      </c>
      <c r="C23" s="40">
        <f>SUMIF(MatchScoutingData!$E$2:$E$1000, $A23, MatchScoutingData!F$2:F$1000)</f>
        <v/>
      </c>
      <c r="D23" s="40">
        <f>SUMIF(MatchScoutingData!$E$2:$E$1000, $A23, MatchScoutingData!G$2:G$1000)</f>
        <v/>
      </c>
      <c r="E23" s="40">
        <f>SUMIF(MatchScoutingData!$E$2:$E$1000, $A23, MatchScoutingData!H$2:H$1000)</f>
        <v/>
      </c>
      <c r="F23" s="40">
        <f>SUMIF(MatchScoutingData!$E$2:$E$1000, $A23, MatchScoutingData!I$2:I$1000)</f>
        <v/>
      </c>
      <c r="G23" s="40">
        <f>SUMIF(MatchScoutingData!$E$2:$E$1000, $A23, MatchScoutingData!J$2:J$1000)</f>
        <v/>
      </c>
      <c r="H23" s="40">
        <f>SUMIF(MatchScoutingData!$E$2:$E$1000, $A23, MatchScoutingData!K$2:K$1000)</f>
        <v/>
      </c>
      <c r="I23" s="40">
        <f>SUMIF(MatchScoutingData!$E$2:$E$1000, $A23, MatchScoutingData!L$2:L$1000)</f>
        <v/>
      </c>
      <c r="J23" s="40">
        <f>SUMIF(MatchScoutingData!$E$2:$E$1000, $A23, MatchScoutingData!M$2:M$1000)</f>
        <v/>
      </c>
      <c r="K23" s="40">
        <f>SUMIF(MatchScoutingData!$E$2:$E$1000, $A23, MatchScoutingData!N$2:N$1000)</f>
        <v/>
      </c>
      <c r="L23" s="40">
        <f>SUMIF(MatchScoutingData!$E$2:$E$1000, $A23, MatchScoutingData!O$2:O$1000)</f>
        <v/>
      </c>
      <c r="M23" s="40">
        <f>SUMIF(MatchScoutingData!$E$2:$E$1000, $A23, MatchScoutingData!P$2:P$1000)</f>
        <v/>
      </c>
      <c r="N23" s="40">
        <f>SUMIF(MatchScoutingData!$E$2:$E$1000, $A23, MatchScoutingData!Q$2:Q$1000)</f>
        <v/>
      </c>
      <c r="O23" s="40">
        <f>SUMIF(MatchScoutingData!$E$2:$E$1000, $A23, MatchScoutingData!R$2:R$1000)</f>
        <v/>
      </c>
      <c r="P23" s="40">
        <f>SUMIF(MatchScoutingData!$E$2:$E$1000, $A23, MatchScoutingData!S$2:S$1000)</f>
        <v/>
      </c>
      <c r="Q23" s="40">
        <f>SUMIF(MatchScoutingData!$E$2:$E$1000, $A23, MatchScoutingData!T$2:T$1000)</f>
        <v/>
      </c>
      <c r="R23" s="40">
        <f>SUMIF(MatchScoutingData!$E$2:$E$1000, $A23, MatchScoutingData!U$2:U$1000)</f>
        <v/>
      </c>
      <c r="S23" s="40">
        <f>SUMIF(MatchScoutingData!$E$2:$E$1000, $A23, MatchScoutingData!V$2:V$1000)</f>
        <v/>
      </c>
      <c r="T23" s="40">
        <f>SUMIF(MatchScoutingData!$E$2:$E$1000, $A23, MatchScoutingData!W$2:W$1000)</f>
        <v/>
      </c>
      <c r="U23" s="40">
        <f>SUMIF(MatchScoutingData!$E$2:$E$1000, $A23, MatchScoutingData!X$2:X$1000)</f>
        <v/>
      </c>
      <c r="V23" s="40">
        <f>SUMIF(MatchScoutingData!$E$2:$E$1000, $A23, MatchScoutingData!AB$2:AB$1000)</f>
        <v/>
      </c>
      <c r="W23" s="40">
        <f>SUMIF(MatchScoutingData!$E$2:$E$1000, $A23, MatchScoutingData!Y$2:Y$1000)</f>
        <v/>
      </c>
      <c r="X23" s="40">
        <f>SUMIF(MatchScoutingData!$E$2:$E$1000, $A23, MatchScoutingData!Z$2:Z$1000)</f>
        <v/>
      </c>
      <c r="Y23" s="40">
        <f>SUMIF(MatchScoutingData!$E$2:$E$1000, $A23, MatchScoutingData!AA$2:AA$1000)</f>
        <v/>
      </c>
      <c r="Z23" s="40">
        <f>SUM(W23:Y23)</f>
        <v/>
      </c>
    </row>
    <row r="24">
      <c r="A24" s="11" t="n">
        <v>2340</v>
      </c>
      <c r="B24" s="40">
        <f>COUNTIF(MatchScoutingData!E$2:E$1000, $A24)</f>
        <v/>
      </c>
      <c r="C24" s="40">
        <f>SUMIF(MatchScoutingData!$E$2:$E$1000, $A24, MatchScoutingData!F$2:F$1000)</f>
        <v/>
      </c>
      <c r="D24" s="40">
        <f>SUMIF(MatchScoutingData!$E$2:$E$1000, $A24, MatchScoutingData!G$2:G$1000)</f>
        <v/>
      </c>
      <c r="E24" s="40">
        <f>SUMIF(MatchScoutingData!$E$2:$E$1000, $A24, MatchScoutingData!H$2:H$1000)</f>
        <v/>
      </c>
      <c r="F24" s="40">
        <f>SUMIF(MatchScoutingData!$E$2:$E$1000, $A24, MatchScoutingData!I$2:I$1000)</f>
        <v/>
      </c>
      <c r="G24" s="40">
        <f>SUMIF(MatchScoutingData!$E$2:$E$1000, $A24, MatchScoutingData!J$2:J$1000)</f>
        <v/>
      </c>
      <c r="H24" s="40">
        <f>SUMIF(MatchScoutingData!$E$2:$E$1000, $A24, MatchScoutingData!K$2:K$1000)</f>
        <v/>
      </c>
      <c r="I24" s="40">
        <f>SUMIF(MatchScoutingData!$E$2:$E$1000, $A24, MatchScoutingData!L$2:L$1000)</f>
        <v/>
      </c>
      <c r="J24" s="40">
        <f>SUMIF(MatchScoutingData!$E$2:$E$1000, $A24, MatchScoutingData!M$2:M$1000)</f>
        <v/>
      </c>
      <c r="K24" s="40">
        <f>SUMIF(MatchScoutingData!$E$2:$E$1000, $A24, MatchScoutingData!N$2:N$1000)</f>
        <v/>
      </c>
      <c r="L24" s="40">
        <f>SUMIF(MatchScoutingData!$E$2:$E$1000, $A24, MatchScoutingData!O$2:O$1000)</f>
        <v/>
      </c>
      <c r="M24" s="40">
        <f>SUMIF(MatchScoutingData!$E$2:$E$1000, $A24, MatchScoutingData!P$2:P$1000)</f>
        <v/>
      </c>
      <c r="N24" s="40">
        <f>SUMIF(MatchScoutingData!$E$2:$E$1000, $A24, MatchScoutingData!Q$2:Q$1000)</f>
        <v/>
      </c>
      <c r="O24" s="40">
        <f>SUMIF(MatchScoutingData!$E$2:$E$1000, $A24, MatchScoutingData!R$2:R$1000)</f>
        <v/>
      </c>
      <c r="P24" s="40">
        <f>SUMIF(MatchScoutingData!$E$2:$E$1000, $A24, MatchScoutingData!S$2:S$1000)</f>
        <v/>
      </c>
      <c r="Q24" s="40">
        <f>SUMIF(MatchScoutingData!$E$2:$E$1000, $A24, MatchScoutingData!T$2:T$1000)</f>
        <v/>
      </c>
      <c r="R24" s="40">
        <f>SUMIF(MatchScoutingData!$E$2:$E$1000, $A24, MatchScoutingData!U$2:U$1000)</f>
        <v/>
      </c>
      <c r="S24" s="40">
        <f>SUMIF(MatchScoutingData!$E$2:$E$1000, $A24, MatchScoutingData!V$2:V$1000)</f>
        <v/>
      </c>
      <c r="T24" s="40">
        <f>SUMIF(MatchScoutingData!$E$2:$E$1000, $A24, MatchScoutingData!W$2:W$1000)</f>
        <v/>
      </c>
      <c r="U24" s="40">
        <f>SUMIF(MatchScoutingData!$E$2:$E$1000, $A24, MatchScoutingData!X$2:X$1000)</f>
        <v/>
      </c>
      <c r="V24" s="40">
        <f>SUMIF(MatchScoutingData!$E$2:$E$1000, $A24, MatchScoutingData!AB$2:AB$1000)</f>
        <v/>
      </c>
      <c r="W24" s="40">
        <f>SUMIF(MatchScoutingData!$E$2:$E$1000, $A24, MatchScoutingData!Y$2:Y$1000)</f>
        <v/>
      </c>
      <c r="X24" s="40">
        <f>SUMIF(MatchScoutingData!$E$2:$E$1000, $A24, MatchScoutingData!Z$2:Z$1000)</f>
        <v/>
      </c>
      <c r="Y24" s="40">
        <f>SUMIF(MatchScoutingData!$E$2:$E$1000, $A24, MatchScoutingData!AA$2:AA$1000)</f>
        <v/>
      </c>
      <c r="Z24" s="40">
        <f>SUM(W24:Y24)</f>
        <v/>
      </c>
    </row>
    <row r="25">
      <c r="A25" s="11" t="n">
        <v>2791</v>
      </c>
      <c r="B25" s="40">
        <f>COUNTIF(MatchScoutingData!E$2:E$1000, $A25)</f>
        <v/>
      </c>
      <c r="C25" s="40">
        <f>SUMIF(MatchScoutingData!$E$2:$E$1000, $A25, MatchScoutingData!F$2:F$1000)</f>
        <v/>
      </c>
      <c r="D25" s="40">
        <f>SUMIF(MatchScoutingData!$E$2:$E$1000, $A25, MatchScoutingData!G$2:G$1000)</f>
        <v/>
      </c>
      <c r="E25" s="40">
        <f>SUMIF(MatchScoutingData!$E$2:$E$1000, $A25, MatchScoutingData!H$2:H$1000)</f>
        <v/>
      </c>
      <c r="F25" s="40">
        <f>SUMIF(MatchScoutingData!$E$2:$E$1000, $A25, MatchScoutingData!I$2:I$1000)</f>
        <v/>
      </c>
      <c r="G25" s="40">
        <f>SUMIF(MatchScoutingData!$E$2:$E$1000, $A25, MatchScoutingData!J$2:J$1000)</f>
        <v/>
      </c>
      <c r="H25" s="40">
        <f>SUMIF(MatchScoutingData!$E$2:$E$1000, $A25, MatchScoutingData!K$2:K$1000)</f>
        <v/>
      </c>
      <c r="I25" s="40">
        <f>SUMIF(MatchScoutingData!$E$2:$E$1000, $A25, MatchScoutingData!L$2:L$1000)</f>
        <v/>
      </c>
      <c r="J25" s="40">
        <f>SUMIF(MatchScoutingData!$E$2:$E$1000, $A25, MatchScoutingData!M$2:M$1000)</f>
        <v/>
      </c>
      <c r="K25" s="40">
        <f>SUMIF(MatchScoutingData!$E$2:$E$1000, $A25, MatchScoutingData!N$2:N$1000)</f>
        <v/>
      </c>
      <c r="L25" s="40">
        <f>SUMIF(MatchScoutingData!$E$2:$E$1000, $A25, MatchScoutingData!O$2:O$1000)</f>
        <v/>
      </c>
      <c r="M25" s="40">
        <f>SUMIF(MatchScoutingData!$E$2:$E$1000, $A25, MatchScoutingData!P$2:P$1000)</f>
        <v/>
      </c>
      <c r="N25" s="40">
        <f>SUMIF(MatchScoutingData!$E$2:$E$1000, $A25, MatchScoutingData!Q$2:Q$1000)</f>
        <v/>
      </c>
      <c r="O25" s="40">
        <f>SUMIF(MatchScoutingData!$E$2:$E$1000, $A25, MatchScoutingData!R$2:R$1000)</f>
        <v/>
      </c>
      <c r="P25" s="40">
        <f>SUMIF(MatchScoutingData!$E$2:$E$1000, $A25, MatchScoutingData!S$2:S$1000)</f>
        <v/>
      </c>
      <c r="Q25" s="40">
        <f>SUMIF(MatchScoutingData!$E$2:$E$1000, $A25, MatchScoutingData!T$2:T$1000)</f>
        <v/>
      </c>
      <c r="R25" s="40">
        <f>SUMIF(MatchScoutingData!$E$2:$E$1000, $A25, MatchScoutingData!U$2:U$1000)</f>
        <v/>
      </c>
      <c r="S25" s="40">
        <f>SUMIF(MatchScoutingData!$E$2:$E$1000, $A25, MatchScoutingData!V$2:V$1000)</f>
        <v/>
      </c>
      <c r="T25" s="40">
        <f>SUMIF(MatchScoutingData!$E$2:$E$1000, $A25, MatchScoutingData!W$2:W$1000)</f>
        <v/>
      </c>
      <c r="U25" s="40">
        <f>SUMIF(MatchScoutingData!$E$2:$E$1000, $A25, MatchScoutingData!X$2:X$1000)</f>
        <v/>
      </c>
      <c r="V25" s="40">
        <f>SUMIF(MatchScoutingData!$E$2:$E$1000, $A25, MatchScoutingData!AB$2:AB$1000)</f>
        <v/>
      </c>
      <c r="W25" s="40">
        <f>SUMIF(MatchScoutingData!$E$2:$E$1000, $A25, MatchScoutingData!Y$2:Y$1000)</f>
        <v/>
      </c>
      <c r="X25" s="40">
        <f>SUMIF(MatchScoutingData!$E$2:$E$1000, $A25, MatchScoutingData!Z$2:Z$1000)</f>
        <v/>
      </c>
      <c r="Y25" s="40">
        <f>SUMIF(MatchScoutingData!$E$2:$E$1000, $A25, MatchScoutingData!AA$2:AA$1000)</f>
        <v/>
      </c>
      <c r="Z25" s="40">
        <f>SUM(W25:Y25)</f>
        <v/>
      </c>
    </row>
    <row r="26">
      <c r="A26" s="11" t="n">
        <v>3003</v>
      </c>
      <c r="B26" s="40">
        <f>COUNTIF(MatchScoutingData!E$2:E$1000, $A26)</f>
        <v/>
      </c>
      <c r="C26" s="40">
        <f>SUMIF(MatchScoutingData!$E$2:$E$1000, $A26, MatchScoutingData!F$2:F$1000)</f>
        <v/>
      </c>
      <c r="D26" s="40">
        <f>SUMIF(MatchScoutingData!$E$2:$E$1000, $A26, MatchScoutingData!G$2:G$1000)</f>
        <v/>
      </c>
      <c r="E26" s="40">
        <f>SUMIF(MatchScoutingData!$E$2:$E$1000, $A26, MatchScoutingData!H$2:H$1000)</f>
        <v/>
      </c>
      <c r="F26" s="40">
        <f>SUMIF(MatchScoutingData!$E$2:$E$1000, $A26, MatchScoutingData!I$2:I$1000)</f>
        <v/>
      </c>
      <c r="G26" s="40">
        <f>SUMIF(MatchScoutingData!$E$2:$E$1000, $A26, MatchScoutingData!J$2:J$1000)</f>
        <v/>
      </c>
      <c r="H26" s="40">
        <f>SUMIF(MatchScoutingData!$E$2:$E$1000, $A26, MatchScoutingData!K$2:K$1000)</f>
        <v/>
      </c>
      <c r="I26" s="40">
        <f>SUMIF(MatchScoutingData!$E$2:$E$1000, $A26, MatchScoutingData!L$2:L$1000)</f>
        <v/>
      </c>
      <c r="J26" s="40">
        <f>SUMIF(MatchScoutingData!$E$2:$E$1000, $A26, MatchScoutingData!M$2:M$1000)</f>
        <v/>
      </c>
      <c r="K26" s="40">
        <f>SUMIF(MatchScoutingData!$E$2:$E$1000, $A26, MatchScoutingData!N$2:N$1000)</f>
        <v/>
      </c>
      <c r="L26" s="40">
        <f>SUMIF(MatchScoutingData!$E$2:$E$1000, $A26, MatchScoutingData!O$2:O$1000)</f>
        <v/>
      </c>
      <c r="M26" s="40">
        <f>SUMIF(MatchScoutingData!$E$2:$E$1000, $A26, MatchScoutingData!P$2:P$1000)</f>
        <v/>
      </c>
      <c r="N26" s="40">
        <f>SUMIF(MatchScoutingData!$E$2:$E$1000, $A26, MatchScoutingData!Q$2:Q$1000)</f>
        <v/>
      </c>
      <c r="O26" s="40">
        <f>SUMIF(MatchScoutingData!$E$2:$E$1000, $A26, MatchScoutingData!R$2:R$1000)</f>
        <v/>
      </c>
      <c r="P26" s="40">
        <f>SUMIF(MatchScoutingData!$E$2:$E$1000, $A26, MatchScoutingData!S$2:S$1000)</f>
        <v/>
      </c>
      <c r="Q26" s="40">
        <f>SUMIF(MatchScoutingData!$E$2:$E$1000, $A26, MatchScoutingData!T$2:T$1000)</f>
        <v/>
      </c>
      <c r="R26" s="40">
        <f>SUMIF(MatchScoutingData!$E$2:$E$1000, $A26, MatchScoutingData!U$2:U$1000)</f>
        <v/>
      </c>
      <c r="S26" s="40">
        <f>SUMIF(MatchScoutingData!$E$2:$E$1000, $A26, MatchScoutingData!V$2:V$1000)</f>
        <v/>
      </c>
      <c r="T26" s="40">
        <f>SUMIF(MatchScoutingData!$E$2:$E$1000, $A26, MatchScoutingData!W$2:W$1000)</f>
        <v/>
      </c>
      <c r="U26" s="40">
        <f>SUMIF(MatchScoutingData!$E$2:$E$1000, $A26, MatchScoutingData!X$2:X$1000)</f>
        <v/>
      </c>
      <c r="V26" s="40">
        <f>SUMIF(MatchScoutingData!$E$2:$E$1000, $A26, MatchScoutingData!AB$2:AB$1000)</f>
        <v/>
      </c>
      <c r="W26" s="40">
        <f>SUMIF(MatchScoutingData!$E$2:$E$1000, $A26, MatchScoutingData!Y$2:Y$1000)</f>
        <v/>
      </c>
      <c r="X26" s="40">
        <f>SUMIF(MatchScoutingData!$E$2:$E$1000, $A26, MatchScoutingData!Z$2:Z$1000)</f>
        <v/>
      </c>
      <c r="Y26" s="40">
        <f>SUMIF(MatchScoutingData!$E$2:$E$1000, $A26, MatchScoutingData!AA$2:AA$1000)</f>
        <v/>
      </c>
      <c r="Z26" s="40">
        <f>SUM(W26:Y26)</f>
        <v/>
      </c>
    </row>
    <row r="27">
      <c r="A27" s="11" t="n">
        <v>3044</v>
      </c>
      <c r="B27" s="40">
        <f>COUNTIF(MatchScoutingData!E$2:E$1000, $A27)</f>
        <v/>
      </c>
      <c r="C27" s="40">
        <f>SUMIF(MatchScoutingData!$E$2:$E$1000, $A27, MatchScoutingData!F$2:F$1000)</f>
        <v/>
      </c>
      <c r="D27" s="40">
        <f>SUMIF(MatchScoutingData!$E$2:$E$1000, $A27, MatchScoutingData!G$2:G$1000)</f>
        <v/>
      </c>
      <c r="E27" s="40">
        <f>SUMIF(MatchScoutingData!$E$2:$E$1000, $A27, MatchScoutingData!H$2:H$1000)</f>
        <v/>
      </c>
      <c r="F27" s="40">
        <f>SUMIF(MatchScoutingData!$E$2:$E$1000, $A27, MatchScoutingData!I$2:I$1000)</f>
        <v/>
      </c>
      <c r="G27" s="40">
        <f>SUMIF(MatchScoutingData!$E$2:$E$1000, $A27, MatchScoutingData!J$2:J$1000)</f>
        <v/>
      </c>
      <c r="H27" s="40">
        <f>SUMIF(MatchScoutingData!$E$2:$E$1000, $A27, MatchScoutingData!K$2:K$1000)</f>
        <v/>
      </c>
      <c r="I27" s="40">
        <f>SUMIF(MatchScoutingData!$E$2:$E$1000, $A27, MatchScoutingData!L$2:L$1000)</f>
        <v/>
      </c>
      <c r="J27" s="40">
        <f>SUMIF(MatchScoutingData!$E$2:$E$1000, $A27, MatchScoutingData!M$2:M$1000)</f>
        <v/>
      </c>
      <c r="K27" s="40">
        <f>SUMIF(MatchScoutingData!$E$2:$E$1000, $A27, MatchScoutingData!N$2:N$1000)</f>
        <v/>
      </c>
      <c r="L27" s="40">
        <f>SUMIF(MatchScoutingData!$E$2:$E$1000, $A27, MatchScoutingData!O$2:O$1000)</f>
        <v/>
      </c>
      <c r="M27" s="40">
        <f>SUMIF(MatchScoutingData!$E$2:$E$1000, $A27, MatchScoutingData!P$2:P$1000)</f>
        <v/>
      </c>
      <c r="N27" s="40">
        <f>SUMIF(MatchScoutingData!$E$2:$E$1000, $A27, MatchScoutingData!Q$2:Q$1000)</f>
        <v/>
      </c>
      <c r="O27" s="40">
        <f>SUMIF(MatchScoutingData!$E$2:$E$1000, $A27, MatchScoutingData!R$2:R$1000)</f>
        <v/>
      </c>
      <c r="P27" s="40">
        <f>SUMIF(MatchScoutingData!$E$2:$E$1000, $A27, MatchScoutingData!S$2:S$1000)</f>
        <v/>
      </c>
      <c r="Q27" s="40">
        <f>SUMIF(MatchScoutingData!$E$2:$E$1000, $A27, MatchScoutingData!T$2:T$1000)</f>
        <v/>
      </c>
      <c r="R27" s="40">
        <f>SUMIF(MatchScoutingData!$E$2:$E$1000, $A27, MatchScoutingData!U$2:U$1000)</f>
        <v/>
      </c>
      <c r="S27" s="40">
        <f>SUMIF(MatchScoutingData!$E$2:$E$1000, $A27, MatchScoutingData!V$2:V$1000)</f>
        <v/>
      </c>
      <c r="T27" s="40">
        <f>SUMIF(MatchScoutingData!$E$2:$E$1000, $A27, MatchScoutingData!W$2:W$1000)</f>
        <v/>
      </c>
      <c r="U27" s="40">
        <f>SUMIF(MatchScoutingData!$E$2:$E$1000, $A27, MatchScoutingData!X$2:X$1000)</f>
        <v/>
      </c>
      <c r="V27" s="40">
        <f>SUMIF(MatchScoutingData!$E$2:$E$1000, $A27, MatchScoutingData!AB$2:AB$1000)</f>
        <v/>
      </c>
      <c r="W27" s="40">
        <f>SUMIF(MatchScoutingData!$E$2:$E$1000, $A27, MatchScoutingData!Y$2:Y$1000)</f>
        <v/>
      </c>
      <c r="X27" s="40">
        <f>SUMIF(MatchScoutingData!$E$2:$E$1000, $A27, MatchScoutingData!Z$2:Z$1000)</f>
        <v/>
      </c>
      <c r="Y27" s="40">
        <f>SUMIF(MatchScoutingData!$E$2:$E$1000, $A27, MatchScoutingData!AA$2:AA$1000)</f>
        <v/>
      </c>
      <c r="Z27" s="40">
        <f>SUM(W27:Y27)</f>
        <v/>
      </c>
    </row>
    <row r="28">
      <c r="A28" s="11" t="n">
        <v>3171</v>
      </c>
      <c r="B28" s="40">
        <f>COUNTIF(MatchScoutingData!E$2:E$1000, $A28)</f>
        <v/>
      </c>
      <c r="C28" s="40">
        <f>SUMIF(MatchScoutingData!$E$2:$E$1000, $A28, MatchScoutingData!F$2:F$1000)</f>
        <v/>
      </c>
      <c r="D28" s="40">
        <f>SUMIF(MatchScoutingData!$E$2:$E$1000, $A28, MatchScoutingData!G$2:G$1000)</f>
        <v/>
      </c>
      <c r="E28" s="40">
        <f>SUMIF(MatchScoutingData!$E$2:$E$1000, $A28, MatchScoutingData!H$2:H$1000)</f>
        <v/>
      </c>
      <c r="F28" s="40">
        <f>SUMIF(MatchScoutingData!$E$2:$E$1000, $A28, MatchScoutingData!I$2:I$1000)</f>
        <v/>
      </c>
      <c r="G28" s="40">
        <f>SUMIF(MatchScoutingData!$E$2:$E$1000, $A28, MatchScoutingData!J$2:J$1000)</f>
        <v/>
      </c>
      <c r="H28" s="40">
        <f>SUMIF(MatchScoutingData!$E$2:$E$1000, $A28, MatchScoutingData!K$2:K$1000)</f>
        <v/>
      </c>
      <c r="I28" s="40">
        <f>SUMIF(MatchScoutingData!$E$2:$E$1000, $A28, MatchScoutingData!L$2:L$1000)</f>
        <v/>
      </c>
      <c r="J28" s="40">
        <f>SUMIF(MatchScoutingData!$E$2:$E$1000, $A28, MatchScoutingData!M$2:M$1000)</f>
        <v/>
      </c>
      <c r="K28" s="40">
        <f>SUMIF(MatchScoutingData!$E$2:$E$1000, $A28, MatchScoutingData!N$2:N$1000)</f>
        <v/>
      </c>
      <c r="L28" s="40">
        <f>SUMIF(MatchScoutingData!$E$2:$E$1000, $A28, MatchScoutingData!O$2:O$1000)</f>
        <v/>
      </c>
      <c r="M28" s="40">
        <f>SUMIF(MatchScoutingData!$E$2:$E$1000, $A28, MatchScoutingData!P$2:P$1000)</f>
        <v/>
      </c>
      <c r="N28" s="40">
        <f>SUMIF(MatchScoutingData!$E$2:$E$1000, $A28, MatchScoutingData!Q$2:Q$1000)</f>
        <v/>
      </c>
      <c r="O28" s="40">
        <f>SUMIF(MatchScoutingData!$E$2:$E$1000, $A28, MatchScoutingData!R$2:R$1000)</f>
        <v/>
      </c>
      <c r="P28" s="40">
        <f>SUMIF(MatchScoutingData!$E$2:$E$1000, $A28, MatchScoutingData!S$2:S$1000)</f>
        <v/>
      </c>
      <c r="Q28" s="40">
        <f>SUMIF(MatchScoutingData!$E$2:$E$1000, $A28, MatchScoutingData!T$2:T$1000)</f>
        <v/>
      </c>
      <c r="R28" s="40">
        <f>SUMIF(MatchScoutingData!$E$2:$E$1000, $A28, MatchScoutingData!U$2:U$1000)</f>
        <v/>
      </c>
      <c r="S28" s="40">
        <f>SUMIF(MatchScoutingData!$E$2:$E$1000, $A28, MatchScoutingData!V$2:V$1000)</f>
        <v/>
      </c>
      <c r="T28" s="40">
        <f>SUMIF(MatchScoutingData!$E$2:$E$1000, $A28, MatchScoutingData!W$2:W$1000)</f>
        <v/>
      </c>
      <c r="U28" s="40">
        <f>SUMIF(MatchScoutingData!$E$2:$E$1000, $A28, MatchScoutingData!X$2:X$1000)</f>
        <v/>
      </c>
      <c r="V28" s="40">
        <f>SUMIF(MatchScoutingData!$E$2:$E$1000, $A28, MatchScoutingData!AB$2:AB$1000)</f>
        <v/>
      </c>
      <c r="W28" s="40">
        <f>SUMIF(MatchScoutingData!$E$2:$E$1000, $A28, MatchScoutingData!Y$2:Y$1000)</f>
        <v/>
      </c>
      <c r="X28" s="40">
        <f>SUMIF(MatchScoutingData!$E$2:$E$1000, $A28, MatchScoutingData!Z$2:Z$1000)</f>
        <v/>
      </c>
      <c r="Y28" s="40">
        <f>SUMIF(MatchScoutingData!$E$2:$E$1000, $A28, MatchScoutingData!AA$2:AA$1000)</f>
        <v/>
      </c>
      <c r="Z28" s="40">
        <f>SUM(W28:Y28)</f>
        <v/>
      </c>
    </row>
    <row r="29">
      <c r="A29" s="11" t="n">
        <v>3173</v>
      </c>
      <c r="B29" s="40">
        <f>COUNTIF(MatchScoutingData!E$2:E$1000, $A29)</f>
        <v/>
      </c>
      <c r="C29" s="40">
        <f>SUMIF(MatchScoutingData!$E$2:$E$1000, $A29, MatchScoutingData!F$2:F$1000)</f>
        <v/>
      </c>
      <c r="D29" s="40">
        <f>SUMIF(MatchScoutingData!$E$2:$E$1000, $A29, MatchScoutingData!G$2:G$1000)</f>
        <v/>
      </c>
      <c r="E29" s="40">
        <f>SUMIF(MatchScoutingData!$E$2:$E$1000, $A29, MatchScoutingData!H$2:H$1000)</f>
        <v/>
      </c>
      <c r="F29" s="40">
        <f>SUMIF(MatchScoutingData!$E$2:$E$1000, $A29, MatchScoutingData!I$2:I$1000)</f>
        <v/>
      </c>
      <c r="G29" s="40">
        <f>SUMIF(MatchScoutingData!$E$2:$E$1000, $A29, MatchScoutingData!J$2:J$1000)</f>
        <v/>
      </c>
      <c r="H29" s="40">
        <f>SUMIF(MatchScoutingData!$E$2:$E$1000, $A29, MatchScoutingData!K$2:K$1000)</f>
        <v/>
      </c>
      <c r="I29" s="40">
        <f>SUMIF(MatchScoutingData!$E$2:$E$1000, $A29, MatchScoutingData!L$2:L$1000)</f>
        <v/>
      </c>
      <c r="J29" s="40">
        <f>SUMIF(MatchScoutingData!$E$2:$E$1000, $A29, MatchScoutingData!M$2:M$1000)</f>
        <v/>
      </c>
      <c r="K29" s="40">
        <f>SUMIF(MatchScoutingData!$E$2:$E$1000, $A29, MatchScoutingData!N$2:N$1000)</f>
        <v/>
      </c>
      <c r="L29" s="40">
        <f>SUMIF(MatchScoutingData!$E$2:$E$1000, $A29, MatchScoutingData!O$2:O$1000)</f>
        <v/>
      </c>
      <c r="M29" s="40">
        <f>SUMIF(MatchScoutingData!$E$2:$E$1000, $A29, MatchScoutingData!P$2:P$1000)</f>
        <v/>
      </c>
      <c r="N29" s="40">
        <f>SUMIF(MatchScoutingData!$E$2:$E$1000, $A29, MatchScoutingData!Q$2:Q$1000)</f>
        <v/>
      </c>
      <c r="O29" s="40">
        <f>SUMIF(MatchScoutingData!$E$2:$E$1000, $A29, MatchScoutingData!R$2:R$1000)</f>
        <v/>
      </c>
      <c r="P29" s="40">
        <f>SUMIF(MatchScoutingData!$E$2:$E$1000, $A29, MatchScoutingData!S$2:S$1000)</f>
        <v/>
      </c>
      <c r="Q29" s="40">
        <f>SUMIF(MatchScoutingData!$E$2:$E$1000, $A29, MatchScoutingData!T$2:T$1000)</f>
        <v/>
      </c>
      <c r="R29" s="40">
        <f>SUMIF(MatchScoutingData!$E$2:$E$1000, $A29, MatchScoutingData!U$2:U$1000)</f>
        <v/>
      </c>
      <c r="S29" s="40">
        <f>SUMIF(MatchScoutingData!$E$2:$E$1000, $A29, MatchScoutingData!V$2:V$1000)</f>
        <v/>
      </c>
      <c r="T29" s="40">
        <f>SUMIF(MatchScoutingData!$E$2:$E$1000, $A29, MatchScoutingData!W$2:W$1000)</f>
        <v/>
      </c>
      <c r="U29" s="40">
        <f>SUMIF(MatchScoutingData!$E$2:$E$1000, $A29, MatchScoutingData!X$2:X$1000)</f>
        <v/>
      </c>
      <c r="V29" s="40">
        <f>SUMIF(MatchScoutingData!$E$2:$E$1000, $A29, MatchScoutingData!AB$2:AB$1000)</f>
        <v/>
      </c>
      <c r="W29" s="40">
        <f>SUMIF(MatchScoutingData!$E$2:$E$1000, $A29, MatchScoutingData!Y$2:Y$1000)</f>
        <v/>
      </c>
      <c r="X29" s="40">
        <f>SUMIF(MatchScoutingData!$E$2:$E$1000, $A29, MatchScoutingData!Z$2:Z$1000)</f>
        <v/>
      </c>
      <c r="Y29" s="40">
        <f>SUMIF(MatchScoutingData!$E$2:$E$1000, $A29, MatchScoutingData!AA$2:AA$1000)</f>
        <v/>
      </c>
      <c r="Z29" s="40">
        <f>SUM(W29:Y29)</f>
        <v/>
      </c>
    </row>
    <row r="30">
      <c r="A30" s="11" t="n">
        <v>3181</v>
      </c>
      <c r="B30" s="40">
        <f>COUNTIF(MatchScoutingData!E$2:E$1000, $A30)</f>
        <v/>
      </c>
      <c r="C30" s="40">
        <f>SUMIF(MatchScoutingData!$E$2:$E$1000, $A30, MatchScoutingData!F$2:F$1000)</f>
        <v/>
      </c>
      <c r="D30" s="40">
        <f>SUMIF(MatchScoutingData!$E$2:$E$1000, $A30, MatchScoutingData!G$2:G$1000)</f>
        <v/>
      </c>
      <c r="E30" s="40">
        <f>SUMIF(MatchScoutingData!$E$2:$E$1000, $A30, MatchScoutingData!H$2:H$1000)</f>
        <v/>
      </c>
      <c r="F30" s="40">
        <f>SUMIF(MatchScoutingData!$E$2:$E$1000, $A30, MatchScoutingData!I$2:I$1000)</f>
        <v/>
      </c>
      <c r="G30" s="40">
        <f>SUMIF(MatchScoutingData!$E$2:$E$1000, $A30, MatchScoutingData!J$2:J$1000)</f>
        <v/>
      </c>
      <c r="H30" s="40">
        <f>SUMIF(MatchScoutingData!$E$2:$E$1000, $A30, MatchScoutingData!K$2:K$1000)</f>
        <v/>
      </c>
      <c r="I30" s="40">
        <f>SUMIF(MatchScoutingData!$E$2:$E$1000, $A30, MatchScoutingData!L$2:L$1000)</f>
        <v/>
      </c>
      <c r="J30" s="40">
        <f>SUMIF(MatchScoutingData!$E$2:$E$1000, $A30, MatchScoutingData!M$2:M$1000)</f>
        <v/>
      </c>
      <c r="K30" s="40">
        <f>SUMIF(MatchScoutingData!$E$2:$E$1000, $A30, MatchScoutingData!N$2:N$1000)</f>
        <v/>
      </c>
      <c r="L30" s="40">
        <f>SUMIF(MatchScoutingData!$E$2:$E$1000, $A30, MatchScoutingData!O$2:O$1000)</f>
        <v/>
      </c>
      <c r="M30" s="40">
        <f>SUMIF(MatchScoutingData!$E$2:$E$1000, $A30, MatchScoutingData!P$2:P$1000)</f>
        <v/>
      </c>
      <c r="N30" s="40">
        <f>SUMIF(MatchScoutingData!$E$2:$E$1000, $A30, MatchScoutingData!Q$2:Q$1000)</f>
        <v/>
      </c>
      <c r="O30" s="40">
        <f>SUMIF(MatchScoutingData!$E$2:$E$1000, $A30, MatchScoutingData!R$2:R$1000)</f>
        <v/>
      </c>
      <c r="P30" s="40">
        <f>SUMIF(MatchScoutingData!$E$2:$E$1000, $A30, MatchScoutingData!S$2:S$1000)</f>
        <v/>
      </c>
      <c r="Q30" s="40">
        <f>SUMIF(MatchScoutingData!$E$2:$E$1000, $A30, MatchScoutingData!T$2:T$1000)</f>
        <v/>
      </c>
      <c r="R30" s="40">
        <f>SUMIF(MatchScoutingData!$E$2:$E$1000, $A30, MatchScoutingData!U$2:U$1000)</f>
        <v/>
      </c>
      <c r="S30" s="40">
        <f>SUMIF(MatchScoutingData!$E$2:$E$1000, $A30, MatchScoutingData!V$2:V$1000)</f>
        <v/>
      </c>
      <c r="T30" s="40">
        <f>SUMIF(MatchScoutingData!$E$2:$E$1000, $A30, MatchScoutingData!W$2:W$1000)</f>
        <v/>
      </c>
      <c r="U30" s="40">
        <f>SUMIF(MatchScoutingData!$E$2:$E$1000, $A30, MatchScoutingData!X$2:X$1000)</f>
        <v/>
      </c>
      <c r="V30" s="40">
        <f>SUMIF(MatchScoutingData!$E$2:$E$1000, $A30, MatchScoutingData!AB$2:AB$1000)</f>
        <v/>
      </c>
      <c r="W30" s="40">
        <f>SUMIF(MatchScoutingData!$E$2:$E$1000, $A30, MatchScoutingData!Y$2:Y$1000)</f>
        <v/>
      </c>
      <c r="X30" s="40">
        <f>SUMIF(MatchScoutingData!$E$2:$E$1000, $A30, MatchScoutingData!Z$2:Z$1000)</f>
        <v/>
      </c>
      <c r="Y30" s="40">
        <f>SUMIF(MatchScoutingData!$E$2:$E$1000, $A30, MatchScoutingData!AA$2:AA$1000)</f>
        <v/>
      </c>
      <c r="Z30" s="40">
        <f>SUM(W30:Y30)</f>
        <v/>
      </c>
    </row>
    <row r="31">
      <c r="A31" s="11" t="n">
        <v>3624</v>
      </c>
      <c r="B31" s="40">
        <f>COUNTIF(MatchScoutingData!E$2:E$1000, $A31)</f>
        <v/>
      </c>
      <c r="C31" s="40">
        <f>SUMIF(MatchScoutingData!$E$2:$E$1000, $A31, MatchScoutingData!F$2:F$1000)</f>
        <v/>
      </c>
      <c r="D31" s="40">
        <f>SUMIF(MatchScoutingData!$E$2:$E$1000, $A31, MatchScoutingData!G$2:G$1000)</f>
        <v/>
      </c>
      <c r="E31" s="40">
        <f>SUMIF(MatchScoutingData!$E$2:$E$1000, $A31, MatchScoutingData!H$2:H$1000)</f>
        <v/>
      </c>
      <c r="F31" s="40">
        <f>SUMIF(MatchScoutingData!$E$2:$E$1000, $A31, MatchScoutingData!I$2:I$1000)</f>
        <v/>
      </c>
      <c r="G31" s="40">
        <f>SUMIF(MatchScoutingData!$E$2:$E$1000, $A31, MatchScoutingData!J$2:J$1000)</f>
        <v/>
      </c>
      <c r="H31" s="40">
        <f>SUMIF(MatchScoutingData!$E$2:$E$1000, $A31, MatchScoutingData!K$2:K$1000)</f>
        <v/>
      </c>
      <c r="I31" s="40">
        <f>SUMIF(MatchScoutingData!$E$2:$E$1000, $A31, MatchScoutingData!L$2:L$1000)</f>
        <v/>
      </c>
      <c r="J31" s="40">
        <f>SUMIF(MatchScoutingData!$E$2:$E$1000, $A31, MatchScoutingData!M$2:M$1000)</f>
        <v/>
      </c>
      <c r="K31" s="40">
        <f>SUMIF(MatchScoutingData!$E$2:$E$1000, $A31, MatchScoutingData!N$2:N$1000)</f>
        <v/>
      </c>
      <c r="L31" s="40">
        <f>SUMIF(MatchScoutingData!$E$2:$E$1000, $A31, MatchScoutingData!O$2:O$1000)</f>
        <v/>
      </c>
      <c r="M31" s="40">
        <f>SUMIF(MatchScoutingData!$E$2:$E$1000, $A31, MatchScoutingData!P$2:P$1000)</f>
        <v/>
      </c>
      <c r="N31" s="40">
        <f>SUMIF(MatchScoutingData!$E$2:$E$1000, $A31, MatchScoutingData!Q$2:Q$1000)</f>
        <v/>
      </c>
      <c r="O31" s="40">
        <f>SUMIF(MatchScoutingData!$E$2:$E$1000, $A31, MatchScoutingData!R$2:R$1000)</f>
        <v/>
      </c>
      <c r="P31" s="40">
        <f>SUMIF(MatchScoutingData!$E$2:$E$1000, $A31, MatchScoutingData!S$2:S$1000)</f>
        <v/>
      </c>
      <c r="Q31" s="40">
        <f>SUMIF(MatchScoutingData!$E$2:$E$1000, $A31, MatchScoutingData!T$2:T$1000)</f>
        <v/>
      </c>
      <c r="R31" s="40">
        <f>SUMIF(MatchScoutingData!$E$2:$E$1000, $A31, MatchScoutingData!U$2:U$1000)</f>
        <v/>
      </c>
      <c r="S31" s="40">
        <f>SUMIF(MatchScoutingData!$E$2:$E$1000, $A31, MatchScoutingData!V$2:V$1000)</f>
        <v/>
      </c>
      <c r="T31" s="40">
        <f>SUMIF(MatchScoutingData!$E$2:$E$1000, $A31, MatchScoutingData!W$2:W$1000)</f>
        <v/>
      </c>
      <c r="U31" s="40">
        <f>SUMIF(MatchScoutingData!$E$2:$E$1000, $A31, MatchScoutingData!X$2:X$1000)</f>
        <v/>
      </c>
      <c r="V31" s="40">
        <f>SUMIF(MatchScoutingData!$E$2:$E$1000, $A31, MatchScoutingData!AB$2:AB$1000)</f>
        <v/>
      </c>
      <c r="W31" s="40">
        <f>SUMIF(MatchScoutingData!$E$2:$E$1000, $A31, MatchScoutingData!Y$2:Y$1000)</f>
        <v/>
      </c>
      <c r="X31" s="40">
        <f>SUMIF(MatchScoutingData!$E$2:$E$1000, $A31, MatchScoutingData!Z$2:Z$1000)</f>
        <v/>
      </c>
      <c r="Y31" s="40">
        <f>SUMIF(MatchScoutingData!$E$2:$E$1000, $A31, MatchScoutingData!AA$2:AA$1000)</f>
        <v/>
      </c>
      <c r="Z31" s="40">
        <f>SUM(W31:Y31)</f>
        <v/>
      </c>
    </row>
    <row r="32">
      <c r="A32" s="11" t="n">
        <v>4121</v>
      </c>
      <c r="B32" s="40">
        <f>COUNTIF(MatchScoutingData!E$2:E$1000, $A32)</f>
        <v/>
      </c>
      <c r="C32" s="40">
        <f>SUMIF(MatchScoutingData!$E$2:$E$1000, $A32, MatchScoutingData!F$2:F$1000)</f>
        <v/>
      </c>
      <c r="D32" s="40">
        <f>SUMIF(MatchScoutingData!$E$2:$E$1000, $A32, MatchScoutingData!G$2:G$1000)</f>
        <v/>
      </c>
      <c r="E32" s="40">
        <f>SUMIF(MatchScoutingData!$E$2:$E$1000, $A32, MatchScoutingData!H$2:H$1000)</f>
        <v/>
      </c>
      <c r="F32" s="40">
        <f>SUMIF(MatchScoutingData!$E$2:$E$1000, $A32, MatchScoutingData!I$2:I$1000)</f>
        <v/>
      </c>
      <c r="G32" s="40">
        <f>SUMIF(MatchScoutingData!$E$2:$E$1000, $A32, MatchScoutingData!J$2:J$1000)</f>
        <v/>
      </c>
      <c r="H32" s="40">
        <f>SUMIF(MatchScoutingData!$E$2:$E$1000, $A32, MatchScoutingData!K$2:K$1000)</f>
        <v/>
      </c>
      <c r="I32" s="40">
        <f>SUMIF(MatchScoutingData!$E$2:$E$1000, $A32, MatchScoutingData!L$2:L$1000)</f>
        <v/>
      </c>
      <c r="J32" s="40">
        <f>SUMIF(MatchScoutingData!$E$2:$E$1000, $A32, MatchScoutingData!M$2:M$1000)</f>
        <v/>
      </c>
      <c r="K32" s="40">
        <f>SUMIF(MatchScoutingData!$E$2:$E$1000, $A32, MatchScoutingData!N$2:N$1000)</f>
        <v/>
      </c>
      <c r="L32" s="40">
        <f>SUMIF(MatchScoutingData!$E$2:$E$1000, $A32, MatchScoutingData!O$2:O$1000)</f>
        <v/>
      </c>
      <c r="M32" s="40">
        <f>SUMIF(MatchScoutingData!$E$2:$E$1000, $A32, MatchScoutingData!P$2:P$1000)</f>
        <v/>
      </c>
      <c r="N32" s="40">
        <f>SUMIF(MatchScoutingData!$E$2:$E$1000, $A32, MatchScoutingData!Q$2:Q$1000)</f>
        <v/>
      </c>
      <c r="O32" s="40">
        <f>SUMIF(MatchScoutingData!$E$2:$E$1000, $A32, MatchScoutingData!R$2:R$1000)</f>
        <v/>
      </c>
      <c r="P32" s="40">
        <f>SUMIF(MatchScoutingData!$E$2:$E$1000, $A32, MatchScoutingData!S$2:S$1000)</f>
        <v/>
      </c>
      <c r="Q32" s="40">
        <f>SUMIF(MatchScoutingData!$E$2:$E$1000, $A32, MatchScoutingData!T$2:T$1000)</f>
        <v/>
      </c>
      <c r="R32" s="40">
        <f>SUMIF(MatchScoutingData!$E$2:$E$1000, $A32, MatchScoutingData!U$2:U$1000)</f>
        <v/>
      </c>
      <c r="S32" s="40">
        <f>SUMIF(MatchScoutingData!$E$2:$E$1000, $A32, MatchScoutingData!V$2:V$1000)</f>
        <v/>
      </c>
      <c r="T32" s="40">
        <f>SUMIF(MatchScoutingData!$E$2:$E$1000, $A32, MatchScoutingData!W$2:W$1000)</f>
        <v/>
      </c>
      <c r="U32" s="40">
        <f>SUMIF(MatchScoutingData!$E$2:$E$1000, $A32, MatchScoutingData!X$2:X$1000)</f>
        <v/>
      </c>
      <c r="V32" s="40">
        <f>SUMIF(MatchScoutingData!$E$2:$E$1000, $A32, MatchScoutingData!AB$2:AB$1000)</f>
        <v/>
      </c>
      <c r="W32" s="40">
        <f>SUMIF(MatchScoutingData!$E$2:$E$1000, $A32, MatchScoutingData!Y$2:Y$1000)</f>
        <v/>
      </c>
      <c r="X32" s="40">
        <f>SUMIF(MatchScoutingData!$E$2:$E$1000, $A32, MatchScoutingData!Z$2:Z$1000)</f>
        <v/>
      </c>
      <c r="Y32" s="40">
        <f>SUMIF(MatchScoutingData!$E$2:$E$1000, $A32, MatchScoutingData!AA$2:AA$1000)</f>
        <v/>
      </c>
      <c r="Z32" s="40">
        <f>SUM(W32:Y32)</f>
        <v/>
      </c>
    </row>
    <row r="33">
      <c r="A33" s="11" t="n">
        <v>4122</v>
      </c>
      <c r="B33" s="40">
        <f>COUNTIF(MatchScoutingData!E$2:E$1000, $A33)</f>
        <v/>
      </c>
      <c r="C33" s="40">
        <f>SUMIF(MatchScoutingData!$E$2:$E$1000, $A33, MatchScoutingData!F$2:F$1000)</f>
        <v/>
      </c>
      <c r="D33" s="40">
        <f>SUMIF(MatchScoutingData!$E$2:$E$1000, $A33, MatchScoutingData!G$2:G$1000)</f>
        <v/>
      </c>
      <c r="E33" s="40">
        <f>SUMIF(MatchScoutingData!$E$2:$E$1000, $A33, MatchScoutingData!H$2:H$1000)</f>
        <v/>
      </c>
      <c r="F33" s="40">
        <f>SUMIF(MatchScoutingData!$E$2:$E$1000, $A33, MatchScoutingData!I$2:I$1000)</f>
        <v/>
      </c>
      <c r="G33" s="40">
        <f>SUMIF(MatchScoutingData!$E$2:$E$1000, $A33, MatchScoutingData!J$2:J$1000)</f>
        <v/>
      </c>
      <c r="H33" s="40">
        <f>SUMIF(MatchScoutingData!$E$2:$E$1000, $A33, MatchScoutingData!K$2:K$1000)</f>
        <v/>
      </c>
      <c r="I33" s="40">
        <f>SUMIF(MatchScoutingData!$E$2:$E$1000, $A33, MatchScoutingData!L$2:L$1000)</f>
        <v/>
      </c>
      <c r="J33" s="40">
        <f>SUMIF(MatchScoutingData!$E$2:$E$1000, $A33, MatchScoutingData!M$2:M$1000)</f>
        <v/>
      </c>
      <c r="K33" s="40">
        <f>SUMIF(MatchScoutingData!$E$2:$E$1000, $A33, MatchScoutingData!N$2:N$1000)</f>
        <v/>
      </c>
      <c r="L33" s="40">
        <f>SUMIF(MatchScoutingData!$E$2:$E$1000, $A33, MatchScoutingData!O$2:O$1000)</f>
        <v/>
      </c>
      <c r="M33" s="40">
        <f>SUMIF(MatchScoutingData!$E$2:$E$1000, $A33, MatchScoutingData!P$2:P$1000)</f>
        <v/>
      </c>
      <c r="N33" s="40">
        <f>SUMIF(MatchScoutingData!$E$2:$E$1000, $A33, MatchScoutingData!Q$2:Q$1000)</f>
        <v/>
      </c>
      <c r="O33" s="40">
        <f>SUMIF(MatchScoutingData!$E$2:$E$1000, $A33, MatchScoutingData!R$2:R$1000)</f>
        <v/>
      </c>
      <c r="P33" s="40">
        <f>SUMIF(MatchScoutingData!$E$2:$E$1000, $A33, MatchScoutingData!S$2:S$1000)</f>
        <v/>
      </c>
      <c r="Q33" s="40">
        <f>SUMIF(MatchScoutingData!$E$2:$E$1000, $A33, MatchScoutingData!T$2:T$1000)</f>
        <v/>
      </c>
      <c r="R33" s="40">
        <f>SUMIF(MatchScoutingData!$E$2:$E$1000, $A33, MatchScoutingData!U$2:U$1000)</f>
        <v/>
      </c>
      <c r="S33" s="40">
        <f>SUMIF(MatchScoutingData!$E$2:$E$1000, $A33, MatchScoutingData!V$2:V$1000)</f>
        <v/>
      </c>
      <c r="T33" s="40">
        <f>SUMIF(MatchScoutingData!$E$2:$E$1000, $A33, MatchScoutingData!W$2:W$1000)</f>
        <v/>
      </c>
      <c r="U33" s="40">
        <f>SUMIF(MatchScoutingData!$E$2:$E$1000, $A33, MatchScoutingData!X$2:X$1000)</f>
        <v/>
      </c>
      <c r="V33" s="40">
        <f>SUMIF(MatchScoutingData!$E$2:$E$1000, $A33, MatchScoutingData!AB$2:AB$1000)</f>
        <v/>
      </c>
      <c r="W33" s="40">
        <f>SUMIF(MatchScoutingData!$E$2:$E$1000, $A33, MatchScoutingData!Y$2:Y$1000)</f>
        <v/>
      </c>
      <c r="X33" s="40">
        <f>SUMIF(MatchScoutingData!$E$2:$E$1000, $A33, MatchScoutingData!Z$2:Z$1000)</f>
        <v/>
      </c>
      <c r="Y33" s="40">
        <f>SUMIF(MatchScoutingData!$E$2:$E$1000, $A33, MatchScoutingData!AA$2:AA$1000)</f>
        <v/>
      </c>
      <c r="Z33" s="40">
        <f>SUM(W33:Y33)</f>
        <v/>
      </c>
    </row>
    <row r="34">
      <c r="A34" s="11" t="n">
        <v>4601</v>
      </c>
      <c r="B34" s="40">
        <f>COUNTIF(MatchScoutingData!E$2:E$1000, $A34)</f>
        <v/>
      </c>
      <c r="C34" s="40">
        <f>SUMIF(MatchScoutingData!$E$2:$E$1000, $A34, MatchScoutingData!F$2:F$1000)</f>
        <v/>
      </c>
      <c r="D34" s="40">
        <f>SUMIF(MatchScoutingData!$E$2:$E$1000, $A34, MatchScoutingData!G$2:G$1000)</f>
        <v/>
      </c>
      <c r="E34" s="40">
        <f>SUMIF(MatchScoutingData!$E$2:$E$1000, $A34, MatchScoutingData!H$2:H$1000)</f>
        <v/>
      </c>
      <c r="F34" s="40">
        <f>SUMIF(MatchScoutingData!$E$2:$E$1000, $A34, MatchScoutingData!I$2:I$1000)</f>
        <v/>
      </c>
      <c r="G34" s="40">
        <f>SUMIF(MatchScoutingData!$E$2:$E$1000, $A34, MatchScoutingData!J$2:J$1000)</f>
        <v/>
      </c>
      <c r="H34" s="40">
        <f>SUMIF(MatchScoutingData!$E$2:$E$1000, $A34, MatchScoutingData!K$2:K$1000)</f>
        <v/>
      </c>
      <c r="I34" s="40">
        <f>SUMIF(MatchScoutingData!$E$2:$E$1000, $A34, MatchScoutingData!L$2:L$1000)</f>
        <v/>
      </c>
      <c r="J34" s="40">
        <f>SUMIF(MatchScoutingData!$E$2:$E$1000, $A34, MatchScoutingData!M$2:M$1000)</f>
        <v/>
      </c>
      <c r="K34" s="40">
        <f>SUMIF(MatchScoutingData!$E$2:$E$1000, $A34, MatchScoutingData!N$2:N$1000)</f>
        <v/>
      </c>
      <c r="L34" s="40">
        <f>SUMIF(MatchScoutingData!$E$2:$E$1000, $A34, MatchScoutingData!O$2:O$1000)</f>
        <v/>
      </c>
      <c r="M34" s="40">
        <f>SUMIF(MatchScoutingData!$E$2:$E$1000, $A34, MatchScoutingData!P$2:P$1000)</f>
        <v/>
      </c>
      <c r="N34" s="40">
        <f>SUMIF(MatchScoutingData!$E$2:$E$1000, $A34, MatchScoutingData!Q$2:Q$1000)</f>
        <v/>
      </c>
      <c r="O34" s="40">
        <f>SUMIF(MatchScoutingData!$E$2:$E$1000, $A34, MatchScoutingData!R$2:R$1000)</f>
        <v/>
      </c>
      <c r="P34" s="40">
        <f>SUMIF(MatchScoutingData!$E$2:$E$1000, $A34, MatchScoutingData!S$2:S$1000)</f>
        <v/>
      </c>
      <c r="Q34" s="40">
        <f>SUMIF(MatchScoutingData!$E$2:$E$1000, $A34, MatchScoutingData!T$2:T$1000)</f>
        <v/>
      </c>
      <c r="R34" s="40">
        <f>SUMIF(MatchScoutingData!$E$2:$E$1000, $A34, MatchScoutingData!U$2:U$1000)</f>
        <v/>
      </c>
      <c r="S34" s="40">
        <f>SUMIF(MatchScoutingData!$E$2:$E$1000, $A34, MatchScoutingData!V$2:V$1000)</f>
        <v/>
      </c>
      <c r="T34" s="40">
        <f>SUMIF(MatchScoutingData!$E$2:$E$1000, $A34, MatchScoutingData!W$2:W$1000)</f>
        <v/>
      </c>
      <c r="U34" s="40">
        <f>SUMIF(MatchScoutingData!$E$2:$E$1000, $A34, MatchScoutingData!X$2:X$1000)</f>
        <v/>
      </c>
      <c r="V34" s="40">
        <f>SUMIF(MatchScoutingData!$E$2:$E$1000, $A34, MatchScoutingData!AB$2:AB$1000)</f>
        <v/>
      </c>
      <c r="W34" s="40">
        <f>SUMIF(MatchScoutingData!$E$2:$E$1000, $A34, MatchScoutingData!Y$2:Y$1000)</f>
        <v/>
      </c>
      <c r="X34" s="40">
        <f>SUMIF(MatchScoutingData!$E$2:$E$1000, $A34, MatchScoutingData!Z$2:Z$1000)</f>
        <v/>
      </c>
      <c r="Y34" s="40">
        <f>SUMIF(MatchScoutingData!$E$2:$E$1000, $A34, MatchScoutingData!AA$2:AA$1000)</f>
        <v/>
      </c>
      <c r="Z34" s="40">
        <f>SUM(W34:Y34)</f>
        <v/>
      </c>
    </row>
    <row r="35">
      <c r="A35" s="11" t="n">
        <v>4930</v>
      </c>
      <c r="B35" s="40">
        <f>COUNTIF(MatchScoutingData!E$2:E$1000, $A35)</f>
        <v/>
      </c>
      <c r="C35" s="40">
        <f>SUMIF(MatchScoutingData!$E$2:$E$1000, $A35, MatchScoutingData!F$2:F$1000)</f>
        <v/>
      </c>
      <c r="D35" s="40">
        <f>SUMIF(MatchScoutingData!$E$2:$E$1000, $A35, MatchScoutingData!G$2:G$1000)</f>
        <v/>
      </c>
      <c r="E35" s="40">
        <f>SUMIF(MatchScoutingData!$E$2:$E$1000, $A35, MatchScoutingData!H$2:H$1000)</f>
        <v/>
      </c>
      <c r="F35" s="40">
        <f>SUMIF(MatchScoutingData!$E$2:$E$1000, $A35, MatchScoutingData!I$2:I$1000)</f>
        <v/>
      </c>
      <c r="G35" s="40">
        <f>SUMIF(MatchScoutingData!$E$2:$E$1000, $A35, MatchScoutingData!J$2:J$1000)</f>
        <v/>
      </c>
      <c r="H35" s="40">
        <f>SUMIF(MatchScoutingData!$E$2:$E$1000, $A35, MatchScoutingData!K$2:K$1000)</f>
        <v/>
      </c>
      <c r="I35" s="40">
        <f>SUMIF(MatchScoutingData!$E$2:$E$1000, $A35, MatchScoutingData!L$2:L$1000)</f>
        <v/>
      </c>
      <c r="J35" s="40">
        <f>SUMIF(MatchScoutingData!$E$2:$E$1000, $A35, MatchScoutingData!M$2:M$1000)</f>
        <v/>
      </c>
      <c r="K35" s="40">
        <f>SUMIF(MatchScoutingData!$E$2:$E$1000, $A35, MatchScoutingData!N$2:N$1000)</f>
        <v/>
      </c>
      <c r="L35" s="40">
        <f>SUMIF(MatchScoutingData!$E$2:$E$1000, $A35, MatchScoutingData!O$2:O$1000)</f>
        <v/>
      </c>
      <c r="M35" s="40">
        <f>SUMIF(MatchScoutingData!$E$2:$E$1000, $A35, MatchScoutingData!P$2:P$1000)</f>
        <v/>
      </c>
      <c r="N35" s="40">
        <f>SUMIF(MatchScoutingData!$E$2:$E$1000, $A35, MatchScoutingData!Q$2:Q$1000)</f>
        <v/>
      </c>
      <c r="O35" s="40">
        <f>SUMIF(MatchScoutingData!$E$2:$E$1000, $A35, MatchScoutingData!R$2:R$1000)</f>
        <v/>
      </c>
      <c r="P35" s="40">
        <f>SUMIF(MatchScoutingData!$E$2:$E$1000, $A35, MatchScoutingData!S$2:S$1000)</f>
        <v/>
      </c>
      <c r="Q35" s="40">
        <f>SUMIF(MatchScoutingData!$E$2:$E$1000, $A35, MatchScoutingData!T$2:T$1000)</f>
        <v/>
      </c>
      <c r="R35" s="40">
        <f>SUMIF(MatchScoutingData!$E$2:$E$1000, $A35, MatchScoutingData!U$2:U$1000)</f>
        <v/>
      </c>
      <c r="S35" s="40">
        <f>SUMIF(MatchScoutingData!$E$2:$E$1000, $A35, MatchScoutingData!V$2:V$1000)</f>
        <v/>
      </c>
      <c r="T35" s="40">
        <f>SUMIF(MatchScoutingData!$E$2:$E$1000, $A35, MatchScoutingData!W$2:W$1000)</f>
        <v/>
      </c>
      <c r="U35" s="40">
        <f>SUMIF(MatchScoutingData!$E$2:$E$1000, $A35, MatchScoutingData!X$2:X$1000)</f>
        <v/>
      </c>
      <c r="V35" s="40">
        <f>SUMIF(MatchScoutingData!$E$2:$E$1000, $A35, MatchScoutingData!AB$2:AB$1000)</f>
        <v/>
      </c>
      <c r="W35" s="40">
        <f>SUMIF(MatchScoutingData!$E$2:$E$1000, $A35, MatchScoutingData!Y$2:Y$1000)</f>
        <v/>
      </c>
      <c r="X35" s="40">
        <f>SUMIF(MatchScoutingData!$E$2:$E$1000, $A35, MatchScoutingData!Z$2:Z$1000)</f>
        <v/>
      </c>
      <c r="Y35" s="40">
        <f>SUMIF(MatchScoutingData!$E$2:$E$1000, $A35, MatchScoutingData!AA$2:AA$1000)</f>
        <v/>
      </c>
      <c r="Z35" s="40">
        <f>SUM(W35:Y35)</f>
        <v/>
      </c>
    </row>
    <row r="36">
      <c r="A36" s="11" t="n">
        <v>5016</v>
      </c>
      <c r="B36" s="40">
        <f>COUNTIF(MatchScoutingData!E$2:E$1000, $A36)</f>
        <v/>
      </c>
      <c r="C36" s="40">
        <f>SUMIF(MatchScoutingData!$E$2:$E$1000, $A36, MatchScoutingData!F$2:F$1000)</f>
        <v/>
      </c>
      <c r="D36" s="40">
        <f>SUMIF(MatchScoutingData!$E$2:$E$1000, $A36, MatchScoutingData!G$2:G$1000)</f>
        <v/>
      </c>
      <c r="E36" s="40">
        <f>SUMIF(MatchScoutingData!$E$2:$E$1000, $A36, MatchScoutingData!H$2:H$1000)</f>
        <v/>
      </c>
      <c r="F36" s="40">
        <f>SUMIF(MatchScoutingData!$E$2:$E$1000, $A36, MatchScoutingData!I$2:I$1000)</f>
        <v/>
      </c>
      <c r="G36" s="40">
        <f>SUMIF(MatchScoutingData!$E$2:$E$1000, $A36, MatchScoutingData!J$2:J$1000)</f>
        <v/>
      </c>
      <c r="H36" s="40">
        <f>SUMIF(MatchScoutingData!$E$2:$E$1000, $A36, MatchScoutingData!K$2:K$1000)</f>
        <v/>
      </c>
      <c r="I36" s="40">
        <f>SUMIF(MatchScoutingData!$E$2:$E$1000, $A36, MatchScoutingData!L$2:L$1000)</f>
        <v/>
      </c>
      <c r="J36" s="40">
        <f>SUMIF(MatchScoutingData!$E$2:$E$1000, $A36, MatchScoutingData!M$2:M$1000)</f>
        <v/>
      </c>
      <c r="K36" s="40">
        <f>SUMIF(MatchScoutingData!$E$2:$E$1000, $A36, MatchScoutingData!N$2:N$1000)</f>
        <v/>
      </c>
      <c r="L36" s="40">
        <f>SUMIF(MatchScoutingData!$E$2:$E$1000, $A36, MatchScoutingData!O$2:O$1000)</f>
        <v/>
      </c>
      <c r="M36" s="40">
        <f>SUMIF(MatchScoutingData!$E$2:$E$1000, $A36, MatchScoutingData!P$2:P$1000)</f>
        <v/>
      </c>
      <c r="N36" s="40">
        <f>SUMIF(MatchScoutingData!$E$2:$E$1000, $A36, MatchScoutingData!Q$2:Q$1000)</f>
        <v/>
      </c>
      <c r="O36" s="40">
        <f>SUMIF(MatchScoutingData!$E$2:$E$1000, $A36, MatchScoutingData!R$2:R$1000)</f>
        <v/>
      </c>
      <c r="P36" s="40">
        <f>SUMIF(MatchScoutingData!$E$2:$E$1000, $A36, MatchScoutingData!S$2:S$1000)</f>
        <v/>
      </c>
      <c r="Q36" s="40">
        <f>SUMIF(MatchScoutingData!$E$2:$E$1000, $A36, MatchScoutingData!T$2:T$1000)</f>
        <v/>
      </c>
      <c r="R36" s="40">
        <f>SUMIF(MatchScoutingData!$E$2:$E$1000, $A36, MatchScoutingData!U$2:U$1000)</f>
        <v/>
      </c>
      <c r="S36" s="40">
        <f>SUMIF(MatchScoutingData!$E$2:$E$1000, $A36, MatchScoutingData!V$2:V$1000)</f>
        <v/>
      </c>
      <c r="T36" s="40">
        <f>SUMIF(MatchScoutingData!$E$2:$E$1000, $A36, MatchScoutingData!W$2:W$1000)</f>
        <v/>
      </c>
      <c r="U36" s="40">
        <f>SUMIF(MatchScoutingData!$E$2:$E$1000, $A36, MatchScoutingData!X$2:X$1000)</f>
        <v/>
      </c>
      <c r="V36" s="40">
        <f>SUMIF(MatchScoutingData!$E$2:$E$1000, $A36, MatchScoutingData!AB$2:AB$1000)</f>
        <v/>
      </c>
      <c r="W36" s="40">
        <f>SUMIF(MatchScoutingData!$E$2:$E$1000, $A36, MatchScoutingData!Y$2:Y$1000)</f>
        <v/>
      </c>
      <c r="X36" s="40">
        <f>SUMIF(MatchScoutingData!$E$2:$E$1000, $A36, MatchScoutingData!Z$2:Z$1000)</f>
        <v/>
      </c>
      <c r="Y36" s="40">
        <f>SUMIF(MatchScoutingData!$E$2:$E$1000, $A36, MatchScoutingData!AA$2:AA$1000)</f>
        <v/>
      </c>
      <c r="Z36" s="40">
        <f>SUM(W36:Y36)</f>
        <v/>
      </c>
    </row>
    <row r="37">
      <c r="A37" s="11" t="n">
        <v>5149</v>
      </c>
      <c r="B37" s="40">
        <f>COUNTIF(MatchScoutingData!E$2:E$1000, $A37)</f>
        <v/>
      </c>
      <c r="C37" s="40">
        <f>SUMIF(MatchScoutingData!$E$2:$E$1000, $A37, MatchScoutingData!F$2:F$1000)</f>
        <v/>
      </c>
      <c r="D37" s="40">
        <f>SUMIF(MatchScoutingData!$E$2:$E$1000, $A37, MatchScoutingData!G$2:G$1000)</f>
        <v/>
      </c>
      <c r="E37" s="40">
        <f>SUMIF(MatchScoutingData!$E$2:$E$1000, $A37, MatchScoutingData!H$2:H$1000)</f>
        <v/>
      </c>
      <c r="F37" s="40">
        <f>SUMIF(MatchScoutingData!$E$2:$E$1000, $A37, MatchScoutingData!I$2:I$1000)</f>
        <v/>
      </c>
      <c r="G37" s="40">
        <f>SUMIF(MatchScoutingData!$E$2:$E$1000, $A37, MatchScoutingData!J$2:J$1000)</f>
        <v/>
      </c>
      <c r="H37" s="40">
        <f>SUMIF(MatchScoutingData!$E$2:$E$1000, $A37, MatchScoutingData!K$2:K$1000)</f>
        <v/>
      </c>
      <c r="I37" s="40">
        <f>SUMIF(MatchScoutingData!$E$2:$E$1000, $A37, MatchScoutingData!L$2:L$1000)</f>
        <v/>
      </c>
      <c r="J37" s="40">
        <f>SUMIF(MatchScoutingData!$E$2:$E$1000, $A37, MatchScoutingData!M$2:M$1000)</f>
        <v/>
      </c>
      <c r="K37" s="40">
        <f>SUMIF(MatchScoutingData!$E$2:$E$1000, $A37, MatchScoutingData!N$2:N$1000)</f>
        <v/>
      </c>
      <c r="L37" s="40">
        <f>SUMIF(MatchScoutingData!$E$2:$E$1000, $A37, MatchScoutingData!O$2:O$1000)</f>
        <v/>
      </c>
      <c r="M37" s="40">
        <f>SUMIF(MatchScoutingData!$E$2:$E$1000, $A37, MatchScoutingData!P$2:P$1000)</f>
        <v/>
      </c>
      <c r="N37" s="40">
        <f>SUMIF(MatchScoutingData!$E$2:$E$1000, $A37, MatchScoutingData!Q$2:Q$1000)</f>
        <v/>
      </c>
      <c r="O37" s="40">
        <f>SUMIF(MatchScoutingData!$E$2:$E$1000, $A37, MatchScoutingData!R$2:R$1000)</f>
        <v/>
      </c>
      <c r="P37" s="40">
        <f>SUMIF(MatchScoutingData!$E$2:$E$1000, $A37, MatchScoutingData!S$2:S$1000)</f>
        <v/>
      </c>
      <c r="Q37" s="40">
        <f>SUMIF(MatchScoutingData!$E$2:$E$1000, $A37, MatchScoutingData!T$2:T$1000)</f>
        <v/>
      </c>
      <c r="R37" s="40">
        <f>SUMIF(MatchScoutingData!$E$2:$E$1000, $A37, MatchScoutingData!U$2:U$1000)</f>
        <v/>
      </c>
      <c r="S37" s="40">
        <f>SUMIF(MatchScoutingData!$E$2:$E$1000, $A37, MatchScoutingData!V$2:V$1000)</f>
        <v/>
      </c>
      <c r="T37" s="40">
        <f>SUMIF(MatchScoutingData!$E$2:$E$1000, $A37, MatchScoutingData!W$2:W$1000)</f>
        <v/>
      </c>
      <c r="U37" s="40">
        <f>SUMIF(MatchScoutingData!$E$2:$E$1000, $A37, MatchScoutingData!X$2:X$1000)</f>
        <v/>
      </c>
      <c r="V37" s="40">
        <f>SUMIF(MatchScoutingData!$E$2:$E$1000, $A37, MatchScoutingData!AB$2:AB$1000)</f>
        <v/>
      </c>
      <c r="W37" s="40">
        <f>SUMIF(MatchScoutingData!$E$2:$E$1000, $A37, MatchScoutingData!Y$2:Y$1000)</f>
        <v/>
      </c>
      <c r="X37" s="40">
        <f>SUMIF(MatchScoutingData!$E$2:$E$1000, $A37, MatchScoutingData!Z$2:Z$1000)</f>
        <v/>
      </c>
      <c r="Y37" s="40">
        <f>SUMIF(MatchScoutingData!$E$2:$E$1000, $A37, MatchScoutingData!AA$2:AA$1000)</f>
        <v/>
      </c>
      <c r="Z37" s="40">
        <f>SUM(W37:Y37)</f>
        <v/>
      </c>
    </row>
    <row r="38">
      <c r="A38" s="11" t="n">
        <v>5590</v>
      </c>
      <c r="B38" s="40">
        <f>COUNTIF(MatchScoutingData!E$2:E$1000, $A38)</f>
        <v/>
      </c>
      <c r="C38" s="40">
        <f>SUMIF(MatchScoutingData!$E$2:$E$1000, $A38, MatchScoutingData!F$2:F$1000)</f>
        <v/>
      </c>
      <c r="D38" s="40">
        <f>SUMIF(MatchScoutingData!$E$2:$E$1000, $A38, MatchScoutingData!G$2:G$1000)</f>
        <v/>
      </c>
      <c r="E38" s="40">
        <f>SUMIF(MatchScoutingData!$E$2:$E$1000, $A38, MatchScoutingData!H$2:H$1000)</f>
        <v/>
      </c>
      <c r="F38" s="40">
        <f>SUMIF(MatchScoutingData!$E$2:$E$1000, $A38, MatchScoutingData!I$2:I$1000)</f>
        <v/>
      </c>
      <c r="G38" s="40">
        <f>SUMIF(MatchScoutingData!$E$2:$E$1000, $A38, MatchScoutingData!J$2:J$1000)</f>
        <v/>
      </c>
      <c r="H38" s="40">
        <f>SUMIF(MatchScoutingData!$E$2:$E$1000, $A38, MatchScoutingData!K$2:K$1000)</f>
        <v/>
      </c>
      <c r="I38" s="40">
        <f>SUMIF(MatchScoutingData!$E$2:$E$1000, $A38, MatchScoutingData!L$2:L$1000)</f>
        <v/>
      </c>
      <c r="J38" s="40">
        <f>SUMIF(MatchScoutingData!$E$2:$E$1000, $A38, MatchScoutingData!M$2:M$1000)</f>
        <v/>
      </c>
      <c r="K38" s="40">
        <f>SUMIF(MatchScoutingData!$E$2:$E$1000, $A38, MatchScoutingData!N$2:N$1000)</f>
        <v/>
      </c>
      <c r="L38" s="40">
        <f>SUMIF(MatchScoutingData!$E$2:$E$1000, $A38, MatchScoutingData!O$2:O$1000)</f>
        <v/>
      </c>
      <c r="M38" s="40">
        <f>SUMIF(MatchScoutingData!$E$2:$E$1000, $A38, MatchScoutingData!P$2:P$1000)</f>
        <v/>
      </c>
      <c r="N38" s="40">
        <f>SUMIF(MatchScoutingData!$E$2:$E$1000, $A38, MatchScoutingData!Q$2:Q$1000)</f>
        <v/>
      </c>
      <c r="O38" s="40">
        <f>SUMIF(MatchScoutingData!$E$2:$E$1000, $A38, MatchScoutingData!R$2:R$1000)</f>
        <v/>
      </c>
      <c r="P38" s="40">
        <f>SUMIF(MatchScoutingData!$E$2:$E$1000, $A38, MatchScoutingData!S$2:S$1000)</f>
        <v/>
      </c>
      <c r="Q38" s="40">
        <f>SUMIF(MatchScoutingData!$E$2:$E$1000, $A38, MatchScoutingData!T$2:T$1000)</f>
        <v/>
      </c>
      <c r="R38" s="40">
        <f>SUMIF(MatchScoutingData!$E$2:$E$1000, $A38, MatchScoutingData!U$2:U$1000)</f>
        <v/>
      </c>
      <c r="S38" s="40">
        <f>SUMIF(MatchScoutingData!$E$2:$E$1000, $A38, MatchScoutingData!V$2:V$1000)</f>
        <v/>
      </c>
      <c r="T38" s="40">
        <f>SUMIF(MatchScoutingData!$E$2:$E$1000, $A38, MatchScoutingData!W$2:W$1000)</f>
        <v/>
      </c>
      <c r="U38" s="40">
        <f>SUMIF(MatchScoutingData!$E$2:$E$1000, $A38, MatchScoutingData!X$2:X$1000)</f>
        <v/>
      </c>
      <c r="V38" s="40">
        <f>SUMIF(MatchScoutingData!$E$2:$E$1000, $A38, MatchScoutingData!AB$2:AB$1000)</f>
        <v/>
      </c>
      <c r="W38" s="40">
        <f>SUMIF(MatchScoutingData!$E$2:$E$1000, $A38, MatchScoutingData!Y$2:Y$1000)</f>
        <v/>
      </c>
      <c r="X38" s="40">
        <f>SUMIF(MatchScoutingData!$E$2:$E$1000, $A38, MatchScoutingData!Z$2:Z$1000)</f>
        <v/>
      </c>
      <c r="Y38" s="40">
        <f>SUMIF(MatchScoutingData!$E$2:$E$1000, $A38, MatchScoutingData!AA$2:AA$1000)</f>
        <v/>
      </c>
      <c r="Z38" s="40">
        <f>SUM(W38:Y38)</f>
        <v/>
      </c>
    </row>
    <row r="39">
      <c r="A39" s="11" t="n">
        <v>5736</v>
      </c>
      <c r="B39" s="40">
        <f>COUNTIF(MatchScoutingData!E$2:E$1000, $A39)</f>
        <v/>
      </c>
      <c r="C39" s="40">
        <f>SUMIF(MatchScoutingData!$E$2:$E$1000, $A39, MatchScoutingData!F$2:F$1000)</f>
        <v/>
      </c>
      <c r="D39" s="40">
        <f>SUMIF(MatchScoutingData!$E$2:$E$1000, $A39, MatchScoutingData!G$2:G$1000)</f>
        <v/>
      </c>
      <c r="E39" s="40">
        <f>SUMIF(MatchScoutingData!$E$2:$E$1000, $A39, MatchScoutingData!H$2:H$1000)</f>
        <v/>
      </c>
      <c r="F39" s="40">
        <f>SUMIF(MatchScoutingData!$E$2:$E$1000, $A39, MatchScoutingData!I$2:I$1000)</f>
        <v/>
      </c>
      <c r="G39" s="40">
        <f>SUMIF(MatchScoutingData!$E$2:$E$1000, $A39, MatchScoutingData!J$2:J$1000)</f>
        <v/>
      </c>
      <c r="H39" s="40">
        <f>SUMIF(MatchScoutingData!$E$2:$E$1000, $A39, MatchScoutingData!K$2:K$1000)</f>
        <v/>
      </c>
      <c r="I39" s="40">
        <f>SUMIF(MatchScoutingData!$E$2:$E$1000, $A39, MatchScoutingData!L$2:L$1000)</f>
        <v/>
      </c>
      <c r="J39" s="40">
        <f>SUMIF(MatchScoutingData!$E$2:$E$1000, $A39, MatchScoutingData!M$2:M$1000)</f>
        <v/>
      </c>
      <c r="K39" s="40">
        <f>SUMIF(MatchScoutingData!$E$2:$E$1000, $A39, MatchScoutingData!N$2:N$1000)</f>
        <v/>
      </c>
      <c r="L39" s="40">
        <f>SUMIF(MatchScoutingData!$E$2:$E$1000, $A39, MatchScoutingData!O$2:O$1000)</f>
        <v/>
      </c>
      <c r="M39" s="40">
        <f>SUMIF(MatchScoutingData!$E$2:$E$1000, $A39, MatchScoutingData!P$2:P$1000)</f>
        <v/>
      </c>
      <c r="N39" s="40">
        <f>SUMIF(MatchScoutingData!$E$2:$E$1000, $A39, MatchScoutingData!Q$2:Q$1000)</f>
        <v/>
      </c>
      <c r="O39" s="40">
        <f>SUMIF(MatchScoutingData!$E$2:$E$1000, $A39, MatchScoutingData!R$2:R$1000)</f>
        <v/>
      </c>
      <c r="P39" s="40">
        <f>SUMIF(MatchScoutingData!$E$2:$E$1000, $A39, MatchScoutingData!S$2:S$1000)</f>
        <v/>
      </c>
      <c r="Q39" s="40">
        <f>SUMIF(MatchScoutingData!$E$2:$E$1000, $A39, MatchScoutingData!T$2:T$1000)</f>
        <v/>
      </c>
      <c r="R39" s="40">
        <f>SUMIF(MatchScoutingData!$E$2:$E$1000, $A39, MatchScoutingData!U$2:U$1000)</f>
        <v/>
      </c>
      <c r="S39" s="40">
        <f>SUMIF(MatchScoutingData!$E$2:$E$1000, $A39, MatchScoutingData!V$2:V$1000)</f>
        <v/>
      </c>
      <c r="T39" s="40">
        <f>SUMIF(MatchScoutingData!$E$2:$E$1000, $A39, MatchScoutingData!W$2:W$1000)</f>
        <v/>
      </c>
      <c r="U39" s="40">
        <f>SUMIF(MatchScoutingData!$E$2:$E$1000, $A39, MatchScoutingData!X$2:X$1000)</f>
        <v/>
      </c>
      <c r="V39" s="40">
        <f>SUMIF(MatchScoutingData!$E$2:$E$1000, $A39, MatchScoutingData!AB$2:AB$1000)</f>
        <v/>
      </c>
      <c r="W39" s="40">
        <f>SUMIF(MatchScoutingData!$E$2:$E$1000, $A39, MatchScoutingData!Y$2:Y$1000)</f>
        <v/>
      </c>
      <c r="X39" s="40">
        <f>SUMIF(MatchScoutingData!$E$2:$E$1000, $A39, MatchScoutingData!Z$2:Z$1000)</f>
        <v/>
      </c>
      <c r="Y39" s="40">
        <f>SUMIF(MatchScoutingData!$E$2:$E$1000, $A39, MatchScoutingData!AA$2:AA$1000)</f>
        <v/>
      </c>
      <c r="Z39" s="40">
        <f>SUM(W39:Y39)</f>
        <v/>
      </c>
    </row>
    <row r="40">
      <c r="A40" s="11" t="n">
        <v>5881</v>
      </c>
      <c r="B40" s="40">
        <f>COUNTIF(MatchScoutingData!E$2:E$1000, $A40)</f>
        <v/>
      </c>
      <c r="C40" s="40">
        <f>SUMIF(MatchScoutingData!$E$2:$E$1000, $A40, MatchScoutingData!F$2:F$1000)</f>
        <v/>
      </c>
      <c r="D40" s="40">
        <f>SUMIF(MatchScoutingData!$E$2:$E$1000, $A40, MatchScoutingData!G$2:G$1000)</f>
        <v/>
      </c>
      <c r="E40" s="40">
        <f>SUMIF(MatchScoutingData!$E$2:$E$1000, $A40, MatchScoutingData!H$2:H$1000)</f>
        <v/>
      </c>
      <c r="F40" s="40">
        <f>SUMIF(MatchScoutingData!$E$2:$E$1000, $A40, MatchScoutingData!I$2:I$1000)</f>
        <v/>
      </c>
      <c r="G40" s="40">
        <f>SUMIF(MatchScoutingData!$E$2:$E$1000, $A40, MatchScoutingData!J$2:J$1000)</f>
        <v/>
      </c>
      <c r="H40" s="40">
        <f>SUMIF(MatchScoutingData!$E$2:$E$1000, $A40, MatchScoutingData!K$2:K$1000)</f>
        <v/>
      </c>
      <c r="I40" s="40">
        <f>SUMIF(MatchScoutingData!$E$2:$E$1000, $A40, MatchScoutingData!L$2:L$1000)</f>
        <v/>
      </c>
      <c r="J40" s="40">
        <f>SUMIF(MatchScoutingData!$E$2:$E$1000, $A40, MatchScoutingData!M$2:M$1000)</f>
        <v/>
      </c>
      <c r="K40" s="40">
        <f>SUMIF(MatchScoutingData!$E$2:$E$1000, $A40, MatchScoutingData!N$2:N$1000)</f>
        <v/>
      </c>
      <c r="L40" s="40">
        <f>SUMIF(MatchScoutingData!$E$2:$E$1000, $A40, MatchScoutingData!O$2:O$1000)</f>
        <v/>
      </c>
      <c r="M40" s="40">
        <f>SUMIF(MatchScoutingData!$E$2:$E$1000, $A40, MatchScoutingData!P$2:P$1000)</f>
        <v/>
      </c>
      <c r="N40" s="40">
        <f>SUMIF(MatchScoutingData!$E$2:$E$1000, $A40, MatchScoutingData!Q$2:Q$1000)</f>
        <v/>
      </c>
      <c r="O40" s="40">
        <f>SUMIF(MatchScoutingData!$E$2:$E$1000, $A40, MatchScoutingData!R$2:R$1000)</f>
        <v/>
      </c>
      <c r="P40" s="40">
        <f>SUMIF(MatchScoutingData!$E$2:$E$1000, $A40, MatchScoutingData!S$2:S$1000)</f>
        <v/>
      </c>
      <c r="Q40" s="40">
        <f>SUMIF(MatchScoutingData!$E$2:$E$1000, $A40, MatchScoutingData!T$2:T$1000)</f>
        <v/>
      </c>
      <c r="R40" s="40">
        <f>SUMIF(MatchScoutingData!$E$2:$E$1000, $A40, MatchScoutingData!U$2:U$1000)</f>
        <v/>
      </c>
      <c r="S40" s="40">
        <f>SUMIF(MatchScoutingData!$E$2:$E$1000, $A40, MatchScoutingData!V$2:V$1000)</f>
        <v/>
      </c>
      <c r="T40" s="40">
        <f>SUMIF(MatchScoutingData!$E$2:$E$1000, $A40, MatchScoutingData!W$2:W$1000)</f>
        <v/>
      </c>
      <c r="U40" s="40">
        <f>SUMIF(MatchScoutingData!$E$2:$E$1000, $A40, MatchScoutingData!X$2:X$1000)</f>
        <v/>
      </c>
      <c r="V40" s="40">
        <f>SUMIF(MatchScoutingData!$E$2:$E$1000, $A40, MatchScoutingData!AB$2:AB$1000)</f>
        <v/>
      </c>
      <c r="W40" s="40">
        <f>SUMIF(MatchScoutingData!$E$2:$E$1000, $A40, MatchScoutingData!Y$2:Y$1000)</f>
        <v/>
      </c>
      <c r="X40" s="40">
        <f>SUMIF(MatchScoutingData!$E$2:$E$1000, $A40, MatchScoutingData!Z$2:Z$1000)</f>
        <v/>
      </c>
      <c r="Y40" s="40">
        <f>SUMIF(MatchScoutingData!$E$2:$E$1000, $A40, MatchScoutingData!AA$2:AA$1000)</f>
        <v/>
      </c>
      <c r="Z40" s="40">
        <f>SUM(W40:Y40)</f>
        <v/>
      </c>
    </row>
    <row r="41">
      <c r="A41" s="11" t="n">
        <v>6300</v>
      </c>
      <c r="B41" s="40">
        <f>COUNTIF(MatchScoutingData!E$2:E$1000, $A41)</f>
        <v/>
      </c>
      <c r="C41" s="40">
        <f>SUMIF(MatchScoutingData!$E$2:$E$1000, $A41, MatchScoutingData!F$2:F$1000)</f>
        <v/>
      </c>
      <c r="D41" s="40">
        <f>SUMIF(MatchScoutingData!$E$2:$E$1000, $A41, MatchScoutingData!G$2:G$1000)</f>
        <v/>
      </c>
      <c r="E41" s="40">
        <f>SUMIF(MatchScoutingData!$E$2:$E$1000, $A41, MatchScoutingData!H$2:H$1000)</f>
        <v/>
      </c>
      <c r="F41" s="40">
        <f>SUMIF(MatchScoutingData!$E$2:$E$1000, $A41, MatchScoutingData!I$2:I$1000)</f>
        <v/>
      </c>
      <c r="G41" s="40">
        <f>SUMIF(MatchScoutingData!$E$2:$E$1000, $A41, MatchScoutingData!J$2:J$1000)</f>
        <v/>
      </c>
      <c r="H41" s="40">
        <f>SUMIF(MatchScoutingData!$E$2:$E$1000, $A41, MatchScoutingData!K$2:K$1000)</f>
        <v/>
      </c>
      <c r="I41" s="40">
        <f>SUMIF(MatchScoutingData!$E$2:$E$1000, $A41, MatchScoutingData!L$2:L$1000)</f>
        <v/>
      </c>
      <c r="J41" s="40">
        <f>SUMIF(MatchScoutingData!$E$2:$E$1000, $A41, MatchScoutingData!M$2:M$1000)</f>
        <v/>
      </c>
      <c r="K41" s="40">
        <f>SUMIF(MatchScoutingData!$E$2:$E$1000, $A41, MatchScoutingData!N$2:N$1000)</f>
        <v/>
      </c>
      <c r="L41" s="40">
        <f>SUMIF(MatchScoutingData!$E$2:$E$1000, $A41, MatchScoutingData!O$2:O$1000)</f>
        <v/>
      </c>
      <c r="M41" s="40">
        <f>SUMIF(MatchScoutingData!$E$2:$E$1000, $A41, MatchScoutingData!P$2:P$1000)</f>
        <v/>
      </c>
      <c r="N41" s="40">
        <f>SUMIF(MatchScoutingData!$E$2:$E$1000, $A41, MatchScoutingData!Q$2:Q$1000)</f>
        <v/>
      </c>
      <c r="O41" s="40">
        <f>SUMIF(MatchScoutingData!$E$2:$E$1000, $A41, MatchScoutingData!R$2:R$1000)</f>
        <v/>
      </c>
      <c r="P41" s="40">
        <f>SUMIF(MatchScoutingData!$E$2:$E$1000, $A41, MatchScoutingData!S$2:S$1000)</f>
        <v/>
      </c>
      <c r="Q41" s="40">
        <f>SUMIF(MatchScoutingData!$E$2:$E$1000, $A41, MatchScoutingData!T$2:T$1000)</f>
        <v/>
      </c>
      <c r="R41" s="40">
        <f>SUMIF(MatchScoutingData!$E$2:$E$1000, $A41, MatchScoutingData!U$2:U$1000)</f>
        <v/>
      </c>
      <c r="S41" s="40">
        <f>SUMIF(MatchScoutingData!$E$2:$E$1000, $A41, MatchScoutingData!V$2:V$1000)</f>
        <v/>
      </c>
      <c r="T41" s="40">
        <f>SUMIF(MatchScoutingData!$E$2:$E$1000, $A41, MatchScoutingData!W$2:W$1000)</f>
        <v/>
      </c>
      <c r="U41" s="40">
        <f>SUMIF(MatchScoutingData!$E$2:$E$1000, $A41, MatchScoutingData!X$2:X$1000)</f>
        <v/>
      </c>
      <c r="V41" s="40">
        <f>SUMIF(MatchScoutingData!$E$2:$E$1000, $A41, MatchScoutingData!AB$2:AB$1000)</f>
        <v/>
      </c>
      <c r="W41" s="40">
        <f>SUMIF(MatchScoutingData!$E$2:$E$1000, $A41, MatchScoutingData!Y$2:Y$1000)</f>
        <v/>
      </c>
      <c r="X41" s="40">
        <f>SUMIF(MatchScoutingData!$E$2:$E$1000, $A41, MatchScoutingData!Z$2:Z$1000)</f>
        <v/>
      </c>
      <c r="Y41" s="40">
        <f>SUMIF(MatchScoutingData!$E$2:$E$1000, $A41, MatchScoutingData!AA$2:AA$1000)</f>
        <v/>
      </c>
      <c r="Z41" s="40">
        <f>SUM(W41:Y41)</f>
        <v/>
      </c>
    </row>
    <row r="42">
      <c r="A42" s="11" t="n">
        <v>6436</v>
      </c>
      <c r="B42" s="40">
        <f>COUNTIF(MatchScoutingData!E$2:E$1000, $A42)</f>
        <v/>
      </c>
      <c r="C42" s="40">
        <f>SUMIF(MatchScoutingData!$E$2:$E$1000, $A42, MatchScoutingData!F$2:F$1000)</f>
        <v/>
      </c>
      <c r="D42" s="40">
        <f>SUMIF(MatchScoutingData!$E$2:$E$1000, $A42, MatchScoutingData!G$2:G$1000)</f>
        <v/>
      </c>
      <c r="E42" s="40">
        <f>SUMIF(MatchScoutingData!$E$2:$E$1000, $A42, MatchScoutingData!H$2:H$1000)</f>
        <v/>
      </c>
      <c r="F42" s="40">
        <f>SUMIF(MatchScoutingData!$E$2:$E$1000, $A42, MatchScoutingData!I$2:I$1000)</f>
        <v/>
      </c>
      <c r="G42" s="40">
        <f>SUMIF(MatchScoutingData!$E$2:$E$1000, $A42, MatchScoutingData!J$2:J$1000)</f>
        <v/>
      </c>
      <c r="H42" s="40">
        <f>SUMIF(MatchScoutingData!$E$2:$E$1000, $A42, MatchScoutingData!K$2:K$1000)</f>
        <v/>
      </c>
      <c r="I42" s="40">
        <f>SUMIF(MatchScoutingData!$E$2:$E$1000, $A42, MatchScoutingData!L$2:L$1000)</f>
        <v/>
      </c>
      <c r="J42" s="40">
        <f>SUMIF(MatchScoutingData!$E$2:$E$1000, $A42, MatchScoutingData!M$2:M$1000)</f>
        <v/>
      </c>
      <c r="K42" s="40">
        <f>SUMIF(MatchScoutingData!$E$2:$E$1000, $A42, MatchScoutingData!N$2:N$1000)</f>
        <v/>
      </c>
      <c r="L42" s="40">
        <f>SUMIF(MatchScoutingData!$E$2:$E$1000, $A42, MatchScoutingData!O$2:O$1000)</f>
        <v/>
      </c>
      <c r="M42" s="40">
        <f>SUMIF(MatchScoutingData!$E$2:$E$1000, $A42, MatchScoutingData!P$2:P$1000)</f>
        <v/>
      </c>
      <c r="N42" s="40">
        <f>SUMIF(MatchScoutingData!$E$2:$E$1000, $A42, MatchScoutingData!Q$2:Q$1000)</f>
        <v/>
      </c>
      <c r="O42" s="40">
        <f>SUMIF(MatchScoutingData!$E$2:$E$1000, $A42, MatchScoutingData!R$2:R$1000)</f>
        <v/>
      </c>
      <c r="P42" s="40">
        <f>SUMIF(MatchScoutingData!$E$2:$E$1000, $A42, MatchScoutingData!S$2:S$1000)</f>
        <v/>
      </c>
      <c r="Q42" s="40">
        <f>SUMIF(MatchScoutingData!$E$2:$E$1000, $A42, MatchScoutingData!T$2:T$1000)</f>
        <v/>
      </c>
      <c r="R42" s="40">
        <f>SUMIF(MatchScoutingData!$E$2:$E$1000, $A42, MatchScoutingData!U$2:U$1000)</f>
        <v/>
      </c>
      <c r="S42" s="40">
        <f>SUMIF(MatchScoutingData!$E$2:$E$1000, $A42, MatchScoutingData!V$2:V$1000)</f>
        <v/>
      </c>
      <c r="T42" s="40">
        <f>SUMIF(MatchScoutingData!$E$2:$E$1000, $A42, MatchScoutingData!W$2:W$1000)</f>
        <v/>
      </c>
      <c r="U42" s="40">
        <f>SUMIF(MatchScoutingData!$E$2:$E$1000, $A42, MatchScoutingData!X$2:X$1000)</f>
        <v/>
      </c>
      <c r="V42" s="40">
        <f>SUMIF(MatchScoutingData!$E$2:$E$1000, $A42, MatchScoutingData!AB$2:AB$1000)</f>
        <v/>
      </c>
      <c r="W42" s="40">
        <f>SUMIF(MatchScoutingData!$E$2:$E$1000, $A42, MatchScoutingData!Y$2:Y$1000)</f>
        <v/>
      </c>
      <c r="X42" s="40">
        <f>SUMIF(MatchScoutingData!$E$2:$E$1000, $A42, MatchScoutingData!Z$2:Z$1000)</f>
        <v/>
      </c>
      <c r="Y42" s="40">
        <f>SUMIF(MatchScoutingData!$E$2:$E$1000, $A42, MatchScoutingData!AA$2:AA$1000)</f>
        <v/>
      </c>
      <c r="Z42" s="40">
        <f>SUM(W42:Y42)</f>
        <v/>
      </c>
    </row>
    <row r="43">
      <c r="A43" s="11" t="n">
        <v>6463</v>
      </c>
      <c r="B43" s="40">
        <f>COUNTIF(MatchScoutingData!E$2:E$1000, $A43)</f>
        <v/>
      </c>
      <c r="C43" s="40">
        <f>SUMIF(MatchScoutingData!$E$2:$E$1000, $A43, MatchScoutingData!F$2:F$1000)</f>
        <v/>
      </c>
      <c r="D43" s="40">
        <f>SUMIF(MatchScoutingData!$E$2:$E$1000, $A43, MatchScoutingData!G$2:G$1000)</f>
        <v/>
      </c>
      <c r="E43" s="40">
        <f>SUMIF(MatchScoutingData!$E$2:$E$1000, $A43, MatchScoutingData!H$2:H$1000)</f>
        <v/>
      </c>
      <c r="F43" s="40">
        <f>SUMIF(MatchScoutingData!$E$2:$E$1000, $A43, MatchScoutingData!I$2:I$1000)</f>
        <v/>
      </c>
      <c r="G43" s="40">
        <f>SUMIF(MatchScoutingData!$E$2:$E$1000, $A43, MatchScoutingData!J$2:J$1000)</f>
        <v/>
      </c>
      <c r="H43" s="40">
        <f>SUMIF(MatchScoutingData!$E$2:$E$1000, $A43, MatchScoutingData!K$2:K$1000)</f>
        <v/>
      </c>
      <c r="I43" s="40">
        <f>SUMIF(MatchScoutingData!$E$2:$E$1000, $A43, MatchScoutingData!L$2:L$1000)</f>
        <v/>
      </c>
      <c r="J43" s="40">
        <f>SUMIF(MatchScoutingData!$E$2:$E$1000, $A43, MatchScoutingData!M$2:M$1000)</f>
        <v/>
      </c>
      <c r="K43" s="40">
        <f>SUMIF(MatchScoutingData!$E$2:$E$1000, $A43, MatchScoutingData!N$2:N$1000)</f>
        <v/>
      </c>
      <c r="L43" s="40">
        <f>SUMIF(MatchScoutingData!$E$2:$E$1000, $A43, MatchScoutingData!O$2:O$1000)</f>
        <v/>
      </c>
      <c r="M43" s="40">
        <f>SUMIF(MatchScoutingData!$E$2:$E$1000, $A43, MatchScoutingData!P$2:P$1000)</f>
        <v/>
      </c>
      <c r="N43" s="40">
        <f>SUMIF(MatchScoutingData!$E$2:$E$1000, $A43, MatchScoutingData!Q$2:Q$1000)</f>
        <v/>
      </c>
      <c r="O43" s="40">
        <f>SUMIF(MatchScoutingData!$E$2:$E$1000, $A43, MatchScoutingData!R$2:R$1000)</f>
        <v/>
      </c>
      <c r="P43" s="40">
        <f>SUMIF(MatchScoutingData!$E$2:$E$1000, $A43, MatchScoutingData!S$2:S$1000)</f>
        <v/>
      </c>
      <c r="Q43" s="40">
        <f>SUMIF(MatchScoutingData!$E$2:$E$1000, $A43, MatchScoutingData!T$2:T$1000)</f>
        <v/>
      </c>
      <c r="R43" s="40">
        <f>SUMIF(MatchScoutingData!$E$2:$E$1000, $A43, MatchScoutingData!U$2:U$1000)</f>
        <v/>
      </c>
      <c r="S43" s="40">
        <f>SUMIF(MatchScoutingData!$E$2:$E$1000, $A43, MatchScoutingData!V$2:V$1000)</f>
        <v/>
      </c>
      <c r="T43" s="40">
        <f>SUMIF(MatchScoutingData!$E$2:$E$1000, $A43, MatchScoutingData!W$2:W$1000)</f>
        <v/>
      </c>
      <c r="U43" s="40">
        <f>SUMIF(MatchScoutingData!$E$2:$E$1000, $A43, MatchScoutingData!X$2:X$1000)</f>
        <v/>
      </c>
      <c r="V43" s="40">
        <f>SUMIF(MatchScoutingData!$E$2:$E$1000, $A43, MatchScoutingData!AB$2:AB$1000)</f>
        <v/>
      </c>
      <c r="W43" s="40">
        <f>SUMIF(MatchScoutingData!$E$2:$E$1000, $A43, MatchScoutingData!Y$2:Y$1000)</f>
        <v/>
      </c>
      <c r="X43" s="40">
        <f>SUMIF(MatchScoutingData!$E$2:$E$1000, $A43, MatchScoutingData!Z$2:Z$1000)</f>
        <v/>
      </c>
      <c r="Y43" s="40">
        <f>SUMIF(MatchScoutingData!$E$2:$E$1000, $A43, MatchScoutingData!AA$2:AA$1000)</f>
        <v/>
      </c>
      <c r="Z43" s="40">
        <f>SUM(W43:Y43)</f>
        <v/>
      </c>
    </row>
    <row r="44">
      <c r="A44" s="11" t="n">
        <v>6621</v>
      </c>
      <c r="B44" s="40">
        <f>COUNTIF(MatchScoutingData!E$2:E$1000, $A44)</f>
        <v/>
      </c>
      <c r="C44" s="40">
        <f>SUMIF(MatchScoutingData!$E$2:$E$1000, $A44, MatchScoutingData!F$2:F$1000)</f>
        <v/>
      </c>
      <c r="D44" s="40">
        <f>SUMIF(MatchScoutingData!$E$2:$E$1000, $A44, MatchScoutingData!G$2:G$1000)</f>
        <v/>
      </c>
      <c r="E44" s="40">
        <f>SUMIF(MatchScoutingData!$E$2:$E$1000, $A44, MatchScoutingData!H$2:H$1000)</f>
        <v/>
      </c>
      <c r="F44" s="40">
        <f>SUMIF(MatchScoutingData!$E$2:$E$1000, $A44, MatchScoutingData!I$2:I$1000)</f>
        <v/>
      </c>
      <c r="G44" s="40">
        <f>SUMIF(MatchScoutingData!$E$2:$E$1000, $A44, MatchScoutingData!J$2:J$1000)</f>
        <v/>
      </c>
      <c r="H44" s="40">
        <f>SUMIF(MatchScoutingData!$E$2:$E$1000, $A44, MatchScoutingData!K$2:K$1000)</f>
        <v/>
      </c>
      <c r="I44" s="40">
        <f>SUMIF(MatchScoutingData!$E$2:$E$1000, $A44, MatchScoutingData!L$2:L$1000)</f>
        <v/>
      </c>
      <c r="J44" s="40">
        <f>SUMIF(MatchScoutingData!$E$2:$E$1000, $A44, MatchScoutingData!M$2:M$1000)</f>
        <v/>
      </c>
      <c r="K44" s="40">
        <f>SUMIF(MatchScoutingData!$E$2:$E$1000, $A44, MatchScoutingData!N$2:N$1000)</f>
        <v/>
      </c>
      <c r="L44" s="40">
        <f>SUMIF(MatchScoutingData!$E$2:$E$1000, $A44, MatchScoutingData!O$2:O$1000)</f>
        <v/>
      </c>
      <c r="M44" s="40">
        <f>SUMIF(MatchScoutingData!$E$2:$E$1000, $A44, MatchScoutingData!P$2:P$1000)</f>
        <v/>
      </c>
      <c r="N44" s="40">
        <f>SUMIF(MatchScoutingData!$E$2:$E$1000, $A44, MatchScoutingData!Q$2:Q$1000)</f>
        <v/>
      </c>
      <c r="O44" s="40">
        <f>SUMIF(MatchScoutingData!$E$2:$E$1000, $A44, MatchScoutingData!R$2:R$1000)</f>
        <v/>
      </c>
      <c r="P44" s="40">
        <f>SUMIF(MatchScoutingData!$E$2:$E$1000, $A44, MatchScoutingData!S$2:S$1000)</f>
        <v/>
      </c>
      <c r="Q44" s="40">
        <f>SUMIF(MatchScoutingData!$E$2:$E$1000, $A44, MatchScoutingData!T$2:T$1000)</f>
        <v/>
      </c>
      <c r="R44" s="40">
        <f>SUMIF(MatchScoutingData!$E$2:$E$1000, $A44, MatchScoutingData!U$2:U$1000)</f>
        <v/>
      </c>
      <c r="S44" s="40">
        <f>SUMIF(MatchScoutingData!$E$2:$E$1000, $A44, MatchScoutingData!V$2:V$1000)</f>
        <v/>
      </c>
      <c r="T44" s="40">
        <f>SUMIF(MatchScoutingData!$E$2:$E$1000, $A44, MatchScoutingData!W$2:W$1000)</f>
        <v/>
      </c>
      <c r="U44" s="40">
        <f>SUMIF(MatchScoutingData!$E$2:$E$1000, $A44, MatchScoutingData!X$2:X$1000)</f>
        <v/>
      </c>
      <c r="V44" s="40">
        <f>SUMIF(MatchScoutingData!$E$2:$E$1000, $A44, MatchScoutingData!AB$2:AB$1000)</f>
        <v/>
      </c>
      <c r="W44" s="40">
        <f>SUMIF(MatchScoutingData!$E$2:$E$1000, $A44, MatchScoutingData!Y$2:Y$1000)</f>
        <v/>
      </c>
      <c r="X44" s="40">
        <f>SUMIF(MatchScoutingData!$E$2:$E$1000, $A44, MatchScoutingData!Z$2:Z$1000)</f>
        <v/>
      </c>
      <c r="Y44" s="40">
        <f>SUMIF(MatchScoutingData!$E$2:$E$1000, $A44, MatchScoutingData!AA$2:AA$1000)</f>
        <v/>
      </c>
      <c r="Z44" s="40">
        <f>SUM(W44:Y44)</f>
        <v/>
      </c>
    </row>
    <row r="45">
      <c r="A45" s="11" t="n">
        <v>6648</v>
      </c>
      <c r="B45" s="40">
        <f>COUNTIF(MatchScoutingData!E$2:E$1000, $A45)</f>
        <v/>
      </c>
      <c r="C45" s="40">
        <f>SUMIF(MatchScoutingData!$E$2:$E$1000, $A45, MatchScoutingData!F$2:F$1000)</f>
        <v/>
      </c>
      <c r="D45" s="40">
        <f>SUMIF(MatchScoutingData!$E$2:$E$1000, $A45, MatchScoutingData!G$2:G$1000)</f>
        <v/>
      </c>
      <c r="E45" s="40">
        <f>SUMIF(MatchScoutingData!$E$2:$E$1000, $A45, MatchScoutingData!H$2:H$1000)</f>
        <v/>
      </c>
      <c r="F45" s="40">
        <f>SUMIF(MatchScoutingData!$E$2:$E$1000, $A45, MatchScoutingData!I$2:I$1000)</f>
        <v/>
      </c>
      <c r="G45" s="40">
        <f>SUMIF(MatchScoutingData!$E$2:$E$1000, $A45, MatchScoutingData!J$2:J$1000)</f>
        <v/>
      </c>
      <c r="H45" s="40">
        <f>SUMIF(MatchScoutingData!$E$2:$E$1000, $A45, MatchScoutingData!K$2:K$1000)</f>
        <v/>
      </c>
      <c r="I45" s="40">
        <f>SUMIF(MatchScoutingData!$E$2:$E$1000, $A45, MatchScoutingData!L$2:L$1000)</f>
        <v/>
      </c>
      <c r="J45" s="40">
        <f>SUMIF(MatchScoutingData!$E$2:$E$1000, $A45, MatchScoutingData!M$2:M$1000)</f>
        <v/>
      </c>
      <c r="K45" s="40">
        <f>SUMIF(MatchScoutingData!$E$2:$E$1000, $A45, MatchScoutingData!N$2:N$1000)</f>
        <v/>
      </c>
      <c r="L45" s="40">
        <f>SUMIF(MatchScoutingData!$E$2:$E$1000, $A45, MatchScoutingData!O$2:O$1000)</f>
        <v/>
      </c>
      <c r="M45" s="40">
        <f>SUMIF(MatchScoutingData!$E$2:$E$1000, $A45, MatchScoutingData!P$2:P$1000)</f>
        <v/>
      </c>
      <c r="N45" s="40">
        <f>SUMIF(MatchScoutingData!$E$2:$E$1000, $A45, MatchScoutingData!Q$2:Q$1000)</f>
        <v/>
      </c>
      <c r="O45" s="40">
        <f>SUMIF(MatchScoutingData!$E$2:$E$1000, $A45, MatchScoutingData!R$2:R$1000)</f>
        <v/>
      </c>
      <c r="P45" s="40">
        <f>SUMIF(MatchScoutingData!$E$2:$E$1000, $A45, MatchScoutingData!S$2:S$1000)</f>
        <v/>
      </c>
      <c r="Q45" s="40">
        <f>SUMIF(MatchScoutingData!$E$2:$E$1000, $A45, MatchScoutingData!T$2:T$1000)</f>
        <v/>
      </c>
      <c r="R45" s="40">
        <f>SUMIF(MatchScoutingData!$E$2:$E$1000, $A45, MatchScoutingData!U$2:U$1000)</f>
        <v/>
      </c>
      <c r="S45" s="40">
        <f>SUMIF(MatchScoutingData!$E$2:$E$1000, $A45, MatchScoutingData!V$2:V$1000)</f>
        <v/>
      </c>
      <c r="T45" s="40">
        <f>SUMIF(MatchScoutingData!$E$2:$E$1000, $A45, MatchScoutingData!W$2:W$1000)</f>
        <v/>
      </c>
      <c r="U45" s="40">
        <f>SUMIF(MatchScoutingData!$E$2:$E$1000, $A45, MatchScoutingData!X$2:X$1000)</f>
        <v/>
      </c>
      <c r="V45" s="40">
        <f>SUMIF(MatchScoutingData!$E$2:$E$1000, $A45, MatchScoutingData!AB$2:AB$1000)</f>
        <v/>
      </c>
      <c r="W45" s="40">
        <f>SUMIF(MatchScoutingData!$E$2:$E$1000, $A45, MatchScoutingData!Y$2:Y$1000)</f>
        <v/>
      </c>
      <c r="X45" s="40">
        <f>SUMIF(MatchScoutingData!$E$2:$E$1000, $A45, MatchScoutingData!Z$2:Z$1000)</f>
        <v/>
      </c>
      <c r="Y45" s="40">
        <f>SUMIF(MatchScoutingData!$E$2:$E$1000, $A45, MatchScoutingData!AA$2:AA$1000)</f>
        <v/>
      </c>
      <c r="Z45" s="40">
        <f>SUM(W45:Y45)</f>
        <v/>
      </c>
    </row>
    <row r="46">
      <c r="A46" s="11" t="n">
        <v>6806</v>
      </c>
      <c r="B46" s="40">
        <f>COUNTIF(MatchScoutingData!E$2:E$1000, $A46)</f>
        <v/>
      </c>
      <c r="C46" s="40">
        <f>SUMIF(MatchScoutingData!$E$2:$E$1000, $A46, MatchScoutingData!F$2:F$1000)</f>
        <v/>
      </c>
      <c r="D46" s="40">
        <f>SUMIF(MatchScoutingData!$E$2:$E$1000, $A46, MatchScoutingData!G$2:G$1000)</f>
        <v/>
      </c>
      <c r="E46" s="40">
        <f>SUMIF(MatchScoutingData!$E$2:$E$1000, $A46, MatchScoutingData!H$2:H$1000)</f>
        <v/>
      </c>
      <c r="F46" s="40">
        <f>SUMIF(MatchScoutingData!$E$2:$E$1000, $A46, MatchScoutingData!I$2:I$1000)</f>
        <v/>
      </c>
      <c r="G46" s="40">
        <f>SUMIF(MatchScoutingData!$E$2:$E$1000, $A46, MatchScoutingData!J$2:J$1000)</f>
        <v/>
      </c>
      <c r="H46" s="40">
        <f>SUMIF(MatchScoutingData!$E$2:$E$1000, $A46, MatchScoutingData!K$2:K$1000)</f>
        <v/>
      </c>
      <c r="I46" s="40">
        <f>SUMIF(MatchScoutingData!$E$2:$E$1000, $A46, MatchScoutingData!L$2:L$1000)</f>
        <v/>
      </c>
      <c r="J46" s="40">
        <f>SUMIF(MatchScoutingData!$E$2:$E$1000, $A46, MatchScoutingData!M$2:M$1000)</f>
        <v/>
      </c>
      <c r="K46" s="40">
        <f>SUMIF(MatchScoutingData!$E$2:$E$1000, $A46, MatchScoutingData!N$2:N$1000)</f>
        <v/>
      </c>
      <c r="L46" s="40">
        <f>SUMIF(MatchScoutingData!$E$2:$E$1000, $A46, MatchScoutingData!O$2:O$1000)</f>
        <v/>
      </c>
      <c r="M46" s="40">
        <f>SUMIF(MatchScoutingData!$E$2:$E$1000, $A46, MatchScoutingData!P$2:P$1000)</f>
        <v/>
      </c>
      <c r="N46" s="40">
        <f>SUMIF(MatchScoutingData!$E$2:$E$1000, $A46, MatchScoutingData!Q$2:Q$1000)</f>
        <v/>
      </c>
      <c r="O46" s="40">
        <f>SUMIF(MatchScoutingData!$E$2:$E$1000, $A46, MatchScoutingData!R$2:R$1000)</f>
        <v/>
      </c>
      <c r="P46" s="40">
        <f>SUMIF(MatchScoutingData!$E$2:$E$1000, $A46, MatchScoutingData!S$2:S$1000)</f>
        <v/>
      </c>
      <c r="Q46" s="40">
        <f>SUMIF(MatchScoutingData!$E$2:$E$1000, $A46, MatchScoutingData!T$2:T$1000)</f>
        <v/>
      </c>
      <c r="R46" s="40">
        <f>SUMIF(MatchScoutingData!$E$2:$E$1000, $A46, MatchScoutingData!U$2:U$1000)</f>
        <v/>
      </c>
      <c r="S46" s="40">
        <f>SUMIF(MatchScoutingData!$E$2:$E$1000, $A46, MatchScoutingData!V$2:V$1000)</f>
        <v/>
      </c>
      <c r="T46" s="40">
        <f>SUMIF(MatchScoutingData!$E$2:$E$1000, $A46, MatchScoutingData!W$2:W$1000)</f>
        <v/>
      </c>
      <c r="U46" s="40">
        <f>SUMIF(MatchScoutingData!$E$2:$E$1000, $A46, MatchScoutingData!X$2:X$1000)</f>
        <v/>
      </c>
      <c r="V46" s="40">
        <f>SUMIF(MatchScoutingData!$E$2:$E$1000, $A46, MatchScoutingData!AB$2:AB$1000)</f>
        <v/>
      </c>
      <c r="W46" s="40">
        <f>SUMIF(MatchScoutingData!$E$2:$E$1000, $A46, MatchScoutingData!Y$2:Y$1000)</f>
        <v/>
      </c>
      <c r="X46" s="40">
        <f>SUMIF(MatchScoutingData!$E$2:$E$1000, $A46, MatchScoutingData!Z$2:Z$1000)</f>
        <v/>
      </c>
      <c r="Y46" s="40">
        <f>SUMIF(MatchScoutingData!$E$2:$E$1000, $A46, MatchScoutingData!AA$2:AA$1000)</f>
        <v/>
      </c>
      <c r="Z46" s="40">
        <f>SUM(W46:Y46)</f>
        <v/>
      </c>
    </row>
    <row r="47">
      <c r="A47" s="11" t="n">
        <v>7031</v>
      </c>
      <c r="B47" s="40">
        <f>COUNTIF(MatchScoutingData!E$2:E$1000, $A47)</f>
        <v/>
      </c>
      <c r="C47" s="40">
        <f>SUMIF(MatchScoutingData!$E$2:$E$1000, $A47, MatchScoutingData!F$2:F$1000)</f>
        <v/>
      </c>
      <c r="D47" s="40">
        <f>SUMIF(MatchScoutingData!$E$2:$E$1000, $A47, MatchScoutingData!G$2:G$1000)</f>
        <v/>
      </c>
      <c r="E47" s="40">
        <f>SUMIF(MatchScoutingData!$E$2:$E$1000, $A47, MatchScoutingData!H$2:H$1000)</f>
        <v/>
      </c>
      <c r="F47" s="40">
        <f>SUMIF(MatchScoutingData!$E$2:$E$1000, $A47, MatchScoutingData!I$2:I$1000)</f>
        <v/>
      </c>
      <c r="G47" s="40">
        <f>SUMIF(MatchScoutingData!$E$2:$E$1000, $A47, MatchScoutingData!J$2:J$1000)</f>
        <v/>
      </c>
      <c r="H47" s="40">
        <f>SUMIF(MatchScoutingData!$E$2:$E$1000, $A47, MatchScoutingData!K$2:K$1000)</f>
        <v/>
      </c>
      <c r="I47" s="40">
        <f>SUMIF(MatchScoutingData!$E$2:$E$1000, $A47, MatchScoutingData!L$2:L$1000)</f>
        <v/>
      </c>
      <c r="J47" s="40">
        <f>SUMIF(MatchScoutingData!$E$2:$E$1000, $A47, MatchScoutingData!M$2:M$1000)</f>
        <v/>
      </c>
      <c r="K47" s="40">
        <f>SUMIF(MatchScoutingData!$E$2:$E$1000, $A47, MatchScoutingData!N$2:N$1000)</f>
        <v/>
      </c>
      <c r="L47" s="40">
        <f>SUMIF(MatchScoutingData!$E$2:$E$1000, $A47, MatchScoutingData!O$2:O$1000)</f>
        <v/>
      </c>
      <c r="M47" s="40">
        <f>SUMIF(MatchScoutingData!$E$2:$E$1000, $A47, MatchScoutingData!P$2:P$1000)</f>
        <v/>
      </c>
      <c r="N47" s="40">
        <f>SUMIF(MatchScoutingData!$E$2:$E$1000, $A47, MatchScoutingData!Q$2:Q$1000)</f>
        <v/>
      </c>
      <c r="O47" s="40">
        <f>SUMIF(MatchScoutingData!$E$2:$E$1000, $A47, MatchScoutingData!R$2:R$1000)</f>
        <v/>
      </c>
      <c r="P47" s="40">
        <f>SUMIF(MatchScoutingData!$E$2:$E$1000, $A47, MatchScoutingData!S$2:S$1000)</f>
        <v/>
      </c>
      <c r="Q47" s="40">
        <f>SUMIF(MatchScoutingData!$E$2:$E$1000, $A47, MatchScoutingData!T$2:T$1000)</f>
        <v/>
      </c>
      <c r="R47" s="40">
        <f>SUMIF(MatchScoutingData!$E$2:$E$1000, $A47, MatchScoutingData!U$2:U$1000)</f>
        <v/>
      </c>
      <c r="S47" s="40">
        <f>SUMIF(MatchScoutingData!$E$2:$E$1000, $A47, MatchScoutingData!V$2:V$1000)</f>
        <v/>
      </c>
      <c r="T47" s="40">
        <f>SUMIF(MatchScoutingData!$E$2:$E$1000, $A47, MatchScoutingData!W$2:W$1000)</f>
        <v/>
      </c>
      <c r="U47" s="40">
        <f>SUMIF(MatchScoutingData!$E$2:$E$1000, $A47, MatchScoutingData!X$2:X$1000)</f>
        <v/>
      </c>
      <c r="V47" s="40">
        <f>SUMIF(MatchScoutingData!$E$2:$E$1000, $A47, MatchScoutingData!AB$2:AB$1000)</f>
        <v/>
      </c>
      <c r="W47" s="40">
        <f>SUMIF(MatchScoutingData!$E$2:$E$1000, $A47, MatchScoutingData!Y$2:Y$1000)</f>
        <v/>
      </c>
      <c r="X47" s="40">
        <f>SUMIF(MatchScoutingData!$E$2:$E$1000, $A47, MatchScoutingData!Z$2:Z$1000)</f>
        <v/>
      </c>
      <c r="Y47" s="40">
        <f>SUMIF(MatchScoutingData!$E$2:$E$1000, $A47, MatchScoutingData!AA$2:AA$1000)</f>
        <v/>
      </c>
      <c r="Z47" s="40">
        <f>SUM(W47:Y47)</f>
        <v/>
      </c>
    </row>
    <row r="48">
      <c r="A48" s="11" t="n">
        <v>7504</v>
      </c>
      <c r="B48" s="40">
        <f>COUNTIF(MatchScoutingData!E$2:E$1000, $A48)</f>
        <v/>
      </c>
      <c r="C48" s="40">
        <f>SUMIF(MatchScoutingData!$E$2:$E$1000, $A48, MatchScoutingData!F$2:F$1000)</f>
        <v/>
      </c>
      <c r="D48" s="40">
        <f>SUMIF(MatchScoutingData!$E$2:$E$1000, $A48, MatchScoutingData!G$2:G$1000)</f>
        <v/>
      </c>
      <c r="E48" s="40">
        <f>SUMIF(MatchScoutingData!$E$2:$E$1000, $A48, MatchScoutingData!H$2:H$1000)</f>
        <v/>
      </c>
      <c r="F48" s="40">
        <f>SUMIF(MatchScoutingData!$E$2:$E$1000, $A48, MatchScoutingData!I$2:I$1000)</f>
        <v/>
      </c>
      <c r="G48" s="40">
        <f>SUMIF(MatchScoutingData!$E$2:$E$1000, $A48, MatchScoutingData!J$2:J$1000)</f>
        <v/>
      </c>
      <c r="H48" s="40">
        <f>SUMIF(MatchScoutingData!$E$2:$E$1000, $A48, MatchScoutingData!K$2:K$1000)</f>
        <v/>
      </c>
      <c r="I48" s="40">
        <f>SUMIF(MatchScoutingData!$E$2:$E$1000, $A48, MatchScoutingData!L$2:L$1000)</f>
        <v/>
      </c>
      <c r="J48" s="40">
        <f>SUMIF(MatchScoutingData!$E$2:$E$1000, $A48, MatchScoutingData!M$2:M$1000)</f>
        <v/>
      </c>
      <c r="K48" s="40">
        <f>SUMIF(MatchScoutingData!$E$2:$E$1000, $A48, MatchScoutingData!N$2:N$1000)</f>
        <v/>
      </c>
      <c r="L48" s="40">
        <f>SUMIF(MatchScoutingData!$E$2:$E$1000, $A48, MatchScoutingData!O$2:O$1000)</f>
        <v/>
      </c>
      <c r="M48" s="40">
        <f>SUMIF(MatchScoutingData!$E$2:$E$1000, $A48, MatchScoutingData!P$2:P$1000)</f>
        <v/>
      </c>
      <c r="N48" s="40">
        <f>SUMIF(MatchScoutingData!$E$2:$E$1000, $A48, MatchScoutingData!Q$2:Q$1000)</f>
        <v/>
      </c>
      <c r="O48" s="40">
        <f>SUMIF(MatchScoutingData!$E$2:$E$1000, $A48, MatchScoutingData!R$2:R$1000)</f>
        <v/>
      </c>
      <c r="P48" s="40">
        <f>SUMIF(MatchScoutingData!$E$2:$E$1000, $A48, MatchScoutingData!S$2:S$1000)</f>
        <v/>
      </c>
      <c r="Q48" s="40">
        <f>SUMIF(MatchScoutingData!$E$2:$E$1000, $A48, MatchScoutingData!T$2:T$1000)</f>
        <v/>
      </c>
      <c r="R48" s="40">
        <f>SUMIF(MatchScoutingData!$E$2:$E$1000, $A48, MatchScoutingData!U$2:U$1000)</f>
        <v/>
      </c>
      <c r="S48" s="40">
        <f>SUMIF(MatchScoutingData!$E$2:$E$1000, $A48, MatchScoutingData!V$2:V$1000)</f>
        <v/>
      </c>
      <c r="T48" s="40">
        <f>SUMIF(MatchScoutingData!$E$2:$E$1000, $A48, MatchScoutingData!W$2:W$1000)</f>
        <v/>
      </c>
      <c r="U48" s="40">
        <f>SUMIF(MatchScoutingData!$E$2:$E$1000, $A48, MatchScoutingData!X$2:X$1000)</f>
        <v/>
      </c>
      <c r="V48" s="40">
        <f>SUMIF(MatchScoutingData!$E$2:$E$1000, $A48, MatchScoutingData!AB$2:AB$1000)</f>
        <v/>
      </c>
      <c r="W48" s="40">
        <f>SUMIF(MatchScoutingData!$E$2:$E$1000, $A48, MatchScoutingData!Y$2:Y$1000)</f>
        <v/>
      </c>
      <c r="X48" s="40">
        <f>SUMIF(MatchScoutingData!$E$2:$E$1000, $A48, MatchScoutingData!Z$2:Z$1000)</f>
        <v/>
      </c>
      <c r="Y48" s="40">
        <f>SUMIF(MatchScoutingData!$E$2:$E$1000, $A48, MatchScoutingData!AA$2:AA$1000)</f>
        <v/>
      </c>
      <c r="Z48" s="40">
        <f>SUM(W48:Y48)</f>
        <v/>
      </c>
    </row>
    <row r="49">
      <c r="A49" s="11" t="n">
        <v>7605</v>
      </c>
      <c r="B49" s="40">
        <f>COUNTIF(MatchScoutingData!E$2:E$1000, $A49)</f>
        <v/>
      </c>
      <c r="C49" s="40">
        <f>SUMIF(MatchScoutingData!$E$2:$E$1000, $A49, MatchScoutingData!F$2:F$1000)</f>
        <v/>
      </c>
      <c r="D49" s="40">
        <f>SUMIF(MatchScoutingData!$E$2:$E$1000, $A49, MatchScoutingData!G$2:G$1000)</f>
        <v/>
      </c>
      <c r="E49" s="40">
        <f>SUMIF(MatchScoutingData!$E$2:$E$1000, $A49, MatchScoutingData!H$2:H$1000)</f>
        <v/>
      </c>
      <c r="F49" s="40">
        <f>SUMIF(MatchScoutingData!$E$2:$E$1000, $A49, MatchScoutingData!I$2:I$1000)</f>
        <v/>
      </c>
      <c r="G49" s="40">
        <f>SUMIF(MatchScoutingData!$E$2:$E$1000, $A49, MatchScoutingData!J$2:J$1000)</f>
        <v/>
      </c>
      <c r="H49" s="40">
        <f>SUMIF(MatchScoutingData!$E$2:$E$1000, $A49, MatchScoutingData!K$2:K$1000)</f>
        <v/>
      </c>
      <c r="I49" s="40">
        <f>SUMIF(MatchScoutingData!$E$2:$E$1000, $A49, MatchScoutingData!L$2:L$1000)</f>
        <v/>
      </c>
      <c r="J49" s="40">
        <f>SUMIF(MatchScoutingData!$E$2:$E$1000, $A49, MatchScoutingData!M$2:M$1000)</f>
        <v/>
      </c>
      <c r="K49" s="40">
        <f>SUMIF(MatchScoutingData!$E$2:$E$1000, $A49, MatchScoutingData!N$2:N$1000)</f>
        <v/>
      </c>
      <c r="L49" s="40">
        <f>SUMIF(MatchScoutingData!$E$2:$E$1000, $A49, MatchScoutingData!O$2:O$1000)</f>
        <v/>
      </c>
      <c r="M49" s="40">
        <f>SUMIF(MatchScoutingData!$E$2:$E$1000, $A49, MatchScoutingData!P$2:P$1000)</f>
        <v/>
      </c>
      <c r="N49" s="40">
        <f>SUMIF(MatchScoutingData!$E$2:$E$1000, $A49, MatchScoutingData!Q$2:Q$1000)</f>
        <v/>
      </c>
      <c r="O49" s="40">
        <f>SUMIF(MatchScoutingData!$E$2:$E$1000, $A49, MatchScoutingData!R$2:R$1000)</f>
        <v/>
      </c>
      <c r="P49" s="40">
        <f>SUMIF(MatchScoutingData!$E$2:$E$1000, $A49, MatchScoutingData!S$2:S$1000)</f>
        <v/>
      </c>
      <c r="Q49" s="40">
        <f>SUMIF(MatchScoutingData!$E$2:$E$1000, $A49, MatchScoutingData!T$2:T$1000)</f>
        <v/>
      </c>
      <c r="R49" s="40">
        <f>SUMIF(MatchScoutingData!$E$2:$E$1000, $A49, MatchScoutingData!U$2:U$1000)</f>
        <v/>
      </c>
      <c r="S49" s="40">
        <f>SUMIF(MatchScoutingData!$E$2:$E$1000, $A49, MatchScoutingData!V$2:V$1000)</f>
        <v/>
      </c>
      <c r="T49" s="40">
        <f>SUMIF(MatchScoutingData!$E$2:$E$1000, $A49, MatchScoutingData!W$2:W$1000)</f>
        <v/>
      </c>
      <c r="U49" s="40">
        <f>SUMIF(MatchScoutingData!$E$2:$E$1000, $A49, MatchScoutingData!X$2:X$1000)</f>
        <v/>
      </c>
      <c r="V49" s="40">
        <f>SUMIF(MatchScoutingData!$E$2:$E$1000, $A49, MatchScoutingData!AB$2:AB$1000)</f>
        <v/>
      </c>
      <c r="W49" s="40">
        <f>SUMIF(MatchScoutingData!$E$2:$E$1000, $A49, MatchScoutingData!Y$2:Y$1000)</f>
        <v/>
      </c>
      <c r="X49" s="40">
        <f>SUMIF(MatchScoutingData!$E$2:$E$1000, $A49, MatchScoutingData!Z$2:Z$1000)</f>
        <v/>
      </c>
      <c r="Y49" s="40">
        <f>SUMIF(MatchScoutingData!$E$2:$E$1000, $A49, MatchScoutingData!AA$2:AA$1000)</f>
        <v/>
      </c>
      <c r="Z49" s="40">
        <f>SUM(W49:Y49)</f>
        <v/>
      </c>
    </row>
    <row r="50">
      <c r="A50" s="11" t="n">
        <v>7718</v>
      </c>
      <c r="B50" s="40">
        <f>COUNTIF(MatchScoutingData!E$2:E$1000, $A50)</f>
        <v/>
      </c>
      <c r="C50" s="40">
        <f>SUMIF(MatchScoutingData!$E$2:$E$1000, $A50, MatchScoutingData!F$2:F$1000)</f>
        <v/>
      </c>
      <c r="D50" s="40">
        <f>SUMIF(MatchScoutingData!$E$2:$E$1000, $A50, MatchScoutingData!G$2:G$1000)</f>
        <v/>
      </c>
      <c r="E50" s="40">
        <f>SUMIF(MatchScoutingData!$E$2:$E$1000, $A50, MatchScoutingData!H$2:H$1000)</f>
        <v/>
      </c>
      <c r="F50" s="40">
        <f>SUMIF(MatchScoutingData!$E$2:$E$1000, $A50, MatchScoutingData!I$2:I$1000)</f>
        <v/>
      </c>
      <c r="G50" s="40">
        <f>SUMIF(MatchScoutingData!$E$2:$E$1000, $A50, MatchScoutingData!J$2:J$1000)</f>
        <v/>
      </c>
      <c r="H50" s="40">
        <f>SUMIF(MatchScoutingData!$E$2:$E$1000, $A50, MatchScoutingData!K$2:K$1000)</f>
        <v/>
      </c>
      <c r="I50" s="40">
        <f>SUMIF(MatchScoutingData!$E$2:$E$1000, $A50, MatchScoutingData!L$2:L$1000)</f>
        <v/>
      </c>
      <c r="J50" s="40">
        <f>SUMIF(MatchScoutingData!$E$2:$E$1000, $A50, MatchScoutingData!M$2:M$1000)</f>
        <v/>
      </c>
      <c r="K50" s="40">
        <f>SUMIF(MatchScoutingData!$E$2:$E$1000, $A50, MatchScoutingData!N$2:N$1000)</f>
        <v/>
      </c>
      <c r="L50" s="40">
        <f>SUMIF(MatchScoutingData!$E$2:$E$1000, $A50, MatchScoutingData!O$2:O$1000)</f>
        <v/>
      </c>
      <c r="M50" s="40">
        <f>SUMIF(MatchScoutingData!$E$2:$E$1000, $A50, MatchScoutingData!P$2:P$1000)</f>
        <v/>
      </c>
      <c r="N50" s="40">
        <f>SUMIF(MatchScoutingData!$E$2:$E$1000, $A50, MatchScoutingData!Q$2:Q$1000)</f>
        <v/>
      </c>
      <c r="O50" s="40">
        <f>SUMIF(MatchScoutingData!$E$2:$E$1000, $A50, MatchScoutingData!R$2:R$1000)</f>
        <v/>
      </c>
      <c r="P50" s="40">
        <f>SUMIF(MatchScoutingData!$E$2:$E$1000, $A50, MatchScoutingData!S$2:S$1000)</f>
        <v/>
      </c>
      <c r="Q50" s="40">
        <f>SUMIF(MatchScoutingData!$E$2:$E$1000, $A50, MatchScoutingData!T$2:T$1000)</f>
        <v/>
      </c>
      <c r="R50" s="40">
        <f>SUMIF(MatchScoutingData!$E$2:$E$1000, $A50, MatchScoutingData!U$2:U$1000)</f>
        <v/>
      </c>
      <c r="S50" s="40">
        <f>SUMIF(MatchScoutingData!$E$2:$E$1000, $A50, MatchScoutingData!V$2:V$1000)</f>
        <v/>
      </c>
      <c r="T50" s="40">
        <f>SUMIF(MatchScoutingData!$E$2:$E$1000, $A50, MatchScoutingData!W$2:W$1000)</f>
        <v/>
      </c>
      <c r="U50" s="40">
        <f>SUMIF(MatchScoutingData!$E$2:$E$1000, $A50, MatchScoutingData!X$2:X$1000)</f>
        <v/>
      </c>
      <c r="V50" s="40">
        <f>SUMIF(MatchScoutingData!$E$2:$E$1000, $A50, MatchScoutingData!AB$2:AB$1000)</f>
        <v/>
      </c>
      <c r="W50" s="40">
        <f>SUMIF(MatchScoutingData!$E$2:$E$1000, $A50, MatchScoutingData!Y$2:Y$1000)</f>
        <v/>
      </c>
      <c r="X50" s="40">
        <f>SUMIF(MatchScoutingData!$E$2:$E$1000, $A50, MatchScoutingData!Z$2:Z$1000)</f>
        <v/>
      </c>
      <c r="Y50" s="40">
        <f>SUMIF(MatchScoutingData!$E$2:$E$1000, $A50, MatchScoutingData!AA$2:AA$1000)</f>
        <v/>
      </c>
      <c r="Z50" s="40">
        <f>SUM(W50:Y50)</f>
        <v/>
      </c>
    </row>
    <row r="51">
      <c r="A51" s="11" t="n">
        <v>7759</v>
      </c>
      <c r="B51" s="40">
        <f>COUNTIF(MatchScoutingData!E$2:E$1000, $A51)</f>
        <v/>
      </c>
      <c r="C51" s="40">
        <f>SUMIF(MatchScoutingData!$E$2:$E$1000, $A51, MatchScoutingData!F$2:F$1000)</f>
        <v/>
      </c>
      <c r="D51" s="40">
        <f>SUMIF(MatchScoutingData!$E$2:$E$1000, $A51, MatchScoutingData!G$2:G$1000)</f>
        <v/>
      </c>
      <c r="E51" s="40">
        <f>SUMIF(MatchScoutingData!$E$2:$E$1000, $A51, MatchScoutingData!H$2:H$1000)</f>
        <v/>
      </c>
      <c r="F51" s="40">
        <f>SUMIF(MatchScoutingData!$E$2:$E$1000, $A51, MatchScoutingData!I$2:I$1000)</f>
        <v/>
      </c>
      <c r="G51" s="40">
        <f>SUMIF(MatchScoutingData!$E$2:$E$1000, $A51, MatchScoutingData!J$2:J$1000)</f>
        <v/>
      </c>
      <c r="H51" s="40">
        <f>SUMIF(MatchScoutingData!$E$2:$E$1000, $A51, MatchScoutingData!K$2:K$1000)</f>
        <v/>
      </c>
      <c r="I51" s="40">
        <f>SUMIF(MatchScoutingData!$E$2:$E$1000, $A51, MatchScoutingData!L$2:L$1000)</f>
        <v/>
      </c>
      <c r="J51" s="40">
        <f>SUMIF(MatchScoutingData!$E$2:$E$1000, $A51, MatchScoutingData!M$2:M$1000)</f>
        <v/>
      </c>
      <c r="K51" s="40">
        <f>SUMIF(MatchScoutingData!$E$2:$E$1000, $A51, MatchScoutingData!N$2:N$1000)</f>
        <v/>
      </c>
      <c r="L51" s="40">
        <f>SUMIF(MatchScoutingData!$E$2:$E$1000, $A51, MatchScoutingData!O$2:O$1000)</f>
        <v/>
      </c>
      <c r="M51" s="40">
        <f>SUMIF(MatchScoutingData!$E$2:$E$1000, $A51, MatchScoutingData!P$2:P$1000)</f>
        <v/>
      </c>
      <c r="N51" s="40">
        <f>SUMIF(MatchScoutingData!$E$2:$E$1000, $A51, MatchScoutingData!Q$2:Q$1000)</f>
        <v/>
      </c>
      <c r="O51" s="40">
        <f>SUMIF(MatchScoutingData!$E$2:$E$1000, $A51, MatchScoutingData!R$2:R$1000)</f>
        <v/>
      </c>
      <c r="P51" s="40">
        <f>SUMIF(MatchScoutingData!$E$2:$E$1000, $A51, MatchScoutingData!S$2:S$1000)</f>
        <v/>
      </c>
      <c r="Q51" s="40">
        <f>SUMIF(MatchScoutingData!$E$2:$E$1000, $A51, MatchScoutingData!T$2:T$1000)</f>
        <v/>
      </c>
      <c r="R51" s="40">
        <f>SUMIF(MatchScoutingData!$E$2:$E$1000, $A51, MatchScoutingData!U$2:U$1000)</f>
        <v/>
      </c>
      <c r="S51" s="40">
        <f>SUMIF(MatchScoutingData!$E$2:$E$1000, $A51, MatchScoutingData!V$2:V$1000)</f>
        <v/>
      </c>
      <c r="T51" s="40">
        <f>SUMIF(MatchScoutingData!$E$2:$E$1000, $A51, MatchScoutingData!W$2:W$1000)</f>
        <v/>
      </c>
      <c r="U51" s="40">
        <f>SUMIF(MatchScoutingData!$E$2:$E$1000, $A51, MatchScoutingData!X$2:X$1000)</f>
        <v/>
      </c>
      <c r="V51" s="40">
        <f>SUMIF(MatchScoutingData!$E$2:$E$1000, $A51, MatchScoutingData!AB$2:AB$1000)</f>
        <v/>
      </c>
      <c r="W51" s="40">
        <f>SUMIF(MatchScoutingData!$E$2:$E$1000, $A51, MatchScoutingData!Y$2:Y$1000)</f>
        <v/>
      </c>
      <c r="X51" s="40">
        <f>SUMIF(MatchScoutingData!$E$2:$E$1000, $A51, MatchScoutingData!Z$2:Z$1000)</f>
        <v/>
      </c>
      <c r="Y51" s="40">
        <f>SUMIF(MatchScoutingData!$E$2:$E$1000, $A51, MatchScoutingData!AA$2:AA$1000)</f>
        <v/>
      </c>
      <c r="Z51" s="40">
        <f>SUM(W51:Y51)</f>
        <v/>
      </c>
    </row>
    <row r="52">
      <c r="A52" s="11" t="n">
        <v>7903</v>
      </c>
      <c r="B52" s="40">
        <f>COUNTIF(MatchScoutingData!E$2:E$1000, $A52)</f>
        <v/>
      </c>
      <c r="C52" s="40">
        <f>SUMIF(MatchScoutingData!$E$2:$E$1000, $A52, MatchScoutingData!F$2:F$1000)</f>
        <v/>
      </c>
      <c r="D52" s="40">
        <f>SUMIF(MatchScoutingData!$E$2:$E$1000, $A52, MatchScoutingData!G$2:G$1000)</f>
        <v/>
      </c>
      <c r="E52" s="40">
        <f>SUMIF(MatchScoutingData!$E$2:$E$1000, $A52, MatchScoutingData!H$2:H$1000)</f>
        <v/>
      </c>
      <c r="F52" s="40">
        <f>SUMIF(MatchScoutingData!$E$2:$E$1000, $A52, MatchScoutingData!I$2:I$1000)</f>
        <v/>
      </c>
      <c r="G52" s="40">
        <f>SUMIF(MatchScoutingData!$E$2:$E$1000, $A52, MatchScoutingData!J$2:J$1000)</f>
        <v/>
      </c>
      <c r="H52" s="40">
        <f>SUMIF(MatchScoutingData!$E$2:$E$1000, $A52, MatchScoutingData!K$2:K$1000)</f>
        <v/>
      </c>
      <c r="I52" s="40">
        <f>SUMIF(MatchScoutingData!$E$2:$E$1000, $A52, MatchScoutingData!L$2:L$1000)</f>
        <v/>
      </c>
      <c r="J52" s="40">
        <f>SUMIF(MatchScoutingData!$E$2:$E$1000, $A52, MatchScoutingData!M$2:M$1000)</f>
        <v/>
      </c>
      <c r="K52" s="40">
        <f>SUMIF(MatchScoutingData!$E$2:$E$1000, $A52, MatchScoutingData!N$2:N$1000)</f>
        <v/>
      </c>
      <c r="L52" s="40">
        <f>SUMIF(MatchScoutingData!$E$2:$E$1000, $A52, MatchScoutingData!O$2:O$1000)</f>
        <v/>
      </c>
      <c r="M52" s="40">
        <f>SUMIF(MatchScoutingData!$E$2:$E$1000, $A52, MatchScoutingData!P$2:P$1000)</f>
        <v/>
      </c>
      <c r="N52" s="40">
        <f>SUMIF(MatchScoutingData!$E$2:$E$1000, $A52, MatchScoutingData!Q$2:Q$1000)</f>
        <v/>
      </c>
      <c r="O52" s="40">
        <f>SUMIF(MatchScoutingData!$E$2:$E$1000, $A52, MatchScoutingData!R$2:R$1000)</f>
        <v/>
      </c>
      <c r="P52" s="40">
        <f>SUMIF(MatchScoutingData!$E$2:$E$1000, $A52, MatchScoutingData!S$2:S$1000)</f>
        <v/>
      </c>
      <c r="Q52" s="40">
        <f>SUMIF(MatchScoutingData!$E$2:$E$1000, $A52, MatchScoutingData!T$2:T$1000)</f>
        <v/>
      </c>
      <c r="R52" s="40">
        <f>SUMIF(MatchScoutingData!$E$2:$E$1000, $A52, MatchScoutingData!U$2:U$1000)</f>
        <v/>
      </c>
      <c r="S52" s="40">
        <f>SUMIF(MatchScoutingData!$E$2:$E$1000, $A52, MatchScoutingData!V$2:V$1000)</f>
        <v/>
      </c>
      <c r="T52" s="40">
        <f>SUMIF(MatchScoutingData!$E$2:$E$1000, $A52, MatchScoutingData!W$2:W$1000)</f>
        <v/>
      </c>
      <c r="U52" s="40">
        <f>SUMIF(MatchScoutingData!$E$2:$E$1000, $A52, MatchScoutingData!X$2:X$1000)</f>
        <v/>
      </c>
      <c r="V52" s="40">
        <f>SUMIF(MatchScoutingData!$E$2:$E$1000, $A52, MatchScoutingData!AB$2:AB$1000)</f>
        <v/>
      </c>
      <c r="W52" s="40">
        <f>SUMIF(MatchScoutingData!$E$2:$E$1000, $A52, MatchScoutingData!Y$2:Y$1000)</f>
        <v/>
      </c>
      <c r="X52" s="40">
        <f>SUMIF(MatchScoutingData!$E$2:$E$1000, $A52, MatchScoutingData!Z$2:Z$1000)</f>
        <v/>
      </c>
      <c r="Y52" s="40">
        <f>SUMIF(MatchScoutingData!$E$2:$E$1000, $A52, MatchScoutingData!AA$2:AA$1000)</f>
        <v/>
      </c>
      <c r="Z52" s="40">
        <f>SUM(W52:Y52)</f>
        <v/>
      </c>
    </row>
    <row r="53">
      <c r="A53" s="11" t="n">
        <v>8222</v>
      </c>
      <c r="B53" s="40">
        <f>COUNTIF(MatchScoutingData!E$2:E$1000, $A53)</f>
        <v/>
      </c>
      <c r="C53" s="40">
        <f>SUMIF(MatchScoutingData!$E$2:$E$1000, $A53, MatchScoutingData!F$2:F$1000)</f>
        <v/>
      </c>
      <c r="D53" s="40">
        <f>SUMIF(MatchScoutingData!$E$2:$E$1000, $A53, MatchScoutingData!G$2:G$1000)</f>
        <v/>
      </c>
      <c r="E53" s="40">
        <f>SUMIF(MatchScoutingData!$E$2:$E$1000, $A53, MatchScoutingData!H$2:H$1000)</f>
        <v/>
      </c>
      <c r="F53" s="40">
        <f>SUMIF(MatchScoutingData!$E$2:$E$1000, $A53, MatchScoutingData!I$2:I$1000)</f>
        <v/>
      </c>
      <c r="G53" s="40">
        <f>SUMIF(MatchScoutingData!$E$2:$E$1000, $A53, MatchScoutingData!J$2:J$1000)</f>
        <v/>
      </c>
      <c r="H53" s="40">
        <f>SUMIF(MatchScoutingData!$E$2:$E$1000, $A53, MatchScoutingData!K$2:K$1000)</f>
        <v/>
      </c>
      <c r="I53" s="40">
        <f>SUMIF(MatchScoutingData!$E$2:$E$1000, $A53, MatchScoutingData!L$2:L$1000)</f>
        <v/>
      </c>
      <c r="J53" s="40">
        <f>SUMIF(MatchScoutingData!$E$2:$E$1000, $A53, MatchScoutingData!M$2:M$1000)</f>
        <v/>
      </c>
      <c r="K53" s="40">
        <f>SUMIF(MatchScoutingData!$E$2:$E$1000, $A53, MatchScoutingData!N$2:N$1000)</f>
        <v/>
      </c>
      <c r="L53" s="40">
        <f>SUMIF(MatchScoutingData!$E$2:$E$1000, $A53, MatchScoutingData!O$2:O$1000)</f>
        <v/>
      </c>
      <c r="M53" s="40">
        <f>SUMIF(MatchScoutingData!$E$2:$E$1000, $A53, MatchScoutingData!P$2:P$1000)</f>
        <v/>
      </c>
      <c r="N53" s="40">
        <f>SUMIF(MatchScoutingData!$E$2:$E$1000, $A53, MatchScoutingData!Q$2:Q$1000)</f>
        <v/>
      </c>
      <c r="O53" s="40">
        <f>SUMIF(MatchScoutingData!$E$2:$E$1000, $A53, MatchScoutingData!R$2:R$1000)</f>
        <v/>
      </c>
      <c r="P53" s="40">
        <f>SUMIF(MatchScoutingData!$E$2:$E$1000, $A53, MatchScoutingData!S$2:S$1000)</f>
        <v/>
      </c>
      <c r="Q53" s="40">
        <f>SUMIF(MatchScoutingData!$E$2:$E$1000, $A53, MatchScoutingData!T$2:T$1000)</f>
        <v/>
      </c>
      <c r="R53" s="40">
        <f>SUMIF(MatchScoutingData!$E$2:$E$1000, $A53, MatchScoutingData!U$2:U$1000)</f>
        <v/>
      </c>
      <c r="S53" s="40">
        <f>SUMIF(MatchScoutingData!$E$2:$E$1000, $A53, MatchScoutingData!V$2:V$1000)</f>
        <v/>
      </c>
      <c r="T53" s="40">
        <f>SUMIF(MatchScoutingData!$E$2:$E$1000, $A53, MatchScoutingData!W$2:W$1000)</f>
        <v/>
      </c>
      <c r="U53" s="40">
        <f>SUMIF(MatchScoutingData!$E$2:$E$1000, $A53, MatchScoutingData!X$2:X$1000)</f>
        <v/>
      </c>
      <c r="V53" s="40">
        <f>SUMIF(MatchScoutingData!$E$2:$E$1000, $A53, MatchScoutingData!AB$2:AB$1000)</f>
        <v/>
      </c>
      <c r="W53" s="40">
        <f>SUMIF(MatchScoutingData!$E$2:$E$1000, $A53, MatchScoutingData!Y$2:Y$1000)</f>
        <v/>
      </c>
      <c r="X53" s="40">
        <f>SUMIF(MatchScoutingData!$E$2:$E$1000, $A53, MatchScoutingData!Z$2:Z$1000)</f>
        <v/>
      </c>
      <c r="Y53" s="40">
        <f>SUMIF(MatchScoutingData!$E$2:$E$1000, $A53, MatchScoutingData!AA$2:AA$1000)</f>
        <v/>
      </c>
      <c r="Z53" s="40">
        <f>SUM(W53:Y53)</f>
        <v/>
      </c>
    </row>
    <row r="54">
      <c r="A54" s="11" t="n">
        <v>9194</v>
      </c>
      <c r="B54" s="40">
        <f>COUNTIF(MatchScoutingData!E$2:E$1000, $A54)</f>
        <v/>
      </c>
      <c r="C54" s="40">
        <f>SUMIF(MatchScoutingData!$E$2:$E$1000, $A54, MatchScoutingData!F$2:F$1000)</f>
        <v/>
      </c>
      <c r="D54" s="40">
        <f>SUMIF(MatchScoutingData!$E$2:$E$1000, $A54, MatchScoutingData!G$2:G$1000)</f>
        <v/>
      </c>
      <c r="E54" s="40">
        <f>SUMIF(MatchScoutingData!$E$2:$E$1000, $A54, MatchScoutingData!H$2:H$1000)</f>
        <v/>
      </c>
      <c r="F54" s="40">
        <f>SUMIF(MatchScoutingData!$E$2:$E$1000, $A54, MatchScoutingData!I$2:I$1000)</f>
        <v/>
      </c>
      <c r="G54" s="40">
        <f>SUMIF(MatchScoutingData!$E$2:$E$1000, $A54, MatchScoutingData!J$2:J$1000)</f>
        <v/>
      </c>
      <c r="H54" s="40">
        <f>SUMIF(MatchScoutingData!$E$2:$E$1000, $A54, MatchScoutingData!K$2:K$1000)</f>
        <v/>
      </c>
      <c r="I54" s="40">
        <f>SUMIF(MatchScoutingData!$E$2:$E$1000, $A54, MatchScoutingData!L$2:L$1000)</f>
        <v/>
      </c>
      <c r="J54" s="40">
        <f>SUMIF(MatchScoutingData!$E$2:$E$1000, $A54, MatchScoutingData!M$2:M$1000)</f>
        <v/>
      </c>
      <c r="K54" s="40">
        <f>SUMIF(MatchScoutingData!$E$2:$E$1000, $A54, MatchScoutingData!N$2:N$1000)</f>
        <v/>
      </c>
      <c r="L54" s="40">
        <f>SUMIF(MatchScoutingData!$E$2:$E$1000, $A54, MatchScoutingData!O$2:O$1000)</f>
        <v/>
      </c>
      <c r="M54" s="40">
        <f>SUMIF(MatchScoutingData!$E$2:$E$1000, $A54, MatchScoutingData!P$2:P$1000)</f>
        <v/>
      </c>
      <c r="N54" s="40">
        <f>SUMIF(MatchScoutingData!$E$2:$E$1000, $A54, MatchScoutingData!Q$2:Q$1000)</f>
        <v/>
      </c>
      <c r="O54" s="40">
        <f>SUMIF(MatchScoutingData!$E$2:$E$1000, $A54, MatchScoutingData!R$2:R$1000)</f>
        <v/>
      </c>
      <c r="P54" s="40">
        <f>SUMIF(MatchScoutingData!$E$2:$E$1000, $A54, MatchScoutingData!S$2:S$1000)</f>
        <v/>
      </c>
      <c r="Q54" s="40">
        <f>SUMIF(MatchScoutingData!$E$2:$E$1000, $A54, MatchScoutingData!T$2:T$1000)</f>
        <v/>
      </c>
      <c r="R54" s="40">
        <f>SUMIF(MatchScoutingData!$E$2:$E$1000, $A54, MatchScoutingData!U$2:U$1000)</f>
        <v/>
      </c>
      <c r="S54" s="40">
        <f>SUMIF(MatchScoutingData!$E$2:$E$1000, $A54, MatchScoutingData!V$2:V$1000)</f>
        <v/>
      </c>
      <c r="T54" s="40">
        <f>SUMIF(MatchScoutingData!$E$2:$E$1000, $A54, MatchScoutingData!W$2:W$1000)</f>
        <v/>
      </c>
      <c r="U54" s="40">
        <f>SUMIF(MatchScoutingData!$E$2:$E$1000, $A54, MatchScoutingData!X$2:X$1000)</f>
        <v/>
      </c>
      <c r="V54" s="40">
        <f>SUMIF(MatchScoutingData!$E$2:$E$1000, $A54, MatchScoutingData!AB$2:AB$1000)</f>
        <v/>
      </c>
      <c r="W54" s="40">
        <f>SUMIF(MatchScoutingData!$E$2:$E$1000, $A54, MatchScoutingData!Y$2:Y$1000)</f>
        <v/>
      </c>
      <c r="X54" s="40">
        <f>SUMIF(MatchScoutingData!$E$2:$E$1000, $A54, MatchScoutingData!Z$2:Z$1000)</f>
        <v/>
      </c>
      <c r="Y54" s="40">
        <f>SUMIF(MatchScoutingData!$E$2:$E$1000, $A54, MatchScoutingData!AA$2:AA$1000)</f>
        <v/>
      </c>
      <c r="Z54" s="40">
        <f>SUM(W54:Y54)</f>
        <v/>
      </c>
    </row>
    <row r="55">
      <c r="A55" s="11" t="n">
        <v>9545</v>
      </c>
      <c r="B55" s="40">
        <f>COUNTIF(MatchScoutingData!E$2:E$1000, $A55)</f>
        <v/>
      </c>
      <c r="C55" s="40">
        <f>SUMIF(MatchScoutingData!$E$2:$E$1000, $A55, MatchScoutingData!F$2:F$1000)</f>
        <v/>
      </c>
      <c r="D55" s="40">
        <f>SUMIF(MatchScoutingData!$E$2:$E$1000, $A55, MatchScoutingData!G$2:G$1000)</f>
        <v/>
      </c>
      <c r="E55" s="40">
        <f>SUMIF(MatchScoutingData!$E$2:$E$1000, $A55, MatchScoutingData!H$2:H$1000)</f>
        <v/>
      </c>
      <c r="F55" s="40">
        <f>SUMIF(MatchScoutingData!$E$2:$E$1000, $A55, MatchScoutingData!I$2:I$1000)</f>
        <v/>
      </c>
      <c r="G55" s="40">
        <f>SUMIF(MatchScoutingData!$E$2:$E$1000, $A55, MatchScoutingData!J$2:J$1000)</f>
        <v/>
      </c>
      <c r="H55" s="40">
        <f>SUMIF(MatchScoutingData!$E$2:$E$1000, $A55, MatchScoutingData!K$2:K$1000)</f>
        <v/>
      </c>
      <c r="I55" s="40">
        <f>SUMIF(MatchScoutingData!$E$2:$E$1000, $A55, MatchScoutingData!L$2:L$1000)</f>
        <v/>
      </c>
      <c r="J55" s="40">
        <f>SUMIF(MatchScoutingData!$E$2:$E$1000, $A55, MatchScoutingData!M$2:M$1000)</f>
        <v/>
      </c>
      <c r="K55" s="40">
        <f>SUMIF(MatchScoutingData!$E$2:$E$1000, $A55, MatchScoutingData!N$2:N$1000)</f>
        <v/>
      </c>
      <c r="L55" s="40">
        <f>SUMIF(MatchScoutingData!$E$2:$E$1000, $A55, MatchScoutingData!O$2:O$1000)</f>
        <v/>
      </c>
      <c r="M55" s="40">
        <f>SUMIF(MatchScoutingData!$E$2:$E$1000, $A55, MatchScoutingData!P$2:P$1000)</f>
        <v/>
      </c>
      <c r="N55" s="40">
        <f>SUMIF(MatchScoutingData!$E$2:$E$1000, $A55, MatchScoutingData!Q$2:Q$1000)</f>
        <v/>
      </c>
      <c r="O55" s="40">
        <f>SUMIF(MatchScoutingData!$E$2:$E$1000, $A55, MatchScoutingData!R$2:R$1000)</f>
        <v/>
      </c>
      <c r="P55" s="40">
        <f>SUMIF(MatchScoutingData!$E$2:$E$1000, $A55, MatchScoutingData!S$2:S$1000)</f>
        <v/>
      </c>
      <c r="Q55" s="40">
        <f>SUMIF(MatchScoutingData!$E$2:$E$1000, $A55, MatchScoutingData!T$2:T$1000)</f>
        <v/>
      </c>
      <c r="R55" s="40">
        <f>SUMIF(MatchScoutingData!$E$2:$E$1000, $A55, MatchScoutingData!U$2:U$1000)</f>
        <v/>
      </c>
      <c r="S55" s="40">
        <f>SUMIF(MatchScoutingData!$E$2:$E$1000, $A55, MatchScoutingData!V$2:V$1000)</f>
        <v/>
      </c>
      <c r="T55" s="40">
        <f>SUMIF(MatchScoutingData!$E$2:$E$1000, $A55, MatchScoutingData!W$2:W$1000)</f>
        <v/>
      </c>
      <c r="U55" s="40">
        <f>SUMIF(MatchScoutingData!$E$2:$E$1000, $A55, MatchScoutingData!X$2:X$1000)</f>
        <v/>
      </c>
      <c r="V55" s="40">
        <f>SUMIF(MatchScoutingData!$E$2:$E$1000, $A55, MatchScoutingData!AB$2:AB$1000)</f>
        <v/>
      </c>
      <c r="W55" s="40">
        <f>SUMIF(MatchScoutingData!$E$2:$E$1000, $A55, MatchScoutingData!Y$2:Y$1000)</f>
        <v/>
      </c>
      <c r="X55" s="40">
        <f>SUMIF(MatchScoutingData!$E$2:$E$1000, $A55, MatchScoutingData!Z$2:Z$1000)</f>
        <v/>
      </c>
      <c r="Y55" s="40">
        <f>SUMIF(MatchScoutingData!$E$2:$E$1000, $A55, MatchScoutingData!AA$2:AA$1000)</f>
        <v/>
      </c>
      <c r="Z55" s="40">
        <f>SUM(W55:Y55)</f>
        <v/>
      </c>
    </row>
    <row r="56">
      <c r="A56" s="11" t="n">
        <v>9624</v>
      </c>
      <c r="B56" s="40">
        <f>COUNTIF(MatchScoutingData!E$2:E$1000, $A56)</f>
        <v/>
      </c>
      <c r="C56" s="40">
        <f>SUMIF(MatchScoutingData!$E$2:$E$1000, $A56, MatchScoutingData!F$2:F$1000)</f>
        <v/>
      </c>
      <c r="D56" s="40">
        <f>SUMIF(MatchScoutingData!$E$2:$E$1000, $A56, MatchScoutingData!G$2:G$1000)</f>
        <v/>
      </c>
      <c r="E56" s="40">
        <f>SUMIF(MatchScoutingData!$E$2:$E$1000, $A56, MatchScoutingData!H$2:H$1000)</f>
        <v/>
      </c>
      <c r="F56" s="40">
        <f>SUMIF(MatchScoutingData!$E$2:$E$1000, $A56, MatchScoutingData!I$2:I$1000)</f>
        <v/>
      </c>
      <c r="G56" s="40">
        <f>SUMIF(MatchScoutingData!$E$2:$E$1000, $A56, MatchScoutingData!J$2:J$1000)</f>
        <v/>
      </c>
      <c r="H56" s="40">
        <f>SUMIF(MatchScoutingData!$E$2:$E$1000, $A56, MatchScoutingData!K$2:K$1000)</f>
        <v/>
      </c>
      <c r="I56" s="40">
        <f>SUMIF(MatchScoutingData!$E$2:$E$1000, $A56, MatchScoutingData!L$2:L$1000)</f>
        <v/>
      </c>
      <c r="J56" s="40">
        <f>SUMIF(MatchScoutingData!$E$2:$E$1000, $A56, MatchScoutingData!M$2:M$1000)</f>
        <v/>
      </c>
      <c r="K56" s="40">
        <f>SUMIF(MatchScoutingData!$E$2:$E$1000, $A56, MatchScoutingData!N$2:N$1000)</f>
        <v/>
      </c>
      <c r="L56" s="40">
        <f>SUMIF(MatchScoutingData!$E$2:$E$1000, $A56, MatchScoutingData!O$2:O$1000)</f>
        <v/>
      </c>
      <c r="M56" s="40">
        <f>SUMIF(MatchScoutingData!$E$2:$E$1000, $A56, MatchScoutingData!P$2:P$1000)</f>
        <v/>
      </c>
      <c r="N56" s="40">
        <f>SUMIF(MatchScoutingData!$E$2:$E$1000, $A56, MatchScoutingData!Q$2:Q$1000)</f>
        <v/>
      </c>
      <c r="O56" s="40">
        <f>SUMIF(MatchScoutingData!$E$2:$E$1000, $A56, MatchScoutingData!R$2:R$1000)</f>
        <v/>
      </c>
      <c r="P56" s="40">
        <f>SUMIF(MatchScoutingData!$E$2:$E$1000, $A56, MatchScoutingData!S$2:S$1000)</f>
        <v/>
      </c>
      <c r="Q56" s="40">
        <f>SUMIF(MatchScoutingData!$E$2:$E$1000, $A56, MatchScoutingData!T$2:T$1000)</f>
        <v/>
      </c>
      <c r="R56" s="40">
        <f>SUMIF(MatchScoutingData!$E$2:$E$1000, $A56, MatchScoutingData!U$2:U$1000)</f>
        <v/>
      </c>
      <c r="S56" s="40">
        <f>SUMIF(MatchScoutingData!$E$2:$E$1000, $A56, MatchScoutingData!V$2:V$1000)</f>
        <v/>
      </c>
      <c r="T56" s="40">
        <f>SUMIF(MatchScoutingData!$E$2:$E$1000, $A56, MatchScoutingData!W$2:W$1000)</f>
        <v/>
      </c>
      <c r="U56" s="40">
        <f>SUMIF(MatchScoutingData!$E$2:$E$1000, $A56, MatchScoutingData!X$2:X$1000)</f>
        <v/>
      </c>
      <c r="V56" s="40">
        <f>SUMIF(MatchScoutingData!$E$2:$E$1000, $A56, MatchScoutingData!AB$2:AB$1000)</f>
        <v/>
      </c>
      <c r="W56" s="40">
        <f>SUMIF(MatchScoutingData!$E$2:$E$1000, $A56, MatchScoutingData!Y$2:Y$1000)</f>
        <v/>
      </c>
      <c r="X56" s="40">
        <f>SUMIF(MatchScoutingData!$E$2:$E$1000, $A56, MatchScoutingData!Z$2:Z$1000)</f>
        <v/>
      </c>
      <c r="Y56" s="40">
        <f>SUMIF(MatchScoutingData!$E$2:$E$1000, $A56, MatchScoutingData!AA$2:AA$1000)</f>
        <v/>
      </c>
      <c r="Z56" s="40">
        <f>SUM(W56:Y56)</f>
        <v/>
      </c>
    </row>
    <row r="57">
      <c r="A57" s="11" t="n">
        <v>10202</v>
      </c>
      <c r="B57" s="40">
        <f>COUNTIF(MatchScoutingData!E$2:E$1000, $A57)</f>
        <v/>
      </c>
      <c r="C57" s="40">
        <f>SUMIF(MatchScoutingData!$E$2:$E$1000, $A57, MatchScoutingData!F$2:F$1000)</f>
        <v/>
      </c>
      <c r="D57" s="40">
        <f>SUMIF(MatchScoutingData!$E$2:$E$1000, $A57, MatchScoutingData!G$2:G$1000)</f>
        <v/>
      </c>
      <c r="E57" s="40">
        <f>SUMIF(MatchScoutingData!$E$2:$E$1000, $A57, MatchScoutingData!H$2:H$1000)</f>
        <v/>
      </c>
      <c r="F57" s="40">
        <f>SUMIF(MatchScoutingData!$E$2:$E$1000, $A57, MatchScoutingData!I$2:I$1000)</f>
        <v/>
      </c>
      <c r="G57" s="40">
        <f>SUMIF(MatchScoutingData!$E$2:$E$1000, $A57, MatchScoutingData!J$2:J$1000)</f>
        <v/>
      </c>
      <c r="H57" s="40">
        <f>SUMIF(MatchScoutingData!$E$2:$E$1000, $A57, MatchScoutingData!K$2:K$1000)</f>
        <v/>
      </c>
      <c r="I57" s="40">
        <f>SUMIF(MatchScoutingData!$E$2:$E$1000, $A57, MatchScoutingData!L$2:L$1000)</f>
        <v/>
      </c>
      <c r="J57" s="40">
        <f>SUMIF(MatchScoutingData!$E$2:$E$1000, $A57, MatchScoutingData!M$2:M$1000)</f>
        <v/>
      </c>
      <c r="K57" s="40">
        <f>SUMIF(MatchScoutingData!$E$2:$E$1000, $A57, MatchScoutingData!N$2:N$1000)</f>
        <v/>
      </c>
      <c r="L57" s="40">
        <f>SUMIF(MatchScoutingData!$E$2:$E$1000, $A57, MatchScoutingData!O$2:O$1000)</f>
        <v/>
      </c>
      <c r="M57" s="40">
        <f>SUMIF(MatchScoutingData!$E$2:$E$1000, $A57, MatchScoutingData!P$2:P$1000)</f>
        <v/>
      </c>
      <c r="N57" s="40">
        <f>SUMIF(MatchScoutingData!$E$2:$E$1000, $A57, MatchScoutingData!Q$2:Q$1000)</f>
        <v/>
      </c>
      <c r="O57" s="40">
        <f>SUMIF(MatchScoutingData!$E$2:$E$1000, $A57, MatchScoutingData!R$2:R$1000)</f>
        <v/>
      </c>
      <c r="P57" s="40">
        <f>SUMIF(MatchScoutingData!$E$2:$E$1000, $A57, MatchScoutingData!S$2:S$1000)</f>
        <v/>
      </c>
      <c r="Q57" s="40">
        <f>SUMIF(MatchScoutingData!$E$2:$E$1000, $A57, MatchScoutingData!T$2:T$1000)</f>
        <v/>
      </c>
      <c r="R57" s="40">
        <f>SUMIF(MatchScoutingData!$E$2:$E$1000, $A57, MatchScoutingData!U$2:U$1000)</f>
        <v/>
      </c>
      <c r="S57" s="40">
        <f>SUMIF(MatchScoutingData!$E$2:$E$1000, $A57, MatchScoutingData!V$2:V$1000)</f>
        <v/>
      </c>
      <c r="T57" s="40">
        <f>SUMIF(MatchScoutingData!$E$2:$E$1000, $A57, MatchScoutingData!W$2:W$1000)</f>
        <v/>
      </c>
      <c r="U57" s="40">
        <f>SUMIF(MatchScoutingData!$E$2:$E$1000, $A57, MatchScoutingData!X$2:X$1000)</f>
        <v/>
      </c>
      <c r="V57" s="40">
        <f>SUMIF(MatchScoutingData!$E$2:$E$1000, $A57, MatchScoutingData!AB$2:AB$1000)</f>
        <v/>
      </c>
      <c r="W57" s="40">
        <f>SUMIF(MatchScoutingData!$E$2:$E$1000, $A57, MatchScoutingData!Y$2:Y$1000)</f>
        <v/>
      </c>
      <c r="X57" s="40">
        <f>SUMIF(MatchScoutingData!$E$2:$E$1000, $A57, MatchScoutingData!Z$2:Z$1000)</f>
        <v/>
      </c>
      <c r="Y57" s="40">
        <f>SUMIF(MatchScoutingData!$E$2:$E$1000, $A57, MatchScoutingData!AA$2:AA$1000)</f>
        <v/>
      </c>
      <c r="Z57" s="40">
        <f>SUM(W57:Y57)</f>
        <v/>
      </c>
    </row>
    <row r="58">
      <c r="A58" s="11" t="n">
        <v>10413</v>
      </c>
      <c r="B58" s="40">
        <f>COUNTIF(MatchScoutingData!E$2:E$1000, $A58)</f>
        <v/>
      </c>
      <c r="C58" s="40">
        <f>SUMIF(MatchScoutingData!$E$2:$E$1000, $A58, MatchScoutingData!F$2:F$1000)</f>
        <v/>
      </c>
      <c r="D58" s="40">
        <f>SUMIF(MatchScoutingData!$E$2:$E$1000, $A58, MatchScoutingData!G$2:G$1000)</f>
        <v/>
      </c>
      <c r="E58" s="40">
        <f>SUMIF(MatchScoutingData!$E$2:$E$1000, $A58, MatchScoutingData!H$2:H$1000)</f>
        <v/>
      </c>
      <c r="F58" s="40">
        <f>SUMIF(MatchScoutingData!$E$2:$E$1000, $A58, MatchScoutingData!I$2:I$1000)</f>
        <v/>
      </c>
      <c r="G58" s="40">
        <f>SUMIF(MatchScoutingData!$E$2:$E$1000, $A58, MatchScoutingData!J$2:J$1000)</f>
        <v/>
      </c>
      <c r="H58" s="40">
        <f>SUMIF(MatchScoutingData!$E$2:$E$1000, $A58, MatchScoutingData!K$2:K$1000)</f>
        <v/>
      </c>
      <c r="I58" s="40">
        <f>SUMIF(MatchScoutingData!$E$2:$E$1000, $A58, MatchScoutingData!L$2:L$1000)</f>
        <v/>
      </c>
      <c r="J58" s="40">
        <f>SUMIF(MatchScoutingData!$E$2:$E$1000, $A58, MatchScoutingData!M$2:M$1000)</f>
        <v/>
      </c>
      <c r="K58" s="40">
        <f>SUMIF(MatchScoutingData!$E$2:$E$1000, $A58, MatchScoutingData!N$2:N$1000)</f>
        <v/>
      </c>
      <c r="L58" s="40">
        <f>SUMIF(MatchScoutingData!$E$2:$E$1000, $A58, MatchScoutingData!O$2:O$1000)</f>
        <v/>
      </c>
      <c r="M58" s="40">
        <f>SUMIF(MatchScoutingData!$E$2:$E$1000, $A58, MatchScoutingData!P$2:P$1000)</f>
        <v/>
      </c>
      <c r="N58" s="40">
        <f>SUMIF(MatchScoutingData!$E$2:$E$1000, $A58, MatchScoutingData!Q$2:Q$1000)</f>
        <v/>
      </c>
      <c r="O58" s="40">
        <f>SUMIF(MatchScoutingData!$E$2:$E$1000, $A58, MatchScoutingData!R$2:R$1000)</f>
        <v/>
      </c>
      <c r="P58" s="40">
        <f>SUMIF(MatchScoutingData!$E$2:$E$1000, $A58, MatchScoutingData!S$2:S$1000)</f>
        <v/>
      </c>
      <c r="Q58" s="40">
        <f>SUMIF(MatchScoutingData!$E$2:$E$1000, $A58, MatchScoutingData!T$2:T$1000)</f>
        <v/>
      </c>
      <c r="R58" s="40">
        <f>SUMIF(MatchScoutingData!$E$2:$E$1000, $A58, MatchScoutingData!U$2:U$1000)</f>
        <v/>
      </c>
      <c r="S58" s="40">
        <f>SUMIF(MatchScoutingData!$E$2:$E$1000, $A58, MatchScoutingData!V$2:V$1000)</f>
        <v/>
      </c>
      <c r="T58" s="40">
        <f>SUMIF(MatchScoutingData!$E$2:$E$1000, $A58, MatchScoutingData!W$2:W$1000)</f>
        <v/>
      </c>
      <c r="U58" s="40">
        <f>SUMIF(MatchScoutingData!$E$2:$E$1000, $A58, MatchScoutingData!X$2:X$1000)</f>
        <v/>
      </c>
      <c r="V58" s="40">
        <f>SUMIF(MatchScoutingData!$E$2:$E$1000, $A58, MatchScoutingData!AB$2:AB$1000)</f>
        <v/>
      </c>
      <c r="W58" s="40">
        <f>SUMIF(MatchScoutingData!$E$2:$E$1000, $A58, MatchScoutingData!Y$2:Y$1000)</f>
        <v/>
      </c>
      <c r="X58" s="40">
        <f>SUMIF(MatchScoutingData!$E$2:$E$1000, $A58, MatchScoutingData!Z$2:Z$1000)</f>
        <v/>
      </c>
      <c r="Y58" s="40">
        <f>SUMIF(MatchScoutingData!$E$2:$E$1000, $A58, MatchScoutingData!AA$2:AA$1000)</f>
        <v/>
      </c>
      <c r="Z58" s="40">
        <f>SUM(W58:Y58)</f>
        <v/>
      </c>
    </row>
    <row r="59">
      <c r="A59" s="11" t="n">
        <v>10582</v>
      </c>
      <c r="B59" s="40">
        <f>COUNTIF(MatchScoutingData!E$2:E$1000, $A59)</f>
        <v/>
      </c>
      <c r="C59" s="40">
        <f>SUMIF(MatchScoutingData!$E$2:$E$1000, $A59, MatchScoutingData!F$2:F$1000)</f>
        <v/>
      </c>
      <c r="D59" s="40">
        <f>SUMIF(MatchScoutingData!$E$2:$E$1000, $A59, MatchScoutingData!G$2:G$1000)</f>
        <v/>
      </c>
      <c r="E59" s="40">
        <f>SUMIF(MatchScoutingData!$E$2:$E$1000, $A59, MatchScoutingData!H$2:H$1000)</f>
        <v/>
      </c>
      <c r="F59" s="40">
        <f>SUMIF(MatchScoutingData!$E$2:$E$1000, $A59, MatchScoutingData!I$2:I$1000)</f>
        <v/>
      </c>
      <c r="G59" s="40">
        <f>SUMIF(MatchScoutingData!$E$2:$E$1000, $A59, MatchScoutingData!J$2:J$1000)</f>
        <v/>
      </c>
      <c r="H59" s="40">
        <f>SUMIF(MatchScoutingData!$E$2:$E$1000, $A59, MatchScoutingData!K$2:K$1000)</f>
        <v/>
      </c>
      <c r="I59" s="40">
        <f>SUMIF(MatchScoutingData!$E$2:$E$1000, $A59, MatchScoutingData!L$2:L$1000)</f>
        <v/>
      </c>
      <c r="J59" s="40">
        <f>SUMIF(MatchScoutingData!$E$2:$E$1000, $A59, MatchScoutingData!M$2:M$1000)</f>
        <v/>
      </c>
      <c r="K59" s="40">
        <f>SUMIF(MatchScoutingData!$E$2:$E$1000, $A59, MatchScoutingData!N$2:N$1000)</f>
        <v/>
      </c>
      <c r="L59" s="40">
        <f>SUMIF(MatchScoutingData!$E$2:$E$1000, $A59, MatchScoutingData!O$2:O$1000)</f>
        <v/>
      </c>
      <c r="M59" s="40">
        <f>SUMIF(MatchScoutingData!$E$2:$E$1000, $A59, MatchScoutingData!P$2:P$1000)</f>
        <v/>
      </c>
      <c r="N59" s="40">
        <f>SUMIF(MatchScoutingData!$E$2:$E$1000, $A59, MatchScoutingData!Q$2:Q$1000)</f>
        <v/>
      </c>
      <c r="O59" s="40">
        <f>SUMIF(MatchScoutingData!$E$2:$E$1000, $A59, MatchScoutingData!R$2:R$1000)</f>
        <v/>
      </c>
      <c r="P59" s="40">
        <f>SUMIF(MatchScoutingData!$E$2:$E$1000, $A59, MatchScoutingData!S$2:S$1000)</f>
        <v/>
      </c>
      <c r="Q59" s="40">
        <f>SUMIF(MatchScoutingData!$E$2:$E$1000, $A59, MatchScoutingData!T$2:T$1000)</f>
        <v/>
      </c>
      <c r="R59" s="40">
        <f>SUMIF(MatchScoutingData!$E$2:$E$1000, $A59, MatchScoutingData!U$2:U$1000)</f>
        <v/>
      </c>
      <c r="S59" s="40">
        <f>SUMIF(MatchScoutingData!$E$2:$E$1000, $A59, MatchScoutingData!V$2:V$1000)</f>
        <v/>
      </c>
      <c r="T59" s="40">
        <f>SUMIF(MatchScoutingData!$E$2:$E$1000, $A59, MatchScoutingData!W$2:W$1000)</f>
        <v/>
      </c>
      <c r="U59" s="40">
        <f>SUMIF(MatchScoutingData!$E$2:$E$1000, $A59, MatchScoutingData!X$2:X$1000)</f>
        <v/>
      </c>
      <c r="V59" s="40">
        <f>SUMIF(MatchScoutingData!$E$2:$E$1000, $A59, MatchScoutingData!AB$2:AB$1000)</f>
        <v/>
      </c>
      <c r="W59" s="40">
        <f>SUMIF(MatchScoutingData!$E$2:$E$1000, $A59, MatchScoutingData!Y$2:Y$1000)</f>
        <v/>
      </c>
      <c r="X59" s="40">
        <f>SUMIF(MatchScoutingData!$E$2:$E$1000, $A59, MatchScoutingData!Z$2:Z$1000)</f>
        <v/>
      </c>
      <c r="Y59" s="40">
        <f>SUMIF(MatchScoutingData!$E$2:$E$1000, $A59, MatchScoutingData!AA$2:AA$1000)</f>
        <v/>
      </c>
      <c r="Z59" s="40">
        <f>SUM(W59:Y59)</f>
        <v/>
      </c>
    </row>
    <row r="60">
      <c r="A60" s="11" t="n">
        <v>10604</v>
      </c>
      <c r="B60" s="40">
        <f>COUNTIF(MatchScoutingData!E$2:E$1000, $A60)</f>
        <v/>
      </c>
      <c r="C60" s="40">
        <f>SUMIF(MatchScoutingData!$E$2:$E$1000, $A60, MatchScoutingData!F$2:F$1000)</f>
        <v/>
      </c>
      <c r="D60" s="40">
        <f>SUMIF(MatchScoutingData!$E$2:$E$1000, $A60, MatchScoutingData!G$2:G$1000)</f>
        <v/>
      </c>
      <c r="E60" s="40">
        <f>SUMIF(MatchScoutingData!$E$2:$E$1000, $A60, MatchScoutingData!H$2:H$1000)</f>
        <v/>
      </c>
      <c r="F60" s="40">
        <f>SUMIF(MatchScoutingData!$E$2:$E$1000, $A60, MatchScoutingData!I$2:I$1000)</f>
        <v/>
      </c>
      <c r="G60" s="40">
        <f>SUMIF(MatchScoutingData!$E$2:$E$1000, $A60, MatchScoutingData!J$2:J$1000)</f>
        <v/>
      </c>
      <c r="H60" s="40">
        <f>SUMIF(MatchScoutingData!$E$2:$E$1000, $A60, MatchScoutingData!K$2:K$1000)</f>
        <v/>
      </c>
      <c r="I60" s="40">
        <f>SUMIF(MatchScoutingData!$E$2:$E$1000, $A60, MatchScoutingData!L$2:L$1000)</f>
        <v/>
      </c>
      <c r="J60" s="40">
        <f>SUMIF(MatchScoutingData!$E$2:$E$1000, $A60, MatchScoutingData!M$2:M$1000)</f>
        <v/>
      </c>
      <c r="K60" s="40">
        <f>SUMIF(MatchScoutingData!$E$2:$E$1000, $A60, MatchScoutingData!N$2:N$1000)</f>
        <v/>
      </c>
      <c r="L60" s="40">
        <f>SUMIF(MatchScoutingData!$E$2:$E$1000, $A60, MatchScoutingData!O$2:O$1000)</f>
        <v/>
      </c>
      <c r="M60" s="40">
        <f>SUMIF(MatchScoutingData!$E$2:$E$1000, $A60, MatchScoutingData!P$2:P$1000)</f>
        <v/>
      </c>
      <c r="N60" s="40">
        <f>SUMIF(MatchScoutingData!$E$2:$E$1000, $A60, MatchScoutingData!Q$2:Q$1000)</f>
        <v/>
      </c>
      <c r="O60" s="40">
        <f>SUMIF(MatchScoutingData!$E$2:$E$1000, $A60, MatchScoutingData!R$2:R$1000)</f>
        <v/>
      </c>
      <c r="P60" s="40">
        <f>SUMIF(MatchScoutingData!$E$2:$E$1000, $A60, MatchScoutingData!S$2:S$1000)</f>
        <v/>
      </c>
      <c r="Q60" s="40">
        <f>SUMIF(MatchScoutingData!$E$2:$E$1000, $A60, MatchScoutingData!T$2:T$1000)</f>
        <v/>
      </c>
      <c r="R60" s="40">
        <f>SUMIF(MatchScoutingData!$E$2:$E$1000, $A60, MatchScoutingData!U$2:U$1000)</f>
        <v/>
      </c>
      <c r="S60" s="40">
        <f>SUMIF(MatchScoutingData!$E$2:$E$1000, $A60, MatchScoutingData!V$2:V$1000)</f>
        <v/>
      </c>
      <c r="T60" s="40">
        <f>SUMIF(MatchScoutingData!$E$2:$E$1000, $A60, MatchScoutingData!W$2:W$1000)</f>
        <v/>
      </c>
      <c r="U60" s="40">
        <f>SUMIF(MatchScoutingData!$E$2:$E$1000, $A60, MatchScoutingData!X$2:X$1000)</f>
        <v/>
      </c>
      <c r="V60" s="40">
        <f>SUMIF(MatchScoutingData!$E$2:$E$1000, $A60, MatchScoutingData!AB$2:AB$1000)</f>
        <v/>
      </c>
      <c r="W60" s="40">
        <f>SUMIF(MatchScoutingData!$E$2:$E$1000, $A60, MatchScoutingData!Y$2:Y$1000)</f>
        <v/>
      </c>
      <c r="X60" s="40">
        <f>SUMIF(MatchScoutingData!$E$2:$E$1000, $A60, MatchScoutingData!Z$2:Z$1000)</f>
        <v/>
      </c>
      <c r="Y60" s="40">
        <f>SUMIF(MatchScoutingData!$E$2:$E$1000, $A60, MatchScoutingData!AA$2:AA$1000)</f>
        <v/>
      </c>
      <c r="Z60" s="40">
        <f>SUM(W60:Y60)</f>
        <v/>
      </c>
    </row>
    <row r="61">
      <c r="A61" s="11" t="n">
        <v>10714</v>
      </c>
      <c r="B61" s="40">
        <f>COUNTIF(MatchScoutingData!E$2:E$1000, $A61)</f>
        <v/>
      </c>
      <c r="C61" s="40">
        <f>SUMIF(MatchScoutingData!$E$2:$E$1000, $A61, MatchScoutingData!F$2:F$1000)</f>
        <v/>
      </c>
      <c r="D61" s="40">
        <f>SUMIF(MatchScoutingData!$E$2:$E$1000, $A61, MatchScoutingData!G$2:G$1000)</f>
        <v/>
      </c>
      <c r="E61" s="40">
        <f>SUMIF(MatchScoutingData!$E$2:$E$1000, $A61, MatchScoutingData!H$2:H$1000)</f>
        <v/>
      </c>
      <c r="F61" s="40">
        <f>SUMIF(MatchScoutingData!$E$2:$E$1000, $A61, MatchScoutingData!I$2:I$1000)</f>
        <v/>
      </c>
      <c r="G61" s="40">
        <f>SUMIF(MatchScoutingData!$E$2:$E$1000, $A61, MatchScoutingData!J$2:J$1000)</f>
        <v/>
      </c>
      <c r="H61" s="40">
        <f>SUMIF(MatchScoutingData!$E$2:$E$1000, $A61, MatchScoutingData!K$2:K$1000)</f>
        <v/>
      </c>
      <c r="I61" s="40">
        <f>SUMIF(MatchScoutingData!$E$2:$E$1000, $A61, MatchScoutingData!L$2:L$1000)</f>
        <v/>
      </c>
      <c r="J61" s="40">
        <f>SUMIF(MatchScoutingData!$E$2:$E$1000, $A61, MatchScoutingData!M$2:M$1000)</f>
        <v/>
      </c>
      <c r="K61" s="40">
        <f>SUMIF(MatchScoutingData!$E$2:$E$1000, $A61, MatchScoutingData!N$2:N$1000)</f>
        <v/>
      </c>
      <c r="L61" s="40">
        <f>SUMIF(MatchScoutingData!$E$2:$E$1000, $A61, MatchScoutingData!O$2:O$1000)</f>
        <v/>
      </c>
      <c r="M61" s="40">
        <f>SUMIF(MatchScoutingData!$E$2:$E$1000, $A61, MatchScoutingData!P$2:P$1000)</f>
        <v/>
      </c>
      <c r="N61" s="40">
        <f>SUMIF(MatchScoutingData!$E$2:$E$1000, $A61, MatchScoutingData!Q$2:Q$1000)</f>
        <v/>
      </c>
      <c r="O61" s="40">
        <f>SUMIF(MatchScoutingData!$E$2:$E$1000, $A61, MatchScoutingData!R$2:R$1000)</f>
        <v/>
      </c>
      <c r="P61" s="40">
        <f>SUMIF(MatchScoutingData!$E$2:$E$1000, $A61, MatchScoutingData!S$2:S$1000)</f>
        <v/>
      </c>
      <c r="Q61" s="40">
        <f>SUMIF(MatchScoutingData!$E$2:$E$1000, $A61, MatchScoutingData!T$2:T$1000)</f>
        <v/>
      </c>
      <c r="R61" s="40">
        <f>SUMIF(MatchScoutingData!$E$2:$E$1000, $A61, MatchScoutingData!U$2:U$1000)</f>
        <v/>
      </c>
      <c r="S61" s="40">
        <f>SUMIF(MatchScoutingData!$E$2:$E$1000, $A61, MatchScoutingData!V$2:V$1000)</f>
        <v/>
      </c>
      <c r="T61" s="40">
        <f>SUMIF(MatchScoutingData!$E$2:$E$1000, $A61, MatchScoutingData!W$2:W$1000)</f>
        <v/>
      </c>
      <c r="U61" s="40">
        <f>SUMIF(MatchScoutingData!$E$2:$E$1000, $A61, MatchScoutingData!X$2:X$1000)</f>
        <v/>
      </c>
      <c r="V61" s="40">
        <f>SUMIF(MatchScoutingData!$E$2:$E$1000, $A61, MatchScoutingData!AB$2:AB$1000)</f>
        <v/>
      </c>
      <c r="W61" s="40">
        <f>SUMIF(MatchScoutingData!$E$2:$E$1000, $A61, MatchScoutingData!Y$2:Y$1000)</f>
        <v/>
      </c>
      <c r="X61" s="40">
        <f>SUMIF(MatchScoutingData!$E$2:$E$1000, $A61, MatchScoutingData!Z$2:Z$1000)</f>
        <v/>
      </c>
      <c r="Y61" s="40">
        <f>SUMIF(MatchScoutingData!$E$2:$E$1000, $A61, MatchScoutingData!AA$2:AA$1000)</f>
        <v/>
      </c>
      <c r="Z61" s="40">
        <f>SUM(W61:Y61)</f>
        <v/>
      </c>
    </row>
    <row r="62">
      <c r="A62" s="11" t="n">
        <v>11010</v>
      </c>
      <c r="B62" s="40">
        <f>COUNTIF(MatchScoutingData!E$2:E$1000, $A62)</f>
        <v/>
      </c>
      <c r="C62" s="40">
        <f>SUMIF(MatchScoutingData!$E$2:$E$1000, $A62, MatchScoutingData!F$2:F$1000)</f>
        <v/>
      </c>
      <c r="D62" s="40">
        <f>SUMIF(MatchScoutingData!$E$2:$E$1000, $A62, MatchScoutingData!G$2:G$1000)</f>
        <v/>
      </c>
      <c r="E62" s="40">
        <f>SUMIF(MatchScoutingData!$E$2:$E$1000, $A62, MatchScoutingData!H$2:H$1000)</f>
        <v/>
      </c>
      <c r="F62" s="40">
        <f>SUMIF(MatchScoutingData!$E$2:$E$1000, $A62, MatchScoutingData!I$2:I$1000)</f>
        <v/>
      </c>
      <c r="G62" s="40">
        <f>SUMIF(MatchScoutingData!$E$2:$E$1000, $A62, MatchScoutingData!J$2:J$1000)</f>
        <v/>
      </c>
      <c r="H62" s="40">
        <f>SUMIF(MatchScoutingData!$E$2:$E$1000, $A62, MatchScoutingData!K$2:K$1000)</f>
        <v/>
      </c>
      <c r="I62" s="40">
        <f>SUMIF(MatchScoutingData!$E$2:$E$1000, $A62, MatchScoutingData!L$2:L$1000)</f>
        <v/>
      </c>
      <c r="J62" s="40">
        <f>SUMIF(MatchScoutingData!$E$2:$E$1000, $A62, MatchScoutingData!M$2:M$1000)</f>
        <v/>
      </c>
      <c r="K62" s="40">
        <f>SUMIF(MatchScoutingData!$E$2:$E$1000, $A62, MatchScoutingData!N$2:N$1000)</f>
        <v/>
      </c>
      <c r="L62" s="40">
        <f>SUMIF(MatchScoutingData!$E$2:$E$1000, $A62, MatchScoutingData!O$2:O$1000)</f>
        <v/>
      </c>
      <c r="M62" s="40">
        <f>SUMIF(MatchScoutingData!$E$2:$E$1000, $A62, MatchScoutingData!P$2:P$1000)</f>
        <v/>
      </c>
      <c r="N62" s="40">
        <f>SUMIF(MatchScoutingData!$E$2:$E$1000, $A62, MatchScoutingData!Q$2:Q$1000)</f>
        <v/>
      </c>
      <c r="O62" s="40">
        <f>SUMIF(MatchScoutingData!$E$2:$E$1000, $A62, MatchScoutingData!R$2:R$1000)</f>
        <v/>
      </c>
      <c r="P62" s="40">
        <f>SUMIF(MatchScoutingData!$E$2:$E$1000, $A62, MatchScoutingData!S$2:S$1000)</f>
        <v/>
      </c>
      <c r="Q62" s="40">
        <f>SUMIF(MatchScoutingData!$E$2:$E$1000, $A62, MatchScoutingData!T$2:T$1000)</f>
        <v/>
      </c>
      <c r="R62" s="40">
        <f>SUMIF(MatchScoutingData!$E$2:$E$1000, $A62, MatchScoutingData!U$2:U$1000)</f>
        <v/>
      </c>
      <c r="S62" s="40">
        <f>SUMIF(MatchScoutingData!$E$2:$E$1000, $A62, MatchScoutingData!V$2:V$1000)</f>
        <v/>
      </c>
      <c r="T62" s="40">
        <f>SUMIF(MatchScoutingData!$E$2:$E$1000, $A62, MatchScoutingData!W$2:W$1000)</f>
        <v/>
      </c>
      <c r="U62" s="40">
        <f>SUMIF(MatchScoutingData!$E$2:$E$1000, $A62, MatchScoutingData!X$2:X$1000)</f>
        <v/>
      </c>
      <c r="V62" s="40">
        <f>SUMIF(MatchScoutingData!$E$2:$E$1000, $A62, MatchScoutingData!AB$2:AB$1000)</f>
        <v/>
      </c>
      <c r="W62" s="40">
        <f>SUMIF(MatchScoutingData!$E$2:$E$1000, $A62, MatchScoutingData!Y$2:Y$1000)</f>
        <v/>
      </c>
      <c r="X62" s="40">
        <f>SUMIF(MatchScoutingData!$E$2:$E$1000, $A62, MatchScoutingData!Z$2:Z$1000)</f>
        <v/>
      </c>
      <c r="Y62" s="40">
        <f>SUMIF(MatchScoutingData!$E$2:$E$1000, $A62, MatchScoutingData!AA$2:AA$1000)</f>
        <v/>
      </c>
      <c r="Z62" s="40">
        <f>SUM(W62:Y62)</f>
        <v/>
      </c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</sheetData>
  <autoFilter ref="A2:Z2"/>
  <mergeCells count="4">
    <mergeCell ref="C1:G1"/>
    <mergeCell ref="H1:O1"/>
    <mergeCell ref="U1:Z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2"/>
  <sheetViews>
    <sheetView zoomScale="150" zoomScaleNormal="150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outlineLevelCol="0"/>
  <cols>
    <col width="6.83203125" customWidth="1" min="2" max="31"/>
  </cols>
  <sheetData>
    <row r="1" ht="17" customHeight="1" thickBot="1">
      <c r="A1" s="6" t="n"/>
      <c r="B1" s="6" t="n"/>
      <c r="C1" s="24" t="inlineStr">
        <is>
          <t>Auto</t>
        </is>
      </c>
      <c r="D1" s="31" t="n"/>
      <c r="E1" s="31" t="n"/>
      <c r="F1" s="31" t="n"/>
      <c r="G1" s="31" t="n"/>
      <c r="H1" s="26" t="inlineStr">
        <is>
          <t>Teleop</t>
        </is>
      </c>
      <c r="I1" s="31" t="n"/>
      <c r="J1" s="31" t="n"/>
      <c r="K1" s="31" t="n"/>
      <c r="L1" s="31" t="n"/>
      <c r="M1" s="31" t="n"/>
      <c r="N1" s="31" t="n"/>
      <c r="O1" s="31" t="n"/>
      <c r="P1" s="28" t="inlineStr">
        <is>
          <t>Endgame</t>
        </is>
      </c>
      <c r="Q1" s="31" t="n"/>
      <c r="R1" s="31" t="n"/>
      <c r="S1" s="31" t="n"/>
      <c r="T1" s="31" t="n"/>
      <c r="U1" s="22" t="inlineStr">
        <is>
          <t>Post Match</t>
        </is>
      </c>
      <c r="V1" s="31" t="n"/>
      <c r="W1" s="31" t="n"/>
      <c r="X1" s="31" t="n"/>
      <c r="Y1" s="31" t="n"/>
      <c r="Z1" s="31" t="n"/>
      <c r="AA1" s="30" t="inlineStr">
        <is>
          <t>Overall</t>
        </is>
      </c>
    </row>
    <row r="2" ht="130" customHeight="1" thickBot="1">
      <c r="A2" s="13" t="inlineStr">
        <is>
          <t>Team</t>
        </is>
      </c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18" t="inlineStr">
        <is>
          <t>Match Results</t>
        </is>
      </c>
      <c r="V2" s="18" t="inlineStr">
        <is>
          <t>Total Points</t>
        </is>
      </c>
      <c r="W2" s="18" t="inlineStr">
        <is>
          <t>Energized Ranking</t>
        </is>
      </c>
      <c r="X2" s="18" t="inlineStr">
        <is>
          <t>Supercharged Ranking</t>
        </is>
      </c>
      <c r="Y2" s="18" t="inlineStr">
        <is>
          <t>Traversal Ranking</t>
        </is>
      </c>
      <c r="Z2" s="19" t="inlineStr">
        <is>
          <t>Total Ranking Points</t>
        </is>
      </c>
      <c r="AA2" s="15" t="inlineStr">
        <is>
          <t>Auto</t>
        </is>
      </c>
      <c r="AB2" s="16" t="inlineStr">
        <is>
          <t>Teleop</t>
        </is>
      </c>
      <c r="AC2" s="17" t="inlineStr">
        <is>
          <t>Endgame</t>
        </is>
      </c>
      <c r="AD2" s="20" t="inlineStr">
        <is>
          <t>Post Match</t>
        </is>
      </c>
      <c r="AE2" s="21" t="inlineStr">
        <is>
          <t>Complete</t>
        </is>
      </c>
    </row>
    <row r="3">
      <c r="A3" s="41" t="n">
        <v>20</v>
      </c>
      <c r="B3" s="42">
        <f>COUNTIF(MatchScoutingData!E$2:E$1000, $A3)</f>
        <v/>
      </c>
      <c r="C3" s="43">
        <f>PERCENTRANK('Team Scores'!$C$3:$C$1000, 'Team Scores'!$C3, 3)</f>
        <v/>
      </c>
      <c r="D3" s="43">
        <f>PERCENTRANK('Team Scores'!$D$3:$D$1000, 'Team Scores'!$D3, 3)</f>
        <v/>
      </c>
      <c r="E3" s="43">
        <f>PERCENTRANK('Team Scores'!$E$3:$E$1000, 'Team Scores'!$E3, 3)</f>
        <v/>
      </c>
      <c r="F3" s="43">
        <f>PERCENTRANK('Team Scores'!$F$3:$F$1000, 'Team Scores'!$F3, 3)</f>
        <v/>
      </c>
      <c r="G3" s="43">
        <f>PERCENTRANK('Team Scores'!$G$3:$G$1000, 'Team Scores'!$G3, 3)</f>
        <v/>
      </c>
      <c r="H3" s="43">
        <f>PERCENTRANK('Team Scores'!$H$3:$H$1000, 'Team Scores'!$H3, 3)</f>
        <v/>
      </c>
      <c r="I3" s="43">
        <f>PERCENTRANK('Team Scores'!$I$3:$I$1000, 'Team Scores'!$I3, 3)</f>
        <v/>
      </c>
      <c r="J3" s="43">
        <f>PERCENTRANK('Team Scores'!$J$3:$J$1000, 'Team Scores'!$J3, 3)</f>
        <v/>
      </c>
      <c r="K3" s="43">
        <f>PERCENTRANK('Team Scores'!$K$3:$K$1000, 'Team Scores'!$K3, 3)</f>
        <v/>
      </c>
      <c r="L3" s="43">
        <f>PERCENTRANK('Team Scores'!$L$3:$L$1000, 'Team Scores'!$L3, 3)</f>
        <v/>
      </c>
      <c r="M3" s="43">
        <f>PERCENTRANK('Team Scores'!$M$3:$M$1000, 'Team Scores'!$M3, 3)</f>
        <v/>
      </c>
      <c r="N3" s="43">
        <f>PERCENTRANK('Team Scores'!$N$3:$N$1000, 'Team Scores'!$N3, 3)</f>
        <v/>
      </c>
      <c r="O3" s="43">
        <f>PERCENTRANK('Team Scores'!$O$3:$O$1000, 'Team Scores'!$O3, 3)</f>
        <v/>
      </c>
      <c r="P3" s="43">
        <f>PERCENTRANK('Team Scores'!$P$3:$P$1000, 'Team Scores'!$P3, 3)</f>
        <v/>
      </c>
      <c r="Q3" s="43">
        <f>PERCENTRANK('Team Scores'!$Q$3:$Q$1000, 'Team Scores'!$Q3, 3)</f>
        <v/>
      </c>
      <c r="R3" s="43">
        <f>PERCENTRANK('Team Scores'!$R$3:$R$1000, 'Team Scores'!$R3, 3)</f>
        <v/>
      </c>
      <c r="S3" s="43">
        <f>PERCENTRANK('Team Scores'!$S$3:$S$1000, 'Team Scores'!$S3, 3)</f>
        <v/>
      </c>
      <c r="T3" s="43">
        <f>PERCENTRANK('Team Scores'!$T$3:$T$1000, 'Team Scores'!$T3, 3)</f>
        <v/>
      </c>
      <c r="U3" s="43">
        <f>PERCENTRANK('Team Scores'!$U$3:$U$1000, 'Team Scores'!$U3, 3)</f>
        <v/>
      </c>
      <c r="V3" s="43">
        <f>PERCENTRANK('Team Scores'!$V$3:$V$1000, 'Team Scores'!$V3, 3)</f>
        <v/>
      </c>
      <c r="W3" s="43">
        <f>PERCENTRANK('Team Scores'!$W$3:$W$1000, 'Team Scores'!$W3, 3)</f>
        <v/>
      </c>
      <c r="X3" s="43">
        <f>PERCENTRANK('Team Scores'!$X$3:$X$1000, 'Team Scores'!$X3, 3)</f>
        <v/>
      </c>
      <c r="Y3" s="43">
        <f>PERCENTRANK('Team Scores'!$Y$3:$Y$1000, 'Team Scores'!$Y3, 3)</f>
        <v/>
      </c>
      <c r="Z3" s="43">
        <f>PERCENTRANK('Team Scores'!$Z$3:$Z$1000, 'Team Scores'!$Z3, 3)</f>
        <v/>
      </c>
      <c r="AA3" s="43">
        <f>AVERAGE(C3:G3)</f>
        <v/>
      </c>
      <c r="AB3" s="43">
        <f>AVERAGE(H3:O3)</f>
        <v/>
      </c>
      <c r="AC3" s="43">
        <f>AVERAGE(P3:T3)</f>
        <v/>
      </c>
      <c r="AD3" s="43">
        <f>AVERAGE(U3:X3)</f>
        <v/>
      </c>
      <c r="AE3" s="43">
        <f>AVERAGE(AA3:AD3)</f>
        <v/>
      </c>
    </row>
    <row r="4">
      <c r="A4" s="41" t="n">
        <v>191</v>
      </c>
      <c r="B4" s="42">
        <f>COUNTIF(MatchScoutingData!E$2:E$1000, $A4)</f>
        <v/>
      </c>
      <c r="C4" s="43">
        <f>PERCENTRANK('Team Scores'!$C$3:$C$1000, 'Team Scores'!$C4, 3)</f>
        <v/>
      </c>
      <c r="D4" s="43">
        <f>PERCENTRANK('Team Scores'!$D$3:$D$1000, 'Team Scores'!$D4, 3)</f>
        <v/>
      </c>
      <c r="E4" s="43">
        <f>PERCENTRANK('Team Scores'!$E$3:$E$1000, 'Team Scores'!$E4, 3)</f>
        <v/>
      </c>
      <c r="F4" s="43">
        <f>PERCENTRANK('Team Scores'!$F$3:$F$1000, 'Team Scores'!$F4, 3)</f>
        <v/>
      </c>
      <c r="G4" s="43">
        <f>PERCENTRANK('Team Scores'!$G$3:$G$1000, 'Team Scores'!$G4, 3)</f>
        <v/>
      </c>
      <c r="H4" s="43">
        <f>PERCENTRANK('Team Scores'!$H$3:$H$1000, 'Team Scores'!$H4, 3)</f>
        <v/>
      </c>
      <c r="I4" s="43">
        <f>PERCENTRANK('Team Scores'!$I$3:$I$1000, 'Team Scores'!$I4, 3)</f>
        <v/>
      </c>
      <c r="J4" s="43">
        <f>PERCENTRANK('Team Scores'!$J$3:$J$1000, 'Team Scores'!$J4, 3)</f>
        <v/>
      </c>
      <c r="K4" s="43">
        <f>PERCENTRANK('Team Scores'!$K$3:$K$1000, 'Team Scores'!$K4, 3)</f>
        <v/>
      </c>
      <c r="L4" s="43">
        <f>PERCENTRANK('Team Scores'!$L$3:$L$1000, 'Team Scores'!$L4, 3)</f>
        <v/>
      </c>
      <c r="M4" s="43">
        <f>PERCENTRANK('Team Scores'!$M$3:$M$1000, 'Team Scores'!$M4, 3)</f>
        <v/>
      </c>
      <c r="N4" s="43">
        <f>PERCENTRANK('Team Scores'!$N$3:$N$1000, 'Team Scores'!$N4, 3)</f>
        <v/>
      </c>
      <c r="O4" s="43">
        <f>PERCENTRANK('Team Scores'!$O$3:$O$1000, 'Team Scores'!$O4, 3)</f>
        <v/>
      </c>
      <c r="P4" s="43">
        <f>PERCENTRANK('Team Scores'!$P$3:$P$1000, 'Team Scores'!$P4, 3)</f>
        <v/>
      </c>
      <c r="Q4" s="43">
        <f>PERCENTRANK('Team Scores'!$Q$3:$Q$1000, 'Team Scores'!$Q4, 3)</f>
        <v/>
      </c>
      <c r="R4" s="43">
        <f>PERCENTRANK('Team Scores'!$R$3:$R$1000, 'Team Scores'!$R4, 3)</f>
        <v/>
      </c>
      <c r="S4" s="43">
        <f>PERCENTRANK('Team Scores'!$S$3:$S$1000, 'Team Scores'!$S4, 3)</f>
        <v/>
      </c>
      <c r="T4" s="43">
        <f>PERCENTRANK('Team Scores'!$T$3:$T$1000, 'Team Scores'!$T4, 3)</f>
        <v/>
      </c>
      <c r="U4" s="43">
        <f>PERCENTRANK('Team Scores'!$U$3:$U$1000, 'Team Scores'!$U4, 3)</f>
        <v/>
      </c>
      <c r="V4" s="43">
        <f>PERCENTRANK('Team Scores'!$V$3:$V$1000, 'Team Scores'!$V4, 3)</f>
        <v/>
      </c>
      <c r="W4" s="43">
        <f>PERCENTRANK('Team Scores'!$W$3:$W$1000, 'Team Scores'!$W4, 3)</f>
        <v/>
      </c>
      <c r="X4" s="43">
        <f>PERCENTRANK('Team Scores'!$X$3:$X$1000, 'Team Scores'!$X4, 3)</f>
        <v/>
      </c>
      <c r="Y4" s="43">
        <f>PERCENTRANK('Team Scores'!$Y$3:$Y$1000, 'Team Scores'!$Y4, 3)</f>
        <v/>
      </c>
      <c r="Z4" s="43">
        <f>PERCENTRANK('Team Scores'!$Z$3:$Z$1000, 'Team Scores'!$Z4, 3)</f>
        <v/>
      </c>
      <c r="AA4" s="43">
        <f>AVERAGE(C4:G4)</f>
        <v/>
      </c>
      <c r="AB4" s="43">
        <f>AVERAGE(H4:O4)</f>
        <v/>
      </c>
      <c r="AC4" s="43">
        <f>AVERAGE(P4:T4)</f>
        <v/>
      </c>
      <c r="AD4" s="43">
        <f>AVERAGE(U4:X4)</f>
        <v/>
      </c>
      <c r="AE4" s="43">
        <f>AVERAGE(AA4:AD4)</f>
        <v/>
      </c>
    </row>
    <row r="5">
      <c r="A5" s="41" t="n">
        <v>229</v>
      </c>
      <c r="B5" s="42">
        <f>COUNTIF(MatchScoutingData!E$2:E$1000, $A5)</f>
        <v/>
      </c>
      <c r="C5" s="43">
        <f>PERCENTRANK('Team Scores'!$C$3:$C$1000, 'Team Scores'!$C5, 3)</f>
        <v/>
      </c>
      <c r="D5" s="43">
        <f>PERCENTRANK('Team Scores'!$D$3:$D$1000, 'Team Scores'!$D5, 3)</f>
        <v/>
      </c>
      <c r="E5" s="43">
        <f>PERCENTRANK('Team Scores'!$E$3:$E$1000, 'Team Scores'!$E5, 3)</f>
        <v/>
      </c>
      <c r="F5" s="43">
        <f>PERCENTRANK('Team Scores'!$F$3:$F$1000, 'Team Scores'!$F5, 3)</f>
        <v/>
      </c>
      <c r="G5" s="43">
        <f>PERCENTRANK('Team Scores'!$G$3:$G$1000, 'Team Scores'!$G5, 3)</f>
        <v/>
      </c>
      <c r="H5" s="43">
        <f>PERCENTRANK('Team Scores'!$H$3:$H$1000, 'Team Scores'!$H5, 3)</f>
        <v/>
      </c>
      <c r="I5" s="43">
        <f>PERCENTRANK('Team Scores'!$I$3:$I$1000, 'Team Scores'!$I5, 3)</f>
        <v/>
      </c>
      <c r="J5" s="43">
        <f>PERCENTRANK('Team Scores'!$J$3:$J$1000, 'Team Scores'!$J5, 3)</f>
        <v/>
      </c>
      <c r="K5" s="43">
        <f>PERCENTRANK('Team Scores'!$K$3:$K$1000, 'Team Scores'!$K5, 3)</f>
        <v/>
      </c>
      <c r="L5" s="43">
        <f>PERCENTRANK('Team Scores'!$L$3:$L$1000, 'Team Scores'!$L5, 3)</f>
        <v/>
      </c>
      <c r="M5" s="43">
        <f>PERCENTRANK('Team Scores'!$M$3:$M$1000, 'Team Scores'!$M5, 3)</f>
        <v/>
      </c>
      <c r="N5" s="43">
        <f>PERCENTRANK('Team Scores'!$N$3:$N$1000, 'Team Scores'!$N5, 3)</f>
        <v/>
      </c>
      <c r="O5" s="43">
        <f>PERCENTRANK('Team Scores'!$O$3:$O$1000, 'Team Scores'!$O5, 3)</f>
        <v/>
      </c>
      <c r="P5" s="43">
        <f>PERCENTRANK('Team Scores'!$P$3:$P$1000, 'Team Scores'!$P5, 3)</f>
        <v/>
      </c>
      <c r="Q5" s="43">
        <f>PERCENTRANK('Team Scores'!$Q$3:$Q$1000, 'Team Scores'!$Q5, 3)</f>
        <v/>
      </c>
      <c r="R5" s="43">
        <f>PERCENTRANK('Team Scores'!$R$3:$R$1000, 'Team Scores'!$R5, 3)</f>
        <v/>
      </c>
      <c r="S5" s="43">
        <f>PERCENTRANK('Team Scores'!$S$3:$S$1000, 'Team Scores'!$S5, 3)</f>
        <v/>
      </c>
      <c r="T5" s="43">
        <f>PERCENTRANK('Team Scores'!$T$3:$T$1000, 'Team Scores'!$T5, 3)</f>
        <v/>
      </c>
      <c r="U5" s="43">
        <f>PERCENTRANK('Team Scores'!$U$3:$U$1000, 'Team Scores'!$U5, 3)</f>
        <v/>
      </c>
      <c r="V5" s="43">
        <f>PERCENTRANK('Team Scores'!$V$3:$V$1000, 'Team Scores'!$V5, 3)</f>
        <v/>
      </c>
      <c r="W5" s="43">
        <f>PERCENTRANK('Team Scores'!$W$3:$W$1000, 'Team Scores'!$W5, 3)</f>
        <v/>
      </c>
      <c r="X5" s="43">
        <f>PERCENTRANK('Team Scores'!$X$3:$X$1000, 'Team Scores'!$X5, 3)</f>
        <v/>
      </c>
      <c r="Y5" s="43">
        <f>PERCENTRANK('Team Scores'!$Y$3:$Y$1000, 'Team Scores'!$Y5, 3)</f>
        <v/>
      </c>
      <c r="Z5" s="43">
        <f>PERCENTRANK('Team Scores'!$Z$3:$Z$1000, 'Team Scores'!$Z5, 3)</f>
        <v/>
      </c>
      <c r="AA5" s="43">
        <f>AVERAGE(C5:G5)</f>
        <v/>
      </c>
      <c r="AB5" s="43">
        <f>AVERAGE(H5:O5)</f>
        <v/>
      </c>
      <c r="AC5" s="43">
        <f>AVERAGE(P5:T5)</f>
        <v/>
      </c>
      <c r="AD5" s="43">
        <f>AVERAGE(U5:X5)</f>
        <v/>
      </c>
      <c r="AE5" s="43">
        <f>AVERAGE(AA5:AD5)</f>
        <v/>
      </c>
    </row>
    <row r="6">
      <c r="A6" s="41" t="n">
        <v>250</v>
      </c>
      <c r="B6" s="42">
        <f>COUNTIF(MatchScoutingData!E$2:E$1000, $A6)</f>
        <v/>
      </c>
      <c r="C6" s="43">
        <f>PERCENTRANK('Team Scores'!$C$3:$C$1000, 'Team Scores'!$C6, 3)</f>
        <v/>
      </c>
      <c r="D6" s="43">
        <f>PERCENTRANK('Team Scores'!$D$3:$D$1000, 'Team Scores'!$D6, 3)</f>
        <v/>
      </c>
      <c r="E6" s="43">
        <f>PERCENTRANK('Team Scores'!$E$3:$E$1000, 'Team Scores'!$E6, 3)</f>
        <v/>
      </c>
      <c r="F6" s="43">
        <f>PERCENTRANK('Team Scores'!$F$3:$F$1000, 'Team Scores'!$F6, 3)</f>
        <v/>
      </c>
      <c r="G6" s="43">
        <f>PERCENTRANK('Team Scores'!$G$3:$G$1000, 'Team Scores'!$G6, 3)</f>
        <v/>
      </c>
      <c r="H6" s="43">
        <f>PERCENTRANK('Team Scores'!$H$3:$H$1000, 'Team Scores'!$H6, 3)</f>
        <v/>
      </c>
      <c r="I6" s="43">
        <f>PERCENTRANK('Team Scores'!$I$3:$I$1000, 'Team Scores'!$I6, 3)</f>
        <v/>
      </c>
      <c r="J6" s="43">
        <f>PERCENTRANK('Team Scores'!$J$3:$J$1000, 'Team Scores'!$J6, 3)</f>
        <v/>
      </c>
      <c r="K6" s="43">
        <f>PERCENTRANK('Team Scores'!$K$3:$K$1000, 'Team Scores'!$K6, 3)</f>
        <v/>
      </c>
      <c r="L6" s="43">
        <f>PERCENTRANK('Team Scores'!$L$3:$L$1000, 'Team Scores'!$L6, 3)</f>
        <v/>
      </c>
      <c r="M6" s="43">
        <f>PERCENTRANK('Team Scores'!$M$3:$M$1000, 'Team Scores'!$M6, 3)</f>
        <v/>
      </c>
      <c r="N6" s="43">
        <f>PERCENTRANK('Team Scores'!$N$3:$N$1000, 'Team Scores'!$N6, 3)</f>
        <v/>
      </c>
      <c r="O6" s="43">
        <f>PERCENTRANK('Team Scores'!$O$3:$O$1000, 'Team Scores'!$O6, 3)</f>
        <v/>
      </c>
      <c r="P6" s="43">
        <f>PERCENTRANK('Team Scores'!$P$3:$P$1000, 'Team Scores'!$P6, 3)</f>
        <v/>
      </c>
      <c r="Q6" s="43">
        <f>PERCENTRANK('Team Scores'!$Q$3:$Q$1000, 'Team Scores'!$Q6, 3)</f>
        <v/>
      </c>
      <c r="R6" s="43">
        <f>PERCENTRANK('Team Scores'!$R$3:$R$1000, 'Team Scores'!$R6, 3)</f>
        <v/>
      </c>
      <c r="S6" s="43">
        <f>PERCENTRANK('Team Scores'!$S$3:$S$1000, 'Team Scores'!$S6, 3)</f>
        <v/>
      </c>
      <c r="T6" s="43">
        <f>PERCENTRANK('Team Scores'!$T$3:$T$1000, 'Team Scores'!$T6, 3)</f>
        <v/>
      </c>
      <c r="U6" s="43">
        <f>PERCENTRANK('Team Scores'!$U$3:$U$1000, 'Team Scores'!$U6, 3)</f>
        <v/>
      </c>
      <c r="V6" s="43">
        <f>PERCENTRANK('Team Scores'!$V$3:$V$1000, 'Team Scores'!$V6, 3)</f>
        <v/>
      </c>
      <c r="W6" s="43">
        <f>PERCENTRANK('Team Scores'!$W$3:$W$1000, 'Team Scores'!$W6, 3)</f>
        <v/>
      </c>
      <c r="X6" s="43">
        <f>PERCENTRANK('Team Scores'!$X$3:$X$1000, 'Team Scores'!$X6, 3)</f>
        <v/>
      </c>
      <c r="Y6" s="43">
        <f>PERCENTRANK('Team Scores'!$Y$3:$Y$1000, 'Team Scores'!$Y6, 3)</f>
        <v/>
      </c>
      <c r="Z6" s="43">
        <f>PERCENTRANK('Team Scores'!$Z$3:$Z$1000, 'Team Scores'!$Z6, 3)</f>
        <v/>
      </c>
      <c r="AA6" s="43">
        <f>AVERAGE(C6:G6)</f>
        <v/>
      </c>
      <c r="AB6" s="43">
        <f>AVERAGE(H6:O6)</f>
        <v/>
      </c>
      <c r="AC6" s="43">
        <f>AVERAGE(P6:T6)</f>
        <v/>
      </c>
      <c r="AD6" s="43">
        <f>AVERAGE(U6:X6)</f>
        <v/>
      </c>
      <c r="AE6" s="43">
        <f>AVERAGE(AA6:AD6)</f>
        <v/>
      </c>
    </row>
    <row r="7">
      <c r="A7" s="41" t="n">
        <v>263</v>
      </c>
      <c r="B7" s="42">
        <f>COUNTIF(MatchScoutingData!E$2:E$1000, $A7)</f>
        <v/>
      </c>
      <c r="C7" s="43">
        <f>PERCENTRANK('Team Scores'!$C$3:$C$1000, 'Team Scores'!$C7, 3)</f>
        <v/>
      </c>
      <c r="D7" s="43">
        <f>PERCENTRANK('Team Scores'!$D$3:$D$1000, 'Team Scores'!$D7, 3)</f>
        <v/>
      </c>
      <c r="E7" s="43">
        <f>PERCENTRANK('Team Scores'!$E$3:$E$1000, 'Team Scores'!$E7, 3)</f>
        <v/>
      </c>
      <c r="F7" s="43">
        <f>PERCENTRANK('Team Scores'!$F$3:$F$1000, 'Team Scores'!$F7, 3)</f>
        <v/>
      </c>
      <c r="G7" s="43">
        <f>PERCENTRANK('Team Scores'!$G$3:$G$1000, 'Team Scores'!$G7, 3)</f>
        <v/>
      </c>
      <c r="H7" s="43">
        <f>PERCENTRANK('Team Scores'!$H$3:$H$1000, 'Team Scores'!$H7, 3)</f>
        <v/>
      </c>
      <c r="I7" s="43">
        <f>PERCENTRANK('Team Scores'!$I$3:$I$1000, 'Team Scores'!$I7, 3)</f>
        <v/>
      </c>
      <c r="J7" s="43">
        <f>PERCENTRANK('Team Scores'!$J$3:$J$1000, 'Team Scores'!$J7, 3)</f>
        <v/>
      </c>
      <c r="K7" s="43">
        <f>PERCENTRANK('Team Scores'!$K$3:$K$1000, 'Team Scores'!$K7, 3)</f>
        <v/>
      </c>
      <c r="L7" s="43">
        <f>PERCENTRANK('Team Scores'!$L$3:$L$1000, 'Team Scores'!$L7, 3)</f>
        <v/>
      </c>
      <c r="M7" s="43">
        <f>PERCENTRANK('Team Scores'!$M$3:$M$1000, 'Team Scores'!$M7, 3)</f>
        <v/>
      </c>
      <c r="N7" s="43">
        <f>PERCENTRANK('Team Scores'!$N$3:$N$1000, 'Team Scores'!$N7, 3)</f>
        <v/>
      </c>
      <c r="O7" s="43">
        <f>PERCENTRANK('Team Scores'!$O$3:$O$1000, 'Team Scores'!$O7, 3)</f>
        <v/>
      </c>
      <c r="P7" s="43">
        <f>PERCENTRANK('Team Scores'!$P$3:$P$1000, 'Team Scores'!$P7, 3)</f>
        <v/>
      </c>
      <c r="Q7" s="43">
        <f>PERCENTRANK('Team Scores'!$Q$3:$Q$1000, 'Team Scores'!$Q7, 3)</f>
        <v/>
      </c>
      <c r="R7" s="43">
        <f>PERCENTRANK('Team Scores'!$R$3:$R$1000, 'Team Scores'!$R7, 3)</f>
        <v/>
      </c>
      <c r="S7" s="43">
        <f>PERCENTRANK('Team Scores'!$S$3:$S$1000, 'Team Scores'!$S7, 3)</f>
        <v/>
      </c>
      <c r="T7" s="43">
        <f>PERCENTRANK('Team Scores'!$T$3:$T$1000, 'Team Scores'!$T7, 3)</f>
        <v/>
      </c>
      <c r="U7" s="43">
        <f>PERCENTRANK('Team Scores'!$U$3:$U$1000, 'Team Scores'!$U7, 3)</f>
        <v/>
      </c>
      <c r="V7" s="43">
        <f>PERCENTRANK('Team Scores'!$V$3:$V$1000, 'Team Scores'!$V7, 3)</f>
        <v/>
      </c>
      <c r="W7" s="43">
        <f>PERCENTRANK('Team Scores'!$W$3:$W$1000, 'Team Scores'!$W7, 3)</f>
        <v/>
      </c>
      <c r="X7" s="43">
        <f>PERCENTRANK('Team Scores'!$X$3:$X$1000, 'Team Scores'!$X7, 3)</f>
        <v/>
      </c>
      <c r="Y7" s="43">
        <f>PERCENTRANK('Team Scores'!$Y$3:$Y$1000, 'Team Scores'!$Y7, 3)</f>
        <v/>
      </c>
      <c r="Z7" s="43">
        <f>PERCENTRANK('Team Scores'!$Z$3:$Z$1000, 'Team Scores'!$Z7, 3)</f>
        <v/>
      </c>
      <c r="AA7" s="43">
        <f>AVERAGE(C7:G7)</f>
        <v/>
      </c>
      <c r="AB7" s="43">
        <f>AVERAGE(H7:O7)</f>
        <v/>
      </c>
      <c r="AC7" s="43">
        <f>AVERAGE(P7:T7)</f>
        <v/>
      </c>
      <c r="AD7" s="43">
        <f>AVERAGE(U7:X7)</f>
        <v/>
      </c>
      <c r="AE7" s="43">
        <f>AVERAGE(AA7:AD7)</f>
        <v/>
      </c>
    </row>
    <row r="8">
      <c r="A8" s="41" t="n">
        <v>271</v>
      </c>
      <c r="B8" s="42">
        <f>COUNTIF(MatchScoutingData!E$2:E$1000, $A8)</f>
        <v/>
      </c>
      <c r="C8" s="43">
        <f>PERCENTRANK('Team Scores'!$C$3:$C$1000, 'Team Scores'!$C8, 3)</f>
        <v/>
      </c>
      <c r="D8" s="43">
        <f>PERCENTRANK('Team Scores'!$D$3:$D$1000, 'Team Scores'!$D8, 3)</f>
        <v/>
      </c>
      <c r="E8" s="43">
        <f>PERCENTRANK('Team Scores'!$E$3:$E$1000, 'Team Scores'!$E8, 3)</f>
        <v/>
      </c>
      <c r="F8" s="43">
        <f>PERCENTRANK('Team Scores'!$F$3:$F$1000, 'Team Scores'!$F8, 3)</f>
        <v/>
      </c>
      <c r="G8" s="43">
        <f>PERCENTRANK('Team Scores'!$G$3:$G$1000, 'Team Scores'!$G8, 3)</f>
        <v/>
      </c>
      <c r="H8" s="43">
        <f>PERCENTRANK('Team Scores'!$H$3:$H$1000, 'Team Scores'!$H8, 3)</f>
        <v/>
      </c>
      <c r="I8" s="43">
        <f>PERCENTRANK('Team Scores'!$I$3:$I$1000, 'Team Scores'!$I8, 3)</f>
        <v/>
      </c>
      <c r="J8" s="43">
        <f>PERCENTRANK('Team Scores'!$J$3:$J$1000, 'Team Scores'!$J8, 3)</f>
        <v/>
      </c>
      <c r="K8" s="43">
        <f>PERCENTRANK('Team Scores'!$K$3:$K$1000, 'Team Scores'!$K8, 3)</f>
        <v/>
      </c>
      <c r="L8" s="43">
        <f>PERCENTRANK('Team Scores'!$L$3:$L$1000, 'Team Scores'!$L8, 3)</f>
        <v/>
      </c>
      <c r="M8" s="43">
        <f>PERCENTRANK('Team Scores'!$M$3:$M$1000, 'Team Scores'!$M8, 3)</f>
        <v/>
      </c>
      <c r="N8" s="43">
        <f>PERCENTRANK('Team Scores'!$N$3:$N$1000, 'Team Scores'!$N8, 3)</f>
        <v/>
      </c>
      <c r="O8" s="43">
        <f>PERCENTRANK('Team Scores'!$O$3:$O$1000, 'Team Scores'!$O8, 3)</f>
        <v/>
      </c>
      <c r="P8" s="43">
        <f>PERCENTRANK('Team Scores'!$P$3:$P$1000, 'Team Scores'!$P8, 3)</f>
        <v/>
      </c>
      <c r="Q8" s="43">
        <f>PERCENTRANK('Team Scores'!$Q$3:$Q$1000, 'Team Scores'!$Q8, 3)</f>
        <v/>
      </c>
      <c r="R8" s="43">
        <f>PERCENTRANK('Team Scores'!$R$3:$R$1000, 'Team Scores'!$R8, 3)</f>
        <v/>
      </c>
      <c r="S8" s="43">
        <f>PERCENTRANK('Team Scores'!$S$3:$S$1000, 'Team Scores'!$S8, 3)</f>
        <v/>
      </c>
      <c r="T8" s="43">
        <f>PERCENTRANK('Team Scores'!$T$3:$T$1000, 'Team Scores'!$T8, 3)</f>
        <v/>
      </c>
      <c r="U8" s="43">
        <f>PERCENTRANK('Team Scores'!$U$3:$U$1000, 'Team Scores'!$U8, 3)</f>
        <v/>
      </c>
      <c r="V8" s="43">
        <f>PERCENTRANK('Team Scores'!$V$3:$V$1000, 'Team Scores'!$V8, 3)</f>
        <v/>
      </c>
      <c r="W8" s="43">
        <f>PERCENTRANK('Team Scores'!$W$3:$W$1000, 'Team Scores'!$W8, 3)</f>
        <v/>
      </c>
      <c r="X8" s="43">
        <f>PERCENTRANK('Team Scores'!$X$3:$X$1000, 'Team Scores'!$X8, 3)</f>
        <v/>
      </c>
      <c r="Y8" s="43">
        <f>PERCENTRANK('Team Scores'!$Y$3:$Y$1000, 'Team Scores'!$Y8, 3)</f>
        <v/>
      </c>
      <c r="Z8" s="43">
        <f>PERCENTRANK('Team Scores'!$Z$3:$Z$1000, 'Team Scores'!$Z8, 3)</f>
        <v/>
      </c>
      <c r="AA8" s="43">
        <f>AVERAGE(C8:G8)</f>
        <v/>
      </c>
      <c r="AB8" s="43">
        <f>AVERAGE(H8:O8)</f>
        <v/>
      </c>
      <c r="AC8" s="43">
        <f>AVERAGE(P8:T8)</f>
        <v/>
      </c>
      <c r="AD8" s="43">
        <f>AVERAGE(U8:X8)</f>
        <v/>
      </c>
      <c r="AE8" s="43">
        <f>AVERAGE(AA8:AD8)</f>
        <v/>
      </c>
    </row>
    <row r="9">
      <c r="A9" s="41" t="n">
        <v>287</v>
      </c>
      <c r="B9" s="42">
        <f>COUNTIF(MatchScoutingData!E$2:E$1000, $A9)</f>
        <v/>
      </c>
      <c r="C9" s="43">
        <f>PERCENTRANK('Team Scores'!$C$3:$C$1000, 'Team Scores'!$C9, 3)</f>
        <v/>
      </c>
      <c r="D9" s="43">
        <f>PERCENTRANK('Team Scores'!$D$3:$D$1000, 'Team Scores'!$D9, 3)</f>
        <v/>
      </c>
      <c r="E9" s="43">
        <f>PERCENTRANK('Team Scores'!$E$3:$E$1000, 'Team Scores'!$E9, 3)</f>
        <v/>
      </c>
      <c r="F9" s="43">
        <f>PERCENTRANK('Team Scores'!$F$3:$F$1000, 'Team Scores'!$F9, 3)</f>
        <v/>
      </c>
      <c r="G9" s="43">
        <f>PERCENTRANK('Team Scores'!$G$3:$G$1000, 'Team Scores'!$G9, 3)</f>
        <v/>
      </c>
      <c r="H9" s="43">
        <f>PERCENTRANK('Team Scores'!$H$3:$H$1000, 'Team Scores'!$H9, 3)</f>
        <v/>
      </c>
      <c r="I9" s="43">
        <f>PERCENTRANK('Team Scores'!$I$3:$I$1000, 'Team Scores'!$I9, 3)</f>
        <v/>
      </c>
      <c r="J9" s="43">
        <f>PERCENTRANK('Team Scores'!$J$3:$J$1000, 'Team Scores'!$J9, 3)</f>
        <v/>
      </c>
      <c r="K9" s="43">
        <f>PERCENTRANK('Team Scores'!$K$3:$K$1000, 'Team Scores'!$K9, 3)</f>
        <v/>
      </c>
      <c r="L9" s="43">
        <f>PERCENTRANK('Team Scores'!$L$3:$L$1000, 'Team Scores'!$L9, 3)</f>
        <v/>
      </c>
      <c r="M9" s="43">
        <f>PERCENTRANK('Team Scores'!$M$3:$M$1000, 'Team Scores'!$M9, 3)</f>
        <v/>
      </c>
      <c r="N9" s="43">
        <f>PERCENTRANK('Team Scores'!$N$3:$N$1000, 'Team Scores'!$N9, 3)</f>
        <v/>
      </c>
      <c r="O9" s="43">
        <f>PERCENTRANK('Team Scores'!$O$3:$O$1000, 'Team Scores'!$O9, 3)</f>
        <v/>
      </c>
      <c r="P9" s="43">
        <f>PERCENTRANK('Team Scores'!$P$3:$P$1000, 'Team Scores'!$P9, 3)</f>
        <v/>
      </c>
      <c r="Q9" s="43">
        <f>PERCENTRANK('Team Scores'!$Q$3:$Q$1000, 'Team Scores'!$Q9, 3)</f>
        <v/>
      </c>
      <c r="R9" s="43">
        <f>PERCENTRANK('Team Scores'!$R$3:$R$1000, 'Team Scores'!$R9, 3)</f>
        <v/>
      </c>
      <c r="S9" s="43">
        <f>PERCENTRANK('Team Scores'!$S$3:$S$1000, 'Team Scores'!$S9, 3)</f>
        <v/>
      </c>
      <c r="T9" s="43">
        <f>PERCENTRANK('Team Scores'!$T$3:$T$1000, 'Team Scores'!$T9, 3)</f>
        <v/>
      </c>
      <c r="U9" s="43">
        <f>PERCENTRANK('Team Scores'!$U$3:$U$1000, 'Team Scores'!$U9, 3)</f>
        <v/>
      </c>
      <c r="V9" s="43">
        <f>PERCENTRANK('Team Scores'!$V$3:$V$1000, 'Team Scores'!$V9, 3)</f>
        <v/>
      </c>
      <c r="W9" s="43">
        <f>PERCENTRANK('Team Scores'!$W$3:$W$1000, 'Team Scores'!$W9, 3)</f>
        <v/>
      </c>
      <c r="X9" s="43">
        <f>PERCENTRANK('Team Scores'!$X$3:$X$1000, 'Team Scores'!$X9, 3)</f>
        <v/>
      </c>
      <c r="Y9" s="43">
        <f>PERCENTRANK('Team Scores'!$Y$3:$Y$1000, 'Team Scores'!$Y9, 3)</f>
        <v/>
      </c>
      <c r="Z9" s="43">
        <f>PERCENTRANK('Team Scores'!$Z$3:$Z$1000, 'Team Scores'!$Z9, 3)</f>
        <v/>
      </c>
      <c r="AA9" s="43">
        <f>AVERAGE(C9:G9)</f>
        <v/>
      </c>
      <c r="AB9" s="43">
        <f>AVERAGE(H9:O9)</f>
        <v/>
      </c>
      <c r="AC9" s="43">
        <f>AVERAGE(P9:T9)</f>
        <v/>
      </c>
      <c r="AD9" s="43">
        <f>AVERAGE(U9:X9)</f>
        <v/>
      </c>
      <c r="AE9" s="43">
        <f>AVERAGE(AA9:AD9)</f>
        <v/>
      </c>
    </row>
    <row r="10">
      <c r="A10" s="41" t="n">
        <v>424</v>
      </c>
      <c r="B10" s="42">
        <f>COUNTIF(MatchScoutingData!E$2:E$1000, $A10)</f>
        <v/>
      </c>
      <c r="C10" s="43">
        <f>PERCENTRANK('Team Scores'!$C$3:$C$1000, 'Team Scores'!$C10, 3)</f>
        <v/>
      </c>
      <c r="D10" s="43">
        <f>PERCENTRANK('Team Scores'!$D$3:$D$1000, 'Team Scores'!$D10, 3)</f>
        <v/>
      </c>
      <c r="E10" s="43">
        <f>PERCENTRANK('Team Scores'!$E$3:$E$1000, 'Team Scores'!$E10, 3)</f>
        <v/>
      </c>
      <c r="F10" s="43">
        <f>PERCENTRANK('Team Scores'!$F$3:$F$1000, 'Team Scores'!$F10, 3)</f>
        <v/>
      </c>
      <c r="G10" s="43">
        <f>PERCENTRANK('Team Scores'!$G$3:$G$1000, 'Team Scores'!$G10, 3)</f>
        <v/>
      </c>
      <c r="H10" s="43">
        <f>PERCENTRANK('Team Scores'!$H$3:$H$1000, 'Team Scores'!$H10, 3)</f>
        <v/>
      </c>
      <c r="I10" s="43">
        <f>PERCENTRANK('Team Scores'!$I$3:$I$1000, 'Team Scores'!$I10, 3)</f>
        <v/>
      </c>
      <c r="J10" s="43">
        <f>PERCENTRANK('Team Scores'!$J$3:$J$1000, 'Team Scores'!$J10, 3)</f>
        <v/>
      </c>
      <c r="K10" s="43">
        <f>PERCENTRANK('Team Scores'!$K$3:$K$1000, 'Team Scores'!$K10, 3)</f>
        <v/>
      </c>
      <c r="L10" s="43">
        <f>PERCENTRANK('Team Scores'!$L$3:$L$1000, 'Team Scores'!$L10, 3)</f>
        <v/>
      </c>
      <c r="M10" s="43">
        <f>PERCENTRANK('Team Scores'!$M$3:$M$1000, 'Team Scores'!$M10, 3)</f>
        <v/>
      </c>
      <c r="N10" s="43">
        <f>PERCENTRANK('Team Scores'!$N$3:$N$1000, 'Team Scores'!$N10, 3)</f>
        <v/>
      </c>
      <c r="O10" s="43">
        <f>PERCENTRANK('Team Scores'!$O$3:$O$1000, 'Team Scores'!$O10, 3)</f>
        <v/>
      </c>
      <c r="P10" s="43">
        <f>PERCENTRANK('Team Scores'!$P$3:$P$1000, 'Team Scores'!$P10, 3)</f>
        <v/>
      </c>
      <c r="Q10" s="43">
        <f>PERCENTRANK('Team Scores'!$Q$3:$Q$1000, 'Team Scores'!$Q10, 3)</f>
        <v/>
      </c>
      <c r="R10" s="43">
        <f>PERCENTRANK('Team Scores'!$R$3:$R$1000, 'Team Scores'!$R10, 3)</f>
        <v/>
      </c>
      <c r="S10" s="43">
        <f>PERCENTRANK('Team Scores'!$S$3:$S$1000, 'Team Scores'!$S10, 3)</f>
        <v/>
      </c>
      <c r="T10" s="43">
        <f>PERCENTRANK('Team Scores'!$T$3:$T$1000, 'Team Scores'!$T10, 3)</f>
        <v/>
      </c>
      <c r="U10" s="43">
        <f>PERCENTRANK('Team Scores'!$U$3:$U$1000, 'Team Scores'!$U10, 3)</f>
        <v/>
      </c>
      <c r="V10" s="43">
        <f>PERCENTRANK('Team Scores'!$V$3:$V$1000, 'Team Scores'!$V10, 3)</f>
        <v/>
      </c>
      <c r="W10" s="43">
        <f>PERCENTRANK('Team Scores'!$W$3:$W$1000, 'Team Scores'!$W10, 3)</f>
        <v/>
      </c>
      <c r="X10" s="43">
        <f>PERCENTRANK('Team Scores'!$X$3:$X$1000, 'Team Scores'!$X10, 3)</f>
        <v/>
      </c>
      <c r="Y10" s="43">
        <f>PERCENTRANK('Team Scores'!$Y$3:$Y$1000, 'Team Scores'!$Y10, 3)</f>
        <v/>
      </c>
      <c r="Z10" s="43">
        <f>PERCENTRANK('Team Scores'!$Z$3:$Z$1000, 'Team Scores'!$Z10, 3)</f>
        <v/>
      </c>
      <c r="AA10" s="43">
        <f>AVERAGE(C10:G10)</f>
        <v/>
      </c>
      <c r="AB10" s="43">
        <f>AVERAGE(H10:O10)</f>
        <v/>
      </c>
      <c r="AC10" s="43">
        <f>AVERAGE(P10:T10)</f>
        <v/>
      </c>
      <c r="AD10" s="43">
        <f>AVERAGE(U10:X10)</f>
        <v/>
      </c>
      <c r="AE10" s="43">
        <f>AVERAGE(AA10:AD10)</f>
        <v/>
      </c>
    </row>
    <row r="11">
      <c r="A11" s="41" t="n">
        <v>533</v>
      </c>
      <c r="B11" s="42">
        <f>COUNTIF(MatchScoutingData!E$2:E$1000, $A11)</f>
        <v/>
      </c>
      <c r="C11" s="43">
        <f>PERCENTRANK('Team Scores'!$C$3:$C$1000, 'Team Scores'!$C11, 3)</f>
        <v/>
      </c>
      <c r="D11" s="43">
        <f>PERCENTRANK('Team Scores'!$D$3:$D$1000, 'Team Scores'!$D11, 3)</f>
        <v/>
      </c>
      <c r="E11" s="43">
        <f>PERCENTRANK('Team Scores'!$E$3:$E$1000, 'Team Scores'!$E11, 3)</f>
        <v/>
      </c>
      <c r="F11" s="43">
        <f>PERCENTRANK('Team Scores'!$F$3:$F$1000, 'Team Scores'!$F11, 3)</f>
        <v/>
      </c>
      <c r="G11" s="43">
        <f>PERCENTRANK('Team Scores'!$G$3:$G$1000, 'Team Scores'!$G11, 3)</f>
        <v/>
      </c>
      <c r="H11" s="43">
        <f>PERCENTRANK('Team Scores'!$H$3:$H$1000, 'Team Scores'!$H11, 3)</f>
        <v/>
      </c>
      <c r="I11" s="43">
        <f>PERCENTRANK('Team Scores'!$I$3:$I$1000, 'Team Scores'!$I11, 3)</f>
        <v/>
      </c>
      <c r="J11" s="43">
        <f>PERCENTRANK('Team Scores'!$J$3:$J$1000, 'Team Scores'!$J11, 3)</f>
        <v/>
      </c>
      <c r="K11" s="43">
        <f>PERCENTRANK('Team Scores'!$K$3:$K$1000, 'Team Scores'!$K11, 3)</f>
        <v/>
      </c>
      <c r="L11" s="43">
        <f>PERCENTRANK('Team Scores'!$L$3:$L$1000, 'Team Scores'!$L11, 3)</f>
        <v/>
      </c>
      <c r="M11" s="43">
        <f>PERCENTRANK('Team Scores'!$M$3:$M$1000, 'Team Scores'!$M11, 3)</f>
        <v/>
      </c>
      <c r="N11" s="43">
        <f>PERCENTRANK('Team Scores'!$N$3:$N$1000, 'Team Scores'!$N11, 3)</f>
        <v/>
      </c>
      <c r="O11" s="43">
        <f>PERCENTRANK('Team Scores'!$O$3:$O$1000, 'Team Scores'!$O11, 3)</f>
        <v/>
      </c>
      <c r="P11" s="43">
        <f>PERCENTRANK('Team Scores'!$P$3:$P$1000, 'Team Scores'!$P11, 3)</f>
        <v/>
      </c>
      <c r="Q11" s="43">
        <f>PERCENTRANK('Team Scores'!$Q$3:$Q$1000, 'Team Scores'!$Q11, 3)</f>
        <v/>
      </c>
      <c r="R11" s="43">
        <f>PERCENTRANK('Team Scores'!$R$3:$R$1000, 'Team Scores'!$R11, 3)</f>
        <v/>
      </c>
      <c r="S11" s="43">
        <f>PERCENTRANK('Team Scores'!$S$3:$S$1000, 'Team Scores'!$S11, 3)</f>
        <v/>
      </c>
      <c r="T11" s="43">
        <f>PERCENTRANK('Team Scores'!$T$3:$T$1000, 'Team Scores'!$T11, 3)</f>
        <v/>
      </c>
      <c r="U11" s="43">
        <f>PERCENTRANK('Team Scores'!$U$3:$U$1000, 'Team Scores'!$U11, 3)</f>
        <v/>
      </c>
      <c r="V11" s="43">
        <f>PERCENTRANK('Team Scores'!$V$3:$V$1000, 'Team Scores'!$V11, 3)</f>
        <v/>
      </c>
      <c r="W11" s="43">
        <f>PERCENTRANK('Team Scores'!$W$3:$W$1000, 'Team Scores'!$W11, 3)</f>
        <v/>
      </c>
      <c r="X11" s="43">
        <f>PERCENTRANK('Team Scores'!$X$3:$X$1000, 'Team Scores'!$X11, 3)</f>
        <v/>
      </c>
      <c r="Y11" s="43">
        <f>PERCENTRANK('Team Scores'!$Y$3:$Y$1000, 'Team Scores'!$Y11, 3)</f>
        <v/>
      </c>
      <c r="Z11" s="43">
        <f>PERCENTRANK('Team Scores'!$Z$3:$Z$1000, 'Team Scores'!$Z11, 3)</f>
        <v/>
      </c>
      <c r="AA11" s="43">
        <f>AVERAGE(C11:G11)</f>
        <v/>
      </c>
      <c r="AB11" s="43">
        <f>AVERAGE(H11:O11)</f>
        <v/>
      </c>
      <c r="AC11" s="43">
        <f>AVERAGE(P11:T11)</f>
        <v/>
      </c>
      <c r="AD11" s="43">
        <f>AVERAGE(U11:X11)</f>
        <v/>
      </c>
      <c r="AE11" s="43">
        <f>AVERAGE(AA11:AD11)</f>
        <v/>
      </c>
    </row>
    <row r="12">
      <c r="A12" s="41" t="n">
        <v>578</v>
      </c>
      <c r="B12" s="42">
        <f>COUNTIF(MatchScoutingData!E$2:E$1000, $A12)</f>
        <v/>
      </c>
      <c r="C12" s="43">
        <f>PERCENTRANK('Team Scores'!$C$3:$C$1000, 'Team Scores'!$C12, 3)</f>
        <v/>
      </c>
      <c r="D12" s="43">
        <f>PERCENTRANK('Team Scores'!$D$3:$D$1000, 'Team Scores'!$D12, 3)</f>
        <v/>
      </c>
      <c r="E12" s="43">
        <f>PERCENTRANK('Team Scores'!$E$3:$E$1000, 'Team Scores'!$E12, 3)</f>
        <v/>
      </c>
      <c r="F12" s="43">
        <f>PERCENTRANK('Team Scores'!$F$3:$F$1000, 'Team Scores'!$F12, 3)</f>
        <v/>
      </c>
      <c r="G12" s="43">
        <f>PERCENTRANK('Team Scores'!$G$3:$G$1000, 'Team Scores'!$G12, 3)</f>
        <v/>
      </c>
      <c r="H12" s="43">
        <f>PERCENTRANK('Team Scores'!$H$3:$H$1000, 'Team Scores'!$H12, 3)</f>
        <v/>
      </c>
      <c r="I12" s="43">
        <f>PERCENTRANK('Team Scores'!$I$3:$I$1000, 'Team Scores'!$I12, 3)</f>
        <v/>
      </c>
      <c r="J12" s="43">
        <f>PERCENTRANK('Team Scores'!$J$3:$J$1000, 'Team Scores'!$J12, 3)</f>
        <v/>
      </c>
      <c r="K12" s="43">
        <f>PERCENTRANK('Team Scores'!$K$3:$K$1000, 'Team Scores'!$K12, 3)</f>
        <v/>
      </c>
      <c r="L12" s="43">
        <f>PERCENTRANK('Team Scores'!$L$3:$L$1000, 'Team Scores'!$L12, 3)</f>
        <v/>
      </c>
      <c r="M12" s="43">
        <f>PERCENTRANK('Team Scores'!$M$3:$M$1000, 'Team Scores'!$M12, 3)</f>
        <v/>
      </c>
      <c r="N12" s="43">
        <f>PERCENTRANK('Team Scores'!$N$3:$N$1000, 'Team Scores'!$N12, 3)</f>
        <v/>
      </c>
      <c r="O12" s="43">
        <f>PERCENTRANK('Team Scores'!$O$3:$O$1000, 'Team Scores'!$O12, 3)</f>
        <v/>
      </c>
      <c r="P12" s="43">
        <f>PERCENTRANK('Team Scores'!$P$3:$P$1000, 'Team Scores'!$P12, 3)</f>
        <v/>
      </c>
      <c r="Q12" s="43">
        <f>PERCENTRANK('Team Scores'!$Q$3:$Q$1000, 'Team Scores'!$Q12, 3)</f>
        <v/>
      </c>
      <c r="R12" s="43">
        <f>PERCENTRANK('Team Scores'!$R$3:$R$1000, 'Team Scores'!$R12, 3)</f>
        <v/>
      </c>
      <c r="S12" s="43">
        <f>PERCENTRANK('Team Scores'!$S$3:$S$1000, 'Team Scores'!$S12, 3)</f>
        <v/>
      </c>
      <c r="T12" s="43">
        <f>PERCENTRANK('Team Scores'!$T$3:$T$1000, 'Team Scores'!$T12, 3)</f>
        <v/>
      </c>
      <c r="U12" s="43">
        <f>PERCENTRANK('Team Scores'!$U$3:$U$1000, 'Team Scores'!$U12, 3)</f>
        <v/>
      </c>
      <c r="V12" s="43">
        <f>PERCENTRANK('Team Scores'!$V$3:$V$1000, 'Team Scores'!$V12, 3)</f>
        <v/>
      </c>
      <c r="W12" s="43">
        <f>PERCENTRANK('Team Scores'!$W$3:$W$1000, 'Team Scores'!$W12, 3)</f>
        <v/>
      </c>
      <c r="X12" s="43">
        <f>PERCENTRANK('Team Scores'!$X$3:$X$1000, 'Team Scores'!$X12, 3)</f>
        <v/>
      </c>
      <c r="Y12" s="43">
        <f>PERCENTRANK('Team Scores'!$Y$3:$Y$1000, 'Team Scores'!$Y12, 3)</f>
        <v/>
      </c>
      <c r="Z12" s="43">
        <f>PERCENTRANK('Team Scores'!$Z$3:$Z$1000, 'Team Scores'!$Z12, 3)</f>
        <v/>
      </c>
      <c r="AA12" s="43">
        <f>AVERAGE(C12:G12)</f>
        <v/>
      </c>
      <c r="AB12" s="43">
        <f>AVERAGE(H12:O12)</f>
        <v/>
      </c>
      <c r="AC12" s="43">
        <f>AVERAGE(P12:T12)</f>
        <v/>
      </c>
      <c r="AD12" s="43">
        <f>AVERAGE(U12:X12)</f>
        <v/>
      </c>
      <c r="AE12" s="43">
        <f>AVERAGE(AA12:AD12)</f>
        <v/>
      </c>
    </row>
    <row r="13">
      <c r="A13" s="41" t="n">
        <v>677</v>
      </c>
      <c r="B13" s="42">
        <f>COUNTIF(MatchScoutingData!E$2:E$1000, $A13)</f>
        <v/>
      </c>
      <c r="C13" s="43">
        <f>PERCENTRANK('Team Scores'!$C$3:$C$1000, 'Team Scores'!$C13, 3)</f>
        <v/>
      </c>
      <c r="D13" s="43">
        <f>PERCENTRANK('Team Scores'!$D$3:$D$1000, 'Team Scores'!$D13, 3)</f>
        <v/>
      </c>
      <c r="E13" s="43">
        <f>PERCENTRANK('Team Scores'!$E$3:$E$1000, 'Team Scores'!$E13, 3)</f>
        <v/>
      </c>
      <c r="F13" s="43">
        <f>PERCENTRANK('Team Scores'!$F$3:$F$1000, 'Team Scores'!$F13, 3)</f>
        <v/>
      </c>
      <c r="G13" s="43">
        <f>PERCENTRANK('Team Scores'!$G$3:$G$1000, 'Team Scores'!$G13, 3)</f>
        <v/>
      </c>
      <c r="H13" s="43">
        <f>PERCENTRANK('Team Scores'!$H$3:$H$1000, 'Team Scores'!$H13, 3)</f>
        <v/>
      </c>
      <c r="I13" s="43">
        <f>PERCENTRANK('Team Scores'!$I$3:$I$1000, 'Team Scores'!$I13, 3)</f>
        <v/>
      </c>
      <c r="J13" s="43">
        <f>PERCENTRANK('Team Scores'!$J$3:$J$1000, 'Team Scores'!$J13, 3)</f>
        <v/>
      </c>
      <c r="K13" s="43">
        <f>PERCENTRANK('Team Scores'!$K$3:$K$1000, 'Team Scores'!$K13, 3)</f>
        <v/>
      </c>
      <c r="L13" s="43">
        <f>PERCENTRANK('Team Scores'!$L$3:$L$1000, 'Team Scores'!$L13, 3)</f>
        <v/>
      </c>
      <c r="M13" s="43">
        <f>PERCENTRANK('Team Scores'!$M$3:$M$1000, 'Team Scores'!$M13, 3)</f>
        <v/>
      </c>
      <c r="N13" s="43">
        <f>PERCENTRANK('Team Scores'!$N$3:$N$1000, 'Team Scores'!$N13, 3)</f>
        <v/>
      </c>
      <c r="O13" s="43">
        <f>PERCENTRANK('Team Scores'!$O$3:$O$1000, 'Team Scores'!$O13, 3)</f>
        <v/>
      </c>
      <c r="P13" s="43">
        <f>PERCENTRANK('Team Scores'!$P$3:$P$1000, 'Team Scores'!$P13, 3)</f>
        <v/>
      </c>
      <c r="Q13" s="43">
        <f>PERCENTRANK('Team Scores'!$Q$3:$Q$1000, 'Team Scores'!$Q13, 3)</f>
        <v/>
      </c>
      <c r="R13" s="43">
        <f>PERCENTRANK('Team Scores'!$R$3:$R$1000, 'Team Scores'!$R13, 3)</f>
        <v/>
      </c>
      <c r="S13" s="43">
        <f>PERCENTRANK('Team Scores'!$S$3:$S$1000, 'Team Scores'!$S13, 3)</f>
        <v/>
      </c>
      <c r="T13" s="43">
        <f>PERCENTRANK('Team Scores'!$T$3:$T$1000, 'Team Scores'!$T13, 3)</f>
        <v/>
      </c>
      <c r="U13" s="43">
        <f>PERCENTRANK('Team Scores'!$U$3:$U$1000, 'Team Scores'!$U13, 3)</f>
        <v/>
      </c>
      <c r="V13" s="43">
        <f>PERCENTRANK('Team Scores'!$V$3:$V$1000, 'Team Scores'!$V13, 3)</f>
        <v/>
      </c>
      <c r="W13" s="43">
        <f>PERCENTRANK('Team Scores'!$W$3:$W$1000, 'Team Scores'!$W13, 3)</f>
        <v/>
      </c>
      <c r="X13" s="43">
        <f>PERCENTRANK('Team Scores'!$X$3:$X$1000, 'Team Scores'!$X13, 3)</f>
        <v/>
      </c>
      <c r="Y13" s="43">
        <f>PERCENTRANK('Team Scores'!$Y$3:$Y$1000, 'Team Scores'!$Y13, 3)</f>
        <v/>
      </c>
      <c r="Z13" s="43">
        <f>PERCENTRANK('Team Scores'!$Z$3:$Z$1000, 'Team Scores'!$Z13, 3)</f>
        <v/>
      </c>
      <c r="AA13" s="43">
        <f>AVERAGE(C13:G13)</f>
        <v/>
      </c>
      <c r="AB13" s="43">
        <f>AVERAGE(H13:O13)</f>
        <v/>
      </c>
      <c r="AC13" s="43">
        <f>AVERAGE(P13:T13)</f>
        <v/>
      </c>
      <c r="AD13" s="43">
        <f>AVERAGE(U13:X13)</f>
        <v/>
      </c>
      <c r="AE13" s="43">
        <f>AVERAGE(AA13:AD13)</f>
        <v/>
      </c>
    </row>
    <row r="14">
      <c r="A14" s="41" t="n">
        <v>806</v>
      </c>
      <c r="B14" s="42">
        <f>COUNTIF(MatchScoutingData!E$2:E$1000, $A14)</f>
        <v/>
      </c>
      <c r="C14" s="43">
        <f>PERCENTRANK('Team Scores'!$C$3:$C$1000, 'Team Scores'!$C14, 3)</f>
        <v/>
      </c>
      <c r="D14" s="43">
        <f>PERCENTRANK('Team Scores'!$D$3:$D$1000, 'Team Scores'!$D14, 3)</f>
        <v/>
      </c>
      <c r="E14" s="43">
        <f>PERCENTRANK('Team Scores'!$E$3:$E$1000, 'Team Scores'!$E14, 3)</f>
        <v/>
      </c>
      <c r="F14" s="43">
        <f>PERCENTRANK('Team Scores'!$F$3:$F$1000, 'Team Scores'!$F14, 3)</f>
        <v/>
      </c>
      <c r="G14" s="43">
        <f>PERCENTRANK('Team Scores'!$G$3:$G$1000, 'Team Scores'!$G14, 3)</f>
        <v/>
      </c>
      <c r="H14" s="43">
        <f>PERCENTRANK('Team Scores'!$H$3:$H$1000, 'Team Scores'!$H14, 3)</f>
        <v/>
      </c>
      <c r="I14" s="43">
        <f>PERCENTRANK('Team Scores'!$I$3:$I$1000, 'Team Scores'!$I14, 3)</f>
        <v/>
      </c>
      <c r="J14" s="43">
        <f>PERCENTRANK('Team Scores'!$J$3:$J$1000, 'Team Scores'!$J14, 3)</f>
        <v/>
      </c>
      <c r="K14" s="43">
        <f>PERCENTRANK('Team Scores'!$K$3:$K$1000, 'Team Scores'!$K14, 3)</f>
        <v/>
      </c>
      <c r="L14" s="43">
        <f>PERCENTRANK('Team Scores'!$L$3:$L$1000, 'Team Scores'!$L14, 3)</f>
        <v/>
      </c>
      <c r="M14" s="43">
        <f>PERCENTRANK('Team Scores'!$M$3:$M$1000, 'Team Scores'!$M14, 3)</f>
        <v/>
      </c>
      <c r="N14" s="43">
        <f>PERCENTRANK('Team Scores'!$N$3:$N$1000, 'Team Scores'!$N14, 3)</f>
        <v/>
      </c>
      <c r="O14" s="43">
        <f>PERCENTRANK('Team Scores'!$O$3:$O$1000, 'Team Scores'!$O14, 3)</f>
        <v/>
      </c>
      <c r="P14" s="43">
        <f>PERCENTRANK('Team Scores'!$P$3:$P$1000, 'Team Scores'!$P14, 3)</f>
        <v/>
      </c>
      <c r="Q14" s="43">
        <f>PERCENTRANK('Team Scores'!$Q$3:$Q$1000, 'Team Scores'!$Q14, 3)</f>
        <v/>
      </c>
      <c r="R14" s="43">
        <f>PERCENTRANK('Team Scores'!$R$3:$R$1000, 'Team Scores'!$R14, 3)</f>
        <v/>
      </c>
      <c r="S14" s="43">
        <f>PERCENTRANK('Team Scores'!$S$3:$S$1000, 'Team Scores'!$S14, 3)</f>
        <v/>
      </c>
      <c r="T14" s="43">
        <f>PERCENTRANK('Team Scores'!$T$3:$T$1000, 'Team Scores'!$T14, 3)</f>
        <v/>
      </c>
      <c r="U14" s="43">
        <f>PERCENTRANK('Team Scores'!$U$3:$U$1000, 'Team Scores'!$U14, 3)</f>
        <v/>
      </c>
      <c r="V14" s="43">
        <f>PERCENTRANK('Team Scores'!$V$3:$V$1000, 'Team Scores'!$V14, 3)</f>
        <v/>
      </c>
      <c r="W14" s="43">
        <f>PERCENTRANK('Team Scores'!$W$3:$W$1000, 'Team Scores'!$W14, 3)</f>
        <v/>
      </c>
      <c r="X14" s="43">
        <f>PERCENTRANK('Team Scores'!$X$3:$X$1000, 'Team Scores'!$X14, 3)</f>
        <v/>
      </c>
      <c r="Y14" s="43">
        <f>PERCENTRANK('Team Scores'!$Y$3:$Y$1000, 'Team Scores'!$Y14, 3)</f>
        <v/>
      </c>
      <c r="Z14" s="43">
        <f>PERCENTRANK('Team Scores'!$Z$3:$Z$1000, 'Team Scores'!$Z14, 3)</f>
        <v/>
      </c>
      <c r="AA14" s="43">
        <f>AVERAGE(C14:G14)</f>
        <v/>
      </c>
      <c r="AB14" s="43">
        <f>AVERAGE(H14:O14)</f>
        <v/>
      </c>
      <c r="AC14" s="43">
        <f>AVERAGE(P14:T14)</f>
        <v/>
      </c>
      <c r="AD14" s="43">
        <f>AVERAGE(U14:X14)</f>
        <v/>
      </c>
      <c r="AE14" s="43">
        <f>AVERAGE(AA14:AD14)</f>
        <v/>
      </c>
    </row>
    <row r="15">
      <c r="A15" s="41" t="n">
        <v>870</v>
      </c>
      <c r="B15" s="42">
        <f>COUNTIF(MatchScoutingData!E$2:E$1000, $A15)</f>
        <v/>
      </c>
      <c r="C15" s="43">
        <f>PERCENTRANK('Team Scores'!$C$3:$C$1000, 'Team Scores'!$C15, 3)</f>
        <v/>
      </c>
      <c r="D15" s="43">
        <f>PERCENTRANK('Team Scores'!$D$3:$D$1000, 'Team Scores'!$D15, 3)</f>
        <v/>
      </c>
      <c r="E15" s="43">
        <f>PERCENTRANK('Team Scores'!$E$3:$E$1000, 'Team Scores'!$E15, 3)</f>
        <v/>
      </c>
      <c r="F15" s="43">
        <f>PERCENTRANK('Team Scores'!$F$3:$F$1000, 'Team Scores'!$F15, 3)</f>
        <v/>
      </c>
      <c r="G15" s="43">
        <f>PERCENTRANK('Team Scores'!$G$3:$G$1000, 'Team Scores'!$G15, 3)</f>
        <v/>
      </c>
      <c r="H15" s="43">
        <f>PERCENTRANK('Team Scores'!$H$3:$H$1000, 'Team Scores'!$H15, 3)</f>
        <v/>
      </c>
      <c r="I15" s="43">
        <f>PERCENTRANK('Team Scores'!$I$3:$I$1000, 'Team Scores'!$I15, 3)</f>
        <v/>
      </c>
      <c r="J15" s="43">
        <f>PERCENTRANK('Team Scores'!$J$3:$J$1000, 'Team Scores'!$J15, 3)</f>
        <v/>
      </c>
      <c r="K15" s="43">
        <f>PERCENTRANK('Team Scores'!$K$3:$K$1000, 'Team Scores'!$K15, 3)</f>
        <v/>
      </c>
      <c r="L15" s="43">
        <f>PERCENTRANK('Team Scores'!$L$3:$L$1000, 'Team Scores'!$L15, 3)</f>
        <v/>
      </c>
      <c r="M15" s="43">
        <f>PERCENTRANK('Team Scores'!$M$3:$M$1000, 'Team Scores'!$M15, 3)</f>
        <v/>
      </c>
      <c r="N15" s="43">
        <f>PERCENTRANK('Team Scores'!$N$3:$N$1000, 'Team Scores'!$N15, 3)</f>
        <v/>
      </c>
      <c r="O15" s="43">
        <f>PERCENTRANK('Team Scores'!$O$3:$O$1000, 'Team Scores'!$O15, 3)</f>
        <v/>
      </c>
      <c r="P15" s="43">
        <f>PERCENTRANK('Team Scores'!$P$3:$P$1000, 'Team Scores'!$P15, 3)</f>
        <v/>
      </c>
      <c r="Q15" s="43">
        <f>PERCENTRANK('Team Scores'!$Q$3:$Q$1000, 'Team Scores'!$Q15, 3)</f>
        <v/>
      </c>
      <c r="R15" s="43">
        <f>PERCENTRANK('Team Scores'!$R$3:$R$1000, 'Team Scores'!$R15, 3)</f>
        <v/>
      </c>
      <c r="S15" s="43">
        <f>PERCENTRANK('Team Scores'!$S$3:$S$1000, 'Team Scores'!$S15, 3)</f>
        <v/>
      </c>
      <c r="T15" s="43">
        <f>PERCENTRANK('Team Scores'!$T$3:$T$1000, 'Team Scores'!$T15, 3)</f>
        <v/>
      </c>
      <c r="U15" s="43">
        <f>PERCENTRANK('Team Scores'!$U$3:$U$1000, 'Team Scores'!$U15, 3)</f>
        <v/>
      </c>
      <c r="V15" s="43">
        <f>PERCENTRANK('Team Scores'!$V$3:$V$1000, 'Team Scores'!$V15, 3)</f>
        <v/>
      </c>
      <c r="W15" s="43">
        <f>PERCENTRANK('Team Scores'!$W$3:$W$1000, 'Team Scores'!$W15, 3)</f>
        <v/>
      </c>
      <c r="X15" s="43">
        <f>PERCENTRANK('Team Scores'!$X$3:$X$1000, 'Team Scores'!$X15, 3)</f>
        <v/>
      </c>
      <c r="Y15" s="43">
        <f>PERCENTRANK('Team Scores'!$Y$3:$Y$1000, 'Team Scores'!$Y15, 3)</f>
        <v/>
      </c>
      <c r="Z15" s="43">
        <f>PERCENTRANK('Team Scores'!$Z$3:$Z$1000, 'Team Scores'!$Z15, 3)</f>
        <v/>
      </c>
      <c r="AA15" s="43">
        <f>AVERAGE(C15:G15)</f>
        <v/>
      </c>
      <c r="AB15" s="43">
        <f>AVERAGE(H15:O15)</f>
        <v/>
      </c>
      <c r="AC15" s="43">
        <f>AVERAGE(P15:T15)</f>
        <v/>
      </c>
      <c r="AD15" s="43">
        <f>AVERAGE(U15:X15)</f>
        <v/>
      </c>
      <c r="AE15" s="43">
        <f>AVERAGE(AA15:AD15)</f>
        <v/>
      </c>
    </row>
    <row r="16">
      <c r="A16" s="41" t="n">
        <v>1126</v>
      </c>
      <c r="B16" s="42">
        <f>COUNTIF(MatchScoutingData!E$2:E$1000, $A16)</f>
        <v/>
      </c>
      <c r="C16" s="43">
        <f>PERCENTRANK('Team Scores'!$C$3:$C$1000, 'Team Scores'!$C16, 3)</f>
        <v/>
      </c>
      <c r="D16" s="43">
        <f>PERCENTRANK('Team Scores'!$D$3:$D$1000, 'Team Scores'!$D16, 3)</f>
        <v/>
      </c>
      <c r="E16" s="43">
        <f>PERCENTRANK('Team Scores'!$E$3:$E$1000, 'Team Scores'!$E16, 3)</f>
        <v/>
      </c>
      <c r="F16" s="43">
        <f>PERCENTRANK('Team Scores'!$F$3:$F$1000, 'Team Scores'!$F16, 3)</f>
        <v/>
      </c>
      <c r="G16" s="43">
        <f>PERCENTRANK('Team Scores'!$G$3:$G$1000, 'Team Scores'!$G16, 3)</f>
        <v/>
      </c>
      <c r="H16" s="43">
        <f>PERCENTRANK('Team Scores'!$H$3:$H$1000, 'Team Scores'!$H16, 3)</f>
        <v/>
      </c>
      <c r="I16" s="43">
        <f>PERCENTRANK('Team Scores'!$I$3:$I$1000, 'Team Scores'!$I16, 3)</f>
        <v/>
      </c>
      <c r="J16" s="43">
        <f>PERCENTRANK('Team Scores'!$J$3:$J$1000, 'Team Scores'!$J16, 3)</f>
        <v/>
      </c>
      <c r="K16" s="43">
        <f>PERCENTRANK('Team Scores'!$K$3:$K$1000, 'Team Scores'!$K16, 3)</f>
        <v/>
      </c>
      <c r="L16" s="43">
        <f>PERCENTRANK('Team Scores'!$L$3:$L$1000, 'Team Scores'!$L16, 3)</f>
        <v/>
      </c>
      <c r="M16" s="43">
        <f>PERCENTRANK('Team Scores'!$M$3:$M$1000, 'Team Scores'!$M16, 3)</f>
        <v/>
      </c>
      <c r="N16" s="43">
        <f>PERCENTRANK('Team Scores'!$N$3:$N$1000, 'Team Scores'!$N16, 3)</f>
        <v/>
      </c>
      <c r="O16" s="43">
        <f>PERCENTRANK('Team Scores'!$O$3:$O$1000, 'Team Scores'!$O16, 3)</f>
        <v/>
      </c>
      <c r="P16" s="43">
        <f>PERCENTRANK('Team Scores'!$P$3:$P$1000, 'Team Scores'!$P16, 3)</f>
        <v/>
      </c>
      <c r="Q16" s="43">
        <f>PERCENTRANK('Team Scores'!$Q$3:$Q$1000, 'Team Scores'!$Q16, 3)</f>
        <v/>
      </c>
      <c r="R16" s="43">
        <f>PERCENTRANK('Team Scores'!$R$3:$R$1000, 'Team Scores'!$R16, 3)</f>
        <v/>
      </c>
      <c r="S16" s="43">
        <f>PERCENTRANK('Team Scores'!$S$3:$S$1000, 'Team Scores'!$S16, 3)</f>
        <v/>
      </c>
      <c r="T16" s="43">
        <f>PERCENTRANK('Team Scores'!$T$3:$T$1000, 'Team Scores'!$T16, 3)</f>
        <v/>
      </c>
      <c r="U16" s="43">
        <f>PERCENTRANK('Team Scores'!$U$3:$U$1000, 'Team Scores'!$U16, 3)</f>
        <v/>
      </c>
      <c r="V16" s="43">
        <f>PERCENTRANK('Team Scores'!$V$3:$V$1000, 'Team Scores'!$V16, 3)</f>
        <v/>
      </c>
      <c r="W16" s="43">
        <f>PERCENTRANK('Team Scores'!$W$3:$W$1000, 'Team Scores'!$W16, 3)</f>
        <v/>
      </c>
      <c r="X16" s="43">
        <f>PERCENTRANK('Team Scores'!$X$3:$X$1000, 'Team Scores'!$X16, 3)</f>
        <v/>
      </c>
      <c r="Y16" s="43">
        <f>PERCENTRANK('Team Scores'!$Y$3:$Y$1000, 'Team Scores'!$Y16, 3)</f>
        <v/>
      </c>
      <c r="Z16" s="43">
        <f>PERCENTRANK('Team Scores'!$Z$3:$Z$1000, 'Team Scores'!$Z16, 3)</f>
        <v/>
      </c>
      <c r="AA16" s="43">
        <f>AVERAGE(C16:G16)</f>
        <v/>
      </c>
      <c r="AB16" s="43">
        <f>AVERAGE(H16:O16)</f>
        <v/>
      </c>
      <c r="AC16" s="43">
        <f>AVERAGE(P16:T16)</f>
        <v/>
      </c>
      <c r="AD16" s="43">
        <f>AVERAGE(U16:X16)</f>
        <v/>
      </c>
      <c r="AE16" s="43">
        <f>AVERAGE(AA16:AD16)</f>
        <v/>
      </c>
    </row>
    <row r="17">
      <c r="A17" s="41" t="n">
        <v>1405</v>
      </c>
      <c r="B17" s="42">
        <f>COUNTIF(MatchScoutingData!E$2:E$1000, $A17)</f>
        <v/>
      </c>
      <c r="C17" s="43">
        <f>PERCENTRANK('Team Scores'!$C$3:$C$1000, 'Team Scores'!$C17, 3)</f>
        <v/>
      </c>
      <c r="D17" s="43">
        <f>PERCENTRANK('Team Scores'!$D$3:$D$1000, 'Team Scores'!$D17, 3)</f>
        <v/>
      </c>
      <c r="E17" s="43">
        <f>PERCENTRANK('Team Scores'!$E$3:$E$1000, 'Team Scores'!$E17, 3)</f>
        <v/>
      </c>
      <c r="F17" s="43">
        <f>PERCENTRANK('Team Scores'!$F$3:$F$1000, 'Team Scores'!$F17, 3)</f>
        <v/>
      </c>
      <c r="G17" s="43">
        <f>PERCENTRANK('Team Scores'!$G$3:$G$1000, 'Team Scores'!$G17, 3)</f>
        <v/>
      </c>
      <c r="H17" s="43">
        <f>PERCENTRANK('Team Scores'!$H$3:$H$1000, 'Team Scores'!$H17, 3)</f>
        <v/>
      </c>
      <c r="I17" s="43">
        <f>PERCENTRANK('Team Scores'!$I$3:$I$1000, 'Team Scores'!$I17, 3)</f>
        <v/>
      </c>
      <c r="J17" s="43">
        <f>PERCENTRANK('Team Scores'!$J$3:$J$1000, 'Team Scores'!$J17, 3)</f>
        <v/>
      </c>
      <c r="K17" s="43">
        <f>PERCENTRANK('Team Scores'!$K$3:$K$1000, 'Team Scores'!$K17, 3)</f>
        <v/>
      </c>
      <c r="L17" s="43">
        <f>PERCENTRANK('Team Scores'!$L$3:$L$1000, 'Team Scores'!$L17, 3)</f>
        <v/>
      </c>
      <c r="M17" s="43">
        <f>PERCENTRANK('Team Scores'!$M$3:$M$1000, 'Team Scores'!$M17, 3)</f>
        <v/>
      </c>
      <c r="N17" s="43">
        <f>PERCENTRANK('Team Scores'!$N$3:$N$1000, 'Team Scores'!$N17, 3)</f>
        <v/>
      </c>
      <c r="O17" s="43">
        <f>PERCENTRANK('Team Scores'!$O$3:$O$1000, 'Team Scores'!$O17, 3)</f>
        <v/>
      </c>
      <c r="P17" s="43">
        <f>PERCENTRANK('Team Scores'!$P$3:$P$1000, 'Team Scores'!$P17, 3)</f>
        <v/>
      </c>
      <c r="Q17" s="43">
        <f>PERCENTRANK('Team Scores'!$Q$3:$Q$1000, 'Team Scores'!$Q17, 3)</f>
        <v/>
      </c>
      <c r="R17" s="43">
        <f>PERCENTRANK('Team Scores'!$R$3:$R$1000, 'Team Scores'!$R17, 3)</f>
        <v/>
      </c>
      <c r="S17" s="43">
        <f>PERCENTRANK('Team Scores'!$S$3:$S$1000, 'Team Scores'!$S17, 3)</f>
        <v/>
      </c>
      <c r="T17" s="43">
        <f>PERCENTRANK('Team Scores'!$T$3:$T$1000, 'Team Scores'!$T17, 3)</f>
        <v/>
      </c>
      <c r="U17" s="43">
        <f>PERCENTRANK('Team Scores'!$U$3:$U$1000, 'Team Scores'!$U17, 3)</f>
        <v/>
      </c>
      <c r="V17" s="43">
        <f>PERCENTRANK('Team Scores'!$V$3:$V$1000, 'Team Scores'!$V17, 3)</f>
        <v/>
      </c>
      <c r="W17" s="43">
        <f>PERCENTRANK('Team Scores'!$W$3:$W$1000, 'Team Scores'!$W17, 3)</f>
        <v/>
      </c>
      <c r="X17" s="43">
        <f>PERCENTRANK('Team Scores'!$X$3:$X$1000, 'Team Scores'!$X17, 3)</f>
        <v/>
      </c>
      <c r="Y17" s="43">
        <f>PERCENTRANK('Team Scores'!$Y$3:$Y$1000, 'Team Scores'!$Y17, 3)</f>
        <v/>
      </c>
      <c r="Z17" s="43">
        <f>PERCENTRANK('Team Scores'!$Z$3:$Z$1000, 'Team Scores'!$Z17, 3)</f>
        <v/>
      </c>
      <c r="AA17" s="43">
        <f>AVERAGE(C17:G17)</f>
        <v/>
      </c>
      <c r="AB17" s="43">
        <f>AVERAGE(H17:O17)</f>
        <v/>
      </c>
      <c r="AC17" s="43">
        <f>AVERAGE(P17:T17)</f>
        <v/>
      </c>
      <c r="AD17" s="43">
        <f>AVERAGE(U17:X17)</f>
        <v/>
      </c>
      <c r="AE17" s="43">
        <f>AVERAGE(AA17:AD17)</f>
        <v/>
      </c>
    </row>
    <row r="18">
      <c r="A18" s="41" t="n">
        <v>1493</v>
      </c>
      <c r="B18" s="42">
        <f>COUNTIF(MatchScoutingData!E$2:E$1000, $A18)</f>
        <v/>
      </c>
      <c r="C18" s="43">
        <f>PERCENTRANK('Team Scores'!$C$3:$C$1000, 'Team Scores'!$C18, 3)</f>
        <v/>
      </c>
      <c r="D18" s="43">
        <f>PERCENTRANK('Team Scores'!$D$3:$D$1000, 'Team Scores'!$D18, 3)</f>
        <v/>
      </c>
      <c r="E18" s="43">
        <f>PERCENTRANK('Team Scores'!$E$3:$E$1000, 'Team Scores'!$E18, 3)</f>
        <v/>
      </c>
      <c r="F18" s="43">
        <f>PERCENTRANK('Team Scores'!$F$3:$F$1000, 'Team Scores'!$F18, 3)</f>
        <v/>
      </c>
      <c r="G18" s="43">
        <f>PERCENTRANK('Team Scores'!$G$3:$G$1000, 'Team Scores'!$G18, 3)</f>
        <v/>
      </c>
      <c r="H18" s="43">
        <f>PERCENTRANK('Team Scores'!$H$3:$H$1000, 'Team Scores'!$H18, 3)</f>
        <v/>
      </c>
      <c r="I18" s="43">
        <f>PERCENTRANK('Team Scores'!$I$3:$I$1000, 'Team Scores'!$I18, 3)</f>
        <v/>
      </c>
      <c r="J18" s="43">
        <f>PERCENTRANK('Team Scores'!$J$3:$J$1000, 'Team Scores'!$J18, 3)</f>
        <v/>
      </c>
      <c r="K18" s="43">
        <f>PERCENTRANK('Team Scores'!$K$3:$K$1000, 'Team Scores'!$K18, 3)</f>
        <v/>
      </c>
      <c r="L18" s="43">
        <f>PERCENTRANK('Team Scores'!$L$3:$L$1000, 'Team Scores'!$L18, 3)</f>
        <v/>
      </c>
      <c r="M18" s="43">
        <f>PERCENTRANK('Team Scores'!$M$3:$M$1000, 'Team Scores'!$M18, 3)</f>
        <v/>
      </c>
      <c r="N18" s="43">
        <f>PERCENTRANK('Team Scores'!$N$3:$N$1000, 'Team Scores'!$N18, 3)</f>
        <v/>
      </c>
      <c r="O18" s="43">
        <f>PERCENTRANK('Team Scores'!$O$3:$O$1000, 'Team Scores'!$O18, 3)</f>
        <v/>
      </c>
      <c r="P18" s="43">
        <f>PERCENTRANK('Team Scores'!$P$3:$P$1000, 'Team Scores'!$P18, 3)</f>
        <v/>
      </c>
      <c r="Q18" s="43">
        <f>PERCENTRANK('Team Scores'!$Q$3:$Q$1000, 'Team Scores'!$Q18, 3)</f>
        <v/>
      </c>
      <c r="R18" s="43">
        <f>PERCENTRANK('Team Scores'!$R$3:$R$1000, 'Team Scores'!$R18, 3)</f>
        <v/>
      </c>
      <c r="S18" s="43">
        <f>PERCENTRANK('Team Scores'!$S$3:$S$1000, 'Team Scores'!$S18, 3)</f>
        <v/>
      </c>
      <c r="T18" s="43">
        <f>PERCENTRANK('Team Scores'!$T$3:$T$1000, 'Team Scores'!$T18, 3)</f>
        <v/>
      </c>
      <c r="U18" s="43">
        <f>PERCENTRANK('Team Scores'!$U$3:$U$1000, 'Team Scores'!$U18, 3)</f>
        <v/>
      </c>
      <c r="V18" s="43">
        <f>PERCENTRANK('Team Scores'!$V$3:$V$1000, 'Team Scores'!$V18, 3)</f>
        <v/>
      </c>
      <c r="W18" s="43">
        <f>PERCENTRANK('Team Scores'!$W$3:$W$1000, 'Team Scores'!$W18, 3)</f>
        <v/>
      </c>
      <c r="X18" s="43">
        <f>PERCENTRANK('Team Scores'!$X$3:$X$1000, 'Team Scores'!$X18, 3)</f>
        <v/>
      </c>
      <c r="Y18" s="43">
        <f>PERCENTRANK('Team Scores'!$Y$3:$Y$1000, 'Team Scores'!$Y18, 3)</f>
        <v/>
      </c>
      <c r="Z18" s="43">
        <f>PERCENTRANK('Team Scores'!$Z$3:$Z$1000, 'Team Scores'!$Z18, 3)</f>
        <v/>
      </c>
      <c r="AA18" s="43">
        <f>AVERAGE(C18:G18)</f>
        <v/>
      </c>
      <c r="AB18" s="43">
        <f>AVERAGE(H18:O18)</f>
        <v/>
      </c>
      <c r="AC18" s="43">
        <f>AVERAGE(P18:T18)</f>
        <v/>
      </c>
      <c r="AD18" s="43">
        <f>AVERAGE(U18:X18)</f>
        <v/>
      </c>
      <c r="AE18" s="43">
        <f>AVERAGE(AA18:AD18)</f>
        <v/>
      </c>
    </row>
    <row r="19">
      <c r="A19" s="41" t="n">
        <v>1559</v>
      </c>
      <c r="B19" s="42">
        <f>COUNTIF(MatchScoutingData!E$2:E$1000, $A19)</f>
        <v/>
      </c>
      <c r="C19" s="43">
        <f>PERCENTRANK('Team Scores'!$C$3:$C$1000, 'Team Scores'!$C19, 3)</f>
        <v/>
      </c>
      <c r="D19" s="43">
        <f>PERCENTRANK('Team Scores'!$D$3:$D$1000, 'Team Scores'!$D19, 3)</f>
        <v/>
      </c>
      <c r="E19" s="43">
        <f>PERCENTRANK('Team Scores'!$E$3:$E$1000, 'Team Scores'!$E19, 3)</f>
        <v/>
      </c>
      <c r="F19" s="43">
        <f>PERCENTRANK('Team Scores'!$F$3:$F$1000, 'Team Scores'!$F19, 3)</f>
        <v/>
      </c>
      <c r="G19" s="43">
        <f>PERCENTRANK('Team Scores'!$G$3:$G$1000, 'Team Scores'!$G19, 3)</f>
        <v/>
      </c>
      <c r="H19" s="43">
        <f>PERCENTRANK('Team Scores'!$H$3:$H$1000, 'Team Scores'!$H19, 3)</f>
        <v/>
      </c>
      <c r="I19" s="43">
        <f>PERCENTRANK('Team Scores'!$I$3:$I$1000, 'Team Scores'!$I19, 3)</f>
        <v/>
      </c>
      <c r="J19" s="43">
        <f>PERCENTRANK('Team Scores'!$J$3:$J$1000, 'Team Scores'!$J19, 3)</f>
        <v/>
      </c>
      <c r="K19" s="43">
        <f>PERCENTRANK('Team Scores'!$K$3:$K$1000, 'Team Scores'!$K19, 3)</f>
        <v/>
      </c>
      <c r="L19" s="43">
        <f>PERCENTRANK('Team Scores'!$L$3:$L$1000, 'Team Scores'!$L19, 3)</f>
        <v/>
      </c>
      <c r="M19" s="43">
        <f>PERCENTRANK('Team Scores'!$M$3:$M$1000, 'Team Scores'!$M19, 3)</f>
        <v/>
      </c>
      <c r="N19" s="43">
        <f>PERCENTRANK('Team Scores'!$N$3:$N$1000, 'Team Scores'!$N19, 3)</f>
        <v/>
      </c>
      <c r="O19" s="43">
        <f>PERCENTRANK('Team Scores'!$O$3:$O$1000, 'Team Scores'!$O19, 3)</f>
        <v/>
      </c>
      <c r="P19" s="43">
        <f>PERCENTRANK('Team Scores'!$P$3:$P$1000, 'Team Scores'!$P19, 3)</f>
        <v/>
      </c>
      <c r="Q19" s="43">
        <f>PERCENTRANK('Team Scores'!$Q$3:$Q$1000, 'Team Scores'!$Q19, 3)</f>
        <v/>
      </c>
      <c r="R19" s="43">
        <f>PERCENTRANK('Team Scores'!$R$3:$R$1000, 'Team Scores'!$R19, 3)</f>
        <v/>
      </c>
      <c r="S19" s="43">
        <f>PERCENTRANK('Team Scores'!$S$3:$S$1000, 'Team Scores'!$S19, 3)</f>
        <v/>
      </c>
      <c r="T19" s="43">
        <f>PERCENTRANK('Team Scores'!$T$3:$T$1000, 'Team Scores'!$T19, 3)</f>
        <v/>
      </c>
      <c r="U19" s="43">
        <f>PERCENTRANK('Team Scores'!$U$3:$U$1000, 'Team Scores'!$U19, 3)</f>
        <v/>
      </c>
      <c r="V19" s="43">
        <f>PERCENTRANK('Team Scores'!$V$3:$V$1000, 'Team Scores'!$V19, 3)</f>
        <v/>
      </c>
      <c r="W19" s="43">
        <f>PERCENTRANK('Team Scores'!$W$3:$W$1000, 'Team Scores'!$W19, 3)</f>
        <v/>
      </c>
      <c r="X19" s="43">
        <f>PERCENTRANK('Team Scores'!$X$3:$X$1000, 'Team Scores'!$X19, 3)</f>
        <v/>
      </c>
      <c r="Y19" s="43">
        <f>PERCENTRANK('Team Scores'!$Y$3:$Y$1000, 'Team Scores'!$Y19, 3)</f>
        <v/>
      </c>
      <c r="Z19" s="43">
        <f>PERCENTRANK('Team Scores'!$Z$3:$Z$1000, 'Team Scores'!$Z19, 3)</f>
        <v/>
      </c>
      <c r="AA19" s="43">
        <f>AVERAGE(C19:G19)</f>
        <v/>
      </c>
      <c r="AB19" s="43">
        <f>AVERAGE(H19:O19)</f>
        <v/>
      </c>
      <c r="AC19" s="43">
        <f>AVERAGE(P19:T19)</f>
        <v/>
      </c>
      <c r="AD19" s="43">
        <f>AVERAGE(U19:X19)</f>
        <v/>
      </c>
      <c r="AE19" s="43">
        <f>AVERAGE(AA19:AD19)</f>
        <v/>
      </c>
    </row>
    <row r="20">
      <c r="A20" s="41" t="n">
        <v>1591</v>
      </c>
      <c r="B20" s="42">
        <f>COUNTIF(MatchScoutingData!E$2:E$1000, $A20)</f>
        <v/>
      </c>
      <c r="C20" s="43">
        <f>PERCENTRANK('Team Scores'!$C$3:$C$1000, 'Team Scores'!$C20, 3)</f>
        <v/>
      </c>
      <c r="D20" s="43">
        <f>PERCENTRANK('Team Scores'!$D$3:$D$1000, 'Team Scores'!$D20, 3)</f>
        <v/>
      </c>
      <c r="E20" s="43">
        <f>PERCENTRANK('Team Scores'!$E$3:$E$1000, 'Team Scores'!$E20, 3)</f>
        <v/>
      </c>
      <c r="F20" s="43">
        <f>PERCENTRANK('Team Scores'!$F$3:$F$1000, 'Team Scores'!$F20, 3)</f>
        <v/>
      </c>
      <c r="G20" s="43">
        <f>PERCENTRANK('Team Scores'!$G$3:$G$1000, 'Team Scores'!$G20, 3)</f>
        <v/>
      </c>
      <c r="H20" s="43">
        <f>PERCENTRANK('Team Scores'!$H$3:$H$1000, 'Team Scores'!$H20, 3)</f>
        <v/>
      </c>
      <c r="I20" s="43">
        <f>PERCENTRANK('Team Scores'!$I$3:$I$1000, 'Team Scores'!$I20, 3)</f>
        <v/>
      </c>
      <c r="J20" s="43">
        <f>PERCENTRANK('Team Scores'!$J$3:$J$1000, 'Team Scores'!$J20, 3)</f>
        <v/>
      </c>
      <c r="K20" s="43">
        <f>PERCENTRANK('Team Scores'!$K$3:$K$1000, 'Team Scores'!$K20, 3)</f>
        <v/>
      </c>
      <c r="L20" s="43">
        <f>PERCENTRANK('Team Scores'!$L$3:$L$1000, 'Team Scores'!$L20, 3)</f>
        <v/>
      </c>
      <c r="M20" s="43">
        <f>PERCENTRANK('Team Scores'!$M$3:$M$1000, 'Team Scores'!$M20, 3)</f>
        <v/>
      </c>
      <c r="N20" s="43">
        <f>PERCENTRANK('Team Scores'!$N$3:$N$1000, 'Team Scores'!$N20, 3)</f>
        <v/>
      </c>
      <c r="O20" s="43">
        <f>PERCENTRANK('Team Scores'!$O$3:$O$1000, 'Team Scores'!$O20, 3)</f>
        <v/>
      </c>
      <c r="P20" s="43">
        <f>PERCENTRANK('Team Scores'!$P$3:$P$1000, 'Team Scores'!$P20, 3)</f>
        <v/>
      </c>
      <c r="Q20" s="43">
        <f>PERCENTRANK('Team Scores'!$Q$3:$Q$1000, 'Team Scores'!$Q20, 3)</f>
        <v/>
      </c>
      <c r="R20" s="43">
        <f>PERCENTRANK('Team Scores'!$R$3:$R$1000, 'Team Scores'!$R20, 3)</f>
        <v/>
      </c>
      <c r="S20" s="43">
        <f>PERCENTRANK('Team Scores'!$S$3:$S$1000, 'Team Scores'!$S20, 3)</f>
        <v/>
      </c>
      <c r="T20" s="43">
        <f>PERCENTRANK('Team Scores'!$T$3:$T$1000, 'Team Scores'!$T20, 3)</f>
        <v/>
      </c>
      <c r="U20" s="43">
        <f>PERCENTRANK('Team Scores'!$U$3:$U$1000, 'Team Scores'!$U20, 3)</f>
        <v/>
      </c>
      <c r="V20" s="43">
        <f>PERCENTRANK('Team Scores'!$V$3:$V$1000, 'Team Scores'!$V20, 3)</f>
        <v/>
      </c>
      <c r="W20" s="43">
        <f>PERCENTRANK('Team Scores'!$W$3:$W$1000, 'Team Scores'!$W20, 3)</f>
        <v/>
      </c>
      <c r="X20" s="43">
        <f>PERCENTRANK('Team Scores'!$X$3:$X$1000, 'Team Scores'!$X20, 3)</f>
        <v/>
      </c>
      <c r="Y20" s="43">
        <f>PERCENTRANK('Team Scores'!$Y$3:$Y$1000, 'Team Scores'!$Y20, 3)</f>
        <v/>
      </c>
      <c r="Z20" s="43">
        <f>PERCENTRANK('Team Scores'!$Z$3:$Z$1000, 'Team Scores'!$Z20, 3)</f>
        <v/>
      </c>
      <c r="AA20" s="43">
        <f>AVERAGE(C20:G20)</f>
        <v/>
      </c>
      <c r="AB20" s="43">
        <f>AVERAGE(H20:O20)</f>
        <v/>
      </c>
      <c r="AC20" s="43">
        <f>AVERAGE(P20:T20)</f>
        <v/>
      </c>
      <c r="AD20" s="43">
        <f>AVERAGE(U20:X20)</f>
        <v/>
      </c>
      <c r="AE20" s="43">
        <f>AVERAGE(AA20:AD20)</f>
        <v/>
      </c>
    </row>
    <row r="21">
      <c r="A21" s="41" t="n">
        <v>1796</v>
      </c>
      <c r="B21" s="42">
        <f>COUNTIF(MatchScoutingData!E$2:E$1000, $A21)</f>
        <v/>
      </c>
      <c r="C21" s="43">
        <f>PERCENTRANK('Team Scores'!$C$3:$C$1000, 'Team Scores'!$C21, 3)</f>
        <v/>
      </c>
      <c r="D21" s="43">
        <f>PERCENTRANK('Team Scores'!$D$3:$D$1000, 'Team Scores'!$D21, 3)</f>
        <v/>
      </c>
      <c r="E21" s="43">
        <f>PERCENTRANK('Team Scores'!$E$3:$E$1000, 'Team Scores'!$E21, 3)</f>
        <v/>
      </c>
      <c r="F21" s="43">
        <f>PERCENTRANK('Team Scores'!$F$3:$F$1000, 'Team Scores'!$F21, 3)</f>
        <v/>
      </c>
      <c r="G21" s="43">
        <f>PERCENTRANK('Team Scores'!$G$3:$G$1000, 'Team Scores'!$G21, 3)</f>
        <v/>
      </c>
      <c r="H21" s="43">
        <f>PERCENTRANK('Team Scores'!$H$3:$H$1000, 'Team Scores'!$H21, 3)</f>
        <v/>
      </c>
      <c r="I21" s="43">
        <f>PERCENTRANK('Team Scores'!$I$3:$I$1000, 'Team Scores'!$I21, 3)</f>
        <v/>
      </c>
      <c r="J21" s="43">
        <f>PERCENTRANK('Team Scores'!$J$3:$J$1000, 'Team Scores'!$J21, 3)</f>
        <v/>
      </c>
      <c r="K21" s="43">
        <f>PERCENTRANK('Team Scores'!$K$3:$K$1000, 'Team Scores'!$K21, 3)</f>
        <v/>
      </c>
      <c r="L21" s="43">
        <f>PERCENTRANK('Team Scores'!$L$3:$L$1000, 'Team Scores'!$L21, 3)</f>
        <v/>
      </c>
      <c r="M21" s="43">
        <f>PERCENTRANK('Team Scores'!$M$3:$M$1000, 'Team Scores'!$M21, 3)</f>
        <v/>
      </c>
      <c r="N21" s="43">
        <f>PERCENTRANK('Team Scores'!$N$3:$N$1000, 'Team Scores'!$N21, 3)</f>
        <v/>
      </c>
      <c r="O21" s="43">
        <f>PERCENTRANK('Team Scores'!$O$3:$O$1000, 'Team Scores'!$O21, 3)</f>
        <v/>
      </c>
      <c r="P21" s="43">
        <f>PERCENTRANK('Team Scores'!$P$3:$P$1000, 'Team Scores'!$P21, 3)</f>
        <v/>
      </c>
      <c r="Q21" s="43">
        <f>PERCENTRANK('Team Scores'!$Q$3:$Q$1000, 'Team Scores'!$Q21, 3)</f>
        <v/>
      </c>
      <c r="R21" s="43">
        <f>PERCENTRANK('Team Scores'!$R$3:$R$1000, 'Team Scores'!$R21, 3)</f>
        <v/>
      </c>
      <c r="S21" s="43">
        <f>PERCENTRANK('Team Scores'!$S$3:$S$1000, 'Team Scores'!$S21, 3)</f>
        <v/>
      </c>
      <c r="T21" s="43">
        <f>PERCENTRANK('Team Scores'!$T$3:$T$1000, 'Team Scores'!$T21, 3)</f>
        <v/>
      </c>
      <c r="U21" s="43">
        <f>PERCENTRANK('Team Scores'!$U$3:$U$1000, 'Team Scores'!$U21, 3)</f>
        <v/>
      </c>
      <c r="V21" s="43">
        <f>PERCENTRANK('Team Scores'!$V$3:$V$1000, 'Team Scores'!$V21, 3)</f>
        <v/>
      </c>
      <c r="W21" s="43">
        <f>PERCENTRANK('Team Scores'!$W$3:$W$1000, 'Team Scores'!$W21, 3)</f>
        <v/>
      </c>
      <c r="X21" s="43">
        <f>PERCENTRANK('Team Scores'!$X$3:$X$1000, 'Team Scores'!$X21, 3)</f>
        <v/>
      </c>
      <c r="Y21" s="43">
        <f>PERCENTRANK('Team Scores'!$Y$3:$Y$1000, 'Team Scores'!$Y21, 3)</f>
        <v/>
      </c>
      <c r="Z21" s="43">
        <f>PERCENTRANK('Team Scores'!$Z$3:$Z$1000, 'Team Scores'!$Z21, 3)</f>
        <v/>
      </c>
      <c r="AA21" s="43">
        <f>AVERAGE(C21:G21)</f>
        <v/>
      </c>
      <c r="AB21" s="43">
        <f>AVERAGE(H21:O21)</f>
        <v/>
      </c>
      <c r="AC21" s="43">
        <f>AVERAGE(P21:T21)</f>
        <v/>
      </c>
      <c r="AD21" s="43">
        <f>AVERAGE(U21:X21)</f>
        <v/>
      </c>
      <c r="AE21" s="43">
        <f>AVERAGE(AA21:AD21)</f>
        <v/>
      </c>
    </row>
    <row r="22">
      <c r="A22" s="41" t="n">
        <v>1880</v>
      </c>
      <c r="B22" s="42">
        <f>COUNTIF(MatchScoutingData!E$2:E$1000, $A22)</f>
        <v/>
      </c>
      <c r="C22" s="43">
        <f>PERCENTRANK('Team Scores'!$C$3:$C$1000, 'Team Scores'!$C22, 3)</f>
        <v/>
      </c>
      <c r="D22" s="43">
        <f>PERCENTRANK('Team Scores'!$D$3:$D$1000, 'Team Scores'!$D22, 3)</f>
        <v/>
      </c>
      <c r="E22" s="43">
        <f>PERCENTRANK('Team Scores'!$E$3:$E$1000, 'Team Scores'!$E22, 3)</f>
        <v/>
      </c>
      <c r="F22" s="43">
        <f>PERCENTRANK('Team Scores'!$F$3:$F$1000, 'Team Scores'!$F22, 3)</f>
        <v/>
      </c>
      <c r="G22" s="43">
        <f>PERCENTRANK('Team Scores'!$G$3:$G$1000, 'Team Scores'!$G22, 3)</f>
        <v/>
      </c>
      <c r="H22" s="43">
        <f>PERCENTRANK('Team Scores'!$H$3:$H$1000, 'Team Scores'!$H22, 3)</f>
        <v/>
      </c>
      <c r="I22" s="43">
        <f>PERCENTRANK('Team Scores'!$I$3:$I$1000, 'Team Scores'!$I22, 3)</f>
        <v/>
      </c>
      <c r="J22" s="43">
        <f>PERCENTRANK('Team Scores'!$J$3:$J$1000, 'Team Scores'!$J22, 3)</f>
        <v/>
      </c>
      <c r="K22" s="43">
        <f>PERCENTRANK('Team Scores'!$K$3:$K$1000, 'Team Scores'!$K22, 3)</f>
        <v/>
      </c>
      <c r="L22" s="43">
        <f>PERCENTRANK('Team Scores'!$L$3:$L$1000, 'Team Scores'!$L22, 3)</f>
        <v/>
      </c>
      <c r="M22" s="43">
        <f>PERCENTRANK('Team Scores'!$M$3:$M$1000, 'Team Scores'!$M22, 3)</f>
        <v/>
      </c>
      <c r="N22" s="43">
        <f>PERCENTRANK('Team Scores'!$N$3:$N$1000, 'Team Scores'!$N22, 3)</f>
        <v/>
      </c>
      <c r="O22" s="43">
        <f>PERCENTRANK('Team Scores'!$O$3:$O$1000, 'Team Scores'!$O22, 3)</f>
        <v/>
      </c>
      <c r="P22" s="43">
        <f>PERCENTRANK('Team Scores'!$P$3:$P$1000, 'Team Scores'!$P22, 3)</f>
        <v/>
      </c>
      <c r="Q22" s="43">
        <f>PERCENTRANK('Team Scores'!$Q$3:$Q$1000, 'Team Scores'!$Q22, 3)</f>
        <v/>
      </c>
      <c r="R22" s="43">
        <f>PERCENTRANK('Team Scores'!$R$3:$R$1000, 'Team Scores'!$R22, 3)</f>
        <v/>
      </c>
      <c r="S22" s="43">
        <f>PERCENTRANK('Team Scores'!$S$3:$S$1000, 'Team Scores'!$S22, 3)</f>
        <v/>
      </c>
      <c r="T22" s="43">
        <f>PERCENTRANK('Team Scores'!$T$3:$T$1000, 'Team Scores'!$T22, 3)</f>
        <v/>
      </c>
      <c r="U22" s="43">
        <f>PERCENTRANK('Team Scores'!$U$3:$U$1000, 'Team Scores'!$U22, 3)</f>
        <v/>
      </c>
      <c r="V22" s="43">
        <f>PERCENTRANK('Team Scores'!$V$3:$V$1000, 'Team Scores'!$V22, 3)</f>
        <v/>
      </c>
      <c r="W22" s="43">
        <f>PERCENTRANK('Team Scores'!$W$3:$W$1000, 'Team Scores'!$W22, 3)</f>
        <v/>
      </c>
      <c r="X22" s="43">
        <f>PERCENTRANK('Team Scores'!$X$3:$X$1000, 'Team Scores'!$X22, 3)</f>
        <v/>
      </c>
      <c r="Y22" s="43">
        <f>PERCENTRANK('Team Scores'!$Y$3:$Y$1000, 'Team Scores'!$Y22, 3)</f>
        <v/>
      </c>
      <c r="Z22" s="43">
        <f>PERCENTRANK('Team Scores'!$Z$3:$Z$1000, 'Team Scores'!$Z22, 3)</f>
        <v/>
      </c>
      <c r="AA22" s="43">
        <f>AVERAGE(C22:G22)</f>
        <v/>
      </c>
      <c r="AB22" s="43">
        <f>AVERAGE(H22:O22)</f>
        <v/>
      </c>
      <c r="AC22" s="43">
        <f>AVERAGE(P22:T22)</f>
        <v/>
      </c>
      <c r="AD22" s="43">
        <f>AVERAGE(U22:X22)</f>
        <v/>
      </c>
      <c r="AE22" s="43">
        <f>AVERAGE(AA22:AD22)</f>
        <v/>
      </c>
    </row>
    <row r="23">
      <c r="A23" s="41" t="n">
        <v>2053</v>
      </c>
      <c r="B23" s="42">
        <f>COUNTIF(MatchScoutingData!E$2:E$1000, $A23)</f>
        <v/>
      </c>
      <c r="C23" s="43">
        <f>PERCENTRANK('Team Scores'!$C$3:$C$1000, 'Team Scores'!$C23, 3)</f>
        <v/>
      </c>
      <c r="D23" s="43">
        <f>PERCENTRANK('Team Scores'!$D$3:$D$1000, 'Team Scores'!$D23, 3)</f>
        <v/>
      </c>
      <c r="E23" s="43">
        <f>PERCENTRANK('Team Scores'!$E$3:$E$1000, 'Team Scores'!$E23, 3)</f>
        <v/>
      </c>
      <c r="F23" s="43">
        <f>PERCENTRANK('Team Scores'!$F$3:$F$1000, 'Team Scores'!$F23, 3)</f>
        <v/>
      </c>
      <c r="G23" s="43">
        <f>PERCENTRANK('Team Scores'!$G$3:$G$1000, 'Team Scores'!$G23, 3)</f>
        <v/>
      </c>
      <c r="H23" s="43">
        <f>PERCENTRANK('Team Scores'!$H$3:$H$1000, 'Team Scores'!$H23, 3)</f>
        <v/>
      </c>
      <c r="I23" s="43">
        <f>PERCENTRANK('Team Scores'!$I$3:$I$1000, 'Team Scores'!$I23, 3)</f>
        <v/>
      </c>
      <c r="J23" s="43">
        <f>PERCENTRANK('Team Scores'!$J$3:$J$1000, 'Team Scores'!$J23, 3)</f>
        <v/>
      </c>
      <c r="K23" s="43">
        <f>PERCENTRANK('Team Scores'!$K$3:$K$1000, 'Team Scores'!$K23, 3)</f>
        <v/>
      </c>
      <c r="L23" s="43">
        <f>PERCENTRANK('Team Scores'!$L$3:$L$1000, 'Team Scores'!$L23, 3)</f>
        <v/>
      </c>
      <c r="M23" s="43">
        <f>PERCENTRANK('Team Scores'!$M$3:$M$1000, 'Team Scores'!$M23, 3)</f>
        <v/>
      </c>
      <c r="N23" s="43">
        <f>PERCENTRANK('Team Scores'!$N$3:$N$1000, 'Team Scores'!$N23, 3)</f>
        <v/>
      </c>
      <c r="O23" s="43">
        <f>PERCENTRANK('Team Scores'!$O$3:$O$1000, 'Team Scores'!$O23, 3)</f>
        <v/>
      </c>
      <c r="P23" s="43">
        <f>PERCENTRANK('Team Scores'!$P$3:$P$1000, 'Team Scores'!$P23, 3)</f>
        <v/>
      </c>
      <c r="Q23" s="43">
        <f>PERCENTRANK('Team Scores'!$Q$3:$Q$1000, 'Team Scores'!$Q23, 3)</f>
        <v/>
      </c>
      <c r="R23" s="43">
        <f>PERCENTRANK('Team Scores'!$R$3:$R$1000, 'Team Scores'!$R23, 3)</f>
        <v/>
      </c>
      <c r="S23" s="43">
        <f>PERCENTRANK('Team Scores'!$S$3:$S$1000, 'Team Scores'!$S23, 3)</f>
        <v/>
      </c>
      <c r="T23" s="43">
        <f>PERCENTRANK('Team Scores'!$T$3:$T$1000, 'Team Scores'!$T23, 3)</f>
        <v/>
      </c>
      <c r="U23" s="43">
        <f>PERCENTRANK('Team Scores'!$U$3:$U$1000, 'Team Scores'!$U23, 3)</f>
        <v/>
      </c>
      <c r="V23" s="43">
        <f>PERCENTRANK('Team Scores'!$V$3:$V$1000, 'Team Scores'!$V23, 3)</f>
        <v/>
      </c>
      <c r="W23" s="43">
        <f>PERCENTRANK('Team Scores'!$W$3:$W$1000, 'Team Scores'!$W23, 3)</f>
        <v/>
      </c>
      <c r="X23" s="43">
        <f>PERCENTRANK('Team Scores'!$X$3:$X$1000, 'Team Scores'!$X23, 3)</f>
        <v/>
      </c>
      <c r="Y23" s="43">
        <f>PERCENTRANK('Team Scores'!$Y$3:$Y$1000, 'Team Scores'!$Y23, 3)</f>
        <v/>
      </c>
      <c r="Z23" s="43">
        <f>PERCENTRANK('Team Scores'!$Z$3:$Z$1000, 'Team Scores'!$Z23, 3)</f>
        <v/>
      </c>
      <c r="AA23" s="43">
        <f>AVERAGE(C23:G23)</f>
        <v/>
      </c>
      <c r="AB23" s="43">
        <f>AVERAGE(H23:O23)</f>
        <v/>
      </c>
      <c r="AC23" s="43">
        <f>AVERAGE(P23:T23)</f>
        <v/>
      </c>
      <c r="AD23" s="43">
        <f>AVERAGE(U23:X23)</f>
        <v/>
      </c>
      <c r="AE23" s="43">
        <f>AVERAGE(AA23:AD23)</f>
        <v/>
      </c>
    </row>
    <row r="24">
      <c r="A24" s="41" t="n">
        <v>2340</v>
      </c>
      <c r="B24" s="42">
        <f>COUNTIF(MatchScoutingData!E$2:E$1000, $A24)</f>
        <v/>
      </c>
      <c r="C24" s="43">
        <f>PERCENTRANK('Team Scores'!$C$3:$C$1000, 'Team Scores'!$C24, 3)</f>
        <v/>
      </c>
      <c r="D24" s="43">
        <f>PERCENTRANK('Team Scores'!$D$3:$D$1000, 'Team Scores'!$D24, 3)</f>
        <v/>
      </c>
      <c r="E24" s="43">
        <f>PERCENTRANK('Team Scores'!$E$3:$E$1000, 'Team Scores'!$E24, 3)</f>
        <v/>
      </c>
      <c r="F24" s="43">
        <f>PERCENTRANK('Team Scores'!$F$3:$F$1000, 'Team Scores'!$F24, 3)</f>
        <v/>
      </c>
      <c r="G24" s="43">
        <f>PERCENTRANK('Team Scores'!$G$3:$G$1000, 'Team Scores'!$G24, 3)</f>
        <v/>
      </c>
      <c r="H24" s="43">
        <f>PERCENTRANK('Team Scores'!$H$3:$H$1000, 'Team Scores'!$H24, 3)</f>
        <v/>
      </c>
      <c r="I24" s="43">
        <f>PERCENTRANK('Team Scores'!$I$3:$I$1000, 'Team Scores'!$I24, 3)</f>
        <v/>
      </c>
      <c r="J24" s="43">
        <f>PERCENTRANK('Team Scores'!$J$3:$J$1000, 'Team Scores'!$J24, 3)</f>
        <v/>
      </c>
      <c r="K24" s="43">
        <f>PERCENTRANK('Team Scores'!$K$3:$K$1000, 'Team Scores'!$K24, 3)</f>
        <v/>
      </c>
      <c r="L24" s="43">
        <f>PERCENTRANK('Team Scores'!$L$3:$L$1000, 'Team Scores'!$L24, 3)</f>
        <v/>
      </c>
      <c r="M24" s="43">
        <f>PERCENTRANK('Team Scores'!$M$3:$M$1000, 'Team Scores'!$M24, 3)</f>
        <v/>
      </c>
      <c r="N24" s="43">
        <f>PERCENTRANK('Team Scores'!$N$3:$N$1000, 'Team Scores'!$N24, 3)</f>
        <v/>
      </c>
      <c r="O24" s="43">
        <f>PERCENTRANK('Team Scores'!$O$3:$O$1000, 'Team Scores'!$O24, 3)</f>
        <v/>
      </c>
      <c r="P24" s="43">
        <f>PERCENTRANK('Team Scores'!$P$3:$P$1000, 'Team Scores'!$P24, 3)</f>
        <v/>
      </c>
      <c r="Q24" s="43">
        <f>PERCENTRANK('Team Scores'!$Q$3:$Q$1000, 'Team Scores'!$Q24, 3)</f>
        <v/>
      </c>
      <c r="R24" s="43">
        <f>PERCENTRANK('Team Scores'!$R$3:$R$1000, 'Team Scores'!$R24, 3)</f>
        <v/>
      </c>
      <c r="S24" s="43">
        <f>PERCENTRANK('Team Scores'!$S$3:$S$1000, 'Team Scores'!$S24, 3)</f>
        <v/>
      </c>
      <c r="T24" s="43">
        <f>PERCENTRANK('Team Scores'!$T$3:$T$1000, 'Team Scores'!$T24, 3)</f>
        <v/>
      </c>
      <c r="U24" s="43">
        <f>PERCENTRANK('Team Scores'!$U$3:$U$1000, 'Team Scores'!$U24, 3)</f>
        <v/>
      </c>
      <c r="V24" s="43">
        <f>PERCENTRANK('Team Scores'!$V$3:$V$1000, 'Team Scores'!$V24, 3)</f>
        <v/>
      </c>
      <c r="W24" s="43">
        <f>PERCENTRANK('Team Scores'!$W$3:$W$1000, 'Team Scores'!$W24, 3)</f>
        <v/>
      </c>
      <c r="X24" s="43">
        <f>PERCENTRANK('Team Scores'!$X$3:$X$1000, 'Team Scores'!$X24, 3)</f>
        <v/>
      </c>
      <c r="Y24" s="43">
        <f>PERCENTRANK('Team Scores'!$Y$3:$Y$1000, 'Team Scores'!$Y24, 3)</f>
        <v/>
      </c>
      <c r="Z24" s="43">
        <f>PERCENTRANK('Team Scores'!$Z$3:$Z$1000, 'Team Scores'!$Z24, 3)</f>
        <v/>
      </c>
      <c r="AA24" s="43">
        <f>AVERAGE(C24:G24)</f>
        <v/>
      </c>
      <c r="AB24" s="43">
        <f>AVERAGE(H24:O24)</f>
        <v/>
      </c>
      <c r="AC24" s="43">
        <f>AVERAGE(P24:T24)</f>
        <v/>
      </c>
      <c r="AD24" s="43">
        <f>AVERAGE(U24:X24)</f>
        <v/>
      </c>
      <c r="AE24" s="43">
        <f>AVERAGE(AA24:AD24)</f>
        <v/>
      </c>
    </row>
    <row r="25">
      <c r="A25" s="41" t="n">
        <v>2791</v>
      </c>
      <c r="B25" s="42">
        <f>COUNTIF(MatchScoutingData!E$2:E$1000, $A25)</f>
        <v/>
      </c>
      <c r="C25" s="43">
        <f>PERCENTRANK('Team Scores'!$C$3:$C$1000, 'Team Scores'!$C25, 3)</f>
        <v/>
      </c>
      <c r="D25" s="43">
        <f>PERCENTRANK('Team Scores'!$D$3:$D$1000, 'Team Scores'!$D25, 3)</f>
        <v/>
      </c>
      <c r="E25" s="43">
        <f>PERCENTRANK('Team Scores'!$E$3:$E$1000, 'Team Scores'!$E25, 3)</f>
        <v/>
      </c>
      <c r="F25" s="43">
        <f>PERCENTRANK('Team Scores'!$F$3:$F$1000, 'Team Scores'!$F25, 3)</f>
        <v/>
      </c>
      <c r="G25" s="43">
        <f>PERCENTRANK('Team Scores'!$G$3:$G$1000, 'Team Scores'!$G25, 3)</f>
        <v/>
      </c>
      <c r="H25" s="43">
        <f>PERCENTRANK('Team Scores'!$H$3:$H$1000, 'Team Scores'!$H25, 3)</f>
        <v/>
      </c>
      <c r="I25" s="43">
        <f>PERCENTRANK('Team Scores'!$I$3:$I$1000, 'Team Scores'!$I25, 3)</f>
        <v/>
      </c>
      <c r="J25" s="43">
        <f>PERCENTRANK('Team Scores'!$J$3:$J$1000, 'Team Scores'!$J25, 3)</f>
        <v/>
      </c>
      <c r="K25" s="43">
        <f>PERCENTRANK('Team Scores'!$K$3:$K$1000, 'Team Scores'!$K25, 3)</f>
        <v/>
      </c>
      <c r="L25" s="43">
        <f>PERCENTRANK('Team Scores'!$L$3:$L$1000, 'Team Scores'!$L25, 3)</f>
        <v/>
      </c>
      <c r="M25" s="43">
        <f>PERCENTRANK('Team Scores'!$M$3:$M$1000, 'Team Scores'!$M25, 3)</f>
        <v/>
      </c>
      <c r="N25" s="43">
        <f>PERCENTRANK('Team Scores'!$N$3:$N$1000, 'Team Scores'!$N25, 3)</f>
        <v/>
      </c>
      <c r="O25" s="43">
        <f>PERCENTRANK('Team Scores'!$O$3:$O$1000, 'Team Scores'!$O25, 3)</f>
        <v/>
      </c>
      <c r="P25" s="43">
        <f>PERCENTRANK('Team Scores'!$P$3:$P$1000, 'Team Scores'!$P25, 3)</f>
        <v/>
      </c>
      <c r="Q25" s="43">
        <f>PERCENTRANK('Team Scores'!$Q$3:$Q$1000, 'Team Scores'!$Q25, 3)</f>
        <v/>
      </c>
      <c r="R25" s="43">
        <f>PERCENTRANK('Team Scores'!$R$3:$R$1000, 'Team Scores'!$R25, 3)</f>
        <v/>
      </c>
      <c r="S25" s="43">
        <f>PERCENTRANK('Team Scores'!$S$3:$S$1000, 'Team Scores'!$S25, 3)</f>
        <v/>
      </c>
      <c r="T25" s="43">
        <f>PERCENTRANK('Team Scores'!$T$3:$T$1000, 'Team Scores'!$T25, 3)</f>
        <v/>
      </c>
      <c r="U25" s="43">
        <f>PERCENTRANK('Team Scores'!$U$3:$U$1000, 'Team Scores'!$U25, 3)</f>
        <v/>
      </c>
      <c r="V25" s="43">
        <f>PERCENTRANK('Team Scores'!$V$3:$V$1000, 'Team Scores'!$V25, 3)</f>
        <v/>
      </c>
      <c r="W25" s="43">
        <f>PERCENTRANK('Team Scores'!$W$3:$W$1000, 'Team Scores'!$W25, 3)</f>
        <v/>
      </c>
      <c r="X25" s="43">
        <f>PERCENTRANK('Team Scores'!$X$3:$X$1000, 'Team Scores'!$X25, 3)</f>
        <v/>
      </c>
      <c r="Y25" s="43">
        <f>PERCENTRANK('Team Scores'!$Y$3:$Y$1000, 'Team Scores'!$Y25, 3)</f>
        <v/>
      </c>
      <c r="Z25" s="43">
        <f>PERCENTRANK('Team Scores'!$Z$3:$Z$1000, 'Team Scores'!$Z25, 3)</f>
        <v/>
      </c>
      <c r="AA25" s="43">
        <f>AVERAGE(C25:G25)</f>
        <v/>
      </c>
      <c r="AB25" s="43">
        <f>AVERAGE(H25:O25)</f>
        <v/>
      </c>
      <c r="AC25" s="43">
        <f>AVERAGE(P25:T25)</f>
        <v/>
      </c>
      <c r="AD25" s="43">
        <f>AVERAGE(U25:X25)</f>
        <v/>
      </c>
      <c r="AE25" s="43">
        <f>AVERAGE(AA25:AD25)</f>
        <v/>
      </c>
    </row>
    <row r="26">
      <c r="A26" s="41" t="n">
        <v>3003</v>
      </c>
      <c r="B26" s="42">
        <f>COUNTIF(MatchScoutingData!E$2:E$1000, $A26)</f>
        <v/>
      </c>
      <c r="C26" s="43">
        <f>PERCENTRANK('Team Scores'!$C$3:$C$1000, 'Team Scores'!$C26, 3)</f>
        <v/>
      </c>
      <c r="D26" s="43">
        <f>PERCENTRANK('Team Scores'!$D$3:$D$1000, 'Team Scores'!$D26, 3)</f>
        <v/>
      </c>
      <c r="E26" s="43">
        <f>PERCENTRANK('Team Scores'!$E$3:$E$1000, 'Team Scores'!$E26, 3)</f>
        <v/>
      </c>
      <c r="F26" s="43">
        <f>PERCENTRANK('Team Scores'!$F$3:$F$1000, 'Team Scores'!$F26, 3)</f>
        <v/>
      </c>
      <c r="G26" s="43">
        <f>PERCENTRANK('Team Scores'!$G$3:$G$1000, 'Team Scores'!$G26, 3)</f>
        <v/>
      </c>
      <c r="H26" s="43">
        <f>PERCENTRANK('Team Scores'!$H$3:$H$1000, 'Team Scores'!$H26, 3)</f>
        <v/>
      </c>
      <c r="I26" s="43">
        <f>PERCENTRANK('Team Scores'!$I$3:$I$1000, 'Team Scores'!$I26, 3)</f>
        <v/>
      </c>
      <c r="J26" s="43">
        <f>PERCENTRANK('Team Scores'!$J$3:$J$1000, 'Team Scores'!$J26, 3)</f>
        <v/>
      </c>
      <c r="K26" s="43">
        <f>PERCENTRANK('Team Scores'!$K$3:$K$1000, 'Team Scores'!$K26, 3)</f>
        <v/>
      </c>
      <c r="L26" s="43">
        <f>PERCENTRANK('Team Scores'!$L$3:$L$1000, 'Team Scores'!$L26, 3)</f>
        <v/>
      </c>
      <c r="M26" s="43">
        <f>PERCENTRANK('Team Scores'!$M$3:$M$1000, 'Team Scores'!$M26, 3)</f>
        <v/>
      </c>
      <c r="N26" s="43">
        <f>PERCENTRANK('Team Scores'!$N$3:$N$1000, 'Team Scores'!$N26, 3)</f>
        <v/>
      </c>
      <c r="O26" s="43">
        <f>PERCENTRANK('Team Scores'!$O$3:$O$1000, 'Team Scores'!$O26, 3)</f>
        <v/>
      </c>
      <c r="P26" s="43">
        <f>PERCENTRANK('Team Scores'!$P$3:$P$1000, 'Team Scores'!$P26, 3)</f>
        <v/>
      </c>
      <c r="Q26" s="43">
        <f>PERCENTRANK('Team Scores'!$Q$3:$Q$1000, 'Team Scores'!$Q26, 3)</f>
        <v/>
      </c>
      <c r="R26" s="43">
        <f>PERCENTRANK('Team Scores'!$R$3:$R$1000, 'Team Scores'!$R26, 3)</f>
        <v/>
      </c>
      <c r="S26" s="43">
        <f>PERCENTRANK('Team Scores'!$S$3:$S$1000, 'Team Scores'!$S26, 3)</f>
        <v/>
      </c>
      <c r="T26" s="43">
        <f>PERCENTRANK('Team Scores'!$T$3:$T$1000, 'Team Scores'!$T26, 3)</f>
        <v/>
      </c>
      <c r="U26" s="43">
        <f>PERCENTRANK('Team Scores'!$U$3:$U$1000, 'Team Scores'!$U26, 3)</f>
        <v/>
      </c>
      <c r="V26" s="43">
        <f>PERCENTRANK('Team Scores'!$V$3:$V$1000, 'Team Scores'!$V26, 3)</f>
        <v/>
      </c>
      <c r="W26" s="43">
        <f>PERCENTRANK('Team Scores'!$W$3:$W$1000, 'Team Scores'!$W26, 3)</f>
        <v/>
      </c>
      <c r="X26" s="43">
        <f>PERCENTRANK('Team Scores'!$X$3:$X$1000, 'Team Scores'!$X26, 3)</f>
        <v/>
      </c>
      <c r="Y26" s="43">
        <f>PERCENTRANK('Team Scores'!$Y$3:$Y$1000, 'Team Scores'!$Y26, 3)</f>
        <v/>
      </c>
      <c r="Z26" s="43">
        <f>PERCENTRANK('Team Scores'!$Z$3:$Z$1000, 'Team Scores'!$Z26, 3)</f>
        <v/>
      </c>
      <c r="AA26" s="43">
        <f>AVERAGE(C26:G26)</f>
        <v/>
      </c>
      <c r="AB26" s="43">
        <f>AVERAGE(H26:O26)</f>
        <v/>
      </c>
      <c r="AC26" s="43">
        <f>AVERAGE(P26:T26)</f>
        <v/>
      </c>
      <c r="AD26" s="43">
        <f>AVERAGE(U26:X26)</f>
        <v/>
      </c>
      <c r="AE26" s="43">
        <f>AVERAGE(AA26:AD26)</f>
        <v/>
      </c>
    </row>
    <row r="27">
      <c r="A27" s="41" t="n">
        <v>3044</v>
      </c>
      <c r="B27" s="42">
        <f>COUNTIF(MatchScoutingData!E$2:E$1000, $A27)</f>
        <v/>
      </c>
      <c r="C27" s="43">
        <f>PERCENTRANK('Team Scores'!$C$3:$C$1000, 'Team Scores'!$C27, 3)</f>
        <v/>
      </c>
      <c r="D27" s="43">
        <f>PERCENTRANK('Team Scores'!$D$3:$D$1000, 'Team Scores'!$D27, 3)</f>
        <v/>
      </c>
      <c r="E27" s="43">
        <f>PERCENTRANK('Team Scores'!$E$3:$E$1000, 'Team Scores'!$E27, 3)</f>
        <v/>
      </c>
      <c r="F27" s="43">
        <f>PERCENTRANK('Team Scores'!$F$3:$F$1000, 'Team Scores'!$F27, 3)</f>
        <v/>
      </c>
      <c r="G27" s="43">
        <f>PERCENTRANK('Team Scores'!$G$3:$G$1000, 'Team Scores'!$G27, 3)</f>
        <v/>
      </c>
      <c r="H27" s="43">
        <f>PERCENTRANK('Team Scores'!$H$3:$H$1000, 'Team Scores'!$H27, 3)</f>
        <v/>
      </c>
      <c r="I27" s="43">
        <f>PERCENTRANK('Team Scores'!$I$3:$I$1000, 'Team Scores'!$I27, 3)</f>
        <v/>
      </c>
      <c r="J27" s="43">
        <f>PERCENTRANK('Team Scores'!$J$3:$J$1000, 'Team Scores'!$J27, 3)</f>
        <v/>
      </c>
      <c r="K27" s="43">
        <f>PERCENTRANK('Team Scores'!$K$3:$K$1000, 'Team Scores'!$K27, 3)</f>
        <v/>
      </c>
      <c r="L27" s="43">
        <f>PERCENTRANK('Team Scores'!$L$3:$L$1000, 'Team Scores'!$L27, 3)</f>
        <v/>
      </c>
      <c r="M27" s="43">
        <f>PERCENTRANK('Team Scores'!$M$3:$M$1000, 'Team Scores'!$M27, 3)</f>
        <v/>
      </c>
      <c r="N27" s="43">
        <f>PERCENTRANK('Team Scores'!$N$3:$N$1000, 'Team Scores'!$N27, 3)</f>
        <v/>
      </c>
      <c r="O27" s="43">
        <f>PERCENTRANK('Team Scores'!$O$3:$O$1000, 'Team Scores'!$O27, 3)</f>
        <v/>
      </c>
      <c r="P27" s="43">
        <f>PERCENTRANK('Team Scores'!$P$3:$P$1000, 'Team Scores'!$P27, 3)</f>
        <v/>
      </c>
      <c r="Q27" s="43">
        <f>PERCENTRANK('Team Scores'!$Q$3:$Q$1000, 'Team Scores'!$Q27, 3)</f>
        <v/>
      </c>
      <c r="R27" s="43">
        <f>PERCENTRANK('Team Scores'!$R$3:$R$1000, 'Team Scores'!$R27, 3)</f>
        <v/>
      </c>
      <c r="S27" s="43">
        <f>PERCENTRANK('Team Scores'!$S$3:$S$1000, 'Team Scores'!$S27, 3)</f>
        <v/>
      </c>
      <c r="T27" s="43">
        <f>PERCENTRANK('Team Scores'!$T$3:$T$1000, 'Team Scores'!$T27, 3)</f>
        <v/>
      </c>
      <c r="U27" s="43">
        <f>PERCENTRANK('Team Scores'!$U$3:$U$1000, 'Team Scores'!$U27, 3)</f>
        <v/>
      </c>
      <c r="V27" s="43">
        <f>PERCENTRANK('Team Scores'!$V$3:$V$1000, 'Team Scores'!$V27, 3)</f>
        <v/>
      </c>
      <c r="W27" s="43">
        <f>PERCENTRANK('Team Scores'!$W$3:$W$1000, 'Team Scores'!$W27, 3)</f>
        <v/>
      </c>
      <c r="X27" s="43">
        <f>PERCENTRANK('Team Scores'!$X$3:$X$1000, 'Team Scores'!$X27, 3)</f>
        <v/>
      </c>
      <c r="Y27" s="43">
        <f>PERCENTRANK('Team Scores'!$Y$3:$Y$1000, 'Team Scores'!$Y27, 3)</f>
        <v/>
      </c>
      <c r="Z27" s="43">
        <f>PERCENTRANK('Team Scores'!$Z$3:$Z$1000, 'Team Scores'!$Z27, 3)</f>
        <v/>
      </c>
      <c r="AA27" s="43">
        <f>AVERAGE(C27:G27)</f>
        <v/>
      </c>
      <c r="AB27" s="43">
        <f>AVERAGE(H27:O27)</f>
        <v/>
      </c>
      <c r="AC27" s="43">
        <f>AVERAGE(P27:T27)</f>
        <v/>
      </c>
      <c r="AD27" s="43">
        <f>AVERAGE(U27:X27)</f>
        <v/>
      </c>
      <c r="AE27" s="43">
        <f>AVERAGE(AA27:AD27)</f>
        <v/>
      </c>
    </row>
    <row r="28">
      <c r="A28" s="41" t="n">
        <v>3171</v>
      </c>
      <c r="B28" s="42">
        <f>COUNTIF(MatchScoutingData!E$2:E$1000, $A28)</f>
        <v/>
      </c>
      <c r="C28" s="43">
        <f>PERCENTRANK('Team Scores'!$C$3:$C$1000, 'Team Scores'!$C28, 3)</f>
        <v/>
      </c>
      <c r="D28" s="43">
        <f>PERCENTRANK('Team Scores'!$D$3:$D$1000, 'Team Scores'!$D28, 3)</f>
        <v/>
      </c>
      <c r="E28" s="43">
        <f>PERCENTRANK('Team Scores'!$E$3:$E$1000, 'Team Scores'!$E28, 3)</f>
        <v/>
      </c>
      <c r="F28" s="43">
        <f>PERCENTRANK('Team Scores'!$F$3:$F$1000, 'Team Scores'!$F28, 3)</f>
        <v/>
      </c>
      <c r="G28" s="43">
        <f>PERCENTRANK('Team Scores'!$G$3:$G$1000, 'Team Scores'!$G28, 3)</f>
        <v/>
      </c>
      <c r="H28" s="43">
        <f>PERCENTRANK('Team Scores'!$H$3:$H$1000, 'Team Scores'!$H28, 3)</f>
        <v/>
      </c>
      <c r="I28" s="43">
        <f>PERCENTRANK('Team Scores'!$I$3:$I$1000, 'Team Scores'!$I28, 3)</f>
        <v/>
      </c>
      <c r="J28" s="43">
        <f>PERCENTRANK('Team Scores'!$J$3:$J$1000, 'Team Scores'!$J28, 3)</f>
        <v/>
      </c>
      <c r="K28" s="43">
        <f>PERCENTRANK('Team Scores'!$K$3:$K$1000, 'Team Scores'!$K28, 3)</f>
        <v/>
      </c>
      <c r="L28" s="43">
        <f>PERCENTRANK('Team Scores'!$L$3:$L$1000, 'Team Scores'!$L28, 3)</f>
        <v/>
      </c>
      <c r="M28" s="43">
        <f>PERCENTRANK('Team Scores'!$M$3:$M$1000, 'Team Scores'!$M28, 3)</f>
        <v/>
      </c>
      <c r="N28" s="43">
        <f>PERCENTRANK('Team Scores'!$N$3:$N$1000, 'Team Scores'!$N28, 3)</f>
        <v/>
      </c>
      <c r="O28" s="43">
        <f>PERCENTRANK('Team Scores'!$O$3:$O$1000, 'Team Scores'!$O28, 3)</f>
        <v/>
      </c>
      <c r="P28" s="43">
        <f>PERCENTRANK('Team Scores'!$P$3:$P$1000, 'Team Scores'!$P28, 3)</f>
        <v/>
      </c>
      <c r="Q28" s="43">
        <f>PERCENTRANK('Team Scores'!$Q$3:$Q$1000, 'Team Scores'!$Q28, 3)</f>
        <v/>
      </c>
      <c r="R28" s="43">
        <f>PERCENTRANK('Team Scores'!$R$3:$R$1000, 'Team Scores'!$R28, 3)</f>
        <v/>
      </c>
      <c r="S28" s="43">
        <f>PERCENTRANK('Team Scores'!$S$3:$S$1000, 'Team Scores'!$S28, 3)</f>
        <v/>
      </c>
      <c r="T28" s="43">
        <f>PERCENTRANK('Team Scores'!$T$3:$T$1000, 'Team Scores'!$T28, 3)</f>
        <v/>
      </c>
      <c r="U28" s="43">
        <f>PERCENTRANK('Team Scores'!$U$3:$U$1000, 'Team Scores'!$U28, 3)</f>
        <v/>
      </c>
      <c r="V28" s="43">
        <f>PERCENTRANK('Team Scores'!$V$3:$V$1000, 'Team Scores'!$V28, 3)</f>
        <v/>
      </c>
      <c r="W28" s="43">
        <f>PERCENTRANK('Team Scores'!$W$3:$W$1000, 'Team Scores'!$W28, 3)</f>
        <v/>
      </c>
      <c r="X28" s="43">
        <f>PERCENTRANK('Team Scores'!$X$3:$X$1000, 'Team Scores'!$X28, 3)</f>
        <v/>
      </c>
      <c r="Y28" s="43">
        <f>PERCENTRANK('Team Scores'!$Y$3:$Y$1000, 'Team Scores'!$Y28, 3)</f>
        <v/>
      </c>
      <c r="Z28" s="43">
        <f>PERCENTRANK('Team Scores'!$Z$3:$Z$1000, 'Team Scores'!$Z28, 3)</f>
        <v/>
      </c>
      <c r="AA28" s="43">
        <f>AVERAGE(C28:G28)</f>
        <v/>
      </c>
      <c r="AB28" s="43">
        <f>AVERAGE(H28:O28)</f>
        <v/>
      </c>
      <c r="AC28" s="43">
        <f>AVERAGE(P28:T28)</f>
        <v/>
      </c>
      <c r="AD28" s="43">
        <f>AVERAGE(U28:X28)</f>
        <v/>
      </c>
      <c r="AE28" s="43">
        <f>AVERAGE(AA28:AD28)</f>
        <v/>
      </c>
    </row>
    <row r="29">
      <c r="A29" s="41" t="n">
        <v>3173</v>
      </c>
      <c r="B29" s="42">
        <f>COUNTIF(MatchScoutingData!E$2:E$1000, $A29)</f>
        <v/>
      </c>
      <c r="C29" s="43">
        <f>PERCENTRANK('Team Scores'!$C$3:$C$1000, 'Team Scores'!$C29, 3)</f>
        <v/>
      </c>
      <c r="D29" s="43">
        <f>PERCENTRANK('Team Scores'!$D$3:$D$1000, 'Team Scores'!$D29, 3)</f>
        <v/>
      </c>
      <c r="E29" s="43">
        <f>PERCENTRANK('Team Scores'!$E$3:$E$1000, 'Team Scores'!$E29, 3)</f>
        <v/>
      </c>
      <c r="F29" s="43">
        <f>PERCENTRANK('Team Scores'!$F$3:$F$1000, 'Team Scores'!$F29, 3)</f>
        <v/>
      </c>
      <c r="G29" s="43">
        <f>PERCENTRANK('Team Scores'!$G$3:$G$1000, 'Team Scores'!$G29, 3)</f>
        <v/>
      </c>
      <c r="H29" s="43">
        <f>PERCENTRANK('Team Scores'!$H$3:$H$1000, 'Team Scores'!$H29, 3)</f>
        <v/>
      </c>
      <c r="I29" s="43">
        <f>PERCENTRANK('Team Scores'!$I$3:$I$1000, 'Team Scores'!$I29, 3)</f>
        <v/>
      </c>
      <c r="J29" s="43">
        <f>PERCENTRANK('Team Scores'!$J$3:$J$1000, 'Team Scores'!$J29, 3)</f>
        <v/>
      </c>
      <c r="K29" s="43">
        <f>PERCENTRANK('Team Scores'!$K$3:$K$1000, 'Team Scores'!$K29, 3)</f>
        <v/>
      </c>
      <c r="L29" s="43">
        <f>PERCENTRANK('Team Scores'!$L$3:$L$1000, 'Team Scores'!$L29, 3)</f>
        <v/>
      </c>
      <c r="M29" s="43">
        <f>PERCENTRANK('Team Scores'!$M$3:$M$1000, 'Team Scores'!$M29, 3)</f>
        <v/>
      </c>
      <c r="N29" s="43">
        <f>PERCENTRANK('Team Scores'!$N$3:$N$1000, 'Team Scores'!$N29, 3)</f>
        <v/>
      </c>
      <c r="O29" s="43">
        <f>PERCENTRANK('Team Scores'!$O$3:$O$1000, 'Team Scores'!$O29, 3)</f>
        <v/>
      </c>
      <c r="P29" s="43">
        <f>PERCENTRANK('Team Scores'!$P$3:$P$1000, 'Team Scores'!$P29, 3)</f>
        <v/>
      </c>
      <c r="Q29" s="43">
        <f>PERCENTRANK('Team Scores'!$Q$3:$Q$1000, 'Team Scores'!$Q29, 3)</f>
        <v/>
      </c>
      <c r="R29" s="43">
        <f>PERCENTRANK('Team Scores'!$R$3:$R$1000, 'Team Scores'!$R29, 3)</f>
        <v/>
      </c>
      <c r="S29" s="43">
        <f>PERCENTRANK('Team Scores'!$S$3:$S$1000, 'Team Scores'!$S29, 3)</f>
        <v/>
      </c>
      <c r="T29" s="43">
        <f>PERCENTRANK('Team Scores'!$T$3:$T$1000, 'Team Scores'!$T29, 3)</f>
        <v/>
      </c>
      <c r="U29" s="43">
        <f>PERCENTRANK('Team Scores'!$U$3:$U$1000, 'Team Scores'!$U29, 3)</f>
        <v/>
      </c>
      <c r="V29" s="43">
        <f>PERCENTRANK('Team Scores'!$V$3:$V$1000, 'Team Scores'!$V29, 3)</f>
        <v/>
      </c>
      <c r="W29" s="43">
        <f>PERCENTRANK('Team Scores'!$W$3:$W$1000, 'Team Scores'!$W29, 3)</f>
        <v/>
      </c>
      <c r="X29" s="43">
        <f>PERCENTRANK('Team Scores'!$X$3:$X$1000, 'Team Scores'!$X29, 3)</f>
        <v/>
      </c>
      <c r="Y29" s="43">
        <f>PERCENTRANK('Team Scores'!$Y$3:$Y$1000, 'Team Scores'!$Y29, 3)</f>
        <v/>
      </c>
      <c r="Z29" s="43">
        <f>PERCENTRANK('Team Scores'!$Z$3:$Z$1000, 'Team Scores'!$Z29, 3)</f>
        <v/>
      </c>
      <c r="AA29" s="43">
        <f>AVERAGE(C29:G29)</f>
        <v/>
      </c>
      <c r="AB29" s="43">
        <f>AVERAGE(H29:O29)</f>
        <v/>
      </c>
      <c r="AC29" s="43">
        <f>AVERAGE(P29:T29)</f>
        <v/>
      </c>
      <c r="AD29" s="43">
        <f>AVERAGE(U29:X29)</f>
        <v/>
      </c>
      <c r="AE29" s="43">
        <f>AVERAGE(AA29:AD29)</f>
        <v/>
      </c>
    </row>
    <row r="30">
      <c r="A30" s="41" t="n">
        <v>3181</v>
      </c>
      <c r="B30" s="42">
        <f>COUNTIF(MatchScoutingData!E$2:E$1000, $A30)</f>
        <v/>
      </c>
      <c r="C30" s="43">
        <f>PERCENTRANK('Team Scores'!$C$3:$C$1000, 'Team Scores'!$C30, 3)</f>
        <v/>
      </c>
      <c r="D30" s="43">
        <f>PERCENTRANK('Team Scores'!$D$3:$D$1000, 'Team Scores'!$D30, 3)</f>
        <v/>
      </c>
      <c r="E30" s="43">
        <f>PERCENTRANK('Team Scores'!$E$3:$E$1000, 'Team Scores'!$E30, 3)</f>
        <v/>
      </c>
      <c r="F30" s="43">
        <f>PERCENTRANK('Team Scores'!$F$3:$F$1000, 'Team Scores'!$F30, 3)</f>
        <v/>
      </c>
      <c r="G30" s="43">
        <f>PERCENTRANK('Team Scores'!$G$3:$G$1000, 'Team Scores'!$G30, 3)</f>
        <v/>
      </c>
      <c r="H30" s="43">
        <f>PERCENTRANK('Team Scores'!$H$3:$H$1000, 'Team Scores'!$H30, 3)</f>
        <v/>
      </c>
      <c r="I30" s="43">
        <f>PERCENTRANK('Team Scores'!$I$3:$I$1000, 'Team Scores'!$I30, 3)</f>
        <v/>
      </c>
      <c r="J30" s="43">
        <f>PERCENTRANK('Team Scores'!$J$3:$J$1000, 'Team Scores'!$J30, 3)</f>
        <v/>
      </c>
      <c r="K30" s="43">
        <f>PERCENTRANK('Team Scores'!$K$3:$K$1000, 'Team Scores'!$K30, 3)</f>
        <v/>
      </c>
      <c r="L30" s="43">
        <f>PERCENTRANK('Team Scores'!$L$3:$L$1000, 'Team Scores'!$L30, 3)</f>
        <v/>
      </c>
      <c r="M30" s="43">
        <f>PERCENTRANK('Team Scores'!$M$3:$M$1000, 'Team Scores'!$M30, 3)</f>
        <v/>
      </c>
      <c r="N30" s="43">
        <f>PERCENTRANK('Team Scores'!$N$3:$N$1000, 'Team Scores'!$N30, 3)</f>
        <v/>
      </c>
      <c r="O30" s="43">
        <f>PERCENTRANK('Team Scores'!$O$3:$O$1000, 'Team Scores'!$O30, 3)</f>
        <v/>
      </c>
      <c r="P30" s="43">
        <f>PERCENTRANK('Team Scores'!$P$3:$P$1000, 'Team Scores'!$P30, 3)</f>
        <v/>
      </c>
      <c r="Q30" s="43">
        <f>PERCENTRANK('Team Scores'!$Q$3:$Q$1000, 'Team Scores'!$Q30, 3)</f>
        <v/>
      </c>
      <c r="R30" s="43">
        <f>PERCENTRANK('Team Scores'!$R$3:$R$1000, 'Team Scores'!$R30, 3)</f>
        <v/>
      </c>
      <c r="S30" s="43">
        <f>PERCENTRANK('Team Scores'!$S$3:$S$1000, 'Team Scores'!$S30, 3)</f>
        <v/>
      </c>
      <c r="T30" s="43">
        <f>PERCENTRANK('Team Scores'!$T$3:$T$1000, 'Team Scores'!$T30, 3)</f>
        <v/>
      </c>
      <c r="U30" s="43">
        <f>PERCENTRANK('Team Scores'!$U$3:$U$1000, 'Team Scores'!$U30, 3)</f>
        <v/>
      </c>
      <c r="V30" s="43">
        <f>PERCENTRANK('Team Scores'!$V$3:$V$1000, 'Team Scores'!$V30, 3)</f>
        <v/>
      </c>
      <c r="W30" s="43">
        <f>PERCENTRANK('Team Scores'!$W$3:$W$1000, 'Team Scores'!$W30, 3)</f>
        <v/>
      </c>
      <c r="X30" s="43">
        <f>PERCENTRANK('Team Scores'!$X$3:$X$1000, 'Team Scores'!$X30, 3)</f>
        <v/>
      </c>
      <c r="Y30" s="43">
        <f>PERCENTRANK('Team Scores'!$Y$3:$Y$1000, 'Team Scores'!$Y30, 3)</f>
        <v/>
      </c>
      <c r="Z30" s="43">
        <f>PERCENTRANK('Team Scores'!$Z$3:$Z$1000, 'Team Scores'!$Z30, 3)</f>
        <v/>
      </c>
      <c r="AA30" s="43">
        <f>AVERAGE(C30:G30)</f>
        <v/>
      </c>
      <c r="AB30" s="43">
        <f>AVERAGE(H30:O30)</f>
        <v/>
      </c>
      <c r="AC30" s="43">
        <f>AVERAGE(P30:T30)</f>
        <v/>
      </c>
      <c r="AD30" s="43">
        <f>AVERAGE(U30:X30)</f>
        <v/>
      </c>
      <c r="AE30" s="43">
        <f>AVERAGE(AA30:AD30)</f>
        <v/>
      </c>
    </row>
    <row r="31">
      <c r="A31" s="41" t="n">
        <v>3624</v>
      </c>
      <c r="B31" s="42">
        <f>COUNTIF(MatchScoutingData!E$2:E$1000, $A31)</f>
        <v/>
      </c>
      <c r="C31" s="43">
        <f>PERCENTRANK('Team Scores'!$C$3:$C$1000, 'Team Scores'!$C31, 3)</f>
        <v/>
      </c>
      <c r="D31" s="43">
        <f>PERCENTRANK('Team Scores'!$D$3:$D$1000, 'Team Scores'!$D31, 3)</f>
        <v/>
      </c>
      <c r="E31" s="43">
        <f>PERCENTRANK('Team Scores'!$E$3:$E$1000, 'Team Scores'!$E31, 3)</f>
        <v/>
      </c>
      <c r="F31" s="43">
        <f>PERCENTRANK('Team Scores'!$F$3:$F$1000, 'Team Scores'!$F31, 3)</f>
        <v/>
      </c>
      <c r="G31" s="43">
        <f>PERCENTRANK('Team Scores'!$G$3:$G$1000, 'Team Scores'!$G31, 3)</f>
        <v/>
      </c>
      <c r="H31" s="43">
        <f>PERCENTRANK('Team Scores'!$H$3:$H$1000, 'Team Scores'!$H31, 3)</f>
        <v/>
      </c>
      <c r="I31" s="43">
        <f>PERCENTRANK('Team Scores'!$I$3:$I$1000, 'Team Scores'!$I31, 3)</f>
        <v/>
      </c>
      <c r="J31" s="43">
        <f>PERCENTRANK('Team Scores'!$J$3:$J$1000, 'Team Scores'!$J31, 3)</f>
        <v/>
      </c>
      <c r="K31" s="43">
        <f>PERCENTRANK('Team Scores'!$K$3:$K$1000, 'Team Scores'!$K31, 3)</f>
        <v/>
      </c>
      <c r="L31" s="43">
        <f>PERCENTRANK('Team Scores'!$L$3:$L$1000, 'Team Scores'!$L31, 3)</f>
        <v/>
      </c>
      <c r="M31" s="43">
        <f>PERCENTRANK('Team Scores'!$M$3:$M$1000, 'Team Scores'!$M31, 3)</f>
        <v/>
      </c>
      <c r="N31" s="43">
        <f>PERCENTRANK('Team Scores'!$N$3:$N$1000, 'Team Scores'!$N31, 3)</f>
        <v/>
      </c>
      <c r="O31" s="43">
        <f>PERCENTRANK('Team Scores'!$O$3:$O$1000, 'Team Scores'!$O31, 3)</f>
        <v/>
      </c>
      <c r="P31" s="43">
        <f>PERCENTRANK('Team Scores'!$P$3:$P$1000, 'Team Scores'!$P31, 3)</f>
        <v/>
      </c>
      <c r="Q31" s="43">
        <f>PERCENTRANK('Team Scores'!$Q$3:$Q$1000, 'Team Scores'!$Q31, 3)</f>
        <v/>
      </c>
      <c r="R31" s="43">
        <f>PERCENTRANK('Team Scores'!$R$3:$R$1000, 'Team Scores'!$R31, 3)</f>
        <v/>
      </c>
      <c r="S31" s="43">
        <f>PERCENTRANK('Team Scores'!$S$3:$S$1000, 'Team Scores'!$S31, 3)</f>
        <v/>
      </c>
      <c r="T31" s="43">
        <f>PERCENTRANK('Team Scores'!$T$3:$T$1000, 'Team Scores'!$T31, 3)</f>
        <v/>
      </c>
      <c r="U31" s="43">
        <f>PERCENTRANK('Team Scores'!$U$3:$U$1000, 'Team Scores'!$U31, 3)</f>
        <v/>
      </c>
      <c r="V31" s="43">
        <f>PERCENTRANK('Team Scores'!$V$3:$V$1000, 'Team Scores'!$V31, 3)</f>
        <v/>
      </c>
      <c r="W31" s="43">
        <f>PERCENTRANK('Team Scores'!$W$3:$W$1000, 'Team Scores'!$W31, 3)</f>
        <v/>
      </c>
      <c r="X31" s="43">
        <f>PERCENTRANK('Team Scores'!$X$3:$X$1000, 'Team Scores'!$X31, 3)</f>
        <v/>
      </c>
      <c r="Y31" s="43">
        <f>PERCENTRANK('Team Scores'!$Y$3:$Y$1000, 'Team Scores'!$Y31, 3)</f>
        <v/>
      </c>
      <c r="Z31" s="43">
        <f>PERCENTRANK('Team Scores'!$Z$3:$Z$1000, 'Team Scores'!$Z31, 3)</f>
        <v/>
      </c>
      <c r="AA31" s="43">
        <f>AVERAGE(C31:G31)</f>
        <v/>
      </c>
      <c r="AB31" s="43">
        <f>AVERAGE(H31:O31)</f>
        <v/>
      </c>
      <c r="AC31" s="43">
        <f>AVERAGE(P31:T31)</f>
        <v/>
      </c>
      <c r="AD31" s="43">
        <f>AVERAGE(U31:X31)</f>
        <v/>
      </c>
      <c r="AE31" s="43">
        <f>AVERAGE(AA31:AD31)</f>
        <v/>
      </c>
    </row>
    <row r="32">
      <c r="A32" s="41" t="n">
        <v>4121</v>
      </c>
      <c r="B32" s="42">
        <f>COUNTIF(MatchScoutingData!E$2:E$1000, $A32)</f>
        <v/>
      </c>
      <c r="C32" s="43">
        <f>PERCENTRANK('Team Scores'!$C$3:$C$1000, 'Team Scores'!$C32, 3)</f>
        <v/>
      </c>
      <c r="D32" s="43">
        <f>PERCENTRANK('Team Scores'!$D$3:$D$1000, 'Team Scores'!$D32, 3)</f>
        <v/>
      </c>
      <c r="E32" s="43">
        <f>PERCENTRANK('Team Scores'!$E$3:$E$1000, 'Team Scores'!$E32, 3)</f>
        <v/>
      </c>
      <c r="F32" s="43">
        <f>PERCENTRANK('Team Scores'!$F$3:$F$1000, 'Team Scores'!$F32, 3)</f>
        <v/>
      </c>
      <c r="G32" s="43">
        <f>PERCENTRANK('Team Scores'!$G$3:$G$1000, 'Team Scores'!$G32, 3)</f>
        <v/>
      </c>
      <c r="H32" s="43">
        <f>PERCENTRANK('Team Scores'!$H$3:$H$1000, 'Team Scores'!$H32, 3)</f>
        <v/>
      </c>
      <c r="I32" s="43">
        <f>PERCENTRANK('Team Scores'!$I$3:$I$1000, 'Team Scores'!$I32, 3)</f>
        <v/>
      </c>
      <c r="J32" s="43">
        <f>PERCENTRANK('Team Scores'!$J$3:$J$1000, 'Team Scores'!$J32, 3)</f>
        <v/>
      </c>
      <c r="K32" s="43">
        <f>PERCENTRANK('Team Scores'!$K$3:$K$1000, 'Team Scores'!$K32, 3)</f>
        <v/>
      </c>
      <c r="L32" s="43">
        <f>PERCENTRANK('Team Scores'!$L$3:$L$1000, 'Team Scores'!$L32, 3)</f>
        <v/>
      </c>
      <c r="M32" s="43">
        <f>PERCENTRANK('Team Scores'!$M$3:$M$1000, 'Team Scores'!$M32, 3)</f>
        <v/>
      </c>
      <c r="N32" s="43">
        <f>PERCENTRANK('Team Scores'!$N$3:$N$1000, 'Team Scores'!$N32, 3)</f>
        <v/>
      </c>
      <c r="O32" s="43">
        <f>PERCENTRANK('Team Scores'!$O$3:$O$1000, 'Team Scores'!$O32, 3)</f>
        <v/>
      </c>
      <c r="P32" s="43">
        <f>PERCENTRANK('Team Scores'!$P$3:$P$1000, 'Team Scores'!$P32, 3)</f>
        <v/>
      </c>
      <c r="Q32" s="43">
        <f>PERCENTRANK('Team Scores'!$Q$3:$Q$1000, 'Team Scores'!$Q32, 3)</f>
        <v/>
      </c>
      <c r="R32" s="43">
        <f>PERCENTRANK('Team Scores'!$R$3:$R$1000, 'Team Scores'!$R32, 3)</f>
        <v/>
      </c>
      <c r="S32" s="43">
        <f>PERCENTRANK('Team Scores'!$S$3:$S$1000, 'Team Scores'!$S32, 3)</f>
        <v/>
      </c>
      <c r="T32" s="43">
        <f>PERCENTRANK('Team Scores'!$T$3:$T$1000, 'Team Scores'!$T32, 3)</f>
        <v/>
      </c>
      <c r="U32" s="43">
        <f>PERCENTRANK('Team Scores'!$U$3:$U$1000, 'Team Scores'!$U32, 3)</f>
        <v/>
      </c>
      <c r="V32" s="43">
        <f>PERCENTRANK('Team Scores'!$V$3:$V$1000, 'Team Scores'!$V32, 3)</f>
        <v/>
      </c>
      <c r="W32" s="43">
        <f>PERCENTRANK('Team Scores'!$W$3:$W$1000, 'Team Scores'!$W32, 3)</f>
        <v/>
      </c>
      <c r="X32" s="43">
        <f>PERCENTRANK('Team Scores'!$X$3:$X$1000, 'Team Scores'!$X32, 3)</f>
        <v/>
      </c>
      <c r="Y32" s="43">
        <f>PERCENTRANK('Team Scores'!$Y$3:$Y$1000, 'Team Scores'!$Y32, 3)</f>
        <v/>
      </c>
      <c r="Z32" s="43">
        <f>PERCENTRANK('Team Scores'!$Z$3:$Z$1000, 'Team Scores'!$Z32, 3)</f>
        <v/>
      </c>
      <c r="AA32" s="43">
        <f>AVERAGE(C32:G32)</f>
        <v/>
      </c>
      <c r="AB32" s="43">
        <f>AVERAGE(H32:O32)</f>
        <v/>
      </c>
      <c r="AC32" s="43">
        <f>AVERAGE(P32:T32)</f>
        <v/>
      </c>
      <c r="AD32" s="43">
        <f>AVERAGE(U32:X32)</f>
        <v/>
      </c>
      <c r="AE32" s="43">
        <f>AVERAGE(AA32:AD32)</f>
        <v/>
      </c>
    </row>
    <row r="33">
      <c r="A33" s="41" t="n">
        <v>4122</v>
      </c>
      <c r="B33" s="42">
        <f>COUNTIF(MatchScoutingData!E$2:E$1000, $A33)</f>
        <v/>
      </c>
      <c r="C33" s="43">
        <f>PERCENTRANK('Team Scores'!$C$3:$C$1000, 'Team Scores'!$C33, 3)</f>
        <v/>
      </c>
      <c r="D33" s="43">
        <f>PERCENTRANK('Team Scores'!$D$3:$D$1000, 'Team Scores'!$D33, 3)</f>
        <v/>
      </c>
      <c r="E33" s="43">
        <f>PERCENTRANK('Team Scores'!$E$3:$E$1000, 'Team Scores'!$E33, 3)</f>
        <v/>
      </c>
      <c r="F33" s="43">
        <f>PERCENTRANK('Team Scores'!$F$3:$F$1000, 'Team Scores'!$F33, 3)</f>
        <v/>
      </c>
      <c r="G33" s="43">
        <f>PERCENTRANK('Team Scores'!$G$3:$G$1000, 'Team Scores'!$G33, 3)</f>
        <v/>
      </c>
      <c r="H33" s="43">
        <f>PERCENTRANK('Team Scores'!$H$3:$H$1000, 'Team Scores'!$H33, 3)</f>
        <v/>
      </c>
      <c r="I33" s="43">
        <f>PERCENTRANK('Team Scores'!$I$3:$I$1000, 'Team Scores'!$I33, 3)</f>
        <v/>
      </c>
      <c r="J33" s="43">
        <f>PERCENTRANK('Team Scores'!$J$3:$J$1000, 'Team Scores'!$J33, 3)</f>
        <v/>
      </c>
      <c r="K33" s="43">
        <f>PERCENTRANK('Team Scores'!$K$3:$K$1000, 'Team Scores'!$K33, 3)</f>
        <v/>
      </c>
      <c r="L33" s="43">
        <f>PERCENTRANK('Team Scores'!$L$3:$L$1000, 'Team Scores'!$L33, 3)</f>
        <v/>
      </c>
      <c r="M33" s="43">
        <f>PERCENTRANK('Team Scores'!$M$3:$M$1000, 'Team Scores'!$M33, 3)</f>
        <v/>
      </c>
      <c r="N33" s="43">
        <f>PERCENTRANK('Team Scores'!$N$3:$N$1000, 'Team Scores'!$N33, 3)</f>
        <v/>
      </c>
      <c r="O33" s="43">
        <f>PERCENTRANK('Team Scores'!$O$3:$O$1000, 'Team Scores'!$O33, 3)</f>
        <v/>
      </c>
      <c r="P33" s="43">
        <f>PERCENTRANK('Team Scores'!$P$3:$P$1000, 'Team Scores'!$P33, 3)</f>
        <v/>
      </c>
      <c r="Q33" s="43">
        <f>PERCENTRANK('Team Scores'!$Q$3:$Q$1000, 'Team Scores'!$Q33, 3)</f>
        <v/>
      </c>
      <c r="R33" s="43">
        <f>PERCENTRANK('Team Scores'!$R$3:$R$1000, 'Team Scores'!$R33, 3)</f>
        <v/>
      </c>
      <c r="S33" s="43">
        <f>PERCENTRANK('Team Scores'!$S$3:$S$1000, 'Team Scores'!$S33, 3)</f>
        <v/>
      </c>
      <c r="T33" s="43">
        <f>PERCENTRANK('Team Scores'!$T$3:$T$1000, 'Team Scores'!$T33, 3)</f>
        <v/>
      </c>
      <c r="U33" s="43">
        <f>PERCENTRANK('Team Scores'!$U$3:$U$1000, 'Team Scores'!$U33, 3)</f>
        <v/>
      </c>
      <c r="V33" s="43">
        <f>PERCENTRANK('Team Scores'!$V$3:$V$1000, 'Team Scores'!$V33, 3)</f>
        <v/>
      </c>
      <c r="W33" s="43">
        <f>PERCENTRANK('Team Scores'!$W$3:$W$1000, 'Team Scores'!$W33, 3)</f>
        <v/>
      </c>
      <c r="X33" s="43">
        <f>PERCENTRANK('Team Scores'!$X$3:$X$1000, 'Team Scores'!$X33, 3)</f>
        <v/>
      </c>
      <c r="Y33" s="43">
        <f>PERCENTRANK('Team Scores'!$Y$3:$Y$1000, 'Team Scores'!$Y33, 3)</f>
        <v/>
      </c>
      <c r="Z33" s="43">
        <f>PERCENTRANK('Team Scores'!$Z$3:$Z$1000, 'Team Scores'!$Z33, 3)</f>
        <v/>
      </c>
      <c r="AA33" s="43">
        <f>AVERAGE(C33:G33)</f>
        <v/>
      </c>
      <c r="AB33" s="43">
        <f>AVERAGE(H33:O33)</f>
        <v/>
      </c>
      <c r="AC33" s="43">
        <f>AVERAGE(P33:T33)</f>
        <v/>
      </c>
      <c r="AD33" s="43">
        <f>AVERAGE(U33:X33)</f>
        <v/>
      </c>
      <c r="AE33" s="43">
        <f>AVERAGE(AA33:AD33)</f>
        <v/>
      </c>
    </row>
    <row r="34">
      <c r="A34" s="41" t="n">
        <v>4601</v>
      </c>
      <c r="B34" s="42">
        <f>COUNTIF(MatchScoutingData!E$2:E$1000, $A34)</f>
        <v/>
      </c>
      <c r="C34" s="43">
        <f>PERCENTRANK('Team Scores'!$C$3:$C$1000, 'Team Scores'!$C34, 3)</f>
        <v/>
      </c>
      <c r="D34" s="43">
        <f>PERCENTRANK('Team Scores'!$D$3:$D$1000, 'Team Scores'!$D34, 3)</f>
        <v/>
      </c>
      <c r="E34" s="43">
        <f>PERCENTRANK('Team Scores'!$E$3:$E$1000, 'Team Scores'!$E34, 3)</f>
        <v/>
      </c>
      <c r="F34" s="43">
        <f>PERCENTRANK('Team Scores'!$F$3:$F$1000, 'Team Scores'!$F34, 3)</f>
        <v/>
      </c>
      <c r="G34" s="43">
        <f>PERCENTRANK('Team Scores'!$G$3:$G$1000, 'Team Scores'!$G34, 3)</f>
        <v/>
      </c>
      <c r="H34" s="43">
        <f>PERCENTRANK('Team Scores'!$H$3:$H$1000, 'Team Scores'!$H34, 3)</f>
        <v/>
      </c>
      <c r="I34" s="43">
        <f>PERCENTRANK('Team Scores'!$I$3:$I$1000, 'Team Scores'!$I34, 3)</f>
        <v/>
      </c>
      <c r="J34" s="43">
        <f>PERCENTRANK('Team Scores'!$J$3:$J$1000, 'Team Scores'!$J34, 3)</f>
        <v/>
      </c>
      <c r="K34" s="43">
        <f>PERCENTRANK('Team Scores'!$K$3:$K$1000, 'Team Scores'!$K34, 3)</f>
        <v/>
      </c>
      <c r="L34" s="43">
        <f>PERCENTRANK('Team Scores'!$L$3:$L$1000, 'Team Scores'!$L34, 3)</f>
        <v/>
      </c>
      <c r="M34" s="43">
        <f>PERCENTRANK('Team Scores'!$M$3:$M$1000, 'Team Scores'!$M34, 3)</f>
        <v/>
      </c>
      <c r="N34" s="43">
        <f>PERCENTRANK('Team Scores'!$N$3:$N$1000, 'Team Scores'!$N34, 3)</f>
        <v/>
      </c>
      <c r="O34" s="43">
        <f>PERCENTRANK('Team Scores'!$O$3:$O$1000, 'Team Scores'!$O34, 3)</f>
        <v/>
      </c>
      <c r="P34" s="43">
        <f>PERCENTRANK('Team Scores'!$P$3:$P$1000, 'Team Scores'!$P34, 3)</f>
        <v/>
      </c>
      <c r="Q34" s="43">
        <f>PERCENTRANK('Team Scores'!$Q$3:$Q$1000, 'Team Scores'!$Q34, 3)</f>
        <v/>
      </c>
      <c r="R34" s="43">
        <f>PERCENTRANK('Team Scores'!$R$3:$R$1000, 'Team Scores'!$R34, 3)</f>
        <v/>
      </c>
      <c r="S34" s="43">
        <f>PERCENTRANK('Team Scores'!$S$3:$S$1000, 'Team Scores'!$S34, 3)</f>
        <v/>
      </c>
      <c r="T34" s="43">
        <f>PERCENTRANK('Team Scores'!$T$3:$T$1000, 'Team Scores'!$T34, 3)</f>
        <v/>
      </c>
      <c r="U34" s="43">
        <f>PERCENTRANK('Team Scores'!$U$3:$U$1000, 'Team Scores'!$U34, 3)</f>
        <v/>
      </c>
      <c r="V34" s="43">
        <f>PERCENTRANK('Team Scores'!$V$3:$V$1000, 'Team Scores'!$V34, 3)</f>
        <v/>
      </c>
      <c r="W34" s="43">
        <f>PERCENTRANK('Team Scores'!$W$3:$W$1000, 'Team Scores'!$W34, 3)</f>
        <v/>
      </c>
      <c r="X34" s="43">
        <f>PERCENTRANK('Team Scores'!$X$3:$X$1000, 'Team Scores'!$X34, 3)</f>
        <v/>
      </c>
      <c r="Y34" s="43">
        <f>PERCENTRANK('Team Scores'!$Y$3:$Y$1000, 'Team Scores'!$Y34, 3)</f>
        <v/>
      </c>
      <c r="Z34" s="43">
        <f>PERCENTRANK('Team Scores'!$Z$3:$Z$1000, 'Team Scores'!$Z34, 3)</f>
        <v/>
      </c>
      <c r="AA34" s="43">
        <f>AVERAGE(C34:G34)</f>
        <v/>
      </c>
      <c r="AB34" s="43">
        <f>AVERAGE(H34:O34)</f>
        <v/>
      </c>
      <c r="AC34" s="43">
        <f>AVERAGE(P34:T34)</f>
        <v/>
      </c>
      <c r="AD34" s="43">
        <f>AVERAGE(U34:X34)</f>
        <v/>
      </c>
      <c r="AE34" s="43">
        <f>AVERAGE(AA34:AD34)</f>
        <v/>
      </c>
    </row>
    <row r="35">
      <c r="A35" s="41" t="n">
        <v>4930</v>
      </c>
      <c r="B35" s="42">
        <f>COUNTIF(MatchScoutingData!E$2:E$1000, $A35)</f>
        <v/>
      </c>
      <c r="C35" s="43">
        <f>PERCENTRANK('Team Scores'!$C$3:$C$1000, 'Team Scores'!$C35, 3)</f>
        <v/>
      </c>
      <c r="D35" s="43">
        <f>PERCENTRANK('Team Scores'!$D$3:$D$1000, 'Team Scores'!$D35, 3)</f>
        <v/>
      </c>
      <c r="E35" s="43">
        <f>PERCENTRANK('Team Scores'!$E$3:$E$1000, 'Team Scores'!$E35, 3)</f>
        <v/>
      </c>
      <c r="F35" s="43">
        <f>PERCENTRANK('Team Scores'!$F$3:$F$1000, 'Team Scores'!$F35, 3)</f>
        <v/>
      </c>
      <c r="G35" s="43">
        <f>PERCENTRANK('Team Scores'!$G$3:$G$1000, 'Team Scores'!$G35, 3)</f>
        <v/>
      </c>
      <c r="H35" s="43">
        <f>PERCENTRANK('Team Scores'!$H$3:$H$1000, 'Team Scores'!$H35, 3)</f>
        <v/>
      </c>
      <c r="I35" s="43">
        <f>PERCENTRANK('Team Scores'!$I$3:$I$1000, 'Team Scores'!$I35, 3)</f>
        <v/>
      </c>
      <c r="J35" s="43">
        <f>PERCENTRANK('Team Scores'!$J$3:$J$1000, 'Team Scores'!$J35, 3)</f>
        <v/>
      </c>
      <c r="K35" s="43">
        <f>PERCENTRANK('Team Scores'!$K$3:$K$1000, 'Team Scores'!$K35, 3)</f>
        <v/>
      </c>
      <c r="L35" s="43">
        <f>PERCENTRANK('Team Scores'!$L$3:$L$1000, 'Team Scores'!$L35, 3)</f>
        <v/>
      </c>
      <c r="M35" s="43">
        <f>PERCENTRANK('Team Scores'!$M$3:$M$1000, 'Team Scores'!$M35, 3)</f>
        <v/>
      </c>
      <c r="N35" s="43">
        <f>PERCENTRANK('Team Scores'!$N$3:$N$1000, 'Team Scores'!$N35, 3)</f>
        <v/>
      </c>
      <c r="O35" s="43">
        <f>PERCENTRANK('Team Scores'!$O$3:$O$1000, 'Team Scores'!$O35, 3)</f>
        <v/>
      </c>
      <c r="P35" s="43">
        <f>PERCENTRANK('Team Scores'!$P$3:$P$1000, 'Team Scores'!$P35, 3)</f>
        <v/>
      </c>
      <c r="Q35" s="43">
        <f>PERCENTRANK('Team Scores'!$Q$3:$Q$1000, 'Team Scores'!$Q35, 3)</f>
        <v/>
      </c>
      <c r="R35" s="43">
        <f>PERCENTRANK('Team Scores'!$R$3:$R$1000, 'Team Scores'!$R35, 3)</f>
        <v/>
      </c>
      <c r="S35" s="43">
        <f>PERCENTRANK('Team Scores'!$S$3:$S$1000, 'Team Scores'!$S35, 3)</f>
        <v/>
      </c>
      <c r="T35" s="43">
        <f>PERCENTRANK('Team Scores'!$T$3:$T$1000, 'Team Scores'!$T35, 3)</f>
        <v/>
      </c>
      <c r="U35" s="43">
        <f>PERCENTRANK('Team Scores'!$U$3:$U$1000, 'Team Scores'!$U35, 3)</f>
        <v/>
      </c>
      <c r="V35" s="43">
        <f>PERCENTRANK('Team Scores'!$V$3:$V$1000, 'Team Scores'!$V35, 3)</f>
        <v/>
      </c>
      <c r="W35" s="43">
        <f>PERCENTRANK('Team Scores'!$W$3:$W$1000, 'Team Scores'!$W35, 3)</f>
        <v/>
      </c>
      <c r="X35" s="43">
        <f>PERCENTRANK('Team Scores'!$X$3:$X$1000, 'Team Scores'!$X35, 3)</f>
        <v/>
      </c>
      <c r="Y35" s="43">
        <f>PERCENTRANK('Team Scores'!$Y$3:$Y$1000, 'Team Scores'!$Y35, 3)</f>
        <v/>
      </c>
      <c r="Z35" s="43">
        <f>PERCENTRANK('Team Scores'!$Z$3:$Z$1000, 'Team Scores'!$Z35, 3)</f>
        <v/>
      </c>
      <c r="AA35" s="43">
        <f>AVERAGE(C35:G35)</f>
        <v/>
      </c>
      <c r="AB35" s="43">
        <f>AVERAGE(H35:O35)</f>
        <v/>
      </c>
      <c r="AC35" s="43">
        <f>AVERAGE(P35:T35)</f>
        <v/>
      </c>
      <c r="AD35" s="43">
        <f>AVERAGE(U35:X35)</f>
        <v/>
      </c>
      <c r="AE35" s="43">
        <f>AVERAGE(AA35:AD35)</f>
        <v/>
      </c>
    </row>
    <row r="36">
      <c r="A36" s="41" t="n">
        <v>5016</v>
      </c>
      <c r="B36" s="42">
        <f>COUNTIF(MatchScoutingData!E$2:E$1000, $A36)</f>
        <v/>
      </c>
      <c r="C36" s="43">
        <f>PERCENTRANK('Team Scores'!$C$3:$C$1000, 'Team Scores'!$C36, 3)</f>
        <v/>
      </c>
      <c r="D36" s="43">
        <f>PERCENTRANK('Team Scores'!$D$3:$D$1000, 'Team Scores'!$D36, 3)</f>
        <v/>
      </c>
      <c r="E36" s="43">
        <f>PERCENTRANK('Team Scores'!$E$3:$E$1000, 'Team Scores'!$E36, 3)</f>
        <v/>
      </c>
      <c r="F36" s="43">
        <f>PERCENTRANK('Team Scores'!$F$3:$F$1000, 'Team Scores'!$F36, 3)</f>
        <v/>
      </c>
      <c r="G36" s="43">
        <f>PERCENTRANK('Team Scores'!$G$3:$G$1000, 'Team Scores'!$G36, 3)</f>
        <v/>
      </c>
      <c r="H36" s="43">
        <f>PERCENTRANK('Team Scores'!$H$3:$H$1000, 'Team Scores'!$H36, 3)</f>
        <v/>
      </c>
      <c r="I36" s="43">
        <f>PERCENTRANK('Team Scores'!$I$3:$I$1000, 'Team Scores'!$I36, 3)</f>
        <v/>
      </c>
      <c r="J36" s="43">
        <f>PERCENTRANK('Team Scores'!$J$3:$J$1000, 'Team Scores'!$J36, 3)</f>
        <v/>
      </c>
      <c r="K36" s="43">
        <f>PERCENTRANK('Team Scores'!$K$3:$K$1000, 'Team Scores'!$K36, 3)</f>
        <v/>
      </c>
      <c r="L36" s="43">
        <f>PERCENTRANK('Team Scores'!$L$3:$L$1000, 'Team Scores'!$L36, 3)</f>
        <v/>
      </c>
      <c r="M36" s="43">
        <f>PERCENTRANK('Team Scores'!$M$3:$M$1000, 'Team Scores'!$M36, 3)</f>
        <v/>
      </c>
      <c r="N36" s="43">
        <f>PERCENTRANK('Team Scores'!$N$3:$N$1000, 'Team Scores'!$N36, 3)</f>
        <v/>
      </c>
      <c r="O36" s="43">
        <f>PERCENTRANK('Team Scores'!$O$3:$O$1000, 'Team Scores'!$O36, 3)</f>
        <v/>
      </c>
      <c r="P36" s="43">
        <f>PERCENTRANK('Team Scores'!$P$3:$P$1000, 'Team Scores'!$P36, 3)</f>
        <v/>
      </c>
      <c r="Q36" s="43">
        <f>PERCENTRANK('Team Scores'!$Q$3:$Q$1000, 'Team Scores'!$Q36, 3)</f>
        <v/>
      </c>
      <c r="R36" s="43">
        <f>PERCENTRANK('Team Scores'!$R$3:$R$1000, 'Team Scores'!$R36, 3)</f>
        <v/>
      </c>
      <c r="S36" s="43">
        <f>PERCENTRANK('Team Scores'!$S$3:$S$1000, 'Team Scores'!$S36, 3)</f>
        <v/>
      </c>
      <c r="T36" s="43">
        <f>PERCENTRANK('Team Scores'!$T$3:$T$1000, 'Team Scores'!$T36, 3)</f>
        <v/>
      </c>
      <c r="U36" s="43">
        <f>PERCENTRANK('Team Scores'!$U$3:$U$1000, 'Team Scores'!$U36, 3)</f>
        <v/>
      </c>
      <c r="V36" s="43">
        <f>PERCENTRANK('Team Scores'!$V$3:$V$1000, 'Team Scores'!$V36, 3)</f>
        <v/>
      </c>
      <c r="W36" s="43">
        <f>PERCENTRANK('Team Scores'!$W$3:$W$1000, 'Team Scores'!$W36, 3)</f>
        <v/>
      </c>
      <c r="X36" s="43">
        <f>PERCENTRANK('Team Scores'!$X$3:$X$1000, 'Team Scores'!$X36, 3)</f>
        <v/>
      </c>
      <c r="Y36" s="43">
        <f>PERCENTRANK('Team Scores'!$Y$3:$Y$1000, 'Team Scores'!$Y36, 3)</f>
        <v/>
      </c>
      <c r="Z36" s="43">
        <f>PERCENTRANK('Team Scores'!$Z$3:$Z$1000, 'Team Scores'!$Z36, 3)</f>
        <v/>
      </c>
      <c r="AA36" s="43">
        <f>AVERAGE(C36:G36)</f>
        <v/>
      </c>
      <c r="AB36" s="43">
        <f>AVERAGE(H36:O36)</f>
        <v/>
      </c>
      <c r="AC36" s="43">
        <f>AVERAGE(P36:T36)</f>
        <v/>
      </c>
      <c r="AD36" s="43">
        <f>AVERAGE(U36:X36)</f>
        <v/>
      </c>
      <c r="AE36" s="43">
        <f>AVERAGE(AA36:AD36)</f>
        <v/>
      </c>
    </row>
    <row r="37">
      <c r="A37" s="41" t="n">
        <v>5149</v>
      </c>
      <c r="B37" s="42">
        <f>COUNTIF(MatchScoutingData!E$2:E$1000, $A37)</f>
        <v/>
      </c>
      <c r="C37" s="43">
        <f>PERCENTRANK('Team Scores'!$C$3:$C$1000, 'Team Scores'!$C37, 3)</f>
        <v/>
      </c>
      <c r="D37" s="43">
        <f>PERCENTRANK('Team Scores'!$D$3:$D$1000, 'Team Scores'!$D37, 3)</f>
        <v/>
      </c>
      <c r="E37" s="43">
        <f>PERCENTRANK('Team Scores'!$E$3:$E$1000, 'Team Scores'!$E37, 3)</f>
        <v/>
      </c>
      <c r="F37" s="43">
        <f>PERCENTRANK('Team Scores'!$F$3:$F$1000, 'Team Scores'!$F37, 3)</f>
        <v/>
      </c>
      <c r="G37" s="43">
        <f>PERCENTRANK('Team Scores'!$G$3:$G$1000, 'Team Scores'!$G37, 3)</f>
        <v/>
      </c>
      <c r="H37" s="43">
        <f>PERCENTRANK('Team Scores'!$H$3:$H$1000, 'Team Scores'!$H37, 3)</f>
        <v/>
      </c>
      <c r="I37" s="43">
        <f>PERCENTRANK('Team Scores'!$I$3:$I$1000, 'Team Scores'!$I37, 3)</f>
        <v/>
      </c>
      <c r="J37" s="43">
        <f>PERCENTRANK('Team Scores'!$J$3:$J$1000, 'Team Scores'!$J37, 3)</f>
        <v/>
      </c>
      <c r="K37" s="43">
        <f>PERCENTRANK('Team Scores'!$K$3:$K$1000, 'Team Scores'!$K37, 3)</f>
        <v/>
      </c>
      <c r="L37" s="43">
        <f>PERCENTRANK('Team Scores'!$L$3:$L$1000, 'Team Scores'!$L37, 3)</f>
        <v/>
      </c>
      <c r="M37" s="43">
        <f>PERCENTRANK('Team Scores'!$M$3:$M$1000, 'Team Scores'!$M37, 3)</f>
        <v/>
      </c>
      <c r="N37" s="43">
        <f>PERCENTRANK('Team Scores'!$N$3:$N$1000, 'Team Scores'!$N37, 3)</f>
        <v/>
      </c>
      <c r="O37" s="43">
        <f>PERCENTRANK('Team Scores'!$O$3:$O$1000, 'Team Scores'!$O37, 3)</f>
        <v/>
      </c>
      <c r="P37" s="43">
        <f>PERCENTRANK('Team Scores'!$P$3:$P$1000, 'Team Scores'!$P37, 3)</f>
        <v/>
      </c>
      <c r="Q37" s="43">
        <f>PERCENTRANK('Team Scores'!$Q$3:$Q$1000, 'Team Scores'!$Q37, 3)</f>
        <v/>
      </c>
      <c r="R37" s="43">
        <f>PERCENTRANK('Team Scores'!$R$3:$R$1000, 'Team Scores'!$R37, 3)</f>
        <v/>
      </c>
      <c r="S37" s="43">
        <f>PERCENTRANK('Team Scores'!$S$3:$S$1000, 'Team Scores'!$S37, 3)</f>
        <v/>
      </c>
      <c r="T37" s="43">
        <f>PERCENTRANK('Team Scores'!$T$3:$T$1000, 'Team Scores'!$T37, 3)</f>
        <v/>
      </c>
      <c r="U37" s="43">
        <f>PERCENTRANK('Team Scores'!$U$3:$U$1000, 'Team Scores'!$U37, 3)</f>
        <v/>
      </c>
      <c r="V37" s="43">
        <f>PERCENTRANK('Team Scores'!$V$3:$V$1000, 'Team Scores'!$V37, 3)</f>
        <v/>
      </c>
      <c r="W37" s="43">
        <f>PERCENTRANK('Team Scores'!$W$3:$W$1000, 'Team Scores'!$W37, 3)</f>
        <v/>
      </c>
      <c r="X37" s="43">
        <f>PERCENTRANK('Team Scores'!$X$3:$X$1000, 'Team Scores'!$X37, 3)</f>
        <v/>
      </c>
      <c r="Y37" s="43">
        <f>PERCENTRANK('Team Scores'!$Y$3:$Y$1000, 'Team Scores'!$Y37, 3)</f>
        <v/>
      </c>
      <c r="Z37" s="43">
        <f>PERCENTRANK('Team Scores'!$Z$3:$Z$1000, 'Team Scores'!$Z37, 3)</f>
        <v/>
      </c>
      <c r="AA37" s="43">
        <f>AVERAGE(C37:G37)</f>
        <v/>
      </c>
      <c r="AB37" s="43">
        <f>AVERAGE(H37:O37)</f>
        <v/>
      </c>
      <c r="AC37" s="43">
        <f>AVERAGE(P37:T37)</f>
        <v/>
      </c>
      <c r="AD37" s="43">
        <f>AVERAGE(U37:X37)</f>
        <v/>
      </c>
      <c r="AE37" s="43">
        <f>AVERAGE(AA37:AD37)</f>
        <v/>
      </c>
    </row>
    <row r="38">
      <c r="A38" s="41" t="n">
        <v>5590</v>
      </c>
      <c r="B38" s="42">
        <f>COUNTIF(MatchScoutingData!E$2:E$1000, $A38)</f>
        <v/>
      </c>
      <c r="C38" s="43">
        <f>PERCENTRANK('Team Scores'!$C$3:$C$1000, 'Team Scores'!$C38, 3)</f>
        <v/>
      </c>
      <c r="D38" s="43">
        <f>PERCENTRANK('Team Scores'!$D$3:$D$1000, 'Team Scores'!$D38, 3)</f>
        <v/>
      </c>
      <c r="E38" s="43">
        <f>PERCENTRANK('Team Scores'!$E$3:$E$1000, 'Team Scores'!$E38, 3)</f>
        <v/>
      </c>
      <c r="F38" s="43">
        <f>PERCENTRANK('Team Scores'!$F$3:$F$1000, 'Team Scores'!$F38, 3)</f>
        <v/>
      </c>
      <c r="G38" s="43">
        <f>PERCENTRANK('Team Scores'!$G$3:$G$1000, 'Team Scores'!$G38, 3)</f>
        <v/>
      </c>
      <c r="H38" s="43">
        <f>PERCENTRANK('Team Scores'!$H$3:$H$1000, 'Team Scores'!$H38, 3)</f>
        <v/>
      </c>
      <c r="I38" s="43">
        <f>PERCENTRANK('Team Scores'!$I$3:$I$1000, 'Team Scores'!$I38, 3)</f>
        <v/>
      </c>
      <c r="J38" s="43">
        <f>PERCENTRANK('Team Scores'!$J$3:$J$1000, 'Team Scores'!$J38, 3)</f>
        <v/>
      </c>
      <c r="K38" s="43">
        <f>PERCENTRANK('Team Scores'!$K$3:$K$1000, 'Team Scores'!$K38, 3)</f>
        <v/>
      </c>
      <c r="L38" s="43">
        <f>PERCENTRANK('Team Scores'!$L$3:$L$1000, 'Team Scores'!$L38, 3)</f>
        <v/>
      </c>
      <c r="M38" s="43">
        <f>PERCENTRANK('Team Scores'!$M$3:$M$1000, 'Team Scores'!$M38, 3)</f>
        <v/>
      </c>
      <c r="N38" s="43">
        <f>PERCENTRANK('Team Scores'!$N$3:$N$1000, 'Team Scores'!$N38, 3)</f>
        <v/>
      </c>
      <c r="O38" s="43">
        <f>PERCENTRANK('Team Scores'!$O$3:$O$1000, 'Team Scores'!$O38, 3)</f>
        <v/>
      </c>
      <c r="P38" s="43">
        <f>PERCENTRANK('Team Scores'!$P$3:$P$1000, 'Team Scores'!$P38, 3)</f>
        <v/>
      </c>
      <c r="Q38" s="43">
        <f>PERCENTRANK('Team Scores'!$Q$3:$Q$1000, 'Team Scores'!$Q38, 3)</f>
        <v/>
      </c>
      <c r="R38" s="43">
        <f>PERCENTRANK('Team Scores'!$R$3:$R$1000, 'Team Scores'!$R38, 3)</f>
        <v/>
      </c>
      <c r="S38" s="43">
        <f>PERCENTRANK('Team Scores'!$S$3:$S$1000, 'Team Scores'!$S38, 3)</f>
        <v/>
      </c>
      <c r="T38" s="43">
        <f>PERCENTRANK('Team Scores'!$T$3:$T$1000, 'Team Scores'!$T38, 3)</f>
        <v/>
      </c>
      <c r="U38" s="43">
        <f>PERCENTRANK('Team Scores'!$U$3:$U$1000, 'Team Scores'!$U38, 3)</f>
        <v/>
      </c>
      <c r="V38" s="43">
        <f>PERCENTRANK('Team Scores'!$V$3:$V$1000, 'Team Scores'!$V38, 3)</f>
        <v/>
      </c>
      <c r="W38" s="43">
        <f>PERCENTRANK('Team Scores'!$W$3:$W$1000, 'Team Scores'!$W38, 3)</f>
        <v/>
      </c>
      <c r="X38" s="43">
        <f>PERCENTRANK('Team Scores'!$X$3:$X$1000, 'Team Scores'!$X38, 3)</f>
        <v/>
      </c>
      <c r="Y38" s="43">
        <f>PERCENTRANK('Team Scores'!$Y$3:$Y$1000, 'Team Scores'!$Y38, 3)</f>
        <v/>
      </c>
      <c r="Z38" s="43">
        <f>PERCENTRANK('Team Scores'!$Z$3:$Z$1000, 'Team Scores'!$Z38, 3)</f>
        <v/>
      </c>
      <c r="AA38" s="43">
        <f>AVERAGE(C38:G38)</f>
        <v/>
      </c>
      <c r="AB38" s="43">
        <f>AVERAGE(H38:O38)</f>
        <v/>
      </c>
      <c r="AC38" s="43">
        <f>AVERAGE(P38:T38)</f>
        <v/>
      </c>
      <c r="AD38" s="43">
        <f>AVERAGE(U38:X38)</f>
        <v/>
      </c>
      <c r="AE38" s="43">
        <f>AVERAGE(AA38:AD38)</f>
        <v/>
      </c>
    </row>
    <row r="39">
      <c r="A39" s="41" t="n">
        <v>5736</v>
      </c>
      <c r="B39" s="42">
        <f>COUNTIF(MatchScoutingData!E$2:E$1000, $A39)</f>
        <v/>
      </c>
      <c r="C39" s="43">
        <f>PERCENTRANK('Team Scores'!$C$3:$C$1000, 'Team Scores'!$C39, 3)</f>
        <v/>
      </c>
      <c r="D39" s="43">
        <f>PERCENTRANK('Team Scores'!$D$3:$D$1000, 'Team Scores'!$D39, 3)</f>
        <v/>
      </c>
      <c r="E39" s="43">
        <f>PERCENTRANK('Team Scores'!$E$3:$E$1000, 'Team Scores'!$E39, 3)</f>
        <v/>
      </c>
      <c r="F39" s="43">
        <f>PERCENTRANK('Team Scores'!$F$3:$F$1000, 'Team Scores'!$F39, 3)</f>
        <v/>
      </c>
      <c r="G39" s="43">
        <f>PERCENTRANK('Team Scores'!$G$3:$G$1000, 'Team Scores'!$G39, 3)</f>
        <v/>
      </c>
      <c r="H39" s="43">
        <f>PERCENTRANK('Team Scores'!$H$3:$H$1000, 'Team Scores'!$H39, 3)</f>
        <v/>
      </c>
      <c r="I39" s="43">
        <f>PERCENTRANK('Team Scores'!$I$3:$I$1000, 'Team Scores'!$I39, 3)</f>
        <v/>
      </c>
      <c r="J39" s="43">
        <f>PERCENTRANK('Team Scores'!$J$3:$J$1000, 'Team Scores'!$J39, 3)</f>
        <v/>
      </c>
      <c r="K39" s="43">
        <f>PERCENTRANK('Team Scores'!$K$3:$K$1000, 'Team Scores'!$K39, 3)</f>
        <v/>
      </c>
      <c r="L39" s="43">
        <f>PERCENTRANK('Team Scores'!$L$3:$L$1000, 'Team Scores'!$L39, 3)</f>
        <v/>
      </c>
      <c r="M39" s="43">
        <f>PERCENTRANK('Team Scores'!$M$3:$M$1000, 'Team Scores'!$M39, 3)</f>
        <v/>
      </c>
      <c r="N39" s="43">
        <f>PERCENTRANK('Team Scores'!$N$3:$N$1000, 'Team Scores'!$N39, 3)</f>
        <v/>
      </c>
      <c r="O39" s="43">
        <f>PERCENTRANK('Team Scores'!$O$3:$O$1000, 'Team Scores'!$O39, 3)</f>
        <v/>
      </c>
      <c r="P39" s="43">
        <f>PERCENTRANK('Team Scores'!$P$3:$P$1000, 'Team Scores'!$P39, 3)</f>
        <v/>
      </c>
      <c r="Q39" s="43">
        <f>PERCENTRANK('Team Scores'!$Q$3:$Q$1000, 'Team Scores'!$Q39, 3)</f>
        <v/>
      </c>
      <c r="R39" s="43">
        <f>PERCENTRANK('Team Scores'!$R$3:$R$1000, 'Team Scores'!$R39, 3)</f>
        <v/>
      </c>
      <c r="S39" s="43">
        <f>PERCENTRANK('Team Scores'!$S$3:$S$1000, 'Team Scores'!$S39, 3)</f>
        <v/>
      </c>
      <c r="T39" s="43">
        <f>PERCENTRANK('Team Scores'!$T$3:$T$1000, 'Team Scores'!$T39, 3)</f>
        <v/>
      </c>
      <c r="U39" s="43">
        <f>PERCENTRANK('Team Scores'!$U$3:$U$1000, 'Team Scores'!$U39, 3)</f>
        <v/>
      </c>
      <c r="V39" s="43">
        <f>PERCENTRANK('Team Scores'!$V$3:$V$1000, 'Team Scores'!$V39, 3)</f>
        <v/>
      </c>
      <c r="W39" s="43">
        <f>PERCENTRANK('Team Scores'!$W$3:$W$1000, 'Team Scores'!$W39, 3)</f>
        <v/>
      </c>
      <c r="X39" s="43">
        <f>PERCENTRANK('Team Scores'!$X$3:$X$1000, 'Team Scores'!$X39, 3)</f>
        <v/>
      </c>
      <c r="Y39" s="43">
        <f>PERCENTRANK('Team Scores'!$Y$3:$Y$1000, 'Team Scores'!$Y39, 3)</f>
        <v/>
      </c>
      <c r="Z39" s="43">
        <f>PERCENTRANK('Team Scores'!$Z$3:$Z$1000, 'Team Scores'!$Z39, 3)</f>
        <v/>
      </c>
      <c r="AA39" s="43">
        <f>AVERAGE(C39:G39)</f>
        <v/>
      </c>
      <c r="AB39" s="43">
        <f>AVERAGE(H39:O39)</f>
        <v/>
      </c>
      <c r="AC39" s="43">
        <f>AVERAGE(P39:T39)</f>
        <v/>
      </c>
      <c r="AD39" s="43">
        <f>AVERAGE(U39:X39)</f>
        <v/>
      </c>
      <c r="AE39" s="43">
        <f>AVERAGE(AA39:AD39)</f>
        <v/>
      </c>
    </row>
    <row r="40">
      <c r="A40" s="41" t="n">
        <v>5881</v>
      </c>
      <c r="B40" s="42">
        <f>COUNTIF(MatchScoutingData!E$2:E$1000, $A40)</f>
        <v/>
      </c>
      <c r="C40" s="43">
        <f>PERCENTRANK('Team Scores'!$C$3:$C$1000, 'Team Scores'!$C40, 3)</f>
        <v/>
      </c>
      <c r="D40" s="43">
        <f>PERCENTRANK('Team Scores'!$D$3:$D$1000, 'Team Scores'!$D40, 3)</f>
        <v/>
      </c>
      <c r="E40" s="43">
        <f>PERCENTRANK('Team Scores'!$E$3:$E$1000, 'Team Scores'!$E40, 3)</f>
        <v/>
      </c>
      <c r="F40" s="43">
        <f>PERCENTRANK('Team Scores'!$F$3:$F$1000, 'Team Scores'!$F40, 3)</f>
        <v/>
      </c>
      <c r="G40" s="43">
        <f>PERCENTRANK('Team Scores'!$G$3:$G$1000, 'Team Scores'!$G40, 3)</f>
        <v/>
      </c>
      <c r="H40" s="43">
        <f>PERCENTRANK('Team Scores'!$H$3:$H$1000, 'Team Scores'!$H40, 3)</f>
        <v/>
      </c>
      <c r="I40" s="43">
        <f>PERCENTRANK('Team Scores'!$I$3:$I$1000, 'Team Scores'!$I40, 3)</f>
        <v/>
      </c>
      <c r="J40" s="43">
        <f>PERCENTRANK('Team Scores'!$J$3:$J$1000, 'Team Scores'!$J40, 3)</f>
        <v/>
      </c>
      <c r="K40" s="43">
        <f>PERCENTRANK('Team Scores'!$K$3:$K$1000, 'Team Scores'!$K40, 3)</f>
        <v/>
      </c>
      <c r="L40" s="43">
        <f>PERCENTRANK('Team Scores'!$L$3:$L$1000, 'Team Scores'!$L40, 3)</f>
        <v/>
      </c>
      <c r="M40" s="43">
        <f>PERCENTRANK('Team Scores'!$M$3:$M$1000, 'Team Scores'!$M40, 3)</f>
        <v/>
      </c>
      <c r="N40" s="43">
        <f>PERCENTRANK('Team Scores'!$N$3:$N$1000, 'Team Scores'!$N40, 3)</f>
        <v/>
      </c>
      <c r="O40" s="43">
        <f>PERCENTRANK('Team Scores'!$O$3:$O$1000, 'Team Scores'!$O40, 3)</f>
        <v/>
      </c>
      <c r="P40" s="43">
        <f>PERCENTRANK('Team Scores'!$P$3:$P$1000, 'Team Scores'!$P40, 3)</f>
        <v/>
      </c>
      <c r="Q40" s="43">
        <f>PERCENTRANK('Team Scores'!$Q$3:$Q$1000, 'Team Scores'!$Q40, 3)</f>
        <v/>
      </c>
      <c r="R40" s="43">
        <f>PERCENTRANK('Team Scores'!$R$3:$R$1000, 'Team Scores'!$R40, 3)</f>
        <v/>
      </c>
      <c r="S40" s="43">
        <f>PERCENTRANK('Team Scores'!$S$3:$S$1000, 'Team Scores'!$S40, 3)</f>
        <v/>
      </c>
      <c r="T40" s="43">
        <f>PERCENTRANK('Team Scores'!$T$3:$T$1000, 'Team Scores'!$T40, 3)</f>
        <v/>
      </c>
      <c r="U40" s="43">
        <f>PERCENTRANK('Team Scores'!$U$3:$U$1000, 'Team Scores'!$U40, 3)</f>
        <v/>
      </c>
      <c r="V40" s="43">
        <f>PERCENTRANK('Team Scores'!$V$3:$V$1000, 'Team Scores'!$V40, 3)</f>
        <v/>
      </c>
      <c r="W40" s="43">
        <f>PERCENTRANK('Team Scores'!$W$3:$W$1000, 'Team Scores'!$W40, 3)</f>
        <v/>
      </c>
      <c r="X40" s="43">
        <f>PERCENTRANK('Team Scores'!$X$3:$X$1000, 'Team Scores'!$X40, 3)</f>
        <v/>
      </c>
      <c r="Y40" s="43">
        <f>PERCENTRANK('Team Scores'!$Y$3:$Y$1000, 'Team Scores'!$Y40, 3)</f>
        <v/>
      </c>
      <c r="Z40" s="43">
        <f>PERCENTRANK('Team Scores'!$Z$3:$Z$1000, 'Team Scores'!$Z40, 3)</f>
        <v/>
      </c>
      <c r="AA40" s="43">
        <f>AVERAGE(C40:G40)</f>
        <v/>
      </c>
      <c r="AB40" s="43">
        <f>AVERAGE(H40:O40)</f>
        <v/>
      </c>
      <c r="AC40" s="43">
        <f>AVERAGE(P40:T40)</f>
        <v/>
      </c>
      <c r="AD40" s="43">
        <f>AVERAGE(U40:X40)</f>
        <v/>
      </c>
      <c r="AE40" s="43">
        <f>AVERAGE(AA40:AD40)</f>
        <v/>
      </c>
    </row>
    <row r="41">
      <c r="A41" s="41" t="n">
        <v>6300</v>
      </c>
      <c r="B41" s="42">
        <f>COUNTIF(MatchScoutingData!E$2:E$1000, $A41)</f>
        <v/>
      </c>
      <c r="C41" s="43">
        <f>PERCENTRANK('Team Scores'!$C$3:$C$1000, 'Team Scores'!$C41, 3)</f>
        <v/>
      </c>
      <c r="D41" s="43">
        <f>PERCENTRANK('Team Scores'!$D$3:$D$1000, 'Team Scores'!$D41, 3)</f>
        <v/>
      </c>
      <c r="E41" s="43">
        <f>PERCENTRANK('Team Scores'!$E$3:$E$1000, 'Team Scores'!$E41, 3)</f>
        <v/>
      </c>
      <c r="F41" s="43">
        <f>PERCENTRANK('Team Scores'!$F$3:$F$1000, 'Team Scores'!$F41, 3)</f>
        <v/>
      </c>
      <c r="G41" s="43">
        <f>PERCENTRANK('Team Scores'!$G$3:$G$1000, 'Team Scores'!$G41, 3)</f>
        <v/>
      </c>
      <c r="H41" s="43">
        <f>PERCENTRANK('Team Scores'!$H$3:$H$1000, 'Team Scores'!$H41, 3)</f>
        <v/>
      </c>
      <c r="I41" s="43">
        <f>PERCENTRANK('Team Scores'!$I$3:$I$1000, 'Team Scores'!$I41, 3)</f>
        <v/>
      </c>
      <c r="J41" s="43">
        <f>PERCENTRANK('Team Scores'!$J$3:$J$1000, 'Team Scores'!$J41, 3)</f>
        <v/>
      </c>
      <c r="K41" s="43">
        <f>PERCENTRANK('Team Scores'!$K$3:$K$1000, 'Team Scores'!$K41, 3)</f>
        <v/>
      </c>
      <c r="L41" s="43">
        <f>PERCENTRANK('Team Scores'!$L$3:$L$1000, 'Team Scores'!$L41, 3)</f>
        <v/>
      </c>
      <c r="M41" s="43">
        <f>PERCENTRANK('Team Scores'!$M$3:$M$1000, 'Team Scores'!$M41, 3)</f>
        <v/>
      </c>
      <c r="N41" s="43">
        <f>PERCENTRANK('Team Scores'!$N$3:$N$1000, 'Team Scores'!$N41, 3)</f>
        <v/>
      </c>
      <c r="O41" s="43">
        <f>PERCENTRANK('Team Scores'!$O$3:$O$1000, 'Team Scores'!$O41, 3)</f>
        <v/>
      </c>
      <c r="P41" s="43">
        <f>PERCENTRANK('Team Scores'!$P$3:$P$1000, 'Team Scores'!$P41, 3)</f>
        <v/>
      </c>
      <c r="Q41" s="43">
        <f>PERCENTRANK('Team Scores'!$Q$3:$Q$1000, 'Team Scores'!$Q41, 3)</f>
        <v/>
      </c>
      <c r="R41" s="43">
        <f>PERCENTRANK('Team Scores'!$R$3:$R$1000, 'Team Scores'!$R41, 3)</f>
        <v/>
      </c>
      <c r="S41" s="43">
        <f>PERCENTRANK('Team Scores'!$S$3:$S$1000, 'Team Scores'!$S41, 3)</f>
        <v/>
      </c>
      <c r="T41" s="43">
        <f>PERCENTRANK('Team Scores'!$T$3:$T$1000, 'Team Scores'!$T41, 3)</f>
        <v/>
      </c>
      <c r="U41" s="43">
        <f>PERCENTRANK('Team Scores'!$U$3:$U$1000, 'Team Scores'!$U41, 3)</f>
        <v/>
      </c>
      <c r="V41" s="43">
        <f>PERCENTRANK('Team Scores'!$V$3:$V$1000, 'Team Scores'!$V41, 3)</f>
        <v/>
      </c>
      <c r="W41" s="43">
        <f>PERCENTRANK('Team Scores'!$W$3:$W$1000, 'Team Scores'!$W41, 3)</f>
        <v/>
      </c>
      <c r="X41" s="43">
        <f>PERCENTRANK('Team Scores'!$X$3:$X$1000, 'Team Scores'!$X41, 3)</f>
        <v/>
      </c>
      <c r="Y41" s="43">
        <f>PERCENTRANK('Team Scores'!$Y$3:$Y$1000, 'Team Scores'!$Y41, 3)</f>
        <v/>
      </c>
      <c r="Z41" s="43">
        <f>PERCENTRANK('Team Scores'!$Z$3:$Z$1000, 'Team Scores'!$Z41, 3)</f>
        <v/>
      </c>
      <c r="AA41" s="43">
        <f>AVERAGE(C41:G41)</f>
        <v/>
      </c>
      <c r="AB41" s="43">
        <f>AVERAGE(H41:O41)</f>
        <v/>
      </c>
      <c r="AC41" s="43">
        <f>AVERAGE(P41:T41)</f>
        <v/>
      </c>
      <c r="AD41" s="43">
        <f>AVERAGE(U41:X41)</f>
        <v/>
      </c>
      <c r="AE41" s="43">
        <f>AVERAGE(AA41:AD41)</f>
        <v/>
      </c>
    </row>
    <row r="42">
      <c r="A42" s="41" t="n">
        <v>6436</v>
      </c>
      <c r="B42" s="42">
        <f>COUNTIF(MatchScoutingData!E$2:E$1000, $A42)</f>
        <v/>
      </c>
      <c r="C42" s="43">
        <f>PERCENTRANK('Team Scores'!$C$3:$C$1000, 'Team Scores'!$C42, 3)</f>
        <v/>
      </c>
      <c r="D42" s="43">
        <f>PERCENTRANK('Team Scores'!$D$3:$D$1000, 'Team Scores'!$D42, 3)</f>
        <v/>
      </c>
      <c r="E42" s="43">
        <f>PERCENTRANK('Team Scores'!$E$3:$E$1000, 'Team Scores'!$E42, 3)</f>
        <v/>
      </c>
      <c r="F42" s="43">
        <f>PERCENTRANK('Team Scores'!$F$3:$F$1000, 'Team Scores'!$F42, 3)</f>
        <v/>
      </c>
      <c r="G42" s="43">
        <f>PERCENTRANK('Team Scores'!$G$3:$G$1000, 'Team Scores'!$G42, 3)</f>
        <v/>
      </c>
      <c r="H42" s="43">
        <f>PERCENTRANK('Team Scores'!$H$3:$H$1000, 'Team Scores'!$H42, 3)</f>
        <v/>
      </c>
      <c r="I42" s="43">
        <f>PERCENTRANK('Team Scores'!$I$3:$I$1000, 'Team Scores'!$I42, 3)</f>
        <v/>
      </c>
      <c r="J42" s="43">
        <f>PERCENTRANK('Team Scores'!$J$3:$J$1000, 'Team Scores'!$J42, 3)</f>
        <v/>
      </c>
      <c r="K42" s="43">
        <f>PERCENTRANK('Team Scores'!$K$3:$K$1000, 'Team Scores'!$K42, 3)</f>
        <v/>
      </c>
      <c r="L42" s="43">
        <f>PERCENTRANK('Team Scores'!$L$3:$L$1000, 'Team Scores'!$L42, 3)</f>
        <v/>
      </c>
      <c r="M42" s="43">
        <f>PERCENTRANK('Team Scores'!$M$3:$M$1000, 'Team Scores'!$M42, 3)</f>
        <v/>
      </c>
      <c r="N42" s="43">
        <f>PERCENTRANK('Team Scores'!$N$3:$N$1000, 'Team Scores'!$N42, 3)</f>
        <v/>
      </c>
      <c r="O42" s="43">
        <f>PERCENTRANK('Team Scores'!$O$3:$O$1000, 'Team Scores'!$O42, 3)</f>
        <v/>
      </c>
      <c r="P42" s="43">
        <f>PERCENTRANK('Team Scores'!$P$3:$P$1000, 'Team Scores'!$P42, 3)</f>
        <v/>
      </c>
      <c r="Q42" s="43">
        <f>PERCENTRANK('Team Scores'!$Q$3:$Q$1000, 'Team Scores'!$Q42, 3)</f>
        <v/>
      </c>
      <c r="R42" s="43">
        <f>PERCENTRANK('Team Scores'!$R$3:$R$1000, 'Team Scores'!$R42, 3)</f>
        <v/>
      </c>
      <c r="S42" s="43">
        <f>PERCENTRANK('Team Scores'!$S$3:$S$1000, 'Team Scores'!$S42, 3)</f>
        <v/>
      </c>
      <c r="T42" s="43">
        <f>PERCENTRANK('Team Scores'!$T$3:$T$1000, 'Team Scores'!$T42, 3)</f>
        <v/>
      </c>
      <c r="U42" s="43">
        <f>PERCENTRANK('Team Scores'!$U$3:$U$1000, 'Team Scores'!$U42, 3)</f>
        <v/>
      </c>
      <c r="V42" s="43">
        <f>PERCENTRANK('Team Scores'!$V$3:$V$1000, 'Team Scores'!$V42, 3)</f>
        <v/>
      </c>
      <c r="W42" s="43">
        <f>PERCENTRANK('Team Scores'!$W$3:$W$1000, 'Team Scores'!$W42, 3)</f>
        <v/>
      </c>
      <c r="X42" s="43">
        <f>PERCENTRANK('Team Scores'!$X$3:$X$1000, 'Team Scores'!$X42, 3)</f>
        <v/>
      </c>
      <c r="Y42" s="43">
        <f>PERCENTRANK('Team Scores'!$Y$3:$Y$1000, 'Team Scores'!$Y42, 3)</f>
        <v/>
      </c>
      <c r="Z42" s="43">
        <f>PERCENTRANK('Team Scores'!$Z$3:$Z$1000, 'Team Scores'!$Z42, 3)</f>
        <v/>
      </c>
      <c r="AA42" s="43">
        <f>AVERAGE(C42:G42)</f>
        <v/>
      </c>
      <c r="AB42" s="43">
        <f>AVERAGE(H42:O42)</f>
        <v/>
      </c>
      <c r="AC42" s="43">
        <f>AVERAGE(P42:T42)</f>
        <v/>
      </c>
      <c r="AD42" s="43">
        <f>AVERAGE(U42:X42)</f>
        <v/>
      </c>
      <c r="AE42" s="43">
        <f>AVERAGE(AA42:AD42)</f>
        <v/>
      </c>
    </row>
    <row r="43">
      <c r="A43" s="41" t="n">
        <v>6463</v>
      </c>
      <c r="B43" s="42">
        <f>COUNTIF(MatchScoutingData!E$2:E$1000, $A43)</f>
        <v/>
      </c>
      <c r="C43" s="43">
        <f>PERCENTRANK('Team Scores'!$C$3:$C$1000, 'Team Scores'!$C43, 3)</f>
        <v/>
      </c>
      <c r="D43" s="43">
        <f>PERCENTRANK('Team Scores'!$D$3:$D$1000, 'Team Scores'!$D43, 3)</f>
        <v/>
      </c>
      <c r="E43" s="43">
        <f>PERCENTRANK('Team Scores'!$E$3:$E$1000, 'Team Scores'!$E43, 3)</f>
        <v/>
      </c>
      <c r="F43" s="43">
        <f>PERCENTRANK('Team Scores'!$F$3:$F$1000, 'Team Scores'!$F43, 3)</f>
        <v/>
      </c>
      <c r="G43" s="43">
        <f>PERCENTRANK('Team Scores'!$G$3:$G$1000, 'Team Scores'!$G43, 3)</f>
        <v/>
      </c>
      <c r="H43" s="43">
        <f>PERCENTRANK('Team Scores'!$H$3:$H$1000, 'Team Scores'!$H43, 3)</f>
        <v/>
      </c>
      <c r="I43" s="43">
        <f>PERCENTRANK('Team Scores'!$I$3:$I$1000, 'Team Scores'!$I43, 3)</f>
        <v/>
      </c>
      <c r="J43" s="43">
        <f>PERCENTRANK('Team Scores'!$J$3:$J$1000, 'Team Scores'!$J43, 3)</f>
        <v/>
      </c>
      <c r="K43" s="43">
        <f>PERCENTRANK('Team Scores'!$K$3:$K$1000, 'Team Scores'!$K43, 3)</f>
        <v/>
      </c>
      <c r="L43" s="43">
        <f>PERCENTRANK('Team Scores'!$L$3:$L$1000, 'Team Scores'!$L43, 3)</f>
        <v/>
      </c>
      <c r="M43" s="43">
        <f>PERCENTRANK('Team Scores'!$M$3:$M$1000, 'Team Scores'!$M43, 3)</f>
        <v/>
      </c>
      <c r="N43" s="43">
        <f>PERCENTRANK('Team Scores'!$N$3:$N$1000, 'Team Scores'!$N43, 3)</f>
        <v/>
      </c>
      <c r="O43" s="43">
        <f>PERCENTRANK('Team Scores'!$O$3:$O$1000, 'Team Scores'!$O43, 3)</f>
        <v/>
      </c>
      <c r="P43" s="43">
        <f>PERCENTRANK('Team Scores'!$P$3:$P$1000, 'Team Scores'!$P43, 3)</f>
        <v/>
      </c>
      <c r="Q43" s="43">
        <f>PERCENTRANK('Team Scores'!$Q$3:$Q$1000, 'Team Scores'!$Q43, 3)</f>
        <v/>
      </c>
      <c r="R43" s="43">
        <f>PERCENTRANK('Team Scores'!$R$3:$R$1000, 'Team Scores'!$R43, 3)</f>
        <v/>
      </c>
      <c r="S43" s="43">
        <f>PERCENTRANK('Team Scores'!$S$3:$S$1000, 'Team Scores'!$S43, 3)</f>
        <v/>
      </c>
      <c r="T43" s="43">
        <f>PERCENTRANK('Team Scores'!$T$3:$T$1000, 'Team Scores'!$T43, 3)</f>
        <v/>
      </c>
      <c r="U43" s="43">
        <f>PERCENTRANK('Team Scores'!$U$3:$U$1000, 'Team Scores'!$U43, 3)</f>
        <v/>
      </c>
      <c r="V43" s="43">
        <f>PERCENTRANK('Team Scores'!$V$3:$V$1000, 'Team Scores'!$V43, 3)</f>
        <v/>
      </c>
      <c r="W43" s="43">
        <f>PERCENTRANK('Team Scores'!$W$3:$W$1000, 'Team Scores'!$W43, 3)</f>
        <v/>
      </c>
      <c r="X43" s="43">
        <f>PERCENTRANK('Team Scores'!$X$3:$X$1000, 'Team Scores'!$X43, 3)</f>
        <v/>
      </c>
      <c r="Y43" s="43">
        <f>PERCENTRANK('Team Scores'!$Y$3:$Y$1000, 'Team Scores'!$Y43, 3)</f>
        <v/>
      </c>
      <c r="Z43" s="43">
        <f>PERCENTRANK('Team Scores'!$Z$3:$Z$1000, 'Team Scores'!$Z43, 3)</f>
        <v/>
      </c>
      <c r="AA43" s="43">
        <f>AVERAGE(C43:G43)</f>
        <v/>
      </c>
      <c r="AB43" s="43">
        <f>AVERAGE(H43:O43)</f>
        <v/>
      </c>
      <c r="AC43" s="43">
        <f>AVERAGE(P43:T43)</f>
        <v/>
      </c>
      <c r="AD43" s="43">
        <f>AVERAGE(U43:X43)</f>
        <v/>
      </c>
      <c r="AE43" s="43">
        <f>AVERAGE(AA43:AD43)</f>
        <v/>
      </c>
    </row>
    <row r="44">
      <c r="A44" s="41" t="n">
        <v>6621</v>
      </c>
      <c r="B44" s="42">
        <f>COUNTIF(MatchScoutingData!E$2:E$1000, $A44)</f>
        <v/>
      </c>
      <c r="C44" s="43">
        <f>PERCENTRANK('Team Scores'!$C$3:$C$1000, 'Team Scores'!$C44, 3)</f>
        <v/>
      </c>
      <c r="D44" s="43">
        <f>PERCENTRANK('Team Scores'!$D$3:$D$1000, 'Team Scores'!$D44, 3)</f>
        <v/>
      </c>
      <c r="E44" s="43">
        <f>PERCENTRANK('Team Scores'!$E$3:$E$1000, 'Team Scores'!$E44, 3)</f>
        <v/>
      </c>
      <c r="F44" s="43">
        <f>PERCENTRANK('Team Scores'!$F$3:$F$1000, 'Team Scores'!$F44, 3)</f>
        <v/>
      </c>
      <c r="G44" s="43">
        <f>PERCENTRANK('Team Scores'!$G$3:$G$1000, 'Team Scores'!$G44, 3)</f>
        <v/>
      </c>
      <c r="H44" s="43">
        <f>PERCENTRANK('Team Scores'!$H$3:$H$1000, 'Team Scores'!$H44, 3)</f>
        <v/>
      </c>
      <c r="I44" s="43">
        <f>PERCENTRANK('Team Scores'!$I$3:$I$1000, 'Team Scores'!$I44, 3)</f>
        <v/>
      </c>
      <c r="J44" s="43">
        <f>PERCENTRANK('Team Scores'!$J$3:$J$1000, 'Team Scores'!$J44, 3)</f>
        <v/>
      </c>
      <c r="K44" s="43">
        <f>PERCENTRANK('Team Scores'!$K$3:$K$1000, 'Team Scores'!$K44, 3)</f>
        <v/>
      </c>
      <c r="L44" s="43">
        <f>PERCENTRANK('Team Scores'!$L$3:$L$1000, 'Team Scores'!$L44, 3)</f>
        <v/>
      </c>
      <c r="M44" s="43">
        <f>PERCENTRANK('Team Scores'!$M$3:$M$1000, 'Team Scores'!$M44, 3)</f>
        <v/>
      </c>
      <c r="N44" s="43">
        <f>PERCENTRANK('Team Scores'!$N$3:$N$1000, 'Team Scores'!$N44, 3)</f>
        <v/>
      </c>
      <c r="O44" s="43">
        <f>PERCENTRANK('Team Scores'!$O$3:$O$1000, 'Team Scores'!$O44, 3)</f>
        <v/>
      </c>
      <c r="P44" s="43">
        <f>PERCENTRANK('Team Scores'!$P$3:$P$1000, 'Team Scores'!$P44, 3)</f>
        <v/>
      </c>
      <c r="Q44" s="43">
        <f>PERCENTRANK('Team Scores'!$Q$3:$Q$1000, 'Team Scores'!$Q44, 3)</f>
        <v/>
      </c>
      <c r="R44" s="43">
        <f>PERCENTRANK('Team Scores'!$R$3:$R$1000, 'Team Scores'!$R44, 3)</f>
        <v/>
      </c>
      <c r="S44" s="43">
        <f>PERCENTRANK('Team Scores'!$S$3:$S$1000, 'Team Scores'!$S44, 3)</f>
        <v/>
      </c>
      <c r="T44" s="43">
        <f>PERCENTRANK('Team Scores'!$T$3:$T$1000, 'Team Scores'!$T44, 3)</f>
        <v/>
      </c>
      <c r="U44" s="43">
        <f>PERCENTRANK('Team Scores'!$U$3:$U$1000, 'Team Scores'!$U44, 3)</f>
        <v/>
      </c>
      <c r="V44" s="43">
        <f>PERCENTRANK('Team Scores'!$V$3:$V$1000, 'Team Scores'!$V44, 3)</f>
        <v/>
      </c>
      <c r="W44" s="43">
        <f>PERCENTRANK('Team Scores'!$W$3:$W$1000, 'Team Scores'!$W44, 3)</f>
        <v/>
      </c>
      <c r="X44" s="43">
        <f>PERCENTRANK('Team Scores'!$X$3:$X$1000, 'Team Scores'!$X44, 3)</f>
        <v/>
      </c>
      <c r="Y44" s="43">
        <f>PERCENTRANK('Team Scores'!$Y$3:$Y$1000, 'Team Scores'!$Y44, 3)</f>
        <v/>
      </c>
      <c r="Z44" s="43">
        <f>PERCENTRANK('Team Scores'!$Z$3:$Z$1000, 'Team Scores'!$Z44, 3)</f>
        <v/>
      </c>
      <c r="AA44" s="43">
        <f>AVERAGE(C44:G44)</f>
        <v/>
      </c>
      <c r="AB44" s="43">
        <f>AVERAGE(H44:O44)</f>
        <v/>
      </c>
      <c r="AC44" s="43">
        <f>AVERAGE(P44:T44)</f>
        <v/>
      </c>
      <c r="AD44" s="43">
        <f>AVERAGE(U44:X44)</f>
        <v/>
      </c>
      <c r="AE44" s="43">
        <f>AVERAGE(AA44:AD44)</f>
        <v/>
      </c>
    </row>
    <row r="45">
      <c r="A45" s="41" t="n">
        <v>6648</v>
      </c>
      <c r="B45" s="42">
        <f>COUNTIF(MatchScoutingData!E$2:E$1000, $A45)</f>
        <v/>
      </c>
      <c r="C45" s="43">
        <f>PERCENTRANK('Team Scores'!$C$3:$C$1000, 'Team Scores'!$C45, 3)</f>
        <v/>
      </c>
      <c r="D45" s="43">
        <f>PERCENTRANK('Team Scores'!$D$3:$D$1000, 'Team Scores'!$D45, 3)</f>
        <v/>
      </c>
      <c r="E45" s="43">
        <f>PERCENTRANK('Team Scores'!$E$3:$E$1000, 'Team Scores'!$E45, 3)</f>
        <v/>
      </c>
      <c r="F45" s="43">
        <f>PERCENTRANK('Team Scores'!$F$3:$F$1000, 'Team Scores'!$F45, 3)</f>
        <v/>
      </c>
      <c r="G45" s="43">
        <f>PERCENTRANK('Team Scores'!$G$3:$G$1000, 'Team Scores'!$G45, 3)</f>
        <v/>
      </c>
      <c r="H45" s="43">
        <f>PERCENTRANK('Team Scores'!$H$3:$H$1000, 'Team Scores'!$H45, 3)</f>
        <v/>
      </c>
      <c r="I45" s="43">
        <f>PERCENTRANK('Team Scores'!$I$3:$I$1000, 'Team Scores'!$I45, 3)</f>
        <v/>
      </c>
      <c r="J45" s="43">
        <f>PERCENTRANK('Team Scores'!$J$3:$J$1000, 'Team Scores'!$J45, 3)</f>
        <v/>
      </c>
      <c r="K45" s="43">
        <f>PERCENTRANK('Team Scores'!$K$3:$K$1000, 'Team Scores'!$K45, 3)</f>
        <v/>
      </c>
      <c r="L45" s="43">
        <f>PERCENTRANK('Team Scores'!$L$3:$L$1000, 'Team Scores'!$L45, 3)</f>
        <v/>
      </c>
      <c r="M45" s="43">
        <f>PERCENTRANK('Team Scores'!$M$3:$M$1000, 'Team Scores'!$M45, 3)</f>
        <v/>
      </c>
      <c r="N45" s="43">
        <f>PERCENTRANK('Team Scores'!$N$3:$N$1000, 'Team Scores'!$N45, 3)</f>
        <v/>
      </c>
      <c r="O45" s="43">
        <f>PERCENTRANK('Team Scores'!$O$3:$O$1000, 'Team Scores'!$O45, 3)</f>
        <v/>
      </c>
      <c r="P45" s="43">
        <f>PERCENTRANK('Team Scores'!$P$3:$P$1000, 'Team Scores'!$P45, 3)</f>
        <v/>
      </c>
      <c r="Q45" s="43">
        <f>PERCENTRANK('Team Scores'!$Q$3:$Q$1000, 'Team Scores'!$Q45, 3)</f>
        <v/>
      </c>
      <c r="R45" s="43">
        <f>PERCENTRANK('Team Scores'!$R$3:$R$1000, 'Team Scores'!$R45, 3)</f>
        <v/>
      </c>
      <c r="S45" s="43">
        <f>PERCENTRANK('Team Scores'!$S$3:$S$1000, 'Team Scores'!$S45, 3)</f>
        <v/>
      </c>
      <c r="T45" s="43">
        <f>PERCENTRANK('Team Scores'!$T$3:$T$1000, 'Team Scores'!$T45, 3)</f>
        <v/>
      </c>
      <c r="U45" s="43">
        <f>PERCENTRANK('Team Scores'!$U$3:$U$1000, 'Team Scores'!$U45, 3)</f>
        <v/>
      </c>
      <c r="V45" s="43">
        <f>PERCENTRANK('Team Scores'!$V$3:$V$1000, 'Team Scores'!$V45, 3)</f>
        <v/>
      </c>
      <c r="W45" s="43">
        <f>PERCENTRANK('Team Scores'!$W$3:$W$1000, 'Team Scores'!$W45, 3)</f>
        <v/>
      </c>
      <c r="X45" s="43">
        <f>PERCENTRANK('Team Scores'!$X$3:$X$1000, 'Team Scores'!$X45, 3)</f>
        <v/>
      </c>
      <c r="Y45" s="43">
        <f>PERCENTRANK('Team Scores'!$Y$3:$Y$1000, 'Team Scores'!$Y45, 3)</f>
        <v/>
      </c>
      <c r="Z45" s="43">
        <f>PERCENTRANK('Team Scores'!$Z$3:$Z$1000, 'Team Scores'!$Z45, 3)</f>
        <v/>
      </c>
      <c r="AA45" s="43">
        <f>AVERAGE(C45:G45)</f>
        <v/>
      </c>
      <c r="AB45" s="43">
        <f>AVERAGE(H45:O45)</f>
        <v/>
      </c>
      <c r="AC45" s="43">
        <f>AVERAGE(P45:T45)</f>
        <v/>
      </c>
      <c r="AD45" s="43">
        <f>AVERAGE(U45:X45)</f>
        <v/>
      </c>
      <c r="AE45" s="43">
        <f>AVERAGE(AA45:AD45)</f>
        <v/>
      </c>
    </row>
    <row r="46">
      <c r="A46" s="41" t="n">
        <v>6806</v>
      </c>
      <c r="B46" s="42">
        <f>COUNTIF(MatchScoutingData!E$2:E$1000, $A46)</f>
        <v/>
      </c>
      <c r="C46" s="43">
        <f>PERCENTRANK('Team Scores'!$C$3:$C$1000, 'Team Scores'!$C46, 3)</f>
        <v/>
      </c>
      <c r="D46" s="43">
        <f>PERCENTRANK('Team Scores'!$D$3:$D$1000, 'Team Scores'!$D46, 3)</f>
        <v/>
      </c>
      <c r="E46" s="43">
        <f>PERCENTRANK('Team Scores'!$E$3:$E$1000, 'Team Scores'!$E46, 3)</f>
        <v/>
      </c>
      <c r="F46" s="43">
        <f>PERCENTRANK('Team Scores'!$F$3:$F$1000, 'Team Scores'!$F46, 3)</f>
        <v/>
      </c>
      <c r="G46" s="43">
        <f>PERCENTRANK('Team Scores'!$G$3:$G$1000, 'Team Scores'!$G46, 3)</f>
        <v/>
      </c>
      <c r="H46" s="43">
        <f>PERCENTRANK('Team Scores'!$H$3:$H$1000, 'Team Scores'!$H46, 3)</f>
        <v/>
      </c>
      <c r="I46" s="43">
        <f>PERCENTRANK('Team Scores'!$I$3:$I$1000, 'Team Scores'!$I46, 3)</f>
        <v/>
      </c>
      <c r="J46" s="43">
        <f>PERCENTRANK('Team Scores'!$J$3:$J$1000, 'Team Scores'!$J46, 3)</f>
        <v/>
      </c>
      <c r="K46" s="43">
        <f>PERCENTRANK('Team Scores'!$K$3:$K$1000, 'Team Scores'!$K46, 3)</f>
        <v/>
      </c>
      <c r="L46" s="43">
        <f>PERCENTRANK('Team Scores'!$L$3:$L$1000, 'Team Scores'!$L46, 3)</f>
        <v/>
      </c>
      <c r="M46" s="43">
        <f>PERCENTRANK('Team Scores'!$M$3:$M$1000, 'Team Scores'!$M46, 3)</f>
        <v/>
      </c>
      <c r="N46" s="43">
        <f>PERCENTRANK('Team Scores'!$N$3:$N$1000, 'Team Scores'!$N46, 3)</f>
        <v/>
      </c>
      <c r="O46" s="43">
        <f>PERCENTRANK('Team Scores'!$O$3:$O$1000, 'Team Scores'!$O46, 3)</f>
        <v/>
      </c>
      <c r="P46" s="43">
        <f>PERCENTRANK('Team Scores'!$P$3:$P$1000, 'Team Scores'!$P46, 3)</f>
        <v/>
      </c>
      <c r="Q46" s="43">
        <f>PERCENTRANK('Team Scores'!$Q$3:$Q$1000, 'Team Scores'!$Q46, 3)</f>
        <v/>
      </c>
      <c r="R46" s="43">
        <f>PERCENTRANK('Team Scores'!$R$3:$R$1000, 'Team Scores'!$R46, 3)</f>
        <v/>
      </c>
      <c r="S46" s="43">
        <f>PERCENTRANK('Team Scores'!$S$3:$S$1000, 'Team Scores'!$S46, 3)</f>
        <v/>
      </c>
      <c r="T46" s="43">
        <f>PERCENTRANK('Team Scores'!$T$3:$T$1000, 'Team Scores'!$T46, 3)</f>
        <v/>
      </c>
      <c r="U46" s="43">
        <f>PERCENTRANK('Team Scores'!$U$3:$U$1000, 'Team Scores'!$U46, 3)</f>
        <v/>
      </c>
      <c r="V46" s="43">
        <f>PERCENTRANK('Team Scores'!$V$3:$V$1000, 'Team Scores'!$V46, 3)</f>
        <v/>
      </c>
      <c r="W46" s="43">
        <f>PERCENTRANK('Team Scores'!$W$3:$W$1000, 'Team Scores'!$W46, 3)</f>
        <v/>
      </c>
      <c r="X46" s="43">
        <f>PERCENTRANK('Team Scores'!$X$3:$X$1000, 'Team Scores'!$X46, 3)</f>
        <v/>
      </c>
      <c r="Y46" s="43">
        <f>PERCENTRANK('Team Scores'!$Y$3:$Y$1000, 'Team Scores'!$Y46, 3)</f>
        <v/>
      </c>
      <c r="Z46" s="43">
        <f>PERCENTRANK('Team Scores'!$Z$3:$Z$1000, 'Team Scores'!$Z46, 3)</f>
        <v/>
      </c>
      <c r="AA46" s="43">
        <f>AVERAGE(C46:G46)</f>
        <v/>
      </c>
      <c r="AB46" s="43">
        <f>AVERAGE(H46:O46)</f>
        <v/>
      </c>
      <c r="AC46" s="43">
        <f>AVERAGE(P46:T46)</f>
        <v/>
      </c>
      <c r="AD46" s="43">
        <f>AVERAGE(U46:X46)</f>
        <v/>
      </c>
      <c r="AE46" s="43">
        <f>AVERAGE(AA46:AD46)</f>
        <v/>
      </c>
    </row>
    <row r="47">
      <c r="A47" s="41" t="n">
        <v>7031</v>
      </c>
      <c r="B47" s="42">
        <f>COUNTIF(MatchScoutingData!E$2:E$1000, $A47)</f>
        <v/>
      </c>
      <c r="C47" s="43">
        <f>PERCENTRANK('Team Scores'!$C$3:$C$1000, 'Team Scores'!$C47, 3)</f>
        <v/>
      </c>
      <c r="D47" s="43">
        <f>PERCENTRANK('Team Scores'!$D$3:$D$1000, 'Team Scores'!$D47, 3)</f>
        <v/>
      </c>
      <c r="E47" s="43">
        <f>PERCENTRANK('Team Scores'!$E$3:$E$1000, 'Team Scores'!$E47, 3)</f>
        <v/>
      </c>
      <c r="F47" s="43">
        <f>PERCENTRANK('Team Scores'!$F$3:$F$1000, 'Team Scores'!$F47, 3)</f>
        <v/>
      </c>
      <c r="G47" s="43">
        <f>PERCENTRANK('Team Scores'!$G$3:$G$1000, 'Team Scores'!$G47, 3)</f>
        <v/>
      </c>
      <c r="H47" s="43">
        <f>PERCENTRANK('Team Scores'!$H$3:$H$1000, 'Team Scores'!$H47, 3)</f>
        <v/>
      </c>
      <c r="I47" s="43">
        <f>PERCENTRANK('Team Scores'!$I$3:$I$1000, 'Team Scores'!$I47, 3)</f>
        <v/>
      </c>
      <c r="J47" s="43">
        <f>PERCENTRANK('Team Scores'!$J$3:$J$1000, 'Team Scores'!$J47, 3)</f>
        <v/>
      </c>
      <c r="K47" s="43">
        <f>PERCENTRANK('Team Scores'!$K$3:$K$1000, 'Team Scores'!$K47, 3)</f>
        <v/>
      </c>
      <c r="L47" s="43">
        <f>PERCENTRANK('Team Scores'!$L$3:$L$1000, 'Team Scores'!$L47, 3)</f>
        <v/>
      </c>
      <c r="M47" s="43">
        <f>PERCENTRANK('Team Scores'!$M$3:$M$1000, 'Team Scores'!$M47, 3)</f>
        <v/>
      </c>
      <c r="N47" s="43">
        <f>PERCENTRANK('Team Scores'!$N$3:$N$1000, 'Team Scores'!$N47, 3)</f>
        <v/>
      </c>
      <c r="O47" s="43">
        <f>PERCENTRANK('Team Scores'!$O$3:$O$1000, 'Team Scores'!$O47, 3)</f>
        <v/>
      </c>
      <c r="P47" s="43">
        <f>PERCENTRANK('Team Scores'!$P$3:$P$1000, 'Team Scores'!$P47, 3)</f>
        <v/>
      </c>
      <c r="Q47" s="43">
        <f>PERCENTRANK('Team Scores'!$Q$3:$Q$1000, 'Team Scores'!$Q47, 3)</f>
        <v/>
      </c>
      <c r="R47" s="43">
        <f>PERCENTRANK('Team Scores'!$R$3:$R$1000, 'Team Scores'!$R47, 3)</f>
        <v/>
      </c>
      <c r="S47" s="43">
        <f>PERCENTRANK('Team Scores'!$S$3:$S$1000, 'Team Scores'!$S47, 3)</f>
        <v/>
      </c>
      <c r="T47" s="43">
        <f>PERCENTRANK('Team Scores'!$T$3:$T$1000, 'Team Scores'!$T47, 3)</f>
        <v/>
      </c>
      <c r="U47" s="43">
        <f>PERCENTRANK('Team Scores'!$U$3:$U$1000, 'Team Scores'!$U47, 3)</f>
        <v/>
      </c>
      <c r="V47" s="43">
        <f>PERCENTRANK('Team Scores'!$V$3:$V$1000, 'Team Scores'!$V47, 3)</f>
        <v/>
      </c>
      <c r="W47" s="43">
        <f>PERCENTRANK('Team Scores'!$W$3:$W$1000, 'Team Scores'!$W47, 3)</f>
        <v/>
      </c>
      <c r="X47" s="43">
        <f>PERCENTRANK('Team Scores'!$X$3:$X$1000, 'Team Scores'!$X47, 3)</f>
        <v/>
      </c>
      <c r="Y47" s="43">
        <f>PERCENTRANK('Team Scores'!$Y$3:$Y$1000, 'Team Scores'!$Y47, 3)</f>
        <v/>
      </c>
      <c r="Z47" s="43">
        <f>PERCENTRANK('Team Scores'!$Z$3:$Z$1000, 'Team Scores'!$Z47, 3)</f>
        <v/>
      </c>
      <c r="AA47" s="43">
        <f>AVERAGE(C47:G47)</f>
        <v/>
      </c>
      <c r="AB47" s="43">
        <f>AVERAGE(H47:O47)</f>
        <v/>
      </c>
      <c r="AC47" s="43">
        <f>AVERAGE(P47:T47)</f>
        <v/>
      </c>
      <c r="AD47" s="43">
        <f>AVERAGE(U47:X47)</f>
        <v/>
      </c>
      <c r="AE47" s="43">
        <f>AVERAGE(AA47:AD47)</f>
        <v/>
      </c>
    </row>
    <row r="48">
      <c r="A48" s="41" t="n">
        <v>7504</v>
      </c>
      <c r="B48" s="42">
        <f>COUNTIF(MatchScoutingData!E$2:E$1000, $A48)</f>
        <v/>
      </c>
      <c r="C48" s="43">
        <f>PERCENTRANK('Team Scores'!$C$3:$C$1000, 'Team Scores'!$C48, 3)</f>
        <v/>
      </c>
      <c r="D48" s="43">
        <f>PERCENTRANK('Team Scores'!$D$3:$D$1000, 'Team Scores'!$D48, 3)</f>
        <v/>
      </c>
      <c r="E48" s="43">
        <f>PERCENTRANK('Team Scores'!$E$3:$E$1000, 'Team Scores'!$E48, 3)</f>
        <v/>
      </c>
      <c r="F48" s="43">
        <f>PERCENTRANK('Team Scores'!$F$3:$F$1000, 'Team Scores'!$F48, 3)</f>
        <v/>
      </c>
      <c r="G48" s="43">
        <f>PERCENTRANK('Team Scores'!$G$3:$G$1000, 'Team Scores'!$G48, 3)</f>
        <v/>
      </c>
      <c r="H48" s="43">
        <f>PERCENTRANK('Team Scores'!$H$3:$H$1000, 'Team Scores'!$H48, 3)</f>
        <v/>
      </c>
      <c r="I48" s="43">
        <f>PERCENTRANK('Team Scores'!$I$3:$I$1000, 'Team Scores'!$I48, 3)</f>
        <v/>
      </c>
      <c r="J48" s="43">
        <f>PERCENTRANK('Team Scores'!$J$3:$J$1000, 'Team Scores'!$J48, 3)</f>
        <v/>
      </c>
      <c r="K48" s="43">
        <f>PERCENTRANK('Team Scores'!$K$3:$K$1000, 'Team Scores'!$K48, 3)</f>
        <v/>
      </c>
      <c r="L48" s="43">
        <f>PERCENTRANK('Team Scores'!$L$3:$L$1000, 'Team Scores'!$L48, 3)</f>
        <v/>
      </c>
      <c r="M48" s="43">
        <f>PERCENTRANK('Team Scores'!$M$3:$M$1000, 'Team Scores'!$M48, 3)</f>
        <v/>
      </c>
      <c r="N48" s="43">
        <f>PERCENTRANK('Team Scores'!$N$3:$N$1000, 'Team Scores'!$N48, 3)</f>
        <v/>
      </c>
      <c r="O48" s="43">
        <f>PERCENTRANK('Team Scores'!$O$3:$O$1000, 'Team Scores'!$O48, 3)</f>
        <v/>
      </c>
      <c r="P48" s="43">
        <f>PERCENTRANK('Team Scores'!$P$3:$P$1000, 'Team Scores'!$P48, 3)</f>
        <v/>
      </c>
      <c r="Q48" s="43">
        <f>PERCENTRANK('Team Scores'!$Q$3:$Q$1000, 'Team Scores'!$Q48, 3)</f>
        <v/>
      </c>
      <c r="R48" s="43">
        <f>PERCENTRANK('Team Scores'!$R$3:$R$1000, 'Team Scores'!$R48, 3)</f>
        <v/>
      </c>
      <c r="S48" s="43">
        <f>PERCENTRANK('Team Scores'!$S$3:$S$1000, 'Team Scores'!$S48, 3)</f>
        <v/>
      </c>
      <c r="T48" s="43">
        <f>PERCENTRANK('Team Scores'!$T$3:$T$1000, 'Team Scores'!$T48, 3)</f>
        <v/>
      </c>
      <c r="U48" s="43">
        <f>PERCENTRANK('Team Scores'!$U$3:$U$1000, 'Team Scores'!$U48, 3)</f>
        <v/>
      </c>
      <c r="V48" s="43">
        <f>PERCENTRANK('Team Scores'!$V$3:$V$1000, 'Team Scores'!$V48, 3)</f>
        <v/>
      </c>
      <c r="W48" s="43">
        <f>PERCENTRANK('Team Scores'!$W$3:$W$1000, 'Team Scores'!$W48, 3)</f>
        <v/>
      </c>
      <c r="X48" s="43">
        <f>PERCENTRANK('Team Scores'!$X$3:$X$1000, 'Team Scores'!$X48, 3)</f>
        <v/>
      </c>
      <c r="Y48" s="43">
        <f>PERCENTRANK('Team Scores'!$Y$3:$Y$1000, 'Team Scores'!$Y48, 3)</f>
        <v/>
      </c>
      <c r="Z48" s="43">
        <f>PERCENTRANK('Team Scores'!$Z$3:$Z$1000, 'Team Scores'!$Z48, 3)</f>
        <v/>
      </c>
      <c r="AA48" s="43">
        <f>AVERAGE(C48:G48)</f>
        <v/>
      </c>
      <c r="AB48" s="43">
        <f>AVERAGE(H48:O48)</f>
        <v/>
      </c>
      <c r="AC48" s="43">
        <f>AVERAGE(P48:T48)</f>
        <v/>
      </c>
      <c r="AD48" s="43">
        <f>AVERAGE(U48:X48)</f>
        <v/>
      </c>
      <c r="AE48" s="43">
        <f>AVERAGE(AA48:AD48)</f>
        <v/>
      </c>
    </row>
    <row r="49">
      <c r="A49" s="41" t="n">
        <v>7605</v>
      </c>
      <c r="B49" s="42">
        <f>COUNTIF(MatchScoutingData!E$2:E$1000, $A49)</f>
        <v/>
      </c>
      <c r="C49" s="43">
        <f>PERCENTRANK('Team Scores'!$C$3:$C$1000, 'Team Scores'!$C49, 3)</f>
        <v/>
      </c>
      <c r="D49" s="43">
        <f>PERCENTRANK('Team Scores'!$D$3:$D$1000, 'Team Scores'!$D49, 3)</f>
        <v/>
      </c>
      <c r="E49" s="43">
        <f>PERCENTRANK('Team Scores'!$E$3:$E$1000, 'Team Scores'!$E49, 3)</f>
        <v/>
      </c>
      <c r="F49" s="43">
        <f>PERCENTRANK('Team Scores'!$F$3:$F$1000, 'Team Scores'!$F49, 3)</f>
        <v/>
      </c>
      <c r="G49" s="43">
        <f>PERCENTRANK('Team Scores'!$G$3:$G$1000, 'Team Scores'!$G49, 3)</f>
        <v/>
      </c>
      <c r="H49" s="43">
        <f>PERCENTRANK('Team Scores'!$H$3:$H$1000, 'Team Scores'!$H49, 3)</f>
        <v/>
      </c>
      <c r="I49" s="43">
        <f>PERCENTRANK('Team Scores'!$I$3:$I$1000, 'Team Scores'!$I49, 3)</f>
        <v/>
      </c>
      <c r="J49" s="43">
        <f>PERCENTRANK('Team Scores'!$J$3:$J$1000, 'Team Scores'!$J49, 3)</f>
        <v/>
      </c>
      <c r="K49" s="43">
        <f>PERCENTRANK('Team Scores'!$K$3:$K$1000, 'Team Scores'!$K49, 3)</f>
        <v/>
      </c>
      <c r="L49" s="43">
        <f>PERCENTRANK('Team Scores'!$L$3:$L$1000, 'Team Scores'!$L49, 3)</f>
        <v/>
      </c>
      <c r="M49" s="43">
        <f>PERCENTRANK('Team Scores'!$M$3:$M$1000, 'Team Scores'!$M49, 3)</f>
        <v/>
      </c>
      <c r="N49" s="43">
        <f>PERCENTRANK('Team Scores'!$N$3:$N$1000, 'Team Scores'!$N49, 3)</f>
        <v/>
      </c>
      <c r="O49" s="43">
        <f>PERCENTRANK('Team Scores'!$O$3:$O$1000, 'Team Scores'!$O49, 3)</f>
        <v/>
      </c>
      <c r="P49" s="43">
        <f>PERCENTRANK('Team Scores'!$P$3:$P$1000, 'Team Scores'!$P49, 3)</f>
        <v/>
      </c>
      <c r="Q49" s="43">
        <f>PERCENTRANK('Team Scores'!$Q$3:$Q$1000, 'Team Scores'!$Q49, 3)</f>
        <v/>
      </c>
      <c r="R49" s="43">
        <f>PERCENTRANK('Team Scores'!$R$3:$R$1000, 'Team Scores'!$R49, 3)</f>
        <v/>
      </c>
      <c r="S49" s="43">
        <f>PERCENTRANK('Team Scores'!$S$3:$S$1000, 'Team Scores'!$S49, 3)</f>
        <v/>
      </c>
      <c r="T49" s="43">
        <f>PERCENTRANK('Team Scores'!$T$3:$T$1000, 'Team Scores'!$T49, 3)</f>
        <v/>
      </c>
      <c r="U49" s="43">
        <f>PERCENTRANK('Team Scores'!$U$3:$U$1000, 'Team Scores'!$U49, 3)</f>
        <v/>
      </c>
      <c r="V49" s="43">
        <f>PERCENTRANK('Team Scores'!$V$3:$V$1000, 'Team Scores'!$V49, 3)</f>
        <v/>
      </c>
      <c r="W49" s="43">
        <f>PERCENTRANK('Team Scores'!$W$3:$W$1000, 'Team Scores'!$W49, 3)</f>
        <v/>
      </c>
      <c r="X49" s="43">
        <f>PERCENTRANK('Team Scores'!$X$3:$X$1000, 'Team Scores'!$X49, 3)</f>
        <v/>
      </c>
      <c r="Y49" s="43">
        <f>PERCENTRANK('Team Scores'!$Y$3:$Y$1000, 'Team Scores'!$Y49, 3)</f>
        <v/>
      </c>
      <c r="Z49" s="43">
        <f>PERCENTRANK('Team Scores'!$Z$3:$Z$1000, 'Team Scores'!$Z49, 3)</f>
        <v/>
      </c>
      <c r="AA49" s="43">
        <f>AVERAGE(C49:G49)</f>
        <v/>
      </c>
      <c r="AB49" s="43">
        <f>AVERAGE(H49:O49)</f>
        <v/>
      </c>
      <c r="AC49" s="43">
        <f>AVERAGE(P49:T49)</f>
        <v/>
      </c>
      <c r="AD49" s="43">
        <f>AVERAGE(U49:X49)</f>
        <v/>
      </c>
      <c r="AE49" s="43">
        <f>AVERAGE(AA49:AD49)</f>
        <v/>
      </c>
    </row>
    <row r="50">
      <c r="A50" s="41" t="n">
        <v>7718</v>
      </c>
      <c r="B50" s="42">
        <f>COUNTIF(MatchScoutingData!E$2:E$1000, $A50)</f>
        <v/>
      </c>
      <c r="C50" s="43">
        <f>PERCENTRANK('Team Scores'!$C$3:$C$1000, 'Team Scores'!$C50, 3)</f>
        <v/>
      </c>
      <c r="D50" s="43">
        <f>PERCENTRANK('Team Scores'!$D$3:$D$1000, 'Team Scores'!$D50, 3)</f>
        <v/>
      </c>
      <c r="E50" s="43">
        <f>PERCENTRANK('Team Scores'!$E$3:$E$1000, 'Team Scores'!$E50, 3)</f>
        <v/>
      </c>
      <c r="F50" s="43">
        <f>PERCENTRANK('Team Scores'!$F$3:$F$1000, 'Team Scores'!$F50, 3)</f>
        <v/>
      </c>
      <c r="G50" s="43">
        <f>PERCENTRANK('Team Scores'!$G$3:$G$1000, 'Team Scores'!$G50, 3)</f>
        <v/>
      </c>
      <c r="H50" s="43">
        <f>PERCENTRANK('Team Scores'!$H$3:$H$1000, 'Team Scores'!$H50, 3)</f>
        <v/>
      </c>
      <c r="I50" s="43">
        <f>PERCENTRANK('Team Scores'!$I$3:$I$1000, 'Team Scores'!$I50, 3)</f>
        <v/>
      </c>
      <c r="J50" s="43">
        <f>PERCENTRANK('Team Scores'!$J$3:$J$1000, 'Team Scores'!$J50, 3)</f>
        <v/>
      </c>
      <c r="K50" s="43">
        <f>PERCENTRANK('Team Scores'!$K$3:$K$1000, 'Team Scores'!$K50, 3)</f>
        <v/>
      </c>
      <c r="L50" s="43">
        <f>PERCENTRANK('Team Scores'!$L$3:$L$1000, 'Team Scores'!$L50, 3)</f>
        <v/>
      </c>
      <c r="M50" s="43">
        <f>PERCENTRANK('Team Scores'!$M$3:$M$1000, 'Team Scores'!$M50, 3)</f>
        <v/>
      </c>
      <c r="N50" s="43">
        <f>PERCENTRANK('Team Scores'!$N$3:$N$1000, 'Team Scores'!$N50, 3)</f>
        <v/>
      </c>
      <c r="O50" s="43">
        <f>PERCENTRANK('Team Scores'!$O$3:$O$1000, 'Team Scores'!$O50, 3)</f>
        <v/>
      </c>
      <c r="P50" s="43">
        <f>PERCENTRANK('Team Scores'!$P$3:$P$1000, 'Team Scores'!$P50, 3)</f>
        <v/>
      </c>
      <c r="Q50" s="43">
        <f>PERCENTRANK('Team Scores'!$Q$3:$Q$1000, 'Team Scores'!$Q50, 3)</f>
        <v/>
      </c>
      <c r="R50" s="43">
        <f>PERCENTRANK('Team Scores'!$R$3:$R$1000, 'Team Scores'!$R50, 3)</f>
        <v/>
      </c>
      <c r="S50" s="43">
        <f>PERCENTRANK('Team Scores'!$S$3:$S$1000, 'Team Scores'!$S50, 3)</f>
        <v/>
      </c>
      <c r="T50" s="43">
        <f>PERCENTRANK('Team Scores'!$T$3:$T$1000, 'Team Scores'!$T50, 3)</f>
        <v/>
      </c>
      <c r="U50" s="43">
        <f>PERCENTRANK('Team Scores'!$U$3:$U$1000, 'Team Scores'!$U50, 3)</f>
        <v/>
      </c>
      <c r="V50" s="43">
        <f>PERCENTRANK('Team Scores'!$V$3:$V$1000, 'Team Scores'!$V50, 3)</f>
        <v/>
      </c>
      <c r="W50" s="43">
        <f>PERCENTRANK('Team Scores'!$W$3:$W$1000, 'Team Scores'!$W50, 3)</f>
        <v/>
      </c>
      <c r="X50" s="43">
        <f>PERCENTRANK('Team Scores'!$X$3:$X$1000, 'Team Scores'!$X50, 3)</f>
        <v/>
      </c>
      <c r="Y50" s="43">
        <f>PERCENTRANK('Team Scores'!$Y$3:$Y$1000, 'Team Scores'!$Y50, 3)</f>
        <v/>
      </c>
      <c r="Z50" s="43">
        <f>PERCENTRANK('Team Scores'!$Z$3:$Z$1000, 'Team Scores'!$Z50, 3)</f>
        <v/>
      </c>
      <c r="AA50" s="43">
        <f>AVERAGE(C50:G50)</f>
        <v/>
      </c>
      <c r="AB50" s="43">
        <f>AVERAGE(H50:O50)</f>
        <v/>
      </c>
      <c r="AC50" s="43">
        <f>AVERAGE(P50:T50)</f>
        <v/>
      </c>
      <c r="AD50" s="43">
        <f>AVERAGE(U50:X50)</f>
        <v/>
      </c>
      <c r="AE50" s="43">
        <f>AVERAGE(AA50:AD50)</f>
        <v/>
      </c>
    </row>
    <row r="51">
      <c r="A51" s="41" t="n">
        <v>7759</v>
      </c>
      <c r="B51" s="42">
        <f>COUNTIF(MatchScoutingData!E$2:E$1000, $A51)</f>
        <v/>
      </c>
      <c r="C51" s="43">
        <f>PERCENTRANK('Team Scores'!$C$3:$C$1000, 'Team Scores'!$C51, 3)</f>
        <v/>
      </c>
      <c r="D51" s="43">
        <f>PERCENTRANK('Team Scores'!$D$3:$D$1000, 'Team Scores'!$D51, 3)</f>
        <v/>
      </c>
      <c r="E51" s="43">
        <f>PERCENTRANK('Team Scores'!$E$3:$E$1000, 'Team Scores'!$E51, 3)</f>
        <v/>
      </c>
      <c r="F51" s="43">
        <f>PERCENTRANK('Team Scores'!$F$3:$F$1000, 'Team Scores'!$F51, 3)</f>
        <v/>
      </c>
      <c r="G51" s="43">
        <f>PERCENTRANK('Team Scores'!$G$3:$G$1000, 'Team Scores'!$G51, 3)</f>
        <v/>
      </c>
      <c r="H51" s="43">
        <f>PERCENTRANK('Team Scores'!$H$3:$H$1000, 'Team Scores'!$H51, 3)</f>
        <v/>
      </c>
      <c r="I51" s="43">
        <f>PERCENTRANK('Team Scores'!$I$3:$I$1000, 'Team Scores'!$I51, 3)</f>
        <v/>
      </c>
      <c r="J51" s="43">
        <f>PERCENTRANK('Team Scores'!$J$3:$J$1000, 'Team Scores'!$J51, 3)</f>
        <v/>
      </c>
      <c r="K51" s="43">
        <f>PERCENTRANK('Team Scores'!$K$3:$K$1000, 'Team Scores'!$K51, 3)</f>
        <v/>
      </c>
      <c r="L51" s="43">
        <f>PERCENTRANK('Team Scores'!$L$3:$L$1000, 'Team Scores'!$L51, 3)</f>
        <v/>
      </c>
      <c r="M51" s="43">
        <f>PERCENTRANK('Team Scores'!$M$3:$M$1000, 'Team Scores'!$M51, 3)</f>
        <v/>
      </c>
      <c r="N51" s="43">
        <f>PERCENTRANK('Team Scores'!$N$3:$N$1000, 'Team Scores'!$N51, 3)</f>
        <v/>
      </c>
      <c r="O51" s="43">
        <f>PERCENTRANK('Team Scores'!$O$3:$O$1000, 'Team Scores'!$O51, 3)</f>
        <v/>
      </c>
      <c r="P51" s="43">
        <f>PERCENTRANK('Team Scores'!$P$3:$P$1000, 'Team Scores'!$P51, 3)</f>
        <v/>
      </c>
      <c r="Q51" s="43">
        <f>PERCENTRANK('Team Scores'!$Q$3:$Q$1000, 'Team Scores'!$Q51, 3)</f>
        <v/>
      </c>
      <c r="R51" s="43">
        <f>PERCENTRANK('Team Scores'!$R$3:$R$1000, 'Team Scores'!$R51, 3)</f>
        <v/>
      </c>
      <c r="S51" s="43">
        <f>PERCENTRANK('Team Scores'!$S$3:$S$1000, 'Team Scores'!$S51, 3)</f>
        <v/>
      </c>
      <c r="T51" s="43">
        <f>PERCENTRANK('Team Scores'!$T$3:$T$1000, 'Team Scores'!$T51, 3)</f>
        <v/>
      </c>
      <c r="U51" s="43">
        <f>PERCENTRANK('Team Scores'!$U$3:$U$1000, 'Team Scores'!$U51, 3)</f>
        <v/>
      </c>
      <c r="V51" s="43">
        <f>PERCENTRANK('Team Scores'!$V$3:$V$1000, 'Team Scores'!$V51, 3)</f>
        <v/>
      </c>
      <c r="W51" s="43">
        <f>PERCENTRANK('Team Scores'!$W$3:$W$1000, 'Team Scores'!$W51, 3)</f>
        <v/>
      </c>
      <c r="X51" s="43">
        <f>PERCENTRANK('Team Scores'!$X$3:$X$1000, 'Team Scores'!$X51, 3)</f>
        <v/>
      </c>
      <c r="Y51" s="43">
        <f>PERCENTRANK('Team Scores'!$Y$3:$Y$1000, 'Team Scores'!$Y51, 3)</f>
        <v/>
      </c>
      <c r="Z51" s="43">
        <f>PERCENTRANK('Team Scores'!$Z$3:$Z$1000, 'Team Scores'!$Z51, 3)</f>
        <v/>
      </c>
      <c r="AA51" s="43">
        <f>AVERAGE(C51:G51)</f>
        <v/>
      </c>
      <c r="AB51" s="43">
        <f>AVERAGE(H51:O51)</f>
        <v/>
      </c>
      <c r="AC51" s="43">
        <f>AVERAGE(P51:T51)</f>
        <v/>
      </c>
      <c r="AD51" s="43">
        <f>AVERAGE(U51:X51)</f>
        <v/>
      </c>
      <c r="AE51" s="43">
        <f>AVERAGE(AA51:AD51)</f>
        <v/>
      </c>
    </row>
    <row r="52">
      <c r="A52" s="41" t="n">
        <v>7903</v>
      </c>
      <c r="B52" s="42">
        <f>COUNTIF(MatchScoutingData!E$2:E$1000, $A52)</f>
        <v/>
      </c>
      <c r="C52" s="43">
        <f>PERCENTRANK('Team Scores'!$C$3:$C$1000, 'Team Scores'!$C52, 3)</f>
        <v/>
      </c>
      <c r="D52" s="43">
        <f>PERCENTRANK('Team Scores'!$D$3:$D$1000, 'Team Scores'!$D52, 3)</f>
        <v/>
      </c>
      <c r="E52" s="43">
        <f>PERCENTRANK('Team Scores'!$E$3:$E$1000, 'Team Scores'!$E52, 3)</f>
        <v/>
      </c>
      <c r="F52" s="43">
        <f>PERCENTRANK('Team Scores'!$F$3:$F$1000, 'Team Scores'!$F52, 3)</f>
        <v/>
      </c>
      <c r="G52" s="43">
        <f>PERCENTRANK('Team Scores'!$G$3:$G$1000, 'Team Scores'!$G52, 3)</f>
        <v/>
      </c>
      <c r="H52" s="43">
        <f>PERCENTRANK('Team Scores'!$H$3:$H$1000, 'Team Scores'!$H52, 3)</f>
        <v/>
      </c>
      <c r="I52" s="43">
        <f>PERCENTRANK('Team Scores'!$I$3:$I$1000, 'Team Scores'!$I52, 3)</f>
        <v/>
      </c>
      <c r="J52" s="43">
        <f>PERCENTRANK('Team Scores'!$J$3:$J$1000, 'Team Scores'!$J52, 3)</f>
        <v/>
      </c>
      <c r="K52" s="43">
        <f>PERCENTRANK('Team Scores'!$K$3:$K$1000, 'Team Scores'!$K52, 3)</f>
        <v/>
      </c>
      <c r="L52" s="43">
        <f>PERCENTRANK('Team Scores'!$L$3:$L$1000, 'Team Scores'!$L52, 3)</f>
        <v/>
      </c>
      <c r="M52" s="43">
        <f>PERCENTRANK('Team Scores'!$M$3:$M$1000, 'Team Scores'!$M52, 3)</f>
        <v/>
      </c>
      <c r="N52" s="43">
        <f>PERCENTRANK('Team Scores'!$N$3:$N$1000, 'Team Scores'!$N52, 3)</f>
        <v/>
      </c>
      <c r="O52" s="43">
        <f>PERCENTRANK('Team Scores'!$O$3:$O$1000, 'Team Scores'!$O52, 3)</f>
        <v/>
      </c>
      <c r="P52" s="43">
        <f>PERCENTRANK('Team Scores'!$P$3:$P$1000, 'Team Scores'!$P52, 3)</f>
        <v/>
      </c>
      <c r="Q52" s="43">
        <f>PERCENTRANK('Team Scores'!$Q$3:$Q$1000, 'Team Scores'!$Q52, 3)</f>
        <v/>
      </c>
      <c r="R52" s="43">
        <f>PERCENTRANK('Team Scores'!$R$3:$R$1000, 'Team Scores'!$R52, 3)</f>
        <v/>
      </c>
      <c r="S52" s="43">
        <f>PERCENTRANK('Team Scores'!$S$3:$S$1000, 'Team Scores'!$S52, 3)</f>
        <v/>
      </c>
      <c r="T52" s="43">
        <f>PERCENTRANK('Team Scores'!$T$3:$T$1000, 'Team Scores'!$T52, 3)</f>
        <v/>
      </c>
      <c r="U52" s="43">
        <f>PERCENTRANK('Team Scores'!$U$3:$U$1000, 'Team Scores'!$U52, 3)</f>
        <v/>
      </c>
      <c r="V52" s="43">
        <f>PERCENTRANK('Team Scores'!$V$3:$V$1000, 'Team Scores'!$V52, 3)</f>
        <v/>
      </c>
      <c r="W52" s="43">
        <f>PERCENTRANK('Team Scores'!$W$3:$W$1000, 'Team Scores'!$W52, 3)</f>
        <v/>
      </c>
      <c r="X52" s="43">
        <f>PERCENTRANK('Team Scores'!$X$3:$X$1000, 'Team Scores'!$X52, 3)</f>
        <v/>
      </c>
      <c r="Y52" s="43">
        <f>PERCENTRANK('Team Scores'!$Y$3:$Y$1000, 'Team Scores'!$Y52, 3)</f>
        <v/>
      </c>
      <c r="Z52" s="43">
        <f>PERCENTRANK('Team Scores'!$Z$3:$Z$1000, 'Team Scores'!$Z52, 3)</f>
        <v/>
      </c>
      <c r="AA52" s="43">
        <f>AVERAGE(C52:G52)</f>
        <v/>
      </c>
      <c r="AB52" s="43">
        <f>AVERAGE(H52:O52)</f>
        <v/>
      </c>
      <c r="AC52" s="43">
        <f>AVERAGE(P52:T52)</f>
        <v/>
      </c>
      <c r="AD52" s="43">
        <f>AVERAGE(U52:X52)</f>
        <v/>
      </c>
      <c r="AE52" s="43">
        <f>AVERAGE(AA52:AD52)</f>
        <v/>
      </c>
    </row>
    <row r="53">
      <c r="A53" s="41" t="n">
        <v>8222</v>
      </c>
      <c r="B53" s="42">
        <f>COUNTIF(MatchScoutingData!E$2:E$1000, $A53)</f>
        <v/>
      </c>
      <c r="C53" s="43">
        <f>PERCENTRANK('Team Scores'!$C$3:$C$1000, 'Team Scores'!$C53, 3)</f>
        <v/>
      </c>
      <c r="D53" s="43">
        <f>PERCENTRANK('Team Scores'!$D$3:$D$1000, 'Team Scores'!$D53, 3)</f>
        <v/>
      </c>
      <c r="E53" s="43">
        <f>PERCENTRANK('Team Scores'!$E$3:$E$1000, 'Team Scores'!$E53, 3)</f>
        <v/>
      </c>
      <c r="F53" s="43">
        <f>PERCENTRANK('Team Scores'!$F$3:$F$1000, 'Team Scores'!$F53, 3)</f>
        <v/>
      </c>
      <c r="G53" s="43">
        <f>PERCENTRANK('Team Scores'!$G$3:$G$1000, 'Team Scores'!$G53, 3)</f>
        <v/>
      </c>
      <c r="H53" s="43">
        <f>PERCENTRANK('Team Scores'!$H$3:$H$1000, 'Team Scores'!$H53, 3)</f>
        <v/>
      </c>
      <c r="I53" s="43">
        <f>PERCENTRANK('Team Scores'!$I$3:$I$1000, 'Team Scores'!$I53, 3)</f>
        <v/>
      </c>
      <c r="J53" s="43">
        <f>PERCENTRANK('Team Scores'!$J$3:$J$1000, 'Team Scores'!$J53, 3)</f>
        <v/>
      </c>
      <c r="K53" s="43">
        <f>PERCENTRANK('Team Scores'!$K$3:$K$1000, 'Team Scores'!$K53, 3)</f>
        <v/>
      </c>
      <c r="L53" s="43">
        <f>PERCENTRANK('Team Scores'!$L$3:$L$1000, 'Team Scores'!$L53, 3)</f>
        <v/>
      </c>
      <c r="M53" s="43">
        <f>PERCENTRANK('Team Scores'!$M$3:$M$1000, 'Team Scores'!$M53, 3)</f>
        <v/>
      </c>
      <c r="N53" s="43">
        <f>PERCENTRANK('Team Scores'!$N$3:$N$1000, 'Team Scores'!$N53, 3)</f>
        <v/>
      </c>
      <c r="O53" s="43">
        <f>PERCENTRANK('Team Scores'!$O$3:$O$1000, 'Team Scores'!$O53, 3)</f>
        <v/>
      </c>
      <c r="P53" s="43">
        <f>PERCENTRANK('Team Scores'!$P$3:$P$1000, 'Team Scores'!$P53, 3)</f>
        <v/>
      </c>
      <c r="Q53" s="43">
        <f>PERCENTRANK('Team Scores'!$Q$3:$Q$1000, 'Team Scores'!$Q53, 3)</f>
        <v/>
      </c>
      <c r="R53" s="43">
        <f>PERCENTRANK('Team Scores'!$R$3:$R$1000, 'Team Scores'!$R53, 3)</f>
        <v/>
      </c>
      <c r="S53" s="43">
        <f>PERCENTRANK('Team Scores'!$S$3:$S$1000, 'Team Scores'!$S53, 3)</f>
        <v/>
      </c>
      <c r="T53" s="43">
        <f>PERCENTRANK('Team Scores'!$T$3:$T$1000, 'Team Scores'!$T53, 3)</f>
        <v/>
      </c>
      <c r="U53" s="43">
        <f>PERCENTRANK('Team Scores'!$U$3:$U$1000, 'Team Scores'!$U53, 3)</f>
        <v/>
      </c>
      <c r="V53" s="43">
        <f>PERCENTRANK('Team Scores'!$V$3:$V$1000, 'Team Scores'!$V53, 3)</f>
        <v/>
      </c>
      <c r="W53" s="43">
        <f>PERCENTRANK('Team Scores'!$W$3:$W$1000, 'Team Scores'!$W53, 3)</f>
        <v/>
      </c>
      <c r="X53" s="43">
        <f>PERCENTRANK('Team Scores'!$X$3:$X$1000, 'Team Scores'!$X53, 3)</f>
        <v/>
      </c>
      <c r="Y53" s="43">
        <f>PERCENTRANK('Team Scores'!$Y$3:$Y$1000, 'Team Scores'!$Y53, 3)</f>
        <v/>
      </c>
      <c r="Z53" s="43">
        <f>PERCENTRANK('Team Scores'!$Z$3:$Z$1000, 'Team Scores'!$Z53, 3)</f>
        <v/>
      </c>
      <c r="AA53" s="43">
        <f>AVERAGE(C53:G53)</f>
        <v/>
      </c>
      <c r="AB53" s="43">
        <f>AVERAGE(H53:O53)</f>
        <v/>
      </c>
      <c r="AC53" s="43">
        <f>AVERAGE(P53:T53)</f>
        <v/>
      </c>
      <c r="AD53" s="43">
        <f>AVERAGE(U53:X53)</f>
        <v/>
      </c>
      <c r="AE53" s="43">
        <f>AVERAGE(AA53:AD53)</f>
        <v/>
      </c>
    </row>
    <row r="54">
      <c r="A54" s="41" t="n">
        <v>9194</v>
      </c>
      <c r="B54" s="42">
        <f>COUNTIF(MatchScoutingData!E$2:E$1000, $A54)</f>
        <v/>
      </c>
      <c r="C54" s="43">
        <f>PERCENTRANK('Team Scores'!$C$3:$C$1000, 'Team Scores'!$C54, 3)</f>
        <v/>
      </c>
      <c r="D54" s="43">
        <f>PERCENTRANK('Team Scores'!$D$3:$D$1000, 'Team Scores'!$D54, 3)</f>
        <v/>
      </c>
      <c r="E54" s="43">
        <f>PERCENTRANK('Team Scores'!$E$3:$E$1000, 'Team Scores'!$E54, 3)</f>
        <v/>
      </c>
      <c r="F54" s="43">
        <f>PERCENTRANK('Team Scores'!$F$3:$F$1000, 'Team Scores'!$F54, 3)</f>
        <v/>
      </c>
      <c r="G54" s="43">
        <f>PERCENTRANK('Team Scores'!$G$3:$G$1000, 'Team Scores'!$G54, 3)</f>
        <v/>
      </c>
      <c r="H54" s="43">
        <f>PERCENTRANK('Team Scores'!$H$3:$H$1000, 'Team Scores'!$H54, 3)</f>
        <v/>
      </c>
      <c r="I54" s="43">
        <f>PERCENTRANK('Team Scores'!$I$3:$I$1000, 'Team Scores'!$I54, 3)</f>
        <v/>
      </c>
      <c r="J54" s="43">
        <f>PERCENTRANK('Team Scores'!$J$3:$J$1000, 'Team Scores'!$J54, 3)</f>
        <v/>
      </c>
      <c r="K54" s="43">
        <f>PERCENTRANK('Team Scores'!$K$3:$K$1000, 'Team Scores'!$K54, 3)</f>
        <v/>
      </c>
      <c r="L54" s="43">
        <f>PERCENTRANK('Team Scores'!$L$3:$L$1000, 'Team Scores'!$L54, 3)</f>
        <v/>
      </c>
      <c r="M54" s="43">
        <f>PERCENTRANK('Team Scores'!$M$3:$M$1000, 'Team Scores'!$M54, 3)</f>
        <v/>
      </c>
      <c r="N54" s="43">
        <f>PERCENTRANK('Team Scores'!$N$3:$N$1000, 'Team Scores'!$N54, 3)</f>
        <v/>
      </c>
      <c r="O54" s="43">
        <f>PERCENTRANK('Team Scores'!$O$3:$O$1000, 'Team Scores'!$O54, 3)</f>
        <v/>
      </c>
      <c r="P54" s="43">
        <f>PERCENTRANK('Team Scores'!$P$3:$P$1000, 'Team Scores'!$P54, 3)</f>
        <v/>
      </c>
      <c r="Q54" s="43">
        <f>PERCENTRANK('Team Scores'!$Q$3:$Q$1000, 'Team Scores'!$Q54, 3)</f>
        <v/>
      </c>
      <c r="R54" s="43">
        <f>PERCENTRANK('Team Scores'!$R$3:$R$1000, 'Team Scores'!$R54, 3)</f>
        <v/>
      </c>
      <c r="S54" s="43">
        <f>PERCENTRANK('Team Scores'!$S$3:$S$1000, 'Team Scores'!$S54, 3)</f>
        <v/>
      </c>
      <c r="T54" s="43">
        <f>PERCENTRANK('Team Scores'!$T$3:$T$1000, 'Team Scores'!$T54, 3)</f>
        <v/>
      </c>
      <c r="U54" s="43">
        <f>PERCENTRANK('Team Scores'!$U$3:$U$1000, 'Team Scores'!$U54, 3)</f>
        <v/>
      </c>
      <c r="V54" s="43">
        <f>PERCENTRANK('Team Scores'!$V$3:$V$1000, 'Team Scores'!$V54, 3)</f>
        <v/>
      </c>
      <c r="W54" s="43">
        <f>PERCENTRANK('Team Scores'!$W$3:$W$1000, 'Team Scores'!$W54, 3)</f>
        <v/>
      </c>
      <c r="X54" s="43">
        <f>PERCENTRANK('Team Scores'!$X$3:$X$1000, 'Team Scores'!$X54, 3)</f>
        <v/>
      </c>
      <c r="Y54" s="43">
        <f>PERCENTRANK('Team Scores'!$Y$3:$Y$1000, 'Team Scores'!$Y54, 3)</f>
        <v/>
      </c>
      <c r="Z54" s="43">
        <f>PERCENTRANK('Team Scores'!$Z$3:$Z$1000, 'Team Scores'!$Z54, 3)</f>
        <v/>
      </c>
      <c r="AA54" s="43">
        <f>AVERAGE(C54:G54)</f>
        <v/>
      </c>
      <c r="AB54" s="43">
        <f>AVERAGE(H54:O54)</f>
        <v/>
      </c>
      <c r="AC54" s="43">
        <f>AVERAGE(P54:T54)</f>
        <v/>
      </c>
      <c r="AD54" s="43">
        <f>AVERAGE(U54:X54)</f>
        <v/>
      </c>
      <c r="AE54" s="43">
        <f>AVERAGE(AA54:AD54)</f>
        <v/>
      </c>
    </row>
    <row r="55">
      <c r="A55" s="41" t="n">
        <v>9545</v>
      </c>
      <c r="B55" s="42">
        <f>COUNTIF(MatchScoutingData!E$2:E$1000, $A55)</f>
        <v/>
      </c>
      <c r="C55" s="43">
        <f>PERCENTRANK('Team Scores'!$C$3:$C$1000, 'Team Scores'!$C55, 3)</f>
        <v/>
      </c>
      <c r="D55" s="43">
        <f>PERCENTRANK('Team Scores'!$D$3:$D$1000, 'Team Scores'!$D55, 3)</f>
        <v/>
      </c>
      <c r="E55" s="43">
        <f>PERCENTRANK('Team Scores'!$E$3:$E$1000, 'Team Scores'!$E55, 3)</f>
        <v/>
      </c>
      <c r="F55" s="43">
        <f>PERCENTRANK('Team Scores'!$F$3:$F$1000, 'Team Scores'!$F55, 3)</f>
        <v/>
      </c>
      <c r="G55" s="43">
        <f>PERCENTRANK('Team Scores'!$G$3:$G$1000, 'Team Scores'!$G55, 3)</f>
        <v/>
      </c>
      <c r="H55" s="43">
        <f>PERCENTRANK('Team Scores'!$H$3:$H$1000, 'Team Scores'!$H55, 3)</f>
        <v/>
      </c>
      <c r="I55" s="43">
        <f>PERCENTRANK('Team Scores'!$I$3:$I$1000, 'Team Scores'!$I55, 3)</f>
        <v/>
      </c>
      <c r="J55" s="43">
        <f>PERCENTRANK('Team Scores'!$J$3:$J$1000, 'Team Scores'!$J55, 3)</f>
        <v/>
      </c>
      <c r="K55" s="43">
        <f>PERCENTRANK('Team Scores'!$K$3:$K$1000, 'Team Scores'!$K55, 3)</f>
        <v/>
      </c>
      <c r="L55" s="43">
        <f>PERCENTRANK('Team Scores'!$L$3:$L$1000, 'Team Scores'!$L55, 3)</f>
        <v/>
      </c>
      <c r="M55" s="43">
        <f>PERCENTRANK('Team Scores'!$M$3:$M$1000, 'Team Scores'!$M55, 3)</f>
        <v/>
      </c>
      <c r="N55" s="43">
        <f>PERCENTRANK('Team Scores'!$N$3:$N$1000, 'Team Scores'!$N55, 3)</f>
        <v/>
      </c>
      <c r="O55" s="43">
        <f>PERCENTRANK('Team Scores'!$O$3:$O$1000, 'Team Scores'!$O55, 3)</f>
        <v/>
      </c>
      <c r="P55" s="43">
        <f>PERCENTRANK('Team Scores'!$P$3:$P$1000, 'Team Scores'!$P55, 3)</f>
        <v/>
      </c>
      <c r="Q55" s="43">
        <f>PERCENTRANK('Team Scores'!$Q$3:$Q$1000, 'Team Scores'!$Q55, 3)</f>
        <v/>
      </c>
      <c r="R55" s="43">
        <f>PERCENTRANK('Team Scores'!$R$3:$R$1000, 'Team Scores'!$R55, 3)</f>
        <v/>
      </c>
      <c r="S55" s="43">
        <f>PERCENTRANK('Team Scores'!$S$3:$S$1000, 'Team Scores'!$S55, 3)</f>
        <v/>
      </c>
      <c r="T55" s="43">
        <f>PERCENTRANK('Team Scores'!$T$3:$T$1000, 'Team Scores'!$T55, 3)</f>
        <v/>
      </c>
      <c r="U55" s="43">
        <f>PERCENTRANK('Team Scores'!$U$3:$U$1000, 'Team Scores'!$U55, 3)</f>
        <v/>
      </c>
      <c r="V55" s="43">
        <f>PERCENTRANK('Team Scores'!$V$3:$V$1000, 'Team Scores'!$V55, 3)</f>
        <v/>
      </c>
      <c r="W55" s="43">
        <f>PERCENTRANK('Team Scores'!$W$3:$W$1000, 'Team Scores'!$W55, 3)</f>
        <v/>
      </c>
      <c r="X55" s="43">
        <f>PERCENTRANK('Team Scores'!$X$3:$X$1000, 'Team Scores'!$X55, 3)</f>
        <v/>
      </c>
      <c r="Y55" s="43">
        <f>PERCENTRANK('Team Scores'!$Y$3:$Y$1000, 'Team Scores'!$Y55, 3)</f>
        <v/>
      </c>
      <c r="Z55" s="43">
        <f>PERCENTRANK('Team Scores'!$Z$3:$Z$1000, 'Team Scores'!$Z55, 3)</f>
        <v/>
      </c>
      <c r="AA55" s="43">
        <f>AVERAGE(C55:G55)</f>
        <v/>
      </c>
      <c r="AB55" s="43">
        <f>AVERAGE(H55:O55)</f>
        <v/>
      </c>
      <c r="AC55" s="43">
        <f>AVERAGE(P55:T55)</f>
        <v/>
      </c>
      <c r="AD55" s="43">
        <f>AVERAGE(U55:X55)</f>
        <v/>
      </c>
      <c r="AE55" s="43">
        <f>AVERAGE(AA55:AD55)</f>
        <v/>
      </c>
    </row>
    <row r="56">
      <c r="A56" s="41" t="n">
        <v>9624</v>
      </c>
      <c r="B56" s="42">
        <f>COUNTIF(MatchScoutingData!E$2:E$1000, $A56)</f>
        <v/>
      </c>
      <c r="C56" s="43">
        <f>PERCENTRANK('Team Scores'!$C$3:$C$1000, 'Team Scores'!$C56, 3)</f>
        <v/>
      </c>
      <c r="D56" s="43">
        <f>PERCENTRANK('Team Scores'!$D$3:$D$1000, 'Team Scores'!$D56, 3)</f>
        <v/>
      </c>
      <c r="E56" s="43">
        <f>PERCENTRANK('Team Scores'!$E$3:$E$1000, 'Team Scores'!$E56, 3)</f>
        <v/>
      </c>
      <c r="F56" s="43">
        <f>PERCENTRANK('Team Scores'!$F$3:$F$1000, 'Team Scores'!$F56, 3)</f>
        <v/>
      </c>
      <c r="G56" s="43">
        <f>PERCENTRANK('Team Scores'!$G$3:$G$1000, 'Team Scores'!$G56, 3)</f>
        <v/>
      </c>
      <c r="H56" s="43">
        <f>PERCENTRANK('Team Scores'!$H$3:$H$1000, 'Team Scores'!$H56, 3)</f>
        <v/>
      </c>
      <c r="I56" s="43">
        <f>PERCENTRANK('Team Scores'!$I$3:$I$1000, 'Team Scores'!$I56, 3)</f>
        <v/>
      </c>
      <c r="J56" s="43">
        <f>PERCENTRANK('Team Scores'!$J$3:$J$1000, 'Team Scores'!$J56, 3)</f>
        <v/>
      </c>
      <c r="K56" s="43">
        <f>PERCENTRANK('Team Scores'!$K$3:$K$1000, 'Team Scores'!$K56, 3)</f>
        <v/>
      </c>
      <c r="L56" s="43">
        <f>PERCENTRANK('Team Scores'!$L$3:$L$1000, 'Team Scores'!$L56, 3)</f>
        <v/>
      </c>
      <c r="M56" s="43">
        <f>PERCENTRANK('Team Scores'!$M$3:$M$1000, 'Team Scores'!$M56, 3)</f>
        <v/>
      </c>
      <c r="N56" s="43">
        <f>PERCENTRANK('Team Scores'!$N$3:$N$1000, 'Team Scores'!$N56, 3)</f>
        <v/>
      </c>
      <c r="O56" s="43">
        <f>PERCENTRANK('Team Scores'!$O$3:$O$1000, 'Team Scores'!$O56, 3)</f>
        <v/>
      </c>
      <c r="P56" s="43">
        <f>PERCENTRANK('Team Scores'!$P$3:$P$1000, 'Team Scores'!$P56, 3)</f>
        <v/>
      </c>
      <c r="Q56" s="43">
        <f>PERCENTRANK('Team Scores'!$Q$3:$Q$1000, 'Team Scores'!$Q56, 3)</f>
        <v/>
      </c>
      <c r="R56" s="43">
        <f>PERCENTRANK('Team Scores'!$R$3:$R$1000, 'Team Scores'!$R56, 3)</f>
        <v/>
      </c>
      <c r="S56" s="43">
        <f>PERCENTRANK('Team Scores'!$S$3:$S$1000, 'Team Scores'!$S56, 3)</f>
        <v/>
      </c>
      <c r="T56" s="43">
        <f>PERCENTRANK('Team Scores'!$T$3:$T$1000, 'Team Scores'!$T56, 3)</f>
        <v/>
      </c>
      <c r="U56" s="43">
        <f>PERCENTRANK('Team Scores'!$U$3:$U$1000, 'Team Scores'!$U56, 3)</f>
        <v/>
      </c>
      <c r="V56" s="43">
        <f>PERCENTRANK('Team Scores'!$V$3:$V$1000, 'Team Scores'!$V56, 3)</f>
        <v/>
      </c>
      <c r="W56" s="43">
        <f>PERCENTRANK('Team Scores'!$W$3:$W$1000, 'Team Scores'!$W56, 3)</f>
        <v/>
      </c>
      <c r="X56" s="43">
        <f>PERCENTRANK('Team Scores'!$X$3:$X$1000, 'Team Scores'!$X56, 3)</f>
        <v/>
      </c>
      <c r="Y56" s="43">
        <f>PERCENTRANK('Team Scores'!$Y$3:$Y$1000, 'Team Scores'!$Y56, 3)</f>
        <v/>
      </c>
      <c r="Z56" s="43">
        <f>PERCENTRANK('Team Scores'!$Z$3:$Z$1000, 'Team Scores'!$Z56, 3)</f>
        <v/>
      </c>
      <c r="AA56" s="43">
        <f>AVERAGE(C56:G56)</f>
        <v/>
      </c>
      <c r="AB56" s="43">
        <f>AVERAGE(H56:O56)</f>
        <v/>
      </c>
      <c r="AC56" s="43">
        <f>AVERAGE(P56:T56)</f>
        <v/>
      </c>
      <c r="AD56" s="43">
        <f>AVERAGE(U56:X56)</f>
        <v/>
      </c>
      <c r="AE56" s="43">
        <f>AVERAGE(AA56:AD56)</f>
        <v/>
      </c>
    </row>
    <row r="57">
      <c r="A57" s="41" t="n">
        <v>10202</v>
      </c>
      <c r="B57" s="42">
        <f>COUNTIF(MatchScoutingData!E$2:E$1000, $A57)</f>
        <v/>
      </c>
      <c r="C57" s="43">
        <f>PERCENTRANK('Team Scores'!$C$3:$C$1000, 'Team Scores'!$C57, 3)</f>
        <v/>
      </c>
      <c r="D57" s="43">
        <f>PERCENTRANK('Team Scores'!$D$3:$D$1000, 'Team Scores'!$D57, 3)</f>
        <v/>
      </c>
      <c r="E57" s="43">
        <f>PERCENTRANK('Team Scores'!$E$3:$E$1000, 'Team Scores'!$E57, 3)</f>
        <v/>
      </c>
      <c r="F57" s="43">
        <f>PERCENTRANK('Team Scores'!$F$3:$F$1000, 'Team Scores'!$F57, 3)</f>
        <v/>
      </c>
      <c r="G57" s="43">
        <f>PERCENTRANK('Team Scores'!$G$3:$G$1000, 'Team Scores'!$G57, 3)</f>
        <v/>
      </c>
      <c r="H57" s="43">
        <f>PERCENTRANK('Team Scores'!$H$3:$H$1000, 'Team Scores'!$H57, 3)</f>
        <v/>
      </c>
      <c r="I57" s="43">
        <f>PERCENTRANK('Team Scores'!$I$3:$I$1000, 'Team Scores'!$I57, 3)</f>
        <v/>
      </c>
      <c r="J57" s="43">
        <f>PERCENTRANK('Team Scores'!$J$3:$J$1000, 'Team Scores'!$J57, 3)</f>
        <v/>
      </c>
      <c r="K57" s="43">
        <f>PERCENTRANK('Team Scores'!$K$3:$K$1000, 'Team Scores'!$K57, 3)</f>
        <v/>
      </c>
      <c r="L57" s="43">
        <f>PERCENTRANK('Team Scores'!$L$3:$L$1000, 'Team Scores'!$L57, 3)</f>
        <v/>
      </c>
      <c r="M57" s="43">
        <f>PERCENTRANK('Team Scores'!$M$3:$M$1000, 'Team Scores'!$M57, 3)</f>
        <v/>
      </c>
      <c r="N57" s="43">
        <f>PERCENTRANK('Team Scores'!$N$3:$N$1000, 'Team Scores'!$N57, 3)</f>
        <v/>
      </c>
      <c r="O57" s="43">
        <f>PERCENTRANK('Team Scores'!$O$3:$O$1000, 'Team Scores'!$O57, 3)</f>
        <v/>
      </c>
      <c r="P57" s="43">
        <f>PERCENTRANK('Team Scores'!$P$3:$P$1000, 'Team Scores'!$P57, 3)</f>
        <v/>
      </c>
      <c r="Q57" s="43">
        <f>PERCENTRANK('Team Scores'!$Q$3:$Q$1000, 'Team Scores'!$Q57, 3)</f>
        <v/>
      </c>
      <c r="R57" s="43">
        <f>PERCENTRANK('Team Scores'!$R$3:$R$1000, 'Team Scores'!$R57, 3)</f>
        <v/>
      </c>
      <c r="S57" s="43">
        <f>PERCENTRANK('Team Scores'!$S$3:$S$1000, 'Team Scores'!$S57, 3)</f>
        <v/>
      </c>
      <c r="T57" s="43">
        <f>PERCENTRANK('Team Scores'!$T$3:$T$1000, 'Team Scores'!$T57, 3)</f>
        <v/>
      </c>
      <c r="U57" s="43">
        <f>PERCENTRANK('Team Scores'!$U$3:$U$1000, 'Team Scores'!$U57, 3)</f>
        <v/>
      </c>
      <c r="V57" s="43">
        <f>PERCENTRANK('Team Scores'!$V$3:$V$1000, 'Team Scores'!$V57, 3)</f>
        <v/>
      </c>
      <c r="W57" s="43">
        <f>PERCENTRANK('Team Scores'!$W$3:$W$1000, 'Team Scores'!$W57, 3)</f>
        <v/>
      </c>
      <c r="X57" s="43">
        <f>PERCENTRANK('Team Scores'!$X$3:$X$1000, 'Team Scores'!$X57, 3)</f>
        <v/>
      </c>
      <c r="Y57" s="43">
        <f>PERCENTRANK('Team Scores'!$Y$3:$Y$1000, 'Team Scores'!$Y57, 3)</f>
        <v/>
      </c>
      <c r="Z57" s="43">
        <f>PERCENTRANK('Team Scores'!$Z$3:$Z$1000, 'Team Scores'!$Z57, 3)</f>
        <v/>
      </c>
      <c r="AA57" s="43">
        <f>AVERAGE(C57:G57)</f>
        <v/>
      </c>
      <c r="AB57" s="43">
        <f>AVERAGE(H57:O57)</f>
        <v/>
      </c>
      <c r="AC57" s="43">
        <f>AVERAGE(P57:T57)</f>
        <v/>
      </c>
      <c r="AD57" s="43">
        <f>AVERAGE(U57:X57)</f>
        <v/>
      </c>
      <c r="AE57" s="43">
        <f>AVERAGE(AA57:AD57)</f>
        <v/>
      </c>
    </row>
    <row r="58">
      <c r="A58" s="41" t="n">
        <v>10413</v>
      </c>
      <c r="B58" s="42">
        <f>COUNTIF(MatchScoutingData!E$2:E$1000, $A58)</f>
        <v/>
      </c>
      <c r="C58" s="43">
        <f>PERCENTRANK('Team Scores'!$C$3:$C$1000, 'Team Scores'!$C58, 3)</f>
        <v/>
      </c>
      <c r="D58" s="43">
        <f>PERCENTRANK('Team Scores'!$D$3:$D$1000, 'Team Scores'!$D58, 3)</f>
        <v/>
      </c>
      <c r="E58" s="43">
        <f>PERCENTRANK('Team Scores'!$E$3:$E$1000, 'Team Scores'!$E58, 3)</f>
        <v/>
      </c>
      <c r="F58" s="43">
        <f>PERCENTRANK('Team Scores'!$F$3:$F$1000, 'Team Scores'!$F58, 3)</f>
        <v/>
      </c>
      <c r="G58" s="43">
        <f>PERCENTRANK('Team Scores'!$G$3:$G$1000, 'Team Scores'!$G58, 3)</f>
        <v/>
      </c>
      <c r="H58" s="43">
        <f>PERCENTRANK('Team Scores'!$H$3:$H$1000, 'Team Scores'!$H58, 3)</f>
        <v/>
      </c>
      <c r="I58" s="43">
        <f>PERCENTRANK('Team Scores'!$I$3:$I$1000, 'Team Scores'!$I58, 3)</f>
        <v/>
      </c>
      <c r="J58" s="43">
        <f>PERCENTRANK('Team Scores'!$J$3:$J$1000, 'Team Scores'!$J58, 3)</f>
        <v/>
      </c>
      <c r="K58" s="43">
        <f>PERCENTRANK('Team Scores'!$K$3:$K$1000, 'Team Scores'!$K58, 3)</f>
        <v/>
      </c>
      <c r="L58" s="43">
        <f>PERCENTRANK('Team Scores'!$L$3:$L$1000, 'Team Scores'!$L58, 3)</f>
        <v/>
      </c>
      <c r="M58" s="43">
        <f>PERCENTRANK('Team Scores'!$M$3:$M$1000, 'Team Scores'!$M58, 3)</f>
        <v/>
      </c>
      <c r="N58" s="43">
        <f>PERCENTRANK('Team Scores'!$N$3:$N$1000, 'Team Scores'!$N58, 3)</f>
        <v/>
      </c>
      <c r="O58" s="43">
        <f>PERCENTRANK('Team Scores'!$O$3:$O$1000, 'Team Scores'!$O58, 3)</f>
        <v/>
      </c>
      <c r="P58" s="43">
        <f>PERCENTRANK('Team Scores'!$P$3:$P$1000, 'Team Scores'!$P58, 3)</f>
        <v/>
      </c>
      <c r="Q58" s="43">
        <f>PERCENTRANK('Team Scores'!$Q$3:$Q$1000, 'Team Scores'!$Q58, 3)</f>
        <v/>
      </c>
      <c r="R58" s="43">
        <f>PERCENTRANK('Team Scores'!$R$3:$R$1000, 'Team Scores'!$R58, 3)</f>
        <v/>
      </c>
      <c r="S58" s="43">
        <f>PERCENTRANK('Team Scores'!$S$3:$S$1000, 'Team Scores'!$S58, 3)</f>
        <v/>
      </c>
      <c r="T58" s="43">
        <f>PERCENTRANK('Team Scores'!$T$3:$T$1000, 'Team Scores'!$T58, 3)</f>
        <v/>
      </c>
      <c r="U58" s="43">
        <f>PERCENTRANK('Team Scores'!$U$3:$U$1000, 'Team Scores'!$U58, 3)</f>
        <v/>
      </c>
      <c r="V58" s="43">
        <f>PERCENTRANK('Team Scores'!$V$3:$V$1000, 'Team Scores'!$V58, 3)</f>
        <v/>
      </c>
      <c r="W58" s="43">
        <f>PERCENTRANK('Team Scores'!$W$3:$W$1000, 'Team Scores'!$W58, 3)</f>
        <v/>
      </c>
      <c r="X58" s="43">
        <f>PERCENTRANK('Team Scores'!$X$3:$X$1000, 'Team Scores'!$X58, 3)</f>
        <v/>
      </c>
      <c r="Y58" s="43">
        <f>PERCENTRANK('Team Scores'!$Y$3:$Y$1000, 'Team Scores'!$Y58, 3)</f>
        <v/>
      </c>
      <c r="Z58" s="43">
        <f>PERCENTRANK('Team Scores'!$Z$3:$Z$1000, 'Team Scores'!$Z58, 3)</f>
        <v/>
      </c>
      <c r="AA58" s="43">
        <f>AVERAGE(C58:G58)</f>
        <v/>
      </c>
      <c r="AB58" s="43">
        <f>AVERAGE(H58:O58)</f>
        <v/>
      </c>
      <c r="AC58" s="43">
        <f>AVERAGE(P58:T58)</f>
        <v/>
      </c>
      <c r="AD58" s="43">
        <f>AVERAGE(U58:X58)</f>
        <v/>
      </c>
      <c r="AE58" s="43">
        <f>AVERAGE(AA58:AD58)</f>
        <v/>
      </c>
    </row>
    <row r="59">
      <c r="A59" s="41" t="n">
        <v>10582</v>
      </c>
      <c r="B59" s="42">
        <f>COUNTIF(MatchScoutingData!E$2:E$1000, $A59)</f>
        <v/>
      </c>
      <c r="C59" s="43">
        <f>PERCENTRANK('Team Scores'!$C$3:$C$1000, 'Team Scores'!$C59, 3)</f>
        <v/>
      </c>
      <c r="D59" s="43">
        <f>PERCENTRANK('Team Scores'!$D$3:$D$1000, 'Team Scores'!$D59, 3)</f>
        <v/>
      </c>
      <c r="E59" s="43">
        <f>PERCENTRANK('Team Scores'!$E$3:$E$1000, 'Team Scores'!$E59, 3)</f>
        <v/>
      </c>
      <c r="F59" s="43">
        <f>PERCENTRANK('Team Scores'!$F$3:$F$1000, 'Team Scores'!$F59, 3)</f>
        <v/>
      </c>
      <c r="G59" s="43">
        <f>PERCENTRANK('Team Scores'!$G$3:$G$1000, 'Team Scores'!$G59, 3)</f>
        <v/>
      </c>
      <c r="H59" s="43">
        <f>PERCENTRANK('Team Scores'!$H$3:$H$1000, 'Team Scores'!$H59, 3)</f>
        <v/>
      </c>
      <c r="I59" s="43">
        <f>PERCENTRANK('Team Scores'!$I$3:$I$1000, 'Team Scores'!$I59, 3)</f>
        <v/>
      </c>
      <c r="J59" s="43">
        <f>PERCENTRANK('Team Scores'!$J$3:$J$1000, 'Team Scores'!$J59, 3)</f>
        <v/>
      </c>
      <c r="K59" s="43">
        <f>PERCENTRANK('Team Scores'!$K$3:$K$1000, 'Team Scores'!$K59, 3)</f>
        <v/>
      </c>
      <c r="L59" s="43">
        <f>PERCENTRANK('Team Scores'!$L$3:$L$1000, 'Team Scores'!$L59, 3)</f>
        <v/>
      </c>
      <c r="M59" s="43">
        <f>PERCENTRANK('Team Scores'!$M$3:$M$1000, 'Team Scores'!$M59, 3)</f>
        <v/>
      </c>
      <c r="N59" s="43">
        <f>PERCENTRANK('Team Scores'!$N$3:$N$1000, 'Team Scores'!$N59, 3)</f>
        <v/>
      </c>
      <c r="O59" s="43">
        <f>PERCENTRANK('Team Scores'!$O$3:$O$1000, 'Team Scores'!$O59, 3)</f>
        <v/>
      </c>
      <c r="P59" s="43">
        <f>PERCENTRANK('Team Scores'!$P$3:$P$1000, 'Team Scores'!$P59, 3)</f>
        <v/>
      </c>
      <c r="Q59" s="43">
        <f>PERCENTRANK('Team Scores'!$Q$3:$Q$1000, 'Team Scores'!$Q59, 3)</f>
        <v/>
      </c>
      <c r="R59" s="43">
        <f>PERCENTRANK('Team Scores'!$R$3:$R$1000, 'Team Scores'!$R59, 3)</f>
        <v/>
      </c>
      <c r="S59" s="43">
        <f>PERCENTRANK('Team Scores'!$S$3:$S$1000, 'Team Scores'!$S59, 3)</f>
        <v/>
      </c>
      <c r="T59" s="43">
        <f>PERCENTRANK('Team Scores'!$T$3:$T$1000, 'Team Scores'!$T59, 3)</f>
        <v/>
      </c>
      <c r="U59" s="43">
        <f>PERCENTRANK('Team Scores'!$U$3:$U$1000, 'Team Scores'!$U59, 3)</f>
        <v/>
      </c>
      <c r="V59" s="43">
        <f>PERCENTRANK('Team Scores'!$V$3:$V$1000, 'Team Scores'!$V59, 3)</f>
        <v/>
      </c>
      <c r="W59" s="43">
        <f>PERCENTRANK('Team Scores'!$W$3:$W$1000, 'Team Scores'!$W59, 3)</f>
        <v/>
      </c>
      <c r="X59" s="43">
        <f>PERCENTRANK('Team Scores'!$X$3:$X$1000, 'Team Scores'!$X59, 3)</f>
        <v/>
      </c>
      <c r="Y59" s="43">
        <f>PERCENTRANK('Team Scores'!$Y$3:$Y$1000, 'Team Scores'!$Y59, 3)</f>
        <v/>
      </c>
      <c r="Z59" s="43">
        <f>PERCENTRANK('Team Scores'!$Z$3:$Z$1000, 'Team Scores'!$Z59, 3)</f>
        <v/>
      </c>
      <c r="AA59" s="43">
        <f>AVERAGE(C59:G59)</f>
        <v/>
      </c>
      <c r="AB59" s="43">
        <f>AVERAGE(H59:O59)</f>
        <v/>
      </c>
      <c r="AC59" s="43">
        <f>AVERAGE(P59:T59)</f>
        <v/>
      </c>
      <c r="AD59" s="43">
        <f>AVERAGE(U59:X59)</f>
        <v/>
      </c>
      <c r="AE59" s="43">
        <f>AVERAGE(AA59:AD59)</f>
        <v/>
      </c>
    </row>
    <row r="60">
      <c r="A60" s="41" t="n">
        <v>10604</v>
      </c>
      <c r="B60" s="42">
        <f>COUNTIF(MatchScoutingData!E$2:E$1000, $A60)</f>
        <v/>
      </c>
      <c r="C60" s="43">
        <f>PERCENTRANK('Team Scores'!$C$3:$C$1000, 'Team Scores'!$C60, 3)</f>
        <v/>
      </c>
      <c r="D60" s="43">
        <f>PERCENTRANK('Team Scores'!$D$3:$D$1000, 'Team Scores'!$D60, 3)</f>
        <v/>
      </c>
      <c r="E60" s="43">
        <f>PERCENTRANK('Team Scores'!$E$3:$E$1000, 'Team Scores'!$E60, 3)</f>
        <v/>
      </c>
      <c r="F60" s="43">
        <f>PERCENTRANK('Team Scores'!$F$3:$F$1000, 'Team Scores'!$F60, 3)</f>
        <v/>
      </c>
      <c r="G60" s="43">
        <f>PERCENTRANK('Team Scores'!$G$3:$G$1000, 'Team Scores'!$G60, 3)</f>
        <v/>
      </c>
      <c r="H60" s="43">
        <f>PERCENTRANK('Team Scores'!$H$3:$H$1000, 'Team Scores'!$H60, 3)</f>
        <v/>
      </c>
      <c r="I60" s="43">
        <f>PERCENTRANK('Team Scores'!$I$3:$I$1000, 'Team Scores'!$I60, 3)</f>
        <v/>
      </c>
      <c r="J60" s="43">
        <f>PERCENTRANK('Team Scores'!$J$3:$J$1000, 'Team Scores'!$J60, 3)</f>
        <v/>
      </c>
      <c r="K60" s="43">
        <f>PERCENTRANK('Team Scores'!$K$3:$K$1000, 'Team Scores'!$K60, 3)</f>
        <v/>
      </c>
      <c r="L60" s="43">
        <f>PERCENTRANK('Team Scores'!$L$3:$L$1000, 'Team Scores'!$L60, 3)</f>
        <v/>
      </c>
      <c r="M60" s="43">
        <f>PERCENTRANK('Team Scores'!$M$3:$M$1000, 'Team Scores'!$M60, 3)</f>
        <v/>
      </c>
      <c r="N60" s="43">
        <f>PERCENTRANK('Team Scores'!$N$3:$N$1000, 'Team Scores'!$N60, 3)</f>
        <v/>
      </c>
      <c r="O60" s="43">
        <f>PERCENTRANK('Team Scores'!$O$3:$O$1000, 'Team Scores'!$O60, 3)</f>
        <v/>
      </c>
      <c r="P60" s="43">
        <f>PERCENTRANK('Team Scores'!$P$3:$P$1000, 'Team Scores'!$P60, 3)</f>
        <v/>
      </c>
      <c r="Q60" s="43">
        <f>PERCENTRANK('Team Scores'!$Q$3:$Q$1000, 'Team Scores'!$Q60, 3)</f>
        <v/>
      </c>
      <c r="R60" s="43">
        <f>PERCENTRANK('Team Scores'!$R$3:$R$1000, 'Team Scores'!$R60, 3)</f>
        <v/>
      </c>
      <c r="S60" s="43">
        <f>PERCENTRANK('Team Scores'!$S$3:$S$1000, 'Team Scores'!$S60, 3)</f>
        <v/>
      </c>
      <c r="T60" s="43">
        <f>PERCENTRANK('Team Scores'!$T$3:$T$1000, 'Team Scores'!$T60, 3)</f>
        <v/>
      </c>
      <c r="U60" s="43">
        <f>PERCENTRANK('Team Scores'!$U$3:$U$1000, 'Team Scores'!$U60, 3)</f>
        <v/>
      </c>
      <c r="V60" s="43">
        <f>PERCENTRANK('Team Scores'!$V$3:$V$1000, 'Team Scores'!$V60, 3)</f>
        <v/>
      </c>
      <c r="W60" s="43">
        <f>PERCENTRANK('Team Scores'!$W$3:$W$1000, 'Team Scores'!$W60, 3)</f>
        <v/>
      </c>
      <c r="X60" s="43">
        <f>PERCENTRANK('Team Scores'!$X$3:$X$1000, 'Team Scores'!$X60, 3)</f>
        <v/>
      </c>
      <c r="Y60" s="43">
        <f>PERCENTRANK('Team Scores'!$Y$3:$Y$1000, 'Team Scores'!$Y60, 3)</f>
        <v/>
      </c>
      <c r="Z60" s="43">
        <f>PERCENTRANK('Team Scores'!$Z$3:$Z$1000, 'Team Scores'!$Z60, 3)</f>
        <v/>
      </c>
      <c r="AA60" s="43">
        <f>AVERAGE(C60:G60)</f>
        <v/>
      </c>
      <c r="AB60" s="43">
        <f>AVERAGE(H60:O60)</f>
        <v/>
      </c>
      <c r="AC60" s="43">
        <f>AVERAGE(P60:T60)</f>
        <v/>
      </c>
      <c r="AD60" s="43">
        <f>AVERAGE(U60:X60)</f>
        <v/>
      </c>
      <c r="AE60" s="43">
        <f>AVERAGE(AA60:AD60)</f>
        <v/>
      </c>
    </row>
    <row r="61">
      <c r="A61" s="41" t="n">
        <v>10714</v>
      </c>
      <c r="B61" s="42">
        <f>COUNTIF(MatchScoutingData!E$2:E$1000, $A61)</f>
        <v/>
      </c>
      <c r="C61" s="43">
        <f>PERCENTRANK('Team Scores'!$C$3:$C$1000, 'Team Scores'!$C61, 3)</f>
        <v/>
      </c>
      <c r="D61" s="43">
        <f>PERCENTRANK('Team Scores'!$D$3:$D$1000, 'Team Scores'!$D61, 3)</f>
        <v/>
      </c>
      <c r="E61" s="43">
        <f>PERCENTRANK('Team Scores'!$E$3:$E$1000, 'Team Scores'!$E61, 3)</f>
        <v/>
      </c>
      <c r="F61" s="43">
        <f>PERCENTRANK('Team Scores'!$F$3:$F$1000, 'Team Scores'!$F61, 3)</f>
        <v/>
      </c>
      <c r="G61" s="43">
        <f>PERCENTRANK('Team Scores'!$G$3:$G$1000, 'Team Scores'!$G61, 3)</f>
        <v/>
      </c>
      <c r="H61" s="43">
        <f>PERCENTRANK('Team Scores'!$H$3:$H$1000, 'Team Scores'!$H61, 3)</f>
        <v/>
      </c>
      <c r="I61" s="43">
        <f>PERCENTRANK('Team Scores'!$I$3:$I$1000, 'Team Scores'!$I61, 3)</f>
        <v/>
      </c>
      <c r="J61" s="43">
        <f>PERCENTRANK('Team Scores'!$J$3:$J$1000, 'Team Scores'!$J61, 3)</f>
        <v/>
      </c>
      <c r="K61" s="43">
        <f>PERCENTRANK('Team Scores'!$K$3:$K$1000, 'Team Scores'!$K61, 3)</f>
        <v/>
      </c>
      <c r="L61" s="43">
        <f>PERCENTRANK('Team Scores'!$L$3:$L$1000, 'Team Scores'!$L61, 3)</f>
        <v/>
      </c>
      <c r="M61" s="43">
        <f>PERCENTRANK('Team Scores'!$M$3:$M$1000, 'Team Scores'!$M61, 3)</f>
        <v/>
      </c>
      <c r="N61" s="43">
        <f>PERCENTRANK('Team Scores'!$N$3:$N$1000, 'Team Scores'!$N61, 3)</f>
        <v/>
      </c>
      <c r="O61" s="43">
        <f>PERCENTRANK('Team Scores'!$O$3:$O$1000, 'Team Scores'!$O61, 3)</f>
        <v/>
      </c>
      <c r="P61" s="43">
        <f>PERCENTRANK('Team Scores'!$P$3:$P$1000, 'Team Scores'!$P61, 3)</f>
        <v/>
      </c>
      <c r="Q61" s="43">
        <f>PERCENTRANK('Team Scores'!$Q$3:$Q$1000, 'Team Scores'!$Q61, 3)</f>
        <v/>
      </c>
      <c r="R61" s="43">
        <f>PERCENTRANK('Team Scores'!$R$3:$R$1000, 'Team Scores'!$R61, 3)</f>
        <v/>
      </c>
      <c r="S61" s="43">
        <f>PERCENTRANK('Team Scores'!$S$3:$S$1000, 'Team Scores'!$S61, 3)</f>
        <v/>
      </c>
      <c r="T61" s="43">
        <f>PERCENTRANK('Team Scores'!$T$3:$T$1000, 'Team Scores'!$T61, 3)</f>
        <v/>
      </c>
      <c r="U61" s="43">
        <f>PERCENTRANK('Team Scores'!$U$3:$U$1000, 'Team Scores'!$U61, 3)</f>
        <v/>
      </c>
      <c r="V61" s="43">
        <f>PERCENTRANK('Team Scores'!$V$3:$V$1000, 'Team Scores'!$V61, 3)</f>
        <v/>
      </c>
      <c r="W61" s="43">
        <f>PERCENTRANK('Team Scores'!$W$3:$W$1000, 'Team Scores'!$W61, 3)</f>
        <v/>
      </c>
      <c r="X61" s="43">
        <f>PERCENTRANK('Team Scores'!$X$3:$X$1000, 'Team Scores'!$X61, 3)</f>
        <v/>
      </c>
      <c r="Y61" s="43">
        <f>PERCENTRANK('Team Scores'!$Y$3:$Y$1000, 'Team Scores'!$Y61, 3)</f>
        <v/>
      </c>
      <c r="Z61" s="43">
        <f>PERCENTRANK('Team Scores'!$Z$3:$Z$1000, 'Team Scores'!$Z61, 3)</f>
        <v/>
      </c>
      <c r="AA61" s="43">
        <f>AVERAGE(C61:G61)</f>
        <v/>
      </c>
      <c r="AB61" s="43">
        <f>AVERAGE(H61:O61)</f>
        <v/>
      </c>
      <c r="AC61" s="43">
        <f>AVERAGE(P61:T61)</f>
        <v/>
      </c>
      <c r="AD61" s="43">
        <f>AVERAGE(U61:X61)</f>
        <v/>
      </c>
      <c r="AE61" s="43">
        <f>AVERAGE(AA61:AD61)</f>
        <v/>
      </c>
    </row>
    <row r="62">
      <c r="A62" s="41" t="n">
        <v>11010</v>
      </c>
      <c r="B62" s="42">
        <f>COUNTIF(MatchScoutingData!E$2:E$1000, $A62)</f>
        <v/>
      </c>
      <c r="C62" s="43">
        <f>PERCENTRANK('Team Scores'!$C$3:$C$1000, 'Team Scores'!$C62, 3)</f>
        <v/>
      </c>
      <c r="D62" s="43">
        <f>PERCENTRANK('Team Scores'!$D$3:$D$1000, 'Team Scores'!$D62, 3)</f>
        <v/>
      </c>
      <c r="E62" s="43">
        <f>PERCENTRANK('Team Scores'!$E$3:$E$1000, 'Team Scores'!$E62, 3)</f>
        <v/>
      </c>
      <c r="F62" s="43">
        <f>PERCENTRANK('Team Scores'!$F$3:$F$1000, 'Team Scores'!$F62, 3)</f>
        <v/>
      </c>
      <c r="G62" s="43">
        <f>PERCENTRANK('Team Scores'!$G$3:$G$1000, 'Team Scores'!$G62, 3)</f>
        <v/>
      </c>
      <c r="H62" s="43">
        <f>PERCENTRANK('Team Scores'!$H$3:$H$1000, 'Team Scores'!$H62, 3)</f>
        <v/>
      </c>
      <c r="I62" s="43">
        <f>PERCENTRANK('Team Scores'!$I$3:$I$1000, 'Team Scores'!$I62, 3)</f>
        <v/>
      </c>
      <c r="J62" s="43">
        <f>PERCENTRANK('Team Scores'!$J$3:$J$1000, 'Team Scores'!$J62, 3)</f>
        <v/>
      </c>
      <c r="K62" s="43">
        <f>PERCENTRANK('Team Scores'!$K$3:$K$1000, 'Team Scores'!$K62, 3)</f>
        <v/>
      </c>
      <c r="L62" s="43">
        <f>PERCENTRANK('Team Scores'!$L$3:$L$1000, 'Team Scores'!$L62, 3)</f>
        <v/>
      </c>
      <c r="M62" s="43">
        <f>PERCENTRANK('Team Scores'!$M$3:$M$1000, 'Team Scores'!$M62, 3)</f>
        <v/>
      </c>
      <c r="N62" s="43">
        <f>PERCENTRANK('Team Scores'!$N$3:$N$1000, 'Team Scores'!$N62, 3)</f>
        <v/>
      </c>
      <c r="O62" s="43">
        <f>PERCENTRANK('Team Scores'!$O$3:$O$1000, 'Team Scores'!$O62, 3)</f>
        <v/>
      </c>
      <c r="P62" s="43">
        <f>PERCENTRANK('Team Scores'!$P$3:$P$1000, 'Team Scores'!$P62, 3)</f>
        <v/>
      </c>
      <c r="Q62" s="43">
        <f>PERCENTRANK('Team Scores'!$Q$3:$Q$1000, 'Team Scores'!$Q62, 3)</f>
        <v/>
      </c>
      <c r="R62" s="43">
        <f>PERCENTRANK('Team Scores'!$R$3:$R$1000, 'Team Scores'!$R62, 3)</f>
        <v/>
      </c>
      <c r="S62" s="43">
        <f>PERCENTRANK('Team Scores'!$S$3:$S$1000, 'Team Scores'!$S62, 3)</f>
        <v/>
      </c>
      <c r="T62" s="43">
        <f>PERCENTRANK('Team Scores'!$T$3:$T$1000, 'Team Scores'!$T62, 3)</f>
        <v/>
      </c>
      <c r="U62" s="43">
        <f>PERCENTRANK('Team Scores'!$U$3:$U$1000, 'Team Scores'!$U62, 3)</f>
        <v/>
      </c>
      <c r="V62" s="43">
        <f>PERCENTRANK('Team Scores'!$V$3:$V$1000, 'Team Scores'!$V62, 3)</f>
        <v/>
      </c>
      <c r="W62" s="43">
        <f>PERCENTRANK('Team Scores'!$W$3:$W$1000, 'Team Scores'!$W62, 3)</f>
        <v/>
      </c>
      <c r="X62" s="43">
        <f>PERCENTRANK('Team Scores'!$X$3:$X$1000, 'Team Scores'!$X62, 3)</f>
        <v/>
      </c>
      <c r="Y62" s="43">
        <f>PERCENTRANK('Team Scores'!$Y$3:$Y$1000, 'Team Scores'!$Y62, 3)</f>
        <v/>
      </c>
      <c r="Z62" s="43">
        <f>PERCENTRANK('Team Scores'!$Z$3:$Z$1000, 'Team Scores'!$Z62, 3)</f>
        <v/>
      </c>
      <c r="AA62" s="43">
        <f>AVERAGE(C62:G62)</f>
        <v/>
      </c>
      <c r="AB62" s="43">
        <f>AVERAGE(H62:O62)</f>
        <v/>
      </c>
      <c r="AC62" s="43">
        <f>AVERAGE(P62:T62)</f>
        <v/>
      </c>
      <c r="AD62" s="43">
        <f>AVERAGE(U62:X62)</f>
        <v/>
      </c>
      <c r="AE62" s="43">
        <f>AVERAGE(AA62:AD62)</f>
        <v/>
      </c>
    </row>
  </sheetData>
  <autoFilter ref="A2:AE2"/>
  <mergeCells count="5">
    <mergeCell ref="U1:Z1"/>
    <mergeCell ref="AA1:AE1"/>
    <mergeCell ref="H1:O1"/>
    <mergeCell ref="P1:T1"/>
    <mergeCell ref="C1:G1"/>
  </mergeCells>
  <conditionalFormatting sqref="C3:AE62">
    <cfRule type="colorScale" priority="1">
      <colorScale>
        <cfvo type="min"/>
        <cfvo type="percentile" val="50"/>
        <cfvo type="max"/>
        <color rgb="00cb4335"/>
        <color rgb="00D68910"/>
        <color rgb="00229954"/>
      </colorScale>
    </cfRule>
  </conditionalFormatting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zoomScale="150" zoomScaleNormal="150" workbookViewId="0">
      <selection activeCell="A2" sqref="A2"/>
    </sheetView>
  </sheetViews>
  <sheetFormatPr baseColWidth="10" defaultRowHeight="15" outlineLevelCol="0"/>
  <cols>
    <col width="25.83203125" customWidth="1" min="1" max="2"/>
  </cols>
  <sheetData>
    <row r="1" ht="16" customHeight="1">
      <c r="A1" s="5" t="inlineStr">
        <is>
          <t>Scouter Name</t>
        </is>
      </c>
      <c r="B1" s="5" t="inlineStr">
        <is>
          <t>Match Count</t>
        </is>
      </c>
    </row>
    <row r="2">
      <c r="A2" s="8">
        <f t="array" ref="A2">_xlfn._xlws.SORT(_xlfn.UNIQUE(MatchScoutingData!B2:B9991))</f>
        <v/>
      </c>
      <c r="B2" s="8">
        <f>COUNTIF(MatchScoutingData!B$2:B$9991, $A2)</f>
        <v/>
      </c>
    </row>
    <row r="3">
      <c r="A3" s="8" t="n"/>
      <c r="B3" s="8">
        <f>COUNTIF(MatchScoutingData!B$2:B$9991, $A3)</f>
        <v/>
      </c>
    </row>
    <row r="4">
      <c r="A4" s="8" t="n"/>
      <c r="B4" s="8">
        <f>COUNTIF(MatchScoutingData!B$2:B$9991, $A4)</f>
        <v/>
      </c>
    </row>
    <row r="5">
      <c r="A5" s="8" t="n"/>
      <c r="B5" s="8">
        <f>COUNTIF(MatchScoutingData!B$2:B$9991, $A5)</f>
        <v/>
      </c>
    </row>
    <row r="6">
      <c r="A6" s="8" t="n"/>
      <c r="B6" s="8">
        <f>COUNTIF(MatchScoutingData!B$2:B$9991, $A6)</f>
        <v/>
      </c>
    </row>
    <row r="7">
      <c r="A7" s="8" t="n"/>
      <c r="B7" s="8">
        <f>COUNTIF(MatchScoutingData!B$2:B$9991, $A7)</f>
        <v/>
      </c>
    </row>
    <row r="8">
      <c r="A8" s="8" t="n"/>
      <c r="B8" s="8">
        <f>COUNTIF(MatchScoutingData!B$2:B$9991, $A8)</f>
        <v/>
      </c>
    </row>
    <row r="9">
      <c r="A9" s="8" t="n"/>
      <c r="B9" s="8">
        <f>COUNTIF(MatchScoutingData!B$2:B$9991, $A9)</f>
        <v/>
      </c>
    </row>
    <row r="10">
      <c r="A10" s="8" t="n"/>
      <c r="B10" s="8">
        <f>COUNTIF(MatchScoutingData!B$2:B$9991, $A10)</f>
        <v/>
      </c>
    </row>
    <row r="11">
      <c r="A11" s="8" t="n"/>
      <c r="B11" s="8">
        <f>COUNTIF(MatchScoutingData!B$2:B$9991, $A11)</f>
        <v/>
      </c>
    </row>
    <row r="12">
      <c r="A12" s="8" t="n"/>
      <c r="B12" s="8">
        <f>COUNTIF(MatchScoutingData!B$2:B$9991, $A12)</f>
        <v/>
      </c>
    </row>
    <row r="13">
      <c r="A13" s="8" t="n"/>
      <c r="B13" s="8">
        <f>COUNTIF(MatchScoutingData!B$2:B$9991, $A13)</f>
        <v/>
      </c>
    </row>
    <row r="14">
      <c r="A14" s="8" t="n"/>
      <c r="B14" s="8">
        <f>COUNTIF(MatchScoutingData!B$2:B$9991, $A14)</f>
        <v/>
      </c>
    </row>
    <row r="15">
      <c r="A15" s="8" t="n"/>
      <c r="B15" s="8">
        <f>COUNTIF(MatchScoutingData!B$2:B$9991, $A15)</f>
        <v/>
      </c>
    </row>
    <row r="16">
      <c r="A16" s="8" t="n"/>
      <c r="B16" s="8">
        <f>COUNTIF(MatchScoutingData!B$2:B$9991, $A16)</f>
        <v/>
      </c>
    </row>
    <row r="17">
      <c r="A17" s="8" t="n"/>
      <c r="B17" s="8">
        <f>COUNTIF(MatchScoutingData!B$2:B$9991, $A17)</f>
        <v/>
      </c>
    </row>
    <row r="18">
      <c r="A18" s="8" t="n"/>
      <c r="B18" s="8">
        <f>COUNTIF(MatchScoutingData!B$2:B$9991, $A18)</f>
        <v/>
      </c>
    </row>
    <row r="19">
      <c r="A19" s="8" t="n"/>
      <c r="B19" s="8">
        <f>COUNTIF(MatchScoutingData!B$2:B$9991, $A19)</f>
        <v/>
      </c>
    </row>
    <row r="20">
      <c r="A20" s="8" t="n"/>
      <c r="B20" s="8">
        <f>COUNTIF(MatchScoutingData!B$2:B$9991, $A20)</f>
        <v/>
      </c>
    </row>
    <row r="21">
      <c r="A21" s="8" t="n"/>
      <c r="B21" s="8">
        <f>COUNTIF(MatchScoutingData!B$2:B$9991, $A21)</f>
        <v/>
      </c>
    </row>
    <row r="22">
      <c r="A22" s="8" t="n"/>
      <c r="B22" s="8">
        <f>COUNTIF(MatchScoutingData!B$2:B$9991, $A22)</f>
        <v/>
      </c>
    </row>
    <row r="23">
      <c r="A23" s="8" t="n"/>
      <c r="B23" s="8">
        <f>COUNTIF(MatchScoutingData!B$2:B$9991, $A23)</f>
        <v/>
      </c>
    </row>
    <row r="24">
      <c r="A24" s="8" t="n"/>
      <c r="B24" s="8">
        <f>COUNTIF(MatchScoutingData!B$2:B$9991, $A24)</f>
        <v/>
      </c>
    </row>
    <row r="25">
      <c r="A25" s="8" t="n"/>
      <c r="B25" s="8">
        <f>COUNTIF(MatchScoutingData!B$2:B$9991, $A25)</f>
        <v/>
      </c>
    </row>
    <row r="26">
      <c r="A26" s="8" t="n"/>
      <c r="B26" s="8">
        <f>COUNTIF(MatchScoutingData!B$2:B$9991, $A26)</f>
        <v/>
      </c>
    </row>
    <row r="27">
      <c r="A27" s="8" t="n"/>
      <c r="B27" s="8">
        <f>COUNTIF(MatchScoutingData!B$2:B$9991, $A27)</f>
        <v/>
      </c>
    </row>
    <row r="28">
      <c r="A28" s="8" t="n"/>
      <c r="B28" s="8">
        <f>COUNTIF(MatchScoutingData!B$2:B$9991, $A28)</f>
        <v/>
      </c>
    </row>
    <row r="29">
      <c r="A29" s="8" t="n"/>
      <c r="B29" s="8">
        <f>COUNTIF(MatchScoutingData!B$2:B$9991, $A29)</f>
        <v/>
      </c>
    </row>
    <row r="30">
      <c r="A30" s="8" t="n"/>
      <c r="B30" s="8">
        <f>COUNTIF(MatchScoutingData!B$2:B$9991, $A30)</f>
        <v/>
      </c>
    </row>
    <row r="31">
      <c r="A31" s="8" t="n"/>
      <c r="B31" s="8">
        <f>COUNTIF(MatchScoutingData!B$2:B$9991, $A31)</f>
        <v/>
      </c>
    </row>
    <row r="32">
      <c r="A32" s="8" t="n"/>
      <c r="B32" s="8">
        <f>COUNTIF(MatchScoutingData!B$2:B$9991, $A32)</f>
        <v/>
      </c>
    </row>
    <row r="33">
      <c r="A33" s="8" t="n"/>
      <c r="B33" s="8">
        <f>COUNTIF(MatchScoutingData!B$2:B$9991, $A33)</f>
        <v/>
      </c>
    </row>
    <row r="34">
      <c r="A34" s="8" t="n"/>
      <c r="B34" s="8">
        <f>COUNTIF(MatchScoutingData!B$2:B$9991, $A34)</f>
        <v/>
      </c>
    </row>
    <row r="35">
      <c r="A35" s="8" t="n"/>
      <c r="B35" s="8">
        <f>COUNTIF(MatchScoutingData!B$2:B$9991, $A35)</f>
        <v/>
      </c>
    </row>
    <row r="36">
      <c r="A36" s="8" t="n"/>
      <c r="B36" s="8">
        <f>COUNTIF(MatchScoutingData!B$2:B$9991, $A36)</f>
        <v/>
      </c>
    </row>
    <row r="37">
      <c r="A37" s="8" t="n"/>
      <c r="B37" s="8">
        <f>COUNTIF(MatchScoutingData!B$2:B$9991, $A37)</f>
        <v/>
      </c>
    </row>
    <row r="38">
      <c r="A38" s="8" t="n"/>
      <c r="B38" s="8">
        <f>COUNTIF(MatchScoutingData!B$2:B$9991, $A38)</f>
        <v/>
      </c>
    </row>
    <row r="39">
      <c r="A39" s="8" t="n"/>
      <c r="B39" s="8">
        <f>COUNTIF(MatchScoutingData!B$2:B$9991, $A39)</f>
        <v/>
      </c>
    </row>
    <row r="40">
      <c r="A40" s="8" t="n"/>
      <c r="B40" s="8">
        <f>COUNTIF(MatchScoutingData!B$2:B$9991, $A40)</f>
        <v/>
      </c>
    </row>
    <row r="41">
      <c r="A41" s="8" t="n"/>
      <c r="B41" s="8">
        <f>COUNTIF(MatchScoutingData!B$2:B$9991, $A41)</f>
        <v/>
      </c>
    </row>
    <row r="42">
      <c r="A42" s="8" t="n"/>
      <c r="B42" s="8">
        <f>COUNTIF(MatchScoutingData!B$2:B$9991, $A42)</f>
        <v/>
      </c>
    </row>
    <row r="43">
      <c r="A43" s="8" t="n"/>
      <c r="B43" s="8">
        <f>COUNTIF(MatchScoutingData!B$2:B$9991, $A43)</f>
        <v/>
      </c>
    </row>
    <row r="44">
      <c r="A44" s="8" t="n"/>
      <c r="B44" s="8">
        <f>COUNTIF(MatchScoutingData!B$2:B$9991, $A44)</f>
        <v/>
      </c>
    </row>
    <row r="45">
      <c r="A45" s="8" t="n"/>
      <c r="B45" s="8">
        <f>COUNTIF(MatchScoutingData!B$2:B$9991, $A45)</f>
        <v/>
      </c>
    </row>
    <row r="46">
      <c r="A46" s="8" t="n"/>
      <c r="B46" s="8">
        <f>COUNTIF(MatchScoutingData!B$2:B$9991, $A46)</f>
        <v/>
      </c>
    </row>
    <row r="47">
      <c r="A47" s="8" t="n"/>
      <c r="B47" s="8">
        <f>COUNTIF(MatchScoutingData!B$2:B$9991, $A47)</f>
        <v/>
      </c>
    </row>
    <row r="48">
      <c r="A48" s="8" t="n"/>
      <c r="B48" s="8">
        <f>COUNTIF(MatchScoutingData!B$2:B$9991, $A48)</f>
        <v/>
      </c>
    </row>
    <row r="49">
      <c r="A49" s="8" t="n"/>
      <c r="B49" s="8">
        <f>COUNTIF(MatchScoutingData!B$2:B$9991, $A49)</f>
        <v/>
      </c>
    </row>
    <row r="50">
      <c r="A50" s="8" t="n"/>
      <c r="B50" s="8">
        <f>COUNTIF(MatchScoutingData!B$2:B$9991, $A50)</f>
        <v/>
      </c>
    </row>
    <row r="51">
      <c r="A51" s="8" t="n"/>
      <c r="B51" s="8">
        <f>COUNTIF(MatchScoutingData!B$2:B$9991, $A51)</f>
        <v/>
      </c>
    </row>
    <row r="52">
      <c r="A52" s="8" t="n"/>
      <c r="B52" s="8">
        <f>COUNTIF(MatchScoutingData!B$2:B$9991, $A52)</f>
        <v/>
      </c>
    </row>
    <row r="53">
      <c r="A53" s="8" t="n"/>
      <c r="B53" s="8">
        <f>COUNTIF(MatchScoutingData!B$2:B$9991, $A53)</f>
        <v/>
      </c>
    </row>
    <row r="54">
      <c r="A54" s="8" t="n"/>
      <c r="B54" s="8">
        <f>COUNTIF(MatchScoutingData!B$2:B$9991, $A54)</f>
        <v/>
      </c>
    </row>
    <row r="55">
      <c r="A55" s="8" t="n"/>
      <c r="B55" s="8">
        <f>COUNTIF(MatchScoutingData!B$2:B$9991, $A55)</f>
        <v/>
      </c>
    </row>
    <row r="56">
      <c r="A56" s="8" t="n"/>
      <c r="B56" s="8">
        <f>COUNTIF(MatchScoutingData!B$2:B$9991, $A56)</f>
        <v/>
      </c>
    </row>
    <row r="57">
      <c r="A57" s="8" t="n"/>
      <c r="B57" s="8">
        <f>COUNTIF(MatchScoutingData!B$2:B$9991, $A57)</f>
        <v/>
      </c>
    </row>
    <row r="58">
      <c r="A58" s="8" t="n"/>
      <c r="B58" s="8">
        <f>COUNTIF(MatchScoutingData!B$2:B$9991, $A58)</f>
        <v/>
      </c>
    </row>
    <row r="59">
      <c r="A59" s="8" t="n"/>
      <c r="B59" s="8">
        <f>COUNTIF(MatchScoutingData!B$2:B$9991, $A59)</f>
        <v/>
      </c>
    </row>
    <row r="60">
      <c r="A60" s="8" t="n"/>
      <c r="B60" s="8">
        <f>COUNTIF(MatchScoutingData!B$2:B$9991, $A60)</f>
        <v/>
      </c>
    </row>
    <row r="61">
      <c r="A61" s="8" t="n"/>
      <c r="B61" s="8">
        <f>COUNTIF(MatchScoutingData!B$2:B$9991, $A61)</f>
        <v/>
      </c>
    </row>
    <row r="62">
      <c r="A62" s="8" t="n"/>
      <c r="B62" s="8">
        <f>COUNTIF(MatchScoutingData!B$2:B$9991, $A62)</f>
        <v/>
      </c>
    </row>
    <row r="63">
      <c r="A63" s="8" t="n"/>
      <c r="B63" s="8">
        <f>COUNTIF(MatchScoutingData!B$2:B$9991, $A63)</f>
        <v/>
      </c>
    </row>
    <row r="64">
      <c r="A64" s="8" t="n"/>
      <c r="B64" s="8">
        <f>COUNTIF(MatchScoutingData!B$2:B$9991, $A64)</f>
        <v/>
      </c>
    </row>
    <row r="65">
      <c r="A65" s="8" t="n"/>
      <c r="B65" s="8">
        <f>COUNTIF(MatchScoutingData!B$2:B$9991, $A65)</f>
        <v/>
      </c>
    </row>
    <row r="66">
      <c r="A66" s="8" t="n"/>
      <c r="B66" s="8">
        <f>COUNTIF(MatchScoutingData!B$2:B$9991, $A66)</f>
        <v/>
      </c>
    </row>
    <row r="67">
      <c r="A67" s="8" t="n"/>
      <c r="B67" s="8">
        <f>COUNTIF(MatchScoutingData!B$2:B$9991, $A67)</f>
        <v/>
      </c>
    </row>
    <row r="68">
      <c r="A68" s="8" t="n"/>
      <c r="B68" s="8">
        <f>COUNTIF(MatchScoutingData!B$2:B$9991, $A68)</f>
        <v/>
      </c>
    </row>
    <row r="69">
      <c r="A69" s="8" t="n"/>
      <c r="B69" s="8">
        <f>COUNTIF(MatchScoutingData!B$2:B$9991, $A69)</f>
        <v/>
      </c>
    </row>
    <row r="70">
      <c r="A70" s="8" t="n"/>
      <c r="B70" s="8">
        <f>COUNTIF(MatchScoutingData!B$2:B$9991, $A70)</f>
        <v/>
      </c>
    </row>
    <row r="71">
      <c r="A71" s="8" t="n"/>
      <c r="B71" s="8">
        <f>COUNTIF(MatchScoutingData!B$2:B$9991, $A71)</f>
        <v/>
      </c>
    </row>
    <row r="72">
      <c r="A72" s="8" t="n"/>
      <c r="B72" s="8">
        <f>COUNTIF(MatchScoutingData!B$2:B$9991, $A72)</f>
        <v/>
      </c>
    </row>
    <row r="73">
      <c r="A73" s="8" t="n"/>
      <c r="B73" s="8">
        <f>COUNTIF(MatchScoutingData!B$2:B$9991, $A73)</f>
        <v/>
      </c>
    </row>
    <row r="74">
      <c r="A74" s="8" t="n"/>
      <c r="B74" s="8">
        <f>COUNTIF(MatchScoutingData!B$2:B$9991, $A74)</f>
        <v/>
      </c>
    </row>
    <row r="75">
      <c r="A75" s="8" t="n"/>
      <c r="B75" s="8">
        <f>COUNTIF(MatchScoutingData!B$2:B$9991, $A75)</f>
        <v/>
      </c>
    </row>
    <row r="76">
      <c r="A76" s="8" t="n"/>
      <c r="B76" s="8">
        <f>COUNTIF(MatchScoutingData!B$2:B$9991, $A76)</f>
        <v/>
      </c>
    </row>
    <row r="77">
      <c r="A77" s="8" t="n"/>
      <c r="B77" s="8">
        <f>COUNTIF(MatchScoutingData!B$2:B$9991, $A77)</f>
        <v/>
      </c>
    </row>
    <row r="78">
      <c r="A78" s="8" t="n"/>
      <c r="B78" s="8">
        <f>COUNTIF(MatchScoutingData!B$2:B$9991, $A78)</f>
        <v/>
      </c>
    </row>
    <row r="79">
      <c r="A79" s="8" t="n"/>
      <c r="B79" s="8">
        <f>COUNTIF(MatchScoutingData!B$2:B$9991, $A79)</f>
        <v/>
      </c>
    </row>
    <row r="80">
      <c r="A80" s="8" t="n"/>
      <c r="B80" s="8">
        <f>COUNTIF(MatchScoutingData!B$2:B$9991, $A80)</f>
        <v/>
      </c>
    </row>
    <row r="81">
      <c r="A81" s="8" t="n"/>
      <c r="B81" s="8">
        <f>COUNTIF(MatchScoutingData!B$2:B$9991, $A81)</f>
        <v/>
      </c>
    </row>
    <row r="82">
      <c r="A82" s="8" t="n"/>
      <c r="B82" s="8">
        <f>COUNTIF(MatchScoutingData!B$2:B$9991, $A82)</f>
        <v/>
      </c>
    </row>
    <row r="83">
      <c r="A83" s="8" t="n"/>
      <c r="B83" s="8">
        <f>COUNTIF(MatchScoutingData!B$2:B$9991, $A83)</f>
        <v/>
      </c>
    </row>
    <row r="84">
      <c r="A84" s="8" t="n"/>
      <c r="B84" s="8">
        <f>COUNTIF(MatchScoutingData!B$2:B$9991, $A84)</f>
        <v/>
      </c>
    </row>
    <row r="85">
      <c r="A85" s="8" t="n"/>
      <c r="B85" s="8">
        <f>COUNTIF(MatchScoutingData!B$2:B$9991, $A85)</f>
        <v/>
      </c>
    </row>
    <row r="86">
      <c r="A86" s="8" t="n"/>
      <c r="B86" s="8">
        <f>COUNTIF(MatchScoutingData!B$2:B$9991, $A86)</f>
        <v/>
      </c>
    </row>
    <row r="87">
      <c r="A87" s="8" t="n"/>
      <c r="B87" s="8">
        <f>COUNTIF(MatchScoutingData!B$2:B$9991, $A87)</f>
        <v/>
      </c>
    </row>
    <row r="88">
      <c r="A88" s="8" t="n"/>
      <c r="B88" s="8">
        <f>COUNTIF(MatchScoutingData!B$2:B$9991, $A88)</f>
        <v/>
      </c>
    </row>
    <row r="89">
      <c r="A89" s="8" t="n"/>
      <c r="B89" s="8">
        <f>COUNTIF(MatchScoutingData!B$2:B$9991, $A89)</f>
        <v/>
      </c>
    </row>
    <row r="90">
      <c r="A90" s="8" t="n"/>
      <c r="B90" s="8">
        <f>COUNTIF(MatchScoutingData!B$2:B$9991, $A90)</f>
        <v/>
      </c>
    </row>
    <row r="91">
      <c r="A91" s="8" t="n"/>
      <c r="B91" s="8">
        <f>COUNTIF(MatchScoutingData!B$2:B$9991, $A91)</f>
        <v/>
      </c>
    </row>
    <row r="92">
      <c r="A92" s="8" t="n"/>
      <c r="B92" s="8">
        <f>COUNTIF(MatchScoutingData!B$2:B$9991, $A92)</f>
        <v/>
      </c>
    </row>
    <row r="93">
      <c r="A93" s="8" t="n"/>
      <c r="B93" s="8">
        <f>COUNTIF(MatchScoutingData!B$2:B$9991, $A93)</f>
        <v/>
      </c>
    </row>
    <row r="94">
      <c r="A94" s="8" t="n"/>
      <c r="B94" s="8">
        <f>COUNTIF(MatchScoutingData!B$2:B$9991, $A94)</f>
        <v/>
      </c>
    </row>
    <row r="95">
      <c r="A95" s="8" t="n"/>
      <c r="B95" s="8">
        <f>COUNTIF(MatchScoutingData!B$2:B$9991, $A95)</f>
        <v/>
      </c>
    </row>
    <row r="96">
      <c r="A96" s="8" t="n"/>
      <c r="B96" s="8">
        <f>COUNTIF(MatchScoutingData!B$2:B$9991, $A96)</f>
        <v/>
      </c>
    </row>
    <row r="97">
      <c r="A97" s="8" t="n"/>
      <c r="B97" s="8">
        <f>COUNTIF(MatchScoutingData!B$2:B$9991, $A97)</f>
        <v/>
      </c>
    </row>
    <row r="98">
      <c r="A98" s="8" t="n"/>
      <c r="B98" s="8">
        <f>COUNTIF(MatchScoutingData!B$2:B$9991, $A98)</f>
        <v/>
      </c>
    </row>
    <row r="99">
      <c r="A99" s="8" t="n"/>
      <c r="B99" s="8">
        <f>COUNTIF(MatchScoutingData!B$2:B$9991, $A99)</f>
        <v/>
      </c>
    </row>
    <row r="100">
      <c r="A100" s="8" t="n"/>
      <c r="B100" s="8">
        <f>COUNTIF(MatchScoutingData!B$2:B$9991, $A100)</f>
        <v/>
      </c>
    </row>
    <row r="101">
      <c r="A101" s="8" t="n"/>
      <c r="B101" s="8">
        <f>COUNTIF(MatchScoutingData!B$2:B$9991, $A101)</f>
        <v/>
      </c>
    </row>
  </sheetData>
  <autoFilter ref="A1:B10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zoomScale="150" zoomScaleNormal="150" workbookViewId="0">
      <selection activeCell="A2" sqref="A2"/>
    </sheetView>
  </sheetViews>
  <sheetFormatPr baseColWidth="10" defaultRowHeight="15" outlineLevelCol="0"/>
  <cols>
    <col width="18.83203125" customWidth="1" min="1" max="7"/>
  </cols>
  <sheetData>
    <row r="1" ht="16" customFormat="1" customHeight="1" s="7">
      <c r="A1" s="5" t="inlineStr">
        <is>
          <t>Team</t>
        </is>
      </c>
      <c r="B1" s="5" t="inlineStr">
        <is>
          <t>Auto Total</t>
        </is>
      </c>
      <c r="C1" s="5" t="inlineStr">
        <is>
          <t>Auto Average</t>
        </is>
      </c>
      <c r="D1" s="5" t="inlineStr">
        <is>
          <t>Teleop Total</t>
        </is>
      </c>
      <c r="E1" s="5" t="inlineStr">
        <is>
          <t>Teleop Average</t>
        </is>
      </c>
      <c r="F1" s="5" t="inlineStr">
        <is>
          <t>Endgame Total</t>
        </is>
      </c>
      <c r="G1" s="5" t="inlineStr">
        <is>
          <t>Endgame Average</t>
        </is>
      </c>
    </row>
    <row r="2">
      <c r="A2">
        <f>'Team Summary'!#REF!</f>
        <v/>
      </c>
      <c r="B2">
        <f>'Team Summary'!#REF!</f>
        <v/>
      </c>
      <c r="C2">
        <f>'Team Summary'!#REF!</f>
        <v/>
      </c>
      <c r="D2">
        <f>'Team Summary'!#REF!</f>
        <v/>
      </c>
      <c r="E2">
        <f>'Team Summary'!#REF!</f>
        <v/>
      </c>
      <c r="F2">
        <f>'Team Summary'!#REF!</f>
        <v/>
      </c>
      <c r="G2">
        <f>'Team Summary'!#REF!</f>
        <v/>
      </c>
    </row>
  </sheetData>
  <autoFilter ref="A1:G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2026-03-24T21:24:04Z</dcterms:modified>
  <cp:lastModifiedBy>John Hurrell</cp:lastModifiedBy>
</cp:coreProperties>
</file>