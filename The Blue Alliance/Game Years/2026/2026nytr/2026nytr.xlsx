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MatchScoutingData" sheetId="1" state="visible" r:id="rId1"/>
    <sheet name="Event" sheetId="2" state="visible" r:id="rId2"/>
    <sheet name="Teams" sheetId="3" state="visible" r:id="rId3"/>
    <sheet name="Matches" sheetId="4" state="visible" r:id="rId4"/>
    <sheet name="Team Scores" sheetId="5" state="visible" r:id="rId5"/>
    <sheet name="Team Summary" sheetId="6" state="visible" r:id="rId6"/>
    <sheet name="PB Scouter Summary" sheetId="7" state="visible" r:id="rId7"/>
    <sheet name="PB Team Summary" sheetId="8" state="visible" r:id="rId8"/>
  </sheets>
  <definedNames>
    <definedName name="_xlnm._FilterDatabase" localSheetId="0" hidden="1">'MatchScoutingData'!$A$1:$AI$1</definedName>
    <definedName name="_xlnm._FilterDatabase" localSheetId="2" hidden="1">'Teams'!$A$1:$E$1</definedName>
    <definedName name="_xlnm._FilterDatabase" localSheetId="3" hidden="1">'Matches'!$A$1:$H$1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6" hidden="1">'PB Scouter Summary'!$A$1:$B$101</definedName>
    <definedName name="_xlnm._FilterDatabase" localSheetId="7" hidden="1">'PB Team Summary'!$A$1:$G$1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@"/>
    <numFmt numFmtId="165" formatCode="#,##0;-[Red]#,##0;&quot;-&quot;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rgb="FF000000"/>
      <sz val="12"/>
    </font>
    <font>
      <name val="Calibri (Body)"/>
      <sz val="11"/>
    </font>
    <font>
      <name val="Calibri"/>
      <family val="2"/>
      <b val="1"/>
      <color rgb="FFFFFFFF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color rgb="00000000"/>
      <sz val="12"/>
    </font>
    <font>
      <b val="1"/>
      <color rgb="00FFFFFF"/>
      <sz val="12"/>
    </font>
    <font>
      <b val="1"/>
      <color rgb="00FF0000"/>
      <sz val="12"/>
    </font>
  </fonts>
  <fills count="15">
    <fill>
      <patternFill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8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  <fill>
      <patternFill patternType="solid">
        <fgColor rgb="00595959"/>
        <bgColor rgb="00595959"/>
      </patternFill>
    </fill>
    <fill>
      <patternFill patternType="solid">
        <fgColor rgb="002471a3"/>
        <bgColor rgb="002471a3"/>
      </patternFill>
    </fill>
    <fill>
      <patternFill patternType="solid">
        <fgColor rgb="00cb4335"/>
        <bgColor rgb="00cb4335"/>
      </patternFill>
    </fill>
    <fill>
      <patternFill patternType="solid">
        <fgColor rgb="00C8D6A1"/>
        <bgColor rgb="00C8D6A1"/>
      </patternFill>
    </fill>
    <fill>
      <patternFill patternType="solid">
        <fgColor rgb="00D09996"/>
        <bgColor rgb="00D09996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6" applyAlignment="1" pivotButton="0" quotePrefix="0" xfId="0">
      <alignment horizontal="left" textRotation="90"/>
    </xf>
    <xf numFmtId="0" fontId="5" fillId="0" borderId="0" pivotButton="0" quotePrefix="0" xfId="0"/>
    <xf numFmtId="164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7" borderId="3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1" fillId="6" borderId="3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6" fillId="3" borderId="0" applyAlignment="1" pivotButton="0" quotePrefix="0" xfId="0">
      <alignment horizontal="center" textRotation="90"/>
    </xf>
    <xf numFmtId="0" fontId="3" fillId="3" borderId="5" applyAlignment="1" pivotButton="0" quotePrefix="0" xfId="0">
      <alignment horizontal="center" textRotation="90"/>
    </xf>
    <xf numFmtId="0" fontId="1" fillId="3" borderId="5" applyAlignment="1" pivotButton="0" quotePrefix="0" xfId="0">
      <alignment horizontal="center" textRotation="90"/>
    </xf>
    <xf numFmtId="0" fontId="1" fillId="4" borderId="1" applyAlignment="1" pivotButton="0" quotePrefix="0" xfId="0">
      <alignment horizontal="center" textRotation="90"/>
    </xf>
    <xf numFmtId="0" fontId="1" fillId="5" borderId="1" applyAlignment="1" pivotButton="0" quotePrefix="0" xfId="0">
      <alignment horizontal="center" textRotation="90"/>
    </xf>
    <xf numFmtId="0" fontId="1" fillId="6" borderId="1" applyAlignment="1" pivotButton="0" quotePrefix="0" xfId="0">
      <alignment horizontal="center" textRotation="90"/>
    </xf>
    <xf numFmtId="0" fontId="1" fillId="2" borderId="0" applyAlignment="1" pivotButton="0" quotePrefix="0" xfId="0">
      <alignment horizontal="center" textRotation="90"/>
    </xf>
    <xf numFmtId="0" fontId="1" fillId="3" borderId="0" applyAlignment="1" pivotButton="0" quotePrefix="0" xfId="0">
      <alignment horizontal="center" textRotation="90"/>
    </xf>
    <xf numFmtId="0" fontId="1" fillId="3" borderId="1" applyAlignment="1" pivotButton="0" quotePrefix="0" xfId="0">
      <alignment horizontal="center" textRotation="90"/>
    </xf>
    <xf numFmtId="0" fontId="1" fillId="8" borderId="1" applyAlignment="1" pivotButton="0" quotePrefix="0" xfId="0">
      <alignment horizontal="center" textRotation="90"/>
    </xf>
    <xf numFmtId="0" fontId="0" fillId="0" borderId="3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11" fillId="13" borderId="0" pivotButton="0" quotePrefix="0" xfId="0"/>
    <xf numFmtId="165" fontId="9" fillId="0" borderId="0" pivotButton="0" quotePrefix="0" xfId="0"/>
    <xf numFmtId="0" fontId="10" fillId="1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  <dxf>
      <fill>
        <patternFill patternType="solid">
          <fgColor rgb="00C8D6A1"/>
          <bgColor rgb="00C8D6A1"/>
        </patternFill>
      </fill>
    </dxf>
    <dxf>
      <fill>
        <patternFill patternType="solid">
          <fgColor rgb="00D09996"/>
          <bgColor rgb="00D0999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2"/>
  <sheetViews>
    <sheetView tabSelected="1"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sheetData>
    <row r="1" ht="125" customHeight="1">
      <c r="A1" s="21" t="inlineStr">
        <is>
          <t>Key</t>
        </is>
      </c>
      <c r="B1" s="21" t="inlineStr">
        <is>
          <t>Scouter PIN</t>
        </is>
      </c>
      <c r="C1" s="21" t="inlineStr">
        <is>
          <t>Match</t>
        </is>
      </c>
      <c r="D1" s="21" t="inlineStr">
        <is>
          <t>Alliance</t>
        </is>
      </c>
      <c r="E1" s="21" t="inlineStr">
        <is>
          <t>Team</t>
        </is>
      </c>
      <c r="F1" s="21" t="inlineStr">
        <is>
          <t>Climbing Attempted</t>
        </is>
      </c>
      <c r="G1" s="21" t="inlineStr">
        <is>
          <t>Robot Reach Level 1</t>
        </is>
      </c>
      <c r="H1" s="21" t="inlineStr">
        <is>
          <t>Robot Move in Auto</t>
        </is>
      </c>
      <c r="I1" s="21" t="inlineStr">
        <is>
          <t>A-Stop Activated</t>
        </is>
      </c>
      <c r="J1" s="21" t="inlineStr">
        <is>
          <t>Total Fuel Scored</t>
        </is>
      </c>
      <c r="K1" s="21" t="inlineStr">
        <is>
          <t>Speed to Shoot Fuel</t>
        </is>
      </c>
      <c r="L1" s="21" t="inlineStr">
        <is>
          <t>Accuracy to Shoot Fuel</t>
        </is>
      </c>
      <c r="M1" s="21" t="inlineStr">
        <is>
          <t>Number of Fuel Collected</t>
        </is>
      </c>
      <c r="N1" s="21" t="inlineStr">
        <is>
          <t>Duirng Inactive, did Collect</t>
        </is>
      </c>
      <c r="O1" s="21" t="inlineStr">
        <is>
          <t>During Inactive, did Pass</t>
        </is>
      </c>
      <c r="P1" s="21" t="inlineStr">
        <is>
          <t>Collect from Alliance Zone</t>
        </is>
      </c>
      <c r="Q1" s="21" t="inlineStr">
        <is>
          <t>Collect from Neutral Zone</t>
        </is>
      </c>
      <c r="R1" s="21" t="inlineStr">
        <is>
          <t>Was Intake Good</t>
        </is>
      </c>
      <c r="S1" s="21" t="inlineStr">
        <is>
          <t>Climb, Scucess, Level (Endgame)</t>
        </is>
      </c>
      <c r="T1" s="21" t="inlineStr">
        <is>
          <t>Defensive Whole Game</t>
        </is>
      </c>
      <c r="U1" s="21" t="inlineStr">
        <is>
          <t>Shot from Same Position</t>
        </is>
      </c>
      <c r="V1" s="21" t="inlineStr">
        <is>
          <t>Continue to Shoot Until End</t>
        </is>
      </c>
      <c r="W1" s="21" t="inlineStr">
        <is>
          <t>Grade Robot's Performance</t>
        </is>
      </c>
      <c r="X1" s="21" t="inlineStr">
        <is>
          <t>Result of Match (Postmatch)</t>
        </is>
      </c>
      <c r="Y1" s="21" t="inlineStr">
        <is>
          <t>Energized Ranking Point</t>
        </is>
      </c>
      <c r="Z1" s="21" t="inlineStr">
        <is>
          <t>Supercharged Ranking Point</t>
        </is>
      </c>
      <c r="AA1" s="21" t="inlineStr">
        <is>
          <t>Traversal Ranking Point</t>
        </is>
      </c>
      <c r="AB1" s="21" t="inlineStr">
        <is>
          <t>Total Points Scored</t>
        </is>
      </c>
      <c r="AC1" s="21" t="inlineStr">
        <is>
          <t>Comments</t>
        </is>
      </c>
    </row>
    <row r="2" ht="16" customHeight="1">
      <c r="A2" s="1" t="inlineStr">
        <is>
          <t>1.Blue 1</t>
        </is>
      </c>
      <c r="B2" s="2" t="inlineStr">
        <is>
          <t>Arthur Sayre</t>
        </is>
      </c>
      <c r="C2" s="2" t="n">
        <v>1</v>
      </c>
      <c r="D2" s="2" t="inlineStr">
        <is>
          <t>b1</t>
        </is>
      </c>
      <c r="E2" s="2" t="n">
        <v>5528</v>
      </c>
      <c r="F2" s="2" t="n">
        <v>0</v>
      </c>
      <c r="G2" s="2" t="n">
        <v>0</v>
      </c>
      <c r="H2" s="2" t="n">
        <v>1</v>
      </c>
      <c r="I2" s="2" t="n">
        <v>1</v>
      </c>
      <c r="J2" s="2" t="n">
        <v>2</v>
      </c>
      <c r="K2" s="2" t="n">
        <v>3</v>
      </c>
      <c r="L2" s="2" t="n">
        <v>1</v>
      </c>
      <c r="M2" s="2" t="n">
        <v>3</v>
      </c>
      <c r="N2" s="2" t="n">
        <v>1</v>
      </c>
      <c r="O2" s="2" t="n">
        <v>0</v>
      </c>
      <c r="P2" s="2" t="n">
        <v>0</v>
      </c>
      <c r="Q2" s="2" t="n">
        <v>1</v>
      </c>
      <c r="R2" s="2" t="n">
        <v>0</v>
      </c>
      <c r="S2" t="n">
        <v>3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1</v>
      </c>
      <c r="AB2" t="n">
        <v>262</v>
      </c>
      <c r="AC2" t="inlineStr">
        <is>
          <t>Hello World!</t>
        </is>
      </c>
    </row>
    <row r="3" ht="16" customHeight="1">
      <c r="A3" s="1" t="inlineStr">
        <is>
          <t>1.Blue 2</t>
        </is>
      </c>
      <c r="B3" s="2" t="inlineStr">
        <is>
          <t>Gianmarco D'Angelo</t>
        </is>
      </c>
      <c r="C3" s="2" t="n">
        <v>1</v>
      </c>
      <c r="D3" s="2" t="inlineStr">
        <is>
          <t>b2</t>
        </is>
      </c>
      <c r="E3" s="2" t="n">
        <v>1405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2</v>
      </c>
      <c r="K3" s="2" t="n">
        <v>1</v>
      </c>
      <c r="L3" s="2" t="n">
        <v>2</v>
      </c>
      <c r="M3" s="2" t="n">
        <v>2</v>
      </c>
      <c r="N3" s="2" t="n">
        <v>1</v>
      </c>
      <c r="O3" s="2" t="n">
        <v>1</v>
      </c>
      <c r="P3" s="2" t="n">
        <v>0</v>
      </c>
      <c r="Q3" s="2" t="n">
        <v>0</v>
      </c>
      <c r="R3" s="2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43</v>
      </c>
      <c r="AC3" t="inlineStr">
        <is>
          <t>Hello World!</t>
        </is>
      </c>
    </row>
    <row r="4" ht="16" customHeight="1">
      <c r="A4" s="1" t="inlineStr">
        <is>
          <t>1.Blue 3</t>
        </is>
      </c>
      <c r="B4" s="2" t="inlineStr">
        <is>
          <t>Celton Norter</t>
        </is>
      </c>
      <c r="C4" s="2" t="n">
        <v>1</v>
      </c>
      <c r="D4" s="2" t="inlineStr">
        <is>
          <t>b3</t>
        </is>
      </c>
      <c r="E4" s="2" t="n">
        <v>7030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2</v>
      </c>
      <c r="K4" s="2" t="n">
        <v>1</v>
      </c>
      <c r="L4" s="2" t="n">
        <v>1</v>
      </c>
      <c r="M4" s="2" t="n">
        <v>5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-1</v>
      </c>
      <c r="Y4" t="n">
        <v>1</v>
      </c>
      <c r="Z4" t="n">
        <v>1</v>
      </c>
      <c r="AA4" t="n">
        <v>1</v>
      </c>
      <c r="AB4" t="n">
        <v>24</v>
      </c>
      <c r="AC4" t="inlineStr">
        <is>
          <t>Hello World!</t>
        </is>
      </c>
    </row>
    <row r="5" ht="16" customHeight="1">
      <c r="A5" s="1" t="inlineStr">
        <is>
          <t>1.Red 1</t>
        </is>
      </c>
      <c r="B5" s="2" t="inlineStr">
        <is>
          <t>Domenic Giammusso</t>
        </is>
      </c>
      <c r="C5" s="2" t="n">
        <v>1</v>
      </c>
      <c r="D5" s="2" t="inlineStr">
        <is>
          <t>r1</t>
        </is>
      </c>
      <c r="E5" s="2" t="n">
        <v>810</v>
      </c>
      <c r="F5" s="2" t="n">
        <v>0</v>
      </c>
      <c r="G5" s="2" t="n">
        <v>1</v>
      </c>
      <c r="H5" s="2" t="n">
        <v>1</v>
      </c>
      <c r="I5" s="2" t="n">
        <v>1</v>
      </c>
      <c r="J5" s="2" t="n">
        <v>4</v>
      </c>
      <c r="K5" s="2" t="n">
        <v>1</v>
      </c>
      <c r="L5" s="2" t="n">
        <v>3</v>
      </c>
      <c r="M5" s="2" t="n">
        <v>5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1</v>
      </c>
      <c r="S5" t="n">
        <v>2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198</v>
      </c>
      <c r="AC5" t="inlineStr">
        <is>
          <t>Hello World!</t>
        </is>
      </c>
    </row>
    <row r="6" ht="16" customHeight="1">
      <c r="A6" s="1" t="inlineStr">
        <is>
          <t>1.Red 2</t>
        </is>
      </c>
      <c r="B6" s="2" t="inlineStr">
        <is>
          <t>Nathan DeVito</t>
        </is>
      </c>
      <c r="C6" s="2" t="n">
        <v>1</v>
      </c>
      <c r="D6" s="2" t="inlineStr">
        <is>
          <t>r2</t>
        </is>
      </c>
      <c r="E6" s="2" t="n">
        <v>564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5</v>
      </c>
      <c r="K6" s="2" t="n">
        <v>1</v>
      </c>
      <c r="L6" s="2" t="n">
        <v>3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0</v>
      </c>
      <c r="R6" s="2" t="n">
        <v>1</v>
      </c>
      <c r="S6" t="n">
        <v>2</v>
      </c>
      <c r="T6" t="n">
        <v>0</v>
      </c>
      <c r="U6" t="n">
        <v>1</v>
      </c>
      <c r="V6" t="n">
        <v>0</v>
      </c>
      <c r="W6" t="n">
        <v>1</v>
      </c>
      <c r="X6" t="n">
        <v>-1</v>
      </c>
      <c r="Y6" t="n">
        <v>1</v>
      </c>
      <c r="Z6" t="n">
        <v>1</v>
      </c>
      <c r="AA6" t="n">
        <v>1</v>
      </c>
      <c r="AB6" t="n">
        <v>173</v>
      </c>
      <c r="AC6" t="inlineStr">
        <is>
          <t>Hello World!</t>
        </is>
      </c>
    </row>
    <row r="7" ht="16" customHeight="1">
      <c r="A7" s="1" t="inlineStr">
        <is>
          <t>1.Red 3</t>
        </is>
      </c>
      <c r="B7" s="2" t="inlineStr">
        <is>
          <t>Gianmarco D'Angelo</t>
        </is>
      </c>
      <c r="C7" s="2" t="n">
        <v>1</v>
      </c>
      <c r="D7" s="2" t="inlineStr">
        <is>
          <t>r3</t>
        </is>
      </c>
      <c r="E7" s="2" t="n">
        <v>10922</v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5</v>
      </c>
      <c r="K7" s="2" t="n">
        <v>2</v>
      </c>
      <c r="L7" s="2" t="n">
        <v>2</v>
      </c>
      <c r="M7" s="2" t="n">
        <v>3</v>
      </c>
      <c r="N7" s="2" t="n">
        <v>0</v>
      </c>
      <c r="O7" s="2" t="n">
        <v>0</v>
      </c>
      <c r="P7" s="2" t="n">
        <v>0</v>
      </c>
      <c r="Q7" s="2" t="n">
        <v>1</v>
      </c>
      <c r="R7" s="2" t="n">
        <v>0</v>
      </c>
      <c r="S7" t="n">
        <v>2</v>
      </c>
      <c r="T7" t="n">
        <v>1</v>
      </c>
      <c r="U7" t="n">
        <v>1</v>
      </c>
      <c r="V7" t="n">
        <v>0</v>
      </c>
      <c r="W7" t="n">
        <v>1</v>
      </c>
      <c r="X7" t="n">
        <v>-1</v>
      </c>
      <c r="Y7" t="n">
        <v>0</v>
      </c>
      <c r="Z7" t="n">
        <v>0</v>
      </c>
      <c r="AA7" t="n">
        <v>0</v>
      </c>
      <c r="AB7" t="n">
        <v>2</v>
      </c>
      <c r="AC7" t="inlineStr">
        <is>
          <t>Hello World!</t>
        </is>
      </c>
    </row>
    <row r="8" ht="16" customHeight="1">
      <c r="A8" s="1" t="inlineStr">
        <is>
          <t>2.Blue 1</t>
        </is>
      </c>
      <c r="B8" s="2" t="inlineStr">
        <is>
          <t>Celton Norter</t>
        </is>
      </c>
      <c r="C8" s="2" t="n">
        <v>2</v>
      </c>
      <c r="D8" s="2" t="inlineStr">
        <is>
          <t>b1</t>
        </is>
      </c>
      <c r="E8" s="2" t="n">
        <v>1591</v>
      </c>
      <c r="F8" s="2" t="n">
        <v>1</v>
      </c>
      <c r="G8" s="2" t="n">
        <v>0</v>
      </c>
      <c r="H8" s="2" t="n">
        <v>0</v>
      </c>
      <c r="I8" s="2" t="n">
        <v>0</v>
      </c>
      <c r="J8" s="2" t="n">
        <v>4</v>
      </c>
      <c r="K8" s="2" t="n">
        <v>3</v>
      </c>
      <c r="L8" s="2" t="n">
        <v>3</v>
      </c>
      <c r="M8" s="2" t="n">
        <v>2</v>
      </c>
      <c r="N8" s="2" t="n">
        <v>0</v>
      </c>
      <c r="O8" s="2" t="n">
        <v>1</v>
      </c>
      <c r="P8" s="2" t="n">
        <v>0</v>
      </c>
      <c r="Q8" s="2" t="n">
        <v>0</v>
      </c>
      <c r="R8" s="2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149</v>
      </c>
      <c r="AC8" t="inlineStr">
        <is>
          <t>Hello World!</t>
        </is>
      </c>
    </row>
    <row r="9" ht="16" customHeight="1">
      <c r="A9" s="1" t="inlineStr">
        <is>
          <t>2.Blue 2</t>
        </is>
      </c>
      <c r="B9" s="2" t="inlineStr">
        <is>
          <t xml:space="preserve">Tetra Ukav </t>
        </is>
      </c>
      <c r="C9" s="2" t="n">
        <v>2</v>
      </c>
      <c r="D9" s="2" t="inlineStr">
        <is>
          <t>b2</t>
        </is>
      </c>
      <c r="E9" s="2" t="n">
        <v>432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4</v>
      </c>
      <c r="K9" s="2" t="n">
        <v>3</v>
      </c>
      <c r="L9" s="2" t="n">
        <v>3</v>
      </c>
      <c r="M9" s="2" t="n">
        <v>2</v>
      </c>
      <c r="N9" s="2" t="n">
        <v>1</v>
      </c>
      <c r="O9" s="2" t="n">
        <v>0</v>
      </c>
      <c r="P9" s="2" t="n">
        <v>1</v>
      </c>
      <c r="Q9" s="2" t="n">
        <v>1</v>
      </c>
      <c r="R9" s="2" t="n">
        <v>1</v>
      </c>
      <c r="S9" t="n">
        <v>1</v>
      </c>
      <c r="T9" t="n">
        <v>0</v>
      </c>
      <c r="U9" t="n">
        <v>0</v>
      </c>
      <c r="V9" t="n">
        <v>1</v>
      </c>
      <c r="W9" t="n">
        <v>4</v>
      </c>
      <c r="X9" t="n">
        <v>0</v>
      </c>
      <c r="Y9" t="n">
        <v>1</v>
      </c>
      <c r="Z9" t="n">
        <v>1</v>
      </c>
      <c r="AA9" t="n">
        <v>1</v>
      </c>
      <c r="AB9" t="n">
        <v>207</v>
      </c>
      <c r="AC9" t="inlineStr">
        <is>
          <t>Hello World!</t>
        </is>
      </c>
    </row>
    <row r="10" ht="16" customHeight="1">
      <c r="A10" s="1" t="inlineStr">
        <is>
          <t>2.Blue 3</t>
        </is>
      </c>
      <c r="B10" s="2" t="inlineStr">
        <is>
          <t>Carter Silva</t>
        </is>
      </c>
      <c r="C10" s="2" t="n">
        <v>2</v>
      </c>
      <c r="D10" s="2" t="inlineStr">
        <is>
          <t>b3</t>
        </is>
      </c>
      <c r="E10" s="2" t="n">
        <v>1468</v>
      </c>
      <c r="F10" s="2" t="n">
        <v>1</v>
      </c>
      <c r="G10" s="2" t="n">
        <v>0</v>
      </c>
      <c r="H10" s="2" t="n">
        <v>1</v>
      </c>
      <c r="I10" s="2" t="n">
        <v>1</v>
      </c>
      <c r="J10" s="2" t="n">
        <v>4</v>
      </c>
      <c r="K10" s="2" t="n">
        <v>3</v>
      </c>
      <c r="L10" s="2" t="n">
        <v>3</v>
      </c>
      <c r="M10" s="2" t="n">
        <v>4</v>
      </c>
      <c r="N10" s="2" t="n">
        <v>1</v>
      </c>
      <c r="O10" s="2" t="n">
        <v>0</v>
      </c>
      <c r="P10" s="2" t="n">
        <v>1</v>
      </c>
      <c r="Q10" s="2" t="n">
        <v>0</v>
      </c>
      <c r="R10" s="2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n">
        <v>260</v>
      </c>
      <c r="AC10" t="inlineStr">
        <is>
          <t>Hello World!</t>
        </is>
      </c>
    </row>
    <row r="11" ht="16" customHeight="1">
      <c r="A11" s="1" t="inlineStr">
        <is>
          <t>2.Red 1</t>
        </is>
      </c>
      <c r="B11" s="2" t="inlineStr">
        <is>
          <t>Dean Blanchard</t>
        </is>
      </c>
      <c r="C11" s="2" t="n">
        <v>2</v>
      </c>
      <c r="D11" s="2" t="inlineStr">
        <is>
          <t>r1</t>
        </is>
      </c>
      <c r="E11" s="2" t="n">
        <v>1559</v>
      </c>
      <c r="F11" s="2" t="n">
        <v>0</v>
      </c>
      <c r="G11" s="2" t="n">
        <v>1</v>
      </c>
      <c r="H11" s="2" t="n">
        <v>1</v>
      </c>
      <c r="I11" s="2" t="n">
        <v>0</v>
      </c>
      <c r="J11" s="2" t="n">
        <v>4</v>
      </c>
      <c r="K11" s="2" t="n">
        <v>3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1</v>
      </c>
      <c r="S11" t="n">
        <v>3</v>
      </c>
      <c r="T11" t="n">
        <v>0</v>
      </c>
      <c r="U11" t="n">
        <v>0</v>
      </c>
      <c r="V11" t="n">
        <v>1</v>
      </c>
      <c r="W11" t="n">
        <v>2</v>
      </c>
      <c r="X11" t="n">
        <v>0</v>
      </c>
      <c r="Y11" t="n">
        <v>1</v>
      </c>
      <c r="Z11" t="n">
        <v>0</v>
      </c>
      <c r="AA11" t="n">
        <v>0</v>
      </c>
      <c r="AB11" t="n">
        <v>44</v>
      </c>
      <c r="AC11" t="inlineStr">
        <is>
          <t>Hello World!</t>
        </is>
      </c>
    </row>
    <row r="12" ht="16" customHeight="1">
      <c r="A12" s="1" t="inlineStr">
        <is>
          <t>2.Red 2</t>
        </is>
      </c>
      <c r="B12" s="2" t="inlineStr">
        <is>
          <t>Andrew Crawford</t>
        </is>
      </c>
      <c r="C12" s="2" t="n">
        <v>2</v>
      </c>
      <c r="D12" s="2" t="inlineStr">
        <is>
          <t>r2</t>
        </is>
      </c>
      <c r="E12" s="2" t="n">
        <v>4253</v>
      </c>
      <c r="F12" s="2" t="n">
        <v>0</v>
      </c>
      <c r="G12" s="2" t="n">
        <v>1</v>
      </c>
      <c r="H12" s="2" t="n">
        <v>1</v>
      </c>
      <c r="I12" s="2" t="n">
        <v>-1</v>
      </c>
      <c r="J12" s="2" t="n">
        <v>5</v>
      </c>
      <c r="K12" s="2" t="n">
        <v>1</v>
      </c>
      <c r="L12" s="2" t="n">
        <v>3</v>
      </c>
      <c r="M12" s="2" t="n">
        <v>2</v>
      </c>
      <c r="N12" s="2" t="n">
        <v>0</v>
      </c>
      <c r="O12" s="2" t="n">
        <v>1</v>
      </c>
      <c r="P12" s="2" t="n">
        <v>1</v>
      </c>
      <c r="Q12" s="2" t="n">
        <v>1</v>
      </c>
      <c r="R12" s="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5</v>
      </c>
      <c r="X12" t="n">
        <v>1</v>
      </c>
      <c r="Y12" t="n">
        <v>1</v>
      </c>
      <c r="Z12" t="n">
        <v>0</v>
      </c>
      <c r="AA12" t="n">
        <v>0</v>
      </c>
      <c r="AB12" t="n">
        <v>246</v>
      </c>
      <c r="AC12" t="inlineStr">
        <is>
          <t>Hello World!</t>
        </is>
      </c>
    </row>
    <row r="13" ht="16" customHeight="1">
      <c r="A13" s="1" t="inlineStr">
        <is>
          <t>2.Red 3</t>
        </is>
      </c>
      <c r="B13" s="2" t="inlineStr">
        <is>
          <t>Celton Norter</t>
        </is>
      </c>
      <c r="C13" s="2" t="n">
        <v>2</v>
      </c>
      <c r="D13" s="2" t="inlineStr">
        <is>
          <t>r3</t>
        </is>
      </c>
      <c r="E13" s="2" t="n">
        <v>271</v>
      </c>
      <c r="F13" s="2" t="n">
        <v>1</v>
      </c>
      <c r="G13" s="2" t="n">
        <v>1</v>
      </c>
      <c r="H13" s="2" t="n">
        <v>0</v>
      </c>
      <c r="I13" s="2" t="n">
        <v>-1</v>
      </c>
      <c r="J13" s="2" t="n">
        <v>4</v>
      </c>
      <c r="K13" s="2" t="n">
        <v>2</v>
      </c>
      <c r="L13" s="2" t="n">
        <v>3</v>
      </c>
      <c r="M13" s="2" t="n">
        <v>1</v>
      </c>
      <c r="N13" s="2" t="n">
        <v>1</v>
      </c>
      <c r="O13" s="2" t="n">
        <v>0</v>
      </c>
      <c r="P13" s="2" t="n">
        <v>1</v>
      </c>
      <c r="Q13" s="2" t="n">
        <v>0</v>
      </c>
      <c r="R13" s="2" t="n">
        <v>1</v>
      </c>
      <c r="S13" t="n">
        <v>-1</v>
      </c>
      <c r="T13" t="n">
        <v>1</v>
      </c>
      <c r="U13" t="n">
        <v>1</v>
      </c>
      <c r="V13" t="n">
        <v>1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298</v>
      </c>
      <c r="AC13" t="inlineStr">
        <is>
          <t>Hello World!</t>
        </is>
      </c>
    </row>
    <row r="14" ht="16" customHeight="1">
      <c r="A14" s="1" t="inlineStr">
        <is>
          <t>3.Blue 1</t>
        </is>
      </c>
      <c r="B14" s="2" t="inlineStr">
        <is>
          <t>Celton Norter</t>
        </is>
      </c>
      <c r="C14" s="2" t="n">
        <v>3</v>
      </c>
      <c r="D14" s="2" t="inlineStr">
        <is>
          <t>b1</t>
        </is>
      </c>
      <c r="E14" s="2" t="n">
        <v>10223</v>
      </c>
      <c r="F14" s="2" t="n">
        <v>0</v>
      </c>
      <c r="G14" s="2" t="n">
        <v>1</v>
      </c>
      <c r="H14" s="2" t="n">
        <v>0</v>
      </c>
      <c r="I14" s="2" t="n">
        <v>1</v>
      </c>
      <c r="J14" s="2" t="n">
        <v>5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0</v>
      </c>
      <c r="P14" s="2" t="n">
        <v>1</v>
      </c>
      <c r="Q14" s="2" t="n">
        <v>1</v>
      </c>
      <c r="R14" s="2" t="n">
        <v>0</v>
      </c>
      <c r="S14" t="n">
        <v>3</v>
      </c>
      <c r="T14" t="n">
        <v>1</v>
      </c>
      <c r="U14" t="n">
        <v>0</v>
      </c>
      <c r="V14" t="n">
        <v>1</v>
      </c>
      <c r="W14" t="n">
        <v>4</v>
      </c>
      <c r="X14" t="n">
        <v>0</v>
      </c>
      <c r="Y14" t="n">
        <v>0</v>
      </c>
      <c r="Z14" t="n">
        <v>1</v>
      </c>
      <c r="AA14" t="n">
        <v>0</v>
      </c>
      <c r="AB14" t="n">
        <v>248</v>
      </c>
      <c r="AC14" t="inlineStr">
        <is>
          <t>Hello World!</t>
        </is>
      </c>
    </row>
    <row r="15" ht="16" customHeight="1">
      <c r="A15" s="1" t="inlineStr">
        <is>
          <t>3.Blue 2</t>
        </is>
      </c>
      <c r="B15" s="2" t="inlineStr">
        <is>
          <t>Gianmarco D'Angelo</t>
        </is>
      </c>
      <c r="C15" s="2" t="n">
        <v>3</v>
      </c>
      <c r="D15" s="2" t="inlineStr">
        <is>
          <t>b2</t>
        </is>
      </c>
      <c r="E15" s="2" t="n">
        <v>191</v>
      </c>
      <c r="F15" s="2" t="n">
        <v>0</v>
      </c>
      <c r="G15" s="2" t="n">
        <v>1</v>
      </c>
      <c r="H15" s="2" t="n">
        <v>0</v>
      </c>
      <c r="I15" s="2" t="n">
        <v>-1</v>
      </c>
      <c r="J15" s="2" t="n">
        <v>1</v>
      </c>
      <c r="K15" s="2" t="n">
        <v>3</v>
      </c>
      <c r="L15" s="2" t="n">
        <v>3</v>
      </c>
      <c r="M15" s="2" t="n">
        <v>3</v>
      </c>
      <c r="N15" s="2" t="n">
        <v>0</v>
      </c>
      <c r="O15" s="2" t="n">
        <v>0</v>
      </c>
      <c r="P15" s="2" t="n">
        <v>1</v>
      </c>
      <c r="Q15" s="2" t="n">
        <v>0</v>
      </c>
      <c r="R15" s="2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4</v>
      </c>
      <c r="X15" t="n">
        <v>1</v>
      </c>
      <c r="Y15" t="n">
        <v>0</v>
      </c>
      <c r="Z15" t="n">
        <v>1</v>
      </c>
      <c r="AA15" t="n">
        <v>1</v>
      </c>
      <c r="AB15" t="n">
        <v>67</v>
      </c>
      <c r="AC15" t="inlineStr">
        <is>
          <t>Hello World!</t>
        </is>
      </c>
    </row>
    <row r="16" ht="16" customHeight="1">
      <c r="A16" s="1" t="inlineStr">
        <is>
          <t>3.Blue 3</t>
        </is>
      </c>
      <c r="B16" s="2" t="inlineStr">
        <is>
          <t>Domenic Giammusso</t>
        </is>
      </c>
      <c r="C16" s="2" t="n">
        <v>3</v>
      </c>
      <c r="D16" s="2" t="inlineStr">
        <is>
          <t>b3</t>
        </is>
      </c>
      <c r="E16" s="2" t="n">
        <v>578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2</v>
      </c>
      <c r="K16" s="2" t="n">
        <v>1</v>
      </c>
      <c r="L16" s="2" t="n">
        <v>3</v>
      </c>
      <c r="M16" s="2" t="n">
        <v>5</v>
      </c>
      <c r="N16" s="2" t="n">
        <v>1</v>
      </c>
      <c r="O16" s="2" t="n">
        <v>1</v>
      </c>
      <c r="P16" s="2" t="n">
        <v>1</v>
      </c>
      <c r="Q16" s="2" t="n">
        <v>1</v>
      </c>
      <c r="R16" s="2" t="n">
        <v>0</v>
      </c>
      <c r="S16" t="n">
        <v>3</v>
      </c>
      <c r="T16" t="n">
        <v>0</v>
      </c>
      <c r="U16" t="n">
        <v>0</v>
      </c>
      <c r="V16" t="n">
        <v>1</v>
      </c>
      <c r="W16" t="n">
        <v>1</v>
      </c>
      <c r="X16" t="n">
        <v>-1</v>
      </c>
      <c r="Y16" t="n">
        <v>1</v>
      </c>
      <c r="Z16" t="n">
        <v>0</v>
      </c>
      <c r="AA16" t="n">
        <v>0</v>
      </c>
      <c r="AB16" t="n">
        <v>172</v>
      </c>
      <c r="AC16" t="inlineStr">
        <is>
          <t>Hello World!</t>
        </is>
      </c>
    </row>
    <row r="17" ht="16" customHeight="1">
      <c r="A17" s="1" t="inlineStr">
        <is>
          <t>3.Red 1</t>
        </is>
      </c>
      <c r="B17" s="2" t="inlineStr">
        <is>
          <t>Carter Silva</t>
        </is>
      </c>
      <c r="C17" s="2" t="n">
        <v>3</v>
      </c>
      <c r="D17" s="2" t="inlineStr">
        <is>
          <t>r1</t>
        </is>
      </c>
      <c r="E17" s="2" t="n">
        <v>3173</v>
      </c>
      <c r="F17" s="2" t="n">
        <v>0</v>
      </c>
      <c r="G17" s="2" t="n">
        <v>0</v>
      </c>
      <c r="H17" s="2" t="n">
        <v>0</v>
      </c>
      <c r="I17" s="2" t="n">
        <v>-1</v>
      </c>
      <c r="J17" s="2" t="n">
        <v>2</v>
      </c>
      <c r="K17" s="2" t="n">
        <v>1</v>
      </c>
      <c r="L17" s="2" t="n">
        <v>3</v>
      </c>
      <c r="M17" s="2" t="n">
        <v>2</v>
      </c>
      <c r="N17" s="2" t="n">
        <v>1</v>
      </c>
      <c r="O17" s="2" t="n">
        <v>0</v>
      </c>
      <c r="P17" s="2" t="n">
        <v>1</v>
      </c>
      <c r="Q17" s="2" t="n">
        <v>1</v>
      </c>
      <c r="R17" s="2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-1</v>
      </c>
      <c r="Y17" t="n">
        <v>0</v>
      </c>
      <c r="Z17" t="n">
        <v>0</v>
      </c>
      <c r="AA17" t="n">
        <v>0</v>
      </c>
      <c r="AB17" t="n">
        <v>146</v>
      </c>
      <c r="AC17" t="inlineStr">
        <is>
          <t>Hello World!</t>
        </is>
      </c>
    </row>
    <row r="18" ht="16" customHeight="1">
      <c r="A18" s="1" t="inlineStr">
        <is>
          <t>3.Red 2</t>
        </is>
      </c>
      <c r="B18" s="2" t="inlineStr">
        <is>
          <t>Dean Blanchard</t>
        </is>
      </c>
      <c r="C18" s="2" t="n">
        <v>3</v>
      </c>
      <c r="D18" s="2" t="inlineStr">
        <is>
          <t>r2</t>
        </is>
      </c>
      <c r="E18" s="2" t="n">
        <v>7903</v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5</v>
      </c>
      <c r="K18" s="2" t="n">
        <v>2</v>
      </c>
      <c r="L18" s="2" t="n">
        <v>2</v>
      </c>
      <c r="M18" s="2" t="n">
        <v>5</v>
      </c>
      <c r="N18" s="2" t="n">
        <v>0</v>
      </c>
      <c r="O18" s="2" t="n">
        <v>1</v>
      </c>
      <c r="P18" s="2" t="n">
        <v>1</v>
      </c>
      <c r="Q18" s="2" t="n">
        <v>0</v>
      </c>
      <c r="R18" s="2" t="n">
        <v>0</v>
      </c>
      <c r="S18" t="n">
        <v>3</v>
      </c>
      <c r="T18" t="n">
        <v>1</v>
      </c>
      <c r="U18" t="n">
        <v>1</v>
      </c>
      <c r="V18" t="n">
        <v>0</v>
      </c>
      <c r="W18" t="n">
        <v>3</v>
      </c>
      <c r="X18" t="n">
        <v>1</v>
      </c>
      <c r="Y18" t="n">
        <v>1</v>
      </c>
      <c r="Z18" t="n">
        <v>0</v>
      </c>
      <c r="AA18" t="n">
        <v>0</v>
      </c>
      <c r="AB18" t="n">
        <v>42</v>
      </c>
      <c r="AC18" t="inlineStr">
        <is>
          <t>Hello World!</t>
        </is>
      </c>
    </row>
    <row r="19" ht="16" customHeight="1">
      <c r="A19" s="1" t="inlineStr">
        <is>
          <t>3.Red 3</t>
        </is>
      </c>
      <c r="B19" s="2" t="inlineStr">
        <is>
          <t>Madison DeCicca</t>
        </is>
      </c>
      <c r="C19" s="2" t="n">
        <v>3</v>
      </c>
      <c r="D19" s="2" t="inlineStr">
        <is>
          <t>r3</t>
        </is>
      </c>
      <c r="E19" s="2" t="n">
        <v>3015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4</v>
      </c>
      <c r="K19" s="2" t="n">
        <v>2</v>
      </c>
      <c r="L19" s="2" t="n">
        <v>2</v>
      </c>
      <c r="M19" s="2" t="n">
        <v>3</v>
      </c>
      <c r="N19" s="2" t="n">
        <v>1</v>
      </c>
      <c r="O19" s="2" t="n">
        <v>0</v>
      </c>
      <c r="P19" s="2" t="n">
        <v>1</v>
      </c>
      <c r="Q19" s="2" t="n">
        <v>0</v>
      </c>
      <c r="R19" s="2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-1</v>
      </c>
      <c r="Y19" t="n">
        <v>1</v>
      </c>
      <c r="Z19" t="n">
        <v>0</v>
      </c>
      <c r="AA19" t="n">
        <v>1</v>
      </c>
      <c r="AB19" t="n">
        <v>262</v>
      </c>
      <c r="AC19" t="inlineStr">
        <is>
          <t>Hello World!</t>
        </is>
      </c>
    </row>
    <row r="20" ht="16" customHeight="1">
      <c r="A20" s="1" t="inlineStr">
        <is>
          <t>4.Blue 1</t>
        </is>
      </c>
      <c r="B20" s="2" t="inlineStr">
        <is>
          <t>Runa Hunt</t>
        </is>
      </c>
      <c r="C20" s="2" t="n">
        <v>4</v>
      </c>
      <c r="D20" s="2" t="inlineStr">
        <is>
          <t>b1</t>
        </is>
      </c>
      <c r="E20" s="2" t="n">
        <v>1511</v>
      </c>
      <c r="F20" s="2" t="n">
        <v>0</v>
      </c>
      <c r="G20" s="2" t="n">
        <v>0</v>
      </c>
      <c r="H20" s="2" t="n">
        <v>0</v>
      </c>
      <c r="I20" s="2" t="n">
        <v>1</v>
      </c>
      <c r="J20" s="2" t="n">
        <v>2</v>
      </c>
      <c r="K20" s="2" t="n">
        <v>3</v>
      </c>
      <c r="L20" s="2" t="n">
        <v>1</v>
      </c>
      <c r="M20" s="2" t="n">
        <v>5</v>
      </c>
      <c r="N20" s="2" t="n">
        <v>0</v>
      </c>
      <c r="O20" s="2" t="n">
        <v>0</v>
      </c>
      <c r="P20" s="2" t="n">
        <v>0</v>
      </c>
      <c r="Q20" s="2" t="n">
        <v>1</v>
      </c>
      <c r="R20" s="2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2</v>
      </c>
      <c r="X20" t="n">
        <v>-1</v>
      </c>
      <c r="Y20" t="n">
        <v>1</v>
      </c>
      <c r="Z20" t="n">
        <v>1</v>
      </c>
      <c r="AA20" t="n">
        <v>1</v>
      </c>
      <c r="AB20" t="n">
        <v>76</v>
      </c>
      <c r="AC20" t="inlineStr">
        <is>
          <t>Hello World!</t>
        </is>
      </c>
    </row>
    <row r="21" ht="16" customHeight="1">
      <c r="A21" s="1" t="inlineStr">
        <is>
          <t>4.Blue 2</t>
        </is>
      </c>
      <c r="B21" s="2" t="inlineStr">
        <is>
          <t>Caitlin Munier</t>
        </is>
      </c>
      <c r="C21" s="2" t="n">
        <v>4</v>
      </c>
      <c r="D21" s="2" t="inlineStr">
        <is>
          <t>b2</t>
        </is>
      </c>
      <c r="E21" s="2" t="n">
        <v>3951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1</v>
      </c>
      <c r="K21" s="2" t="n">
        <v>3</v>
      </c>
      <c r="L21" s="2" t="n">
        <v>1</v>
      </c>
      <c r="M21" s="2" t="n">
        <v>2</v>
      </c>
      <c r="N21" s="2" t="n">
        <v>0</v>
      </c>
      <c r="O21" s="2" t="n">
        <v>0</v>
      </c>
      <c r="P21" s="2" t="n">
        <v>0</v>
      </c>
      <c r="Q21" s="2" t="n">
        <v>1</v>
      </c>
      <c r="R21" s="2" t="n">
        <v>1</v>
      </c>
      <c r="S21" t="n">
        <v>3</v>
      </c>
      <c r="T21" t="n">
        <v>1</v>
      </c>
      <c r="U21" t="n">
        <v>0</v>
      </c>
      <c r="V21" t="n">
        <v>1</v>
      </c>
      <c r="W21" t="n">
        <v>1</v>
      </c>
      <c r="X21" t="n">
        <v>-1</v>
      </c>
      <c r="Y21" t="n">
        <v>0</v>
      </c>
      <c r="Z21" t="n">
        <v>1</v>
      </c>
      <c r="AA21" t="n">
        <v>0</v>
      </c>
      <c r="AB21" t="n">
        <v>55</v>
      </c>
      <c r="AC21" t="inlineStr">
        <is>
          <t>Hello World!</t>
        </is>
      </c>
    </row>
    <row r="22" ht="16" customHeight="1">
      <c r="A22" s="1" t="inlineStr">
        <is>
          <t>4.Blue 3</t>
        </is>
      </c>
      <c r="B22" s="2" t="inlineStr">
        <is>
          <t>Arthur Sayre</t>
        </is>
      </c>
      <c r="C22" s="2" t="n">
        <v>4</v>
      </c>
      <c r="D22" s="2" t="inlineStr">
        <is>
          <t>b3</t>
        </is>
      </c>
      <c r="E22" s="2" t="n">
        <v>4458</v>
      </c>
      <c r="F22" s="2" t="n">
        <v>0</v>
      </c>
      <c r="G22" s="2" t="n">
        <v>1</v>
      </c>
      <c r="H22" s="2" t="n">
        <v>1</v>
      </c>
      <c r="I22" s="2" t="n">
        <v>-1</v>
      </c>
      <c r="J22" s="2" t="n">
        <v>2</v>
      </c>
      <c r="K22" s="2" t="n">
        <v>3</v>
      </c>
      <c r="L22" s="2" t="n">
        <v>1</v>
      </c>
      <c r="M22" s="2" t="n">
        <v>2</v>
      </c>
      <c r="N22" s="2" t="n">
        <v>0</v>
      </c>
      <c r="O22" s="2" t="n">
        <v>0</v>
      </c>
      <c r="P22" s="2" t="n">
        <v>1</v>
      </c>
      <c r="Q22" s="2" t="n">
        <v>1</v>
      </c>
      <c r="R22" s="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4</v>
      </c>
      <c r="X22" t="n">
        <v>-1</v>
      </c>
      <c r="Y22" t="n">
        <v>1</v>
      </c>
      <c r="Z22" t="n">
        <v>0</v>
      </c>
      <c r="AA22" t="n">
        <v>0</v>
      </c>
      <c r="AB22" t="n">
        <v>117</v>
      </c>
      <c r="AC22" t="inlineStr">
        <is>
          <t>Hello World!</t>
        </is>
      </c>
    </row>
    <row r="23" ht="16" customHeight="1">
      <c r="A23" s="1" t="inlineStr">
        <is>
          <t>4.Red 1</t>
        </is>
      </c>
      <c r="B23" s="2" t="inlineStr">
        <is>
          <t>Eli Harrison</t>
        </is>
      </c>
      <c r="C23" s="2" t="n">
        <v>4</v>
      </c>
      <c r="D23" s="2" t="inlineStr">
        <is>
          <t>r1</t>
        </is>
      </c>
      <c r="E23" s="2" t="n">
        <v>1518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3</v>
      </c>
      <c r="K23" s="2" t="n">
        <v>2</v>
      </c>
      <c r="L23" s="2" t="n">
        <v>3</v>
      </c>
      <c r="M23" s="2" t="n">
        <v>4</v>
      </c>
      <c r="N23" s="2" t="n">
        <v>0</v>
      </c>
      <c r="O23" s="2" t="n">
        <v>1</v>
      </c>
      <c r="P23" s="2" t="n">
        <v>1</v>
      </c>
      <c r="Q23" s="2" t="n">
        <v>1</v>
      </c>
      <c r="R23" s="2" t="n">
        <v>0</v>
      </c>
      <c r="S23" t="n">
        <v>3</v>
      </c>
      <c r="T23" t="n">
        <v>1</v>
      </c>
      <c r="U23" t="n">
        <v>1</v>
      </c>
      <c r="V23" t="n">
        <v>0</v>
      </c>
      <c r="W23" t="n">
        <v>5</v>
      </c>
      <c r="X23" t="n">
        <v>-1</v>
      </c>
      <c r="Y23" t="n">
        <v>0</v>
      </c>
      <c r="Z23" t="n">
        <v>1</v>
      </c>
      <c r="AA23" t="n">
        <v>1</v>
      </c>
      <c r="AB23" t="n">
        <v>238</v>
      </c>
      <c r="AC23" t="inlineStr">
        <is>
          <t>Hello World!</t>
        </is>
      </c>
    </row>
    <row r="24" ht="16" customHeight="1">
      <c r="A24" s="1" t="inlineStr">
        <is>
          <t>4.Red 2</t>
        </is>
      </c>
      <c r="B24" s="2" t="inlineStr">
        <is>
          <t>Connor Rapp</t>
        </is>
      </c>
      <c r="C24" s="2" t="n">
        <v>4</v>
      </c>
      <c r="D24" s="2" t="inlineStr">
        <is>
          <t>r2</t>
        </is>
      </c>
      <c r="E24" s="2" t="n">
        <v>3799</v>
      </c>
      <c r="F24" s="2" t="n">
        <v>0</v>
      </c>
      <c r="G24" s="2" t="n">
        <v>0</v>
      </c>
      <c r="H24" s="2" t="n">
        <v>0</v>
      </c>
      <c r="I24" s="2" t="n">
        <v>1</v>
      </c>
      <c r="J24" s="2" t="n">
        <v>2</v>
      </c>
      <c r="K24" s="2" t="n">
        <v>2</v>
      </c>
      <c r="L24" s="2" t="n">
        <v>1</v>
      </c>
      <c r="M24" s="2" t="n">
        <v>5</v>
      </c>
      <c r="N24" s="2" t="n">
        <v>1</v>
      </c>
      <c r="O24" s="2" t="n">
        <v>0</v>
      </c>
      <c r="P24" s="2" t="n">
        <v>1</v>
      </c>
      <c r="Q24" s="2" t="n">
        <v>0</v>
      </c>
      <c r="R24" s="2" t="n">
        <v>0</v>
      </c>
      <c r="S24" t="n">
        <v>3</v>
      </c>
      <c r="T24" t="n">
        <v>1</v>
      </c>
      <c r="U24" t="n">
        <v>0</v>
      </c>
      <c r="V24" t="n">
        <v>0</v>
      </c>
      <c r="W24" t="n">
        <v>4</v>
      </c>
      <c r="X24" t="n">
        <v>1</v>
      </c>
      <c r="Y24" t="n">
        <v>0</v>
      </c>
      <c r="Z24" t="n">
        <v>0</v>
      </c>
      <c r="AA24" t="n">
        <v>1</v>
      </c>
      <c r="AB24" t="n">
        <v>205</v>
      </c>
      <c r="AC24" t="inlineStr">
        <is>
          <t>Hello World!</t>
        </is>
      </c>
    </row>
    <row r="25" ht="16" customHeight="1">
      <c r="A25" s="1" t="inlineStr">
        <is>
          <t>4.Red 3</t>
        </is>
      </c>
      <c r="B25" s="2" t="inlineStr">
        <is>
          <t>Jonah WoikaKai Wilbur</t>
        </is>
      </c>
      <c r="C25" s="2" t="n">
        <v>4</v>
      </c>
      <c r="D25" s="2" t="inlineStr">
        <is>
          <t>r3</t>
        </is>
      </c>
      <c r="E25" s="2" t="n">
        <v>378</v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2</v>
      </c>
      <c r="K25" s="2" t="n">
        <v>1</v>
      </c>
      <c r="L25" s="2" t="n">
        <v>3</v>
      </c>
      <c r="M25" s="2" t="n">
        <v>1</v>
      </c>
      <c r="N25" s="2" t="n">
        <v>0</v>
      </c>
      <c r="O25" s="2" t="n">
        <v>1</v>
      </c>
      <c r="P25" s="2" t="n">
        <v>0</v>
      </c>
      <c r="Q25" s="2" t="n">
        <v>1</v>
      </c>
      <c r="R25" s="2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19</v>
      </c>
      <c r="AC25" t="inlineStr">
        <is>
          <t>Hello World!</t>
        </is>
      </c>
    </row>
    <row r="26" ht="16" customHeight="1">
      <c r="A26" s="1" t="inlineStr">
        <is>
          <t>5.Blue 1</t>
        </is>
      </c>
      <c r="B26" s="2" t="inlineStr">
        <is>
          <t>Caitlin Munier</t>
        </is>
      </c>
      <c r="C26" s="2" t="n">
        <v>5</v>
      </c>
      <c r="D26" s="2" t="inlineStr">
        <is>
          <t>b1</t>
        </is>
      </c>
      <c r="E26" s="2" t="n">
        <v>5590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5</v>
      </c>
      <c r="K26" s="2" t="n">
        <v>3</v>
      </c>
      <c r="L26" s="2" t="n">
        <v>2</v>
      </c>
      <c r="M26" s="2" t="n">
        <v>1</v>
      </c>
      <c r="N26" s="2" t="n">
        <v>0</v>
      </c>
      <c r="O26" s="2" t="n">
        <v>1</v>
      </c>
      <c r="P26" s="2" t="n">
        <v>1</v>
      </c>
      <c r="Q26" s="2" t="n">
        <v>0</v>
      </c>
      <c r="R26" s="2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5</v>
      </c>
      <c r="X26" t="n">
        <v>-1</v>
      </c>
      <c r="Y26" t="n">
        <v>1</v>
      </c>
      <c r="Z26" t="n">
        <v>0</v>
      </c>
      <c r="AA26" t="n">
        <v>0</v>
      </c>
      <c r="AB26" t="n">
        <v>104</v>
      </c>
      <c r="AC26" t="inlineStr">
        <is>
          <t>Hello World!</t>
        </is>
      </c>
    </row>
    <row r="27" ht="16" customHeight="1">
      <c r="A27" s="1" t="inlineStr">
        <is>
          <t>5.Blue 2</t>
        </is>
      </c>
      <c r="B27" s="2" t="inlineStr">
        <is>
          <t>Nathan DeVito</t>
        </is>
      </c>
      <c r="C27" s="2" t="n">
        <v>5</v>
      </c>
      <c r="D27" s="2" t="inlineStr">
        <is>
          <t>b2</t>
        </is>
      </c>
      <c r="E27" s="2" t="n">
        <v>6423</v>
      </c>
      <c r="F27" s="2" t="n">
        <v>0</v>
      </c>
      <c r="G27" s="2" t="n">
        <v>1</v>
      </c>
      <c r="H27" s="2" t="n">
        <v>1</v>
      </c>
      <c r="I27" s="2" t="n">
        <v>0</v>
      </c>
      <c r="J27" s="2" t="n">
        <v>1</v>
      </c>
      <c r="K27" s="2" t="n">
        <v>2</v>
      </c>
      <c r="L27" s="2" t="n">
        <v>2</v>
      </c>
      <c r="M27" s="2" t="n">
        <v>1</v>
      </c>
      <c r="N27" s="2" t="n">
        <v>1</v>
      </c>
      <c r="O27" s="2" t="n">
        <v>0</v>
      </c>
      <c r="P27" s="2" t="n">
        <v>0</v>
      </c>
      <c r="Q27" s="2" t="n">
        <v>0</v>
      </c>
      <c r="R27" s="2" t="n">
        <v>0</v>
      </c>
      <c r="S27" t="n">
        <v>-1</v>
      </c>
      <c r="T27" t="n">
        <v>1</v>
      </c>
      <c r="U27" t="n">
        <v>1</v>
      </c>
      <c r="V27" t="n">
        <v>1</v>
      </c>
      <c r="W27" t="n">
        <v>4</v>
      </c>
      <c r="X27" t="n">
        <v>1</v>
      </c>
      <c r="Y27" t="n">
        <v>0</v>
      </c>
      <c r="Z27" t="n">
        <v>0</v>
      </c>
      <c r="AA27" t="n">
        <v>1</v>
      </c>
      <c r="AB27" t="n">
        <v>144</v>
      </c>
      <c r="AC27" t="inlineStr">
        <is>
          <t>Hello World!</t>
        </is>
      </c>
    </row>
    <row r="28" ht="16" customHeight="1">
      <c r="A28" s="1" t="inlineStr">
        <is>
          <t>5.Blue 3</t>
        </is>
      </c>
      <c r="B28" s="2" t="inlineStr">
        <is>
          <t>Dean Blanchard</t>
        </is>
      </c>
      <c r="C28" s="2" t="n">
        <v>5</v>
      </c>
      <c r="D28" s="2" t="inlineStr">
        <is>
          <t>b3</t>
        </is>
      </c>
      <c r="E28" s="2" t="n">
        <v>325</v>
      </c>
      <c r="F28" s="2" t="n">
        <v>0</v>
      </c>
      <c r="G28" s="2" t="n">
        <v>0</v>
      </c>
      <c r="H28" s="2" t="n">
        <v>1</v>
      </c>
      <c r="I28" s="2" t="n">
        <v>0</v>
      </c>
      <c r="J28" s="2" t="n">
        <v>3</v>
      </c>
      <c r="K28" s="2" t="n">
        <v>3</v>
      </c>
      <c r="L28" s="2" t="n">
        <v>3</v>
      </c>
      <c r="M28" s="2" t="n">
        <v>4</v>
      </c>
      <c r="N28" s="2" t="n">
        <v>1</v>
      </c>
      <c r="O28" s="2" t="n">
        <v>1</v>
      </c>
      <c r="P28" s="2" t="n">
        <v>0</v>
      </c>
      <c r="Q28" s="2" t="n">
        <v>1</v>
      </c>
      <c r="R28" s="2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29</v>
      </c>
      <c r="AC28" t="inlineStr">
        <is>
          <t>Hello World!</t>
        </is>
      </c>
    </row>
    <row r="29" ht="16" customHeight="1">
      <c r="A29" s="1" t="inlineStr">
        <is>
          <t>5.Red 1</t>
        </is>
      </c>
      <c r="B29" s="2" t="inlineStr">
        <is>
          <t>Andrew Crawford</t>
        </is>
      </c>
      <c r="C29" s="2" t="n">
        <v>5</v>
      </c>
      <c r="D29" s="2" t="inlineStr">
        <is>
          <t>r1</t>
        </is>
      </c>
      <c r="E29" s="2" t="n">
        <v>3181</v>
      </c>
      <c r="F29" s="2" t="n">
        <v>1</v>
      </c>
      <c r="G29" s="2" t="n">
        <v>0</v>
      </c>
      <c r="H29" s="2" t="n">
        <v>1</v>
      </c>
      <c r="I29" s="2" t="n">
        <v>0</v>
      </c>
      <c r="J29" s="2" t="n">
        <v>4</v>
      </c>
      <c r="K29" s="2" t="n">
        <v>2</v>
      </c>
      <c r="L29" s="2" t="n">
        <v>1</v>
      </c>
      <c r="M29" s="2" t="n">
        <v>4</v>
      </c>
      <c r="N29" s="2" t="n">
        <v>0</v>
      </c>
      <c r="O29" s="2" t="n">
        <v>0</v>
      </c>
      <c r="P29" s="2" t="n">
        <v>1</v>
      </c>
      <c r="Q29" s="2" t="n">
        <v>0</v>
      </c>
      <c r="R29" s="2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-1</v>
      </c>
      <c r="Y29" t="n">
        <v>1</v>
      </c>
      <c r="Z29" t="n">
        <v>0</v>
      </c>
      <c r="AA29" t="n">
        <v>0</v>
      </c>
      <c r="AB29" t="n">
        <v>218</v>
      </c>
      <c r="AC29" t="inlineStr">
        <is>
          <t>Hello World!</t>
        </is>
      </c>
    </row>
    <row r="30" ht="16" customHeight="1">
      <c r="A30" s="1" t="inlineStr">
        <is>
          <t>5.Red 2</t>
        </is>
      </c>
      <c r="B30" s="2" t="inlineStr">
        <is>
          <t>Carter Silva</t>
        </is>
      </c>
      <c r="C30" s="2" t="n">
        <v>5</v>
      </c>
      <c r="D30" s="2" t="inlineStr">
        <is>
          <t>r2</t>
        </is>
      </c>
      <c r="E30" s="2" t="n">
        <v>1126</v>
      </c>
      <c r="F30" s="2" t="n">
        <v>0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2</v>
      </c>
      <c r="L30" s="2" t="n">
        <v>2</v>
      </c>
      <c r="M30" s="2" t="n">
        <v>4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3</v>
      </c>
      <c r="X30" t="n">
        <v>1</v>
      </c>
      <c r="Y30" t="n">
        <v>0</v>
      </c>
      <c r="Z30" t="n">
        <v>1</v>
      </c>
      <c r="AA30" t="n">
        <v>1</v>
      </c>
      <c r="AB30" t="n">
        <v>272</v>
      </c>
      <c r="AC30" t="inlineStr">
        <is>
          <t>Hello World!</t>
        </is>
      </c>
    </row>
    <row r="31" ht="16" customHeight="1">
      <c r="A31" s="1" t="inlineStr">
        <is>
          <t>5.Red 3</t>
        </is>
      </c>
      <c r="B31" s="2" t="inlineStr">
        <is>
          <t>Arthur Sayre</t>
        </is>
      </c>
      <c r="C31" s="2" t="n">
        <v>5</v>
      </c>
      <c r="D31" s="2" t="inlineStr">
        <is>
          <t>r3</t>
        </is>
      </c>
      <c r="E31" s="2" t="n">
        <v>20</v>
      </c>
      <c r="F31" s="2" t="n">
        <v>1</v>
      </c>
      <c r="G31" s="2" t="n">
        <v>0</v>
      </c>
      <c r="H31" s="2" t="n">
        <v>1</v>
      </c>
      <c r="I31" s="2" t="n">
        <v>1</v>
      </c>
      <c r="J31" s="2" t="n">
        <v>3</v>
      </c>
      <c r="K31" s="2" t="n">
        <v>3</v>
      </c>
      <c r="L31" s="2" t="n">
        <v>1</v>
      </c>
      <c r="M31" s="2" t="n">
        <v>1</v>
      </c>
      <c r="N31" s="2" t="n">
        <v>1</v>
      </c>
      <c r="O31" s="2" t="n">
        <v>0</v>
      </c>
      <c r="P31" s="2" t="n">
        <v>1</v>
      </c>
      <c r="Q31" s="2" t="n">
        <v>0</v>
      </c>
      <c r="R31" s="2" t="n">
        <v>1</v>
      </c>
      <c r="S31" t="n">
        <v>-1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299</v>
      </c>
      <c r="AC31" t="inlineStr">
        <is>
          <t>Hello World!</t>
        </is>
      </c>
    </row>
    <row r="32" ht="16" customHeight="1">
      <c r="A32" s="1" t="inlineStr">
        <is>
          <t>6.Blue 1</t>
        </is>
      </c>
      <c r="B32" s="2" t="inlineStr">
        <is>
          <t>Amanah Obaji</t>
        </is>
      </c>
      <c r="C32" s="2" t="n">
        <v>6</v>
      </c>
      <c r="D32" s="2" t="inlineStr">
        <is>
          <t>b1</t>
        </is>
      </c>
      <c r="E32" s="2" t="n">
        <v>1507</v>
      </c>
      <c r="F32" s="2" t="n">
        <v>0</v>
      </c>
      <c r="G32" s="2" t="n">
        <v>0</v>
      </c>
      <c r="H32" s="2" t="n">
        <v>1</v>
      </c>
      <c r="I32" s="2" t="n">
        <v>0</v>
      </c>
      <c r="J32" s="2" t="n">
        <v>3</v>
      </c>
      <c r="K32" s="2" t="n">
        <v>3</v>
      </c>
      <c r="L32" s="2" t="n">
        <v>1</v>
      </c>
      <c r="M32" s="2" t="n">
        <v>1</v>
      </c>
      <c r="N32" s="2" t="n">
        <v>0</v>
      </c>
      <c r="O32" s="2" t="n">
        <v>1</v>
      </c>
      <c r="P32" s="2" t="n">
        <v>1</v>
      </c>
      <c r="Q32" s="2" t="n">
        <v>0</v>
      </c>
      <c r="R32" s="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-1</v>
      </c>
      <c r="Y32" t="n">
        <v>1</v>
      </c>
      <c r="Z32" t="n">
        <v>1</v>
      </c>
      <c r="AA32" t="n">
        <v>1</v>
      </c>
      <c r="AB32" t="n">
        <v>275</v>
      </c>
      <c r="AC32" t="inlineStr">
        <is>
          <t>Hello World!</t>
        </is>
      </c>
    </row>
    <row r="33" ht="16" customHeight="1">
      <c r="A33" s="1" t="inlineStr">
        <is>
          <t>6.Blue 2</t>
        </is>
      </c>
      <c r="B33" s="2" t="inlineStr">
        <is>
          <t>Madison DeCicca</t>
        </is>
      </c>
      <c r="C33" s="2" t="n">
        <v>6</v>
      </c>
      <c r="D33" s="2" t="inlineStr">
        <is>
          <t>b2</t>
        </is>
      </c>
      <c r="E33" s="2" t="n">
        <v>144</v>
      </c>
      <c r="F33" s="2" t="n">
        <v>0</v>
      </c>
      <c r="G33" s="2" t="n">
        <v>0</v>
      </c>
      <c r="H33" s="2" t="n">
        <v>1</v>
      </c>
      <c r="I33" s="2" t="n">
        <v>1</v>
      </c>
      <c r="J33" s="2" t="n">
        <v>5</v>
      </c>
      <c r="K33" s="2" t="n">
        <v>3</v>
      </c>
      <c r="L33" s="2" t="n">
        <v>2</v>
      </c>
      <c r="M33" s="2" t="n">
        <v>1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1</v>
      </c>
      <c r="S33" t="n">
        <v>3</v>
      </c>
      <c r="T33" t="n">
        <v>1</v>
      </c>
      <c r="U33" t="n">
        <v>1</v>
      </c>
      <c r="V33" t="n">
        <v>1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135</v>
      </c>
      <c r="AC33" t="inlineStr">
        <is>
          <t>Hello World!</t>
        </is>
      </c>
    </row>
    <row r="34" ht="16" customHeight="1">
      <c r="A34" s="1" t="inlineStr">
        <is>
          <t>6.Blue 3</t>
        </is>
      </c>
      <c r="B34" s="2" t="inlineStr">
        <is>
          <t>Celton Norter</t>
        </is>
      </c>
      <c r="C34" s="2" t="n">
        <v>6</v>
      </c>
      <c r="D34" s="2" t="inlineStr">
        <is>
          <t>b3</t>
        </is>
      </c>
      <c r="E34" s="2" t="n">
        <v>424</v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2</v>
      </c>
      <c r="K34" s="2" t="n">
        <v>2</v>
      </c>
      <c r="L34" s="2" t="n">
        <v>1</v>
      </c>
      <c r="M34" s="2" t="n">
        <v>5</v>
      </c>
      <c r="N34" s="2" t="n">
        <v>0</v>
      </c>
      <c r="O34" s="2" t="n">
        <v>0</v>
      </c>
      <c r="P34" s="2" t="n">
        <v>0</v>
      </c>
      <c r="Q34" s="2" t="n">
        <v>1</v>
      </c>
      <c r="R34" s="2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234</v>
      </c>
      <c r="AC34" t="inlineStr">
        <is>
          <t>Hello World!</t>
        </is>
      </c>
    </row>
    <row r="35" ht="16" customHeight="1">
      <c r="A35" s="1" t="inlineStr">
        <is>
          <t>6.Red 1</t>
        </is>
      </c>
      <c r="B35" s="2" t="inlineStr">
        <is>
          <t>Andrew Crawford</t>
        </is>
      </c>
      <c r="C35" s="2" t="n">
        <v>6</v>
      </c>
      <c r="D35" s="2" t="inlineStr">
        <is>
          <t>r1</t>
        </is>
      </c>
      <c r="E35" s="2" t="n">
        <v>3003</v>
      </c>
      <c r="F35" s="2" t="n">
        <v>1</v>
      </c>
      <c r="G35" s="2" t="n">
        <v>1</v>
      </c>
      <c r="H35" s="2" t="n">
        <v>0</v>
      </c>
      <c r="I35" s="2" t="n">
        <v>1</v>
      </c>
      <c r="J35" s="2" t="n">
        <v>1</v>
      </c>
      <c r="K35" s="2" t="n">
        <v>2</v>
      </c>
      <c r="L35" s="2" t="n">
        <v>3</v>
      </c>
      <c r="M35" s="2" t="n">
        <v>3</v>
      </c>
      <c r="N35" s="2" t="n">
        <v>1</v>
      </c>
      <c r="O35" s="2" t="n">
        <v>0</v>
      </c>
      <c r="P35" s="2" t="n">
        <v>0</v>
      </c>
      <c r="Q35" s="2" t="n">
        <v>1</v>
      </c>
      <c r="R35" s="2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1</v>
      </c>
      <c r="AB35" t="n">
        <v>101</v>
      </c>
      <c r="AC35" t="inlineStr">
        <is>
          <t>Hello World!</t>
        </is>
      </c>
    </row>
    <row r="36" ht="16" customHeight="1">
      <c r="A36" s="1" t="inlineStr">
        <is>
          <t>6.Red 2</t>
        </is>
      </c>
      <c r="B36" s="2" t="inlineStr">
        <is>
          <t>Autumn Schoenfeld</t>
        </is>
      </c>
      <c r="C36" s="2" t="n">
        <v>6</v>
      </c>
      <c r="D36" s="2" t="inlineStr">
        <is>
          <t>r2</t>
        </is>
      </c>
      <c r="E36" s="2" t="n">
        <v>4093</v>
      </c>
      <c r="F36" s="2" t="n">
        <v>0</v>
      </c>
      <c r="G36" s="2" t="n">
        <v>1</v>
      </c>
      <c r="H36" s="2" t="n">
        <v>0</v>
      </c>
      <c r="I36" s="2" t="n">
        <v>1</v>
      </c>
      <c r="J36" s="2" t="n">
        <v>1</v>
      </c>
      <c r="K36" s="2" t="n">
        <v>3</v>
      </c>
      <c r="L36" s="2" t="n">
        <v>2</v>
      </c>
      <c r="M36" s="2" t="n">
        <v>4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4</v>
      </c>
      <c r="X36" t="n">
        <v>-1</v>
      </c>
      <c r="Y36" t="n">
        <v>1</v>
      </c>
      <c r="Z36" t="n">
        <v>0</v>
      </c>
      <c r="AA36" t="n">
        <v>0</v>
      </c>
      <c r="AB36" t="n">
        <v>40</v>
      </c>
      <c r="AC36" t="inlineStr">
        <is>
          <t>Hello World!</t>
        </is>
      </c>
    </row>
    <row r="37" ht="16" customHeight="1">
      <c r="A37" s="1" t="inlineStr">
        <is>
          <t>6.Red 3</t>
        </is>
      </c>
      <c r="B37" s="2" t="inlineStr">
        <is>
          <t>Autumn Schoenfeld</t>
        </is>
      </c>
      <c r="C37" s="2" t="n">
        <v>6</v>
      </c>
      <c r="D37" s="2" t="inlineStr">
        <is>
          <t>r3</t>
        </is>
      </c>
      <c r="E37" s="2" t="n">
        <v>9767</v>
      </c>
      <c r="F37" s="2" t="n">
        <v>0</v>
      </c>
      <c r="G37" s="2" t="n">
        <v>0</v>
      </c>
      <c r="H37" s="2" t="n">
        <v>0</v>
      </c>
      <c r="I37" s="2" t="n">
        <v>-1</v>
      </c>
      <c r="J37" s="2" t="n">
        <v>4</v>
      </c>
      <c r="K37" s="2" t="n">
        <v>3</v>
      </c>
      <c r="L37" s="2" t="n">
        <v>2</v>
      </c>
      <c r="M37" s="2" t="n">
        <v>3</v>
      </c>
      <c r="N37" s="2" t="n">
        <v>1</v>
      </c>
      <c r="O37" s="2" t="n">
        <v>0</v>
      </c>
      <c r="P37" s="2" t="n">
        <v>1</v>
      </c>
      <c r="Q37" s="2" t="n">
        <v>1</v>
      </c>
      <c r="R37" s="2" t="n">
        <v>0</v>
      </c>
      <c r="S37" t="n">
        <v>3</v>
      </c>
      <c r="T37" t="n">
        <v>0</v>
      </c>
      <c r="U37" t="n">
        <v>1</v>
      </c>
      <c r="V37" t="n">
        <v>1</v>
      </c>
      <c r="W37" t="n">
        <v>4</v>
      </c>
      <c r="X37" t="n">
        <v>0</v>
      </c>
      <c r="Y37" t="n">
        <v>1</v>
      </c>
      <c r="Z37" t="n">
        <v>1</v>
      </c>
      <c r="AA37" t="n">
        <v>0</v>
      </c>
      <c r="AB37" t="n">
        <v>158</v>
      </c>
      <c r="AC37" t="inlineStr">
        <is>
          <t>Hello World!</t>
        </is>
      </c>
    </row>
    <row r="38" ht="16" customHeight="1">
      <c r="A38" s="1" t="inlineStr">
        <is>
          <t>7.Blue 1</t>
        </is>
      </c>
      <c r="B38" s="2" t="inlineStr">
        <is>
          <t>Nathan DeVito</t>
        </is>
      </c>
      <c r="C38" s="2" t="n">
        <v>7</v>
      </c>
      <c r="D38" s="2" t="inlineStr">
        <is>
          <t>b1</t>
        </is>
      </c>
      <c r="E38" s="2" t="n">
        <v>4930</v>
      </c>
      <c r="F38" s="2" t="n">
        <v>0</v>
      </c>
      <c r="G38" s="2" t="n">
        <v>0</v>
      </c>
      <c r="H38" s="2" t="n">
        <v>0</v>
      </c>
      <c r="I38" s="2" t="n">
        <v>1</v>
      </c>
      <c r="J38" s="2" t="n">
        <v>3</v>
      </c>
      <c r="K38" s="2" t="n">
        <v>2</v>
      </c>
      <c r="L38" s="2" t="n">
        <v>2</v>
      </c>
      <c r="M38" s="2" t="n">
        <v>2</v>
      </c>
      <c r="N38" s="2" t="n">
        <v>0</v>
      </c>
      <c r="O38" s="2" t="n">
        <v>1</v>
      </c>
      <c r="P38" s="2" t="n">
        <v>1</v>
      </c>
      <c r="Q38" s="2" t="n">
        <v>0</v>
      </c>
      <c r="R38" s="2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2</v>
      </c>
      <c r="X38" t="n">
        <v>-1</v>
      </c>
      <c r="Y38" t="n">
        <v>1</v>
      </c>
      <c r="Z38" t="n">
        <v>0</v>
      </c>
      <c r="AA38" t="n">
        <v>1</v>
      </c>
      <c r="AB38" t="n">
        <v>186</v>
      </c>
      <c r="AC38" t="inlineStr">
        <is>
          <t>Hello World!</t>
        </is>
      </c>
    </row>
    <row r="39" ht="16" customHeight="1">
      <c r="A39" s="1" t="inlineStr">
        <is>
          <t>7.Blue 2</t>
        </is>
      </c>
      <c r="B39" s="2" t="inlineStr">
        <is>
          <t xml:space="preserve">Ruth Christensen </t>
        </is>
      </c>
      <c r="C39" s="2" t="n">
        <v>7</v>
      </c>
      <c r="D39" s="2" t="inlineStr">
        <is>
          <t>b2</t>
        </is>
      </c>
      <c r="E39" s="2" t="n">
        <v>1056</v>
      </c>
      <c r="F39" s="2" t="n">
        <v>0</v>
      </c>
      <c r="G39" s="2" t="n">
        <v>1</v>
      </c>
      <c r="H39" s="2" t="n">
        <v>1</v>
      </c>
      <c r="I39" s="2" t="n">
        <v>-1</v>
      </c>
      <c r="J39" s="2" t="n">
        <v>5</v>
      </c>
      <c r="K39" s="2" t="n">
        <v>3</v>
      </c>
      <c r="L39" s="2" t="n">
        <v>2</v>
      </c>
      <c r="M39" s="2" t="n">
        <v>1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205</v>
      </c>
      <c r="AC39" t="inlineStr">
        <is>
          <t>Hello World!</t>
        </is>
      </c>
    </row>
    <row r="40" ht="16" customHeight="1">
      <c r="A40" s="1" t="inlineStr">
        <is>
          <t>7.Blue 3</t>
        </is>
      </c>
      <c r="B40" s="2" t="inlineStr">
        <is>
          <t>Madison DeCicca</t>
        </is>
      </c>
      <c r="C40" s="2" t="n">
        <v>7</v>
      </c>
      <c r="D40" s="2" t="inlineStr">
        <is>
          <t>b3</t>
        </is>
      </c>
      <c r="E40" s="2" t="n">
        <v>3044</v>
      </c>
      <c r="F40" s="2" t="n">
        <v>1</v>
      </c>
      <c r="G40" s="2" t="n">
        <v>1</v>
      </c>
      <c r="H40" s="2" t="n">
        <v>1</v>
      </c>
      <c r="I40" s="2" t="n">
        <v>0</v>
      </c>
      <c r="J40" s="2" t="n">
        <v>1</v>
      </c>
      <c r="K40" s="2" t="n">
        <v>2</v>
      </c>
      <c r="L40" s="2" t="n">
        <v>1</v>
      </c>
      <c r="M40" s="2" t="n">
        <v>1</v>
      </c>
      <c r="N40" s="2" t="n">
        <v>0</v>
      </c>
      <c r="O40" s="2" t="n">
        <v>1</v>
      </c>
      <c r="P40" s="2" t="n">
        <v>1</v>
      </c>
      <c r="Q40" s="2" t="n">
        <v>1</v>
      </c>
      <c r="R40" s="2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2</v>
      </c>
      <c r="X40" t="n">
        <v>1</v>
      </c>
      <c r="Y40" t="n">
        <v>1</v>
      </c>
      <c r="Z40" t="n">
        <v>1</v>
      </c>
      <c r="AA40" t="n">
        <v>1</v>
      </c>
      <c r="AB40" t="n">
        <v>232</v>
      </c>
      <c r="AC40" t="inlineStr">
        <is>
          <t>Hello World!</t>
        </is>
      </c>
    </row>
    <row r="41" ht="16" customHeight="1">
      <c r="A41" s="1" t="inlineStr">
        <is>
          <t>7.Red 1</t>
        </is>
      </c>
      <c r="B41" s="2" t="inlineStr">
        <is>
          <t xml:space="preserve">Tetra Ukav </t>
        </is>
      </c>
      <c r="C41" s="2" t="n">
        <v>7</v>
      </c>
      <c r="D41" s="2" t="inlineStr">
        <is>
          <t>r1</t>
        </is>
      </c>
      <c r="E41" s="2" t="n">
        <v>1781</v>
      </c>
      <c r="F41" s="2" t="n">
        <v>1</v>
      </c>
      <c r="G41" s="2" t="n">
        <v>1</v>
      </c>
      <c r="H41" s="2" t="n">
        <v>1</v>
      </c>
      <c r="I41" s="2" t="n">
        <v>-1</v>
      </c>
      <c r="J41" s="2" t="n">
        <v>4</v>
      </c>
      <c r="K41" s="2" t="n">
        <v>2</v>
      </c>
      <c r="L41" s="2" t="n">
        <v>1</v>
      </c>
      <c r="M41" s="2" t="n">
        <v>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4</v>
      </c>
      <c r="X41" t="n">
        <v>0</v>
      </c>
      <c r="Y41" t="n">
        <v>1</v>
      </c>
      <c r="Z41" t="n">
        <v>0</v>
      </c>
      <c r="AA41" t="n">
        <v>0</v>
      </c>
      <c r="AB41" t="n">
        <v>62</v>
      </c>
      <c r="AC41" t="inlineStr">
        <is>
          <t>Hello World!</t>
        </is>
      </c>
    </row>
    <row r="42" ht="16" customHeight="1">
      <c r="A42" s="1" t="inlineStr">
        <is>
          <t>7.Red 2</t>
        </is>
      </c>
      <c r="B42" s="2" t="inlineStr">
        <is>
          <t>Andrew Crawford</t>
        </is>
      </c>
      <c r="C42" s="2" t="n">
        <v>7</v>
      </c>
      <c r="D42" s="2" t="inlineStr">
        <is>
          <t>r2</t>
        </is>
      </c>
      <c r="E42" s="2" t="n">
        <v>1450</v>
      </c>
      <c r="F42" s="2" t="n">
        <v>0</v>
      </c>
      <c r="G42" s="2" t="n">
        <v>0</v>
      </c>
      <c r="H42" s="2" t="n">
        <v>1</v>
      </c>
      <c r="I42" s="2" t="n">
        <v>1</v>
      </c>
      <c r="J42" s="2" t="n">
        <v>4</v>
      </c>
      <c r="K42" s="2" t="n">
        <v>1</v>
      </c>
      <c r="L42" s="2" t="n">
        <v>1</v>
      </c>
      <c r="M42" s="2" t="n">
        <v>5</v>
      </c>
      <c r="N42" s="2" t="n">
        <v>0</v>
      </c>
      <c r="O42" s="2" t="n">
        <v>1</v>
      </c>
      <c r="P42" s="2" t="n">
        <v>1</v>
      </c>
      <c r="Q42" s="2" t="n">
        <v>0</v>
      </c>
      <c r="R42" s="2" t="n">
        <v>0</v>
      </c>
      <c r="S42" t="n">
        <v>3</v>
      </c>
      <c r="T42" t="n">
        <v>1</v>
      </c>
      <c r="U42" t="n">
        <v>1</v>
      </c>
      <c r="V42" t="n">
        <v>1</v>
      </c>
      <c r="W42" t="n">
        <v>4</v>
      </c>
      <c r="X42" t="n">
        <v>1</v>
      </c>
      <c r="Y42" t="n">
        <v>0</v>
      </c>
      <c r="Z42" t="n">
        <v>1</v>
      </c>
      <c r="AA42" t="n">
        <v>1</v>
      </c>
      <c r="AB42" t="n">
        <v>65</v>
      </c>
      <c r="AC42" t="inlineStr">
        <is>
          <t>Hello World!</t>
        </is>
      </c>
    </row>
    <row r="43" ht="16" customHeight="1">
      <c r="A43" s="1" t="inlineStr">
        <is>
          <t>7.Red 3</t>
        </is>
      </c>
      <c r="B43" s="2" t="inlineStr">
        <is>
          <t>Arthur Sayre</t>
        </is>
      </c>
      <c r="C43" s="2" t="n">
        <v>7</v>
      </c>
      <c r="D43" s="2" t="inlineStr">
        <is>
          <t>r3</t>
        </is>
      </c>
      <c r="E43" s="2" t="n">
        <v>8503</v>
      </c>
      <c r="F43" s="2" t="n">
        <v>0</v>
      </c>
      <c r="G43" s="2" t="n">
        <v>0</v>
      </c>
      <c r="H43" s="2" t="n">
        <v>1</v>
      </c>
      <c r="I43" s="2" t="n">
        <v>-1</v>
      </c>
      <c r="J43" s="2" t="n">
        <v>2</v>
      </c>
      <c r="K43" s="2" t="n">
        <v>2</v>
      </c>
      <c r="L43" s="2" t="n">
        <v>2</v>
      </c>
      <c r="M43" s="2" t="n">
        <v>2</v>
      </c>
      <c r="N43" s="2" t="n">
        <v>1</v>
      </c>
      <c r="O43" s="2" t="n">
        <v>0</v>
      </c>
      <c r="P43" s="2" t="n">
        <v>1</v>
      </c>
      <c r="Q43" s="2" t="n">
        <v>0</v>
      </c>
      <c r="R43" s="2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4</v>
      </c>
      <c r="X43" t="n">
        <v>-1</v>
      </c>
      <c r="Y43" t="n">
        <v>1</v>
      </c>
      <c r="Z43" t="n">
        <v>0</v>
      </c>
      <c r="AA43" t="n">
        <v>0</v>
      </c>
      <c r="AB43" t="n">
        <v>68</v>
      </c>
      <c r="AC43" t="inlineStr">
        <is>
          <t>Hello World!</t>
        </is>
      </c>
    </row>
    <row r="44" ht="16" customHeight="1">
      <c r="A44" s="1" t="inlineStr">
        <is>
          <t>8.Blue 1</t>
        </is>
      </c>
      <c r="B44" s="2" t="inlineStr">
        <is>
          <t>Gianmarco D'Angelo</t>
        </is>
      </c>
      <c r="C44" s="2" t="n">
        <v>8</v>
      </c>
      <c r="D44" s="2" t="inlineStr">
        <is>
          <t>b1</t>
        </is>
      </c>
      <c r="E44" s="2" t="n">
        <v>9016</v>
      </c>
      <c r="F44" s="2" t="n">
        <v>0</v>
      </c>
      <c r="G44" s="2" t="n">
        <v>0</v>
      </c>
      <c r="H44" s="2" t="n">
        <v>0</v>
      </c>
      <c r="I44" s="2" t="n">
        <v>1</v>
      </c>
      <c r="J44" s="2" t="n">
        <v>2</v>
      </c>
      <c r="K44" s="2" t="n">
        <v>3</v>
      </c>
      <c r="L44" s="2" t="n">
        <v>1</v>
      </c>
      <c r="M44" s="2" t="n">
        <v>2</v>
      </c>
      <c r="N44" s="2" t="n">
        <v>1</v>
      </c>
      <c r="O44" s="2" t="n">
        <v>1</v>
      </c>
      <c r="P44" s="2" t="n">
        <v>1</v>
      </c>
      <c r="Q44" s="2" t="n">
        <v>1</v>
      </c>
      <c r="R44" s="2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1</v>
      </c>
      <c r="AB44" t="n">
        <v>288</v>
      </c>
      <c r="AC44" t="inlineStr">
        <is>
          <t>Hello World!</t>
        </is>
      </c>
    </row>
    <row r="45" ht="16" customHeight="1">
      <c r="A45" s="1" t="inlineStr">
        <is>
          <t>8.Blue 2</t>
        </is>
      </c>
      <c r="B45" s="2" t="inlineStr">
        <is>
          <t>Arthur Sayre</t>
        </is>
      </c>
      <c r="C45" s="2" t="n">
        <v>8</v>
      </c>
      <c r="D45" s="2" t="inlineStr">
        <is>
          <t>b2</t>
        </is>
      </c>
      <c r="E45" s="2" t="n">
        <v>6947</v>
      </c>
      <c r="F45" s="2" t="n">
        <v>1</v>
      </c>
      <c r="G45" s="2" t="n">
        <v>0</v>
      </c>
      <c r="H45" s="2" t="n">
        <v>0</v>
      </c>
      <c r="I45" s="2" t="n">
        <v>-1</v>
      </c>
      <c r="J45" s="2" t="n">
        <v>4</v>
      </c>
      <c r="K45" s="2" t="n">
        <v>2</v>
      </c>
      <c r="L45" s="2" t="n">
        <v>1</v>
      </c>
      <c r="M45" s="2" t="n">
        <v>4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1</v>
      </c>
      <c r="S45" t="n">
        <v>2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181</v>
      </c>
      <c r="AC45" t="inlineStr">
        <is>
          <t>Hello World!</t>
        </is>
      </c>
    </row>
    <row r="46" ht="16" customHeight="1">
      <c r="A46" s="1" t="inlineStr">
        <is>
          <t>8.Blue 3</t>
        </is>
      </c>
      <c r="B46" s="2" t="inlineStr">
        <is>
          <t>Nicholas Munier</t>
        </is>
      </c>
      <c r="C46" s="2" t="n">
        <v>8</v>
      </c>
      <c r="D46" s="2" t="inlineStr">
        <is>
          <t>b3</t>
        </is>
      </c>
      <c r="E46" s="2" t="n">
        <v>6868</v>
      </c>
      <c r="F46" s="2" t="n">
        <v>1</v>
      </c>
      <c r="G46" s="2" t="n">
        <v>1</v>
      </c>
      <c r="H46" s="2" t="n">
        <v>0</v>
      </c>
      <c r="I46" s="2" t="n">
        <v>1</v>
      </c>
      <c r="J46" s="2" t="n">
        <v>5</v>
      </c>
      <c r="K46" s="2" t="n">
        <v>1</v>
      </c>
      <c r="L46" s="2" t="n">
        <v>3</v>
      </c>
      <c r="M46" s="2" t="n">
        <v>5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1</v>
      </c>
      <c r="Y46" t="n">
        <v>1</v>
      </c>
      <c r="Z46" t="n">
        <v>0</v>
      </c>
      <c r="AA46" t="n">
        <v>1</v>
      </c>
      <c r="AB46" t="n">
        <v>123</v>
      </c>
      <c r="AC46" t="inlineStr">
        <is>
          <t>Hello World!</t>
        </is>
      </c>
    </row>
    <row r="47" ht="16" customHeight="1">
      <c r="A47" s="1" t="inlineStr">
        <is>
          <t>8.Red 1</t>
        </is>
      </c>
      <c r="B47" s="2" t="inlineStr">
        <is>
          <t>Ethan Stiffler</t>
        </is>
      </c>
      <c r="C47" s="2" t="n">
        <v>8</v>
      </c>
      <c r="D47" s="2" t="inlineStr">
        <is>
          <t>r1</t>
        </is>
      </c>
      <c r="E47" s="2" t="n">
        <v>340</v>
      </c>
      <c r="F47" s="2" t="n">
        <v>0</v>
      </c>
      <c r="G47" s="2" t="n">
        <v>0</v>
      </c>
      <c r="H47" s="2" t="n">
        <v>0</v>
      </c>
      <c r="I47" s="2" t="n">
        <v>1</v>
      </c>
      <c r="J47" s="2" t="n">
        <v>2</v>
      </c>
      <c r="K47" s="2" t="n">
        <v>3</v>
      </c>
      <c r="L47" s="2" t="n">
        <v>1</v>
      </c>
      <c r="M47" s="2" t="n">
        <v>5</v>
      </c>
      <c r="N47" s="2" t="n">
        <v>1</v>
      </c>
      <c r="O47" s="2" t="n">
        <v>0</v>
      </c>
      <c r="P47" s="2" t="n">
        <v>0</v>
      </c>
      <c r="Q47" s="2" t="n">
        <v>1</v>
      </c>
      <c r="R47" s="2" t="n">
        <v>0</v>
      </c>
      <c r="S47" t="n">
        <v>-1</v>
      </c>
      <c r="T47" t="n">
        <v>1</v>
      </c>
      <c r="U47" t="n">
        <v>0</v>
      </c>
      <c r="V47" t="n">
        <v>1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246</v>
      </c>
      <c r="AC47" t="inlineStr">
        <is>
          <t>Hello World!</t>
        </is>
      </c>
    </row>
    <row r="48" ht="16" customHeight="1">
      <c r="A48" s="1" t="inlineStr">
        <is>
          <t>8.Red 2</t>
        </is>
      </c>
      <c r="B48" s="2" t="inlineStr">
        <is>
          <t xml:space="preserve">Tetra Ukav </t>
        </is>
      </c>
      <c r="C48" s="2" t="n">
        <v>8</v>
      </c>
      <c r="D48" s="2" t="inlineStr">
        <is>
          <t>r2</t>
        </is>
      </c>
      <c r="E48" s="2" t="n">
        <v>1787</v>
      </c>
      <c r="F48" s="2" t="n">
        <v>0</v>
      </c>
      <c r="G48" s="2" t="n">
        <v>0</v>
      </c>
      <c r="H48" s="2" t="n">
        <v>0</v>
      </c>
      <c r="I48" s="2" t="n">
        <v>-1</v>
      </c>
      <c r="J48" s="2" t="n">
        <v>1</v>
      </c>
      <c r="K48" s="2" t="n">
        <v>2</v>
      </c>
      <c r="L48" s="2" t="n">
        <v>2</v>
      </c>
      <c r="M48" s="2" t="n">
        <v>3</v>
      </c>
      <c r="N48" s="2" t="n">
        <v>0</v>
      </c>
      <c r="O48" s="2" t="n">
        <v>1</v>
      </c>
      <c r="P48" s="2" t="n">
        <v>0</v>
      </c>
      <c r="Q48" s="2" t="n">
        <v>0</v>
      </c>
      <c r="R48" s="2" t="n">
        <v>1</v>
      </c>
      <c r="S48" t="n">
        <v>3</v>
      </c>
      <c r="T48" t="n">
        <v>0</v>
      </c>
      <c r="U48" t="n">
        <v>0</v>
      </c>
      <c r="V48" t="n">
        <v>1</v>
      </c>
      <c r="W48" t="n">
        <v>4</v>
      </c>
      <c r="X48" t="n">
        <v>1</v>
      </c>
      <c r="Y48" t="n">
        <v>0</v>
      </c>
      <c r="Z48" t="n">
        <v>1</v>
      </c>
      <c r="AA48" t="n">
        <v>1</v>
      </c>
      <c r="AB48" t="n">
        <v>95</v>
      </c>
      <c r="AC48" t="inlineStr">
        <is>
          <t>Hello World!</t>
        </is>
      </c>
    </row>
    <row r="49" ht="16" customHeight="1">
      <c r="A49" s="1" t="inlineStr">
        <is>
          <t>8.Red 3</t>
        </is>
      </c>
      <c r="B49" s="2" t="inlineStr">
        <is>
          <t>Carter Silva</t>
        </is>
      </c>
      <c r="C49" s="2" t="n">
        <v>8</v>
      </c>
      <c r="D49" s="2" t="inlineStr">
        <is>
          <t>r3</t>
        </is>
      </c>
      <c r="E49" s="2" t="n">
        <v>3838</v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2</v>
      </c>
      <c r="K49" s="2" t="n">
        <v>2</v>
      </c>
      <c r="L49" s="2" t="n">
        <v>2</v>
      </c>
      <c r="M49" s="2" t="n">
        <v>1</v>
      </c>
      <c r="N49" s="2" t="n">
        <v>1</v>
      </c>
      <c r="O49" s="2" t="n">
        <v>1</v>
      </c>
      <c r="P49" s="2" t="n">
        <v>1</v>
      </c>
      <c r="Q49" s="2" t="n">
        <v>0</v>
      </c>
      <c r="R49" s="2" t="n">
        <v>0</v>
      </c>
      <c r="S49" t="n">
        <v>2</v>
      </c>
      <c r="T49" t="n">
        <v>1</v>
      </c>
      <c r="U49" t="n">
        <v>0</v>
      </c>
      <c r="V49" t="n">
        <v>0</v>
      </c>
      <c r="W49" t="n">
        <v>5</v>
      </c>
      <c r="X49" t="n">
        <v>1</v>
      </c>
      <c r="Y49" t="n">
        <v>1</v>
      </c>
      <c r="Z49" t="n">
        <v>0</v>
      </c>
      <c r="AA49" t="n">
        <v>0</v>
      </c>
      <c r="AB49" t="n">
        <v>148</v>
      </c>
      <c r="AC49" t="inlineStr">
        <is>
          <t>Hello World!</t>
        </is>
      </c>
    </row>
    <row r="50" ht="16" customHeight="1">
      <c r="A50" s="1" t="inlineStr">
        <is>
          <t>9.Blue 1</t>
        </is>
      </c>
      <c r="B50" s="2" t="inlineStr">
        <is>
          <t xml:space="preserve">Tyler Hignett </t>
        </is>
      </c>
      <c r="C50" s="2" t="n">
        <v>9</v>
      </c>
      <c r="D50" s="2" t="inlineStr">
        <is>
          <t>b1</t>
        </is>
      </c>
      <c r="E50" s="2" t="n">
        <v>2340</v>
      </c>
      <c r="F50" s="2" t="n">
        <v>1</v>
      </c>
      <c r="G50" s="2" t="n">
        <v>1</v>
      </c>
      <c r="H50" s="2" t="n">
        <v>1</v>
      </c>
      <c r="I50" s="2" t="n">
        <v>0</v>
      </c>
      <c r="J50" s="2" t="n">
        <v>1</v>
      </c>
      <c r="K50" s="2" t="n">
        <v>2</v>
      </c>
      <c r="L50" s="2" t="n">
        <v>3</v>
      </c>
      <c r="M50" s="2" t="n">
        <v>4</v>
      </c>
      <c r="N50" s="2" t="n">
        <v>1</v>
      </c>
      <c r="O50" s="2" t="n">
        <v>1</v>
      </c>
      <c r="P50" s="2" t="n">
        <v>0</v>
      </c>
      <c r="Q50" s="2" t="n">
        <v>1</v>
      </c>
      <c r="R50" s="2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0</v>
      </c>
      <c r="Y50" t="n">
        <v>0</v>
      </c>
      <c r="Z50" t="n">
        <v>1</v>
      </c>
      <c r="AA50" t="n">
        <v>0</v>
      </c>
      <c r="AB50" t="n">
        <v>9</v>
      </c>
      <c r="AC50" t="inlineStr">
        <is>
          <t>Hello World!</t>
        </is>
      </c>
    </row>
    <row r="51" ht="16" customHeight="1">
      <c r="A51" s="1" t="inlineStr">
        <is>
          <t>9.Blue 2</t>
        </is>
      </c>
      <c r="B51" s="2" t="inlineStr">
        <is>
          <t>Matthew Mazzota</t>
        </is>
      </c>
      <c r="C51" s="2" t="n">
        <v>9</v>
      </c>
      <c r="D51" s="2" t="inlineStr">
        <is>
          <t>b2</t>
        </is>
      </c>
      <c r="E51" s="2" t="n">
        <v>639</v>
      </c>
      <c r="F51" s="2" t="n">
        <v>0</v>
      </c>
      <c r="G51" s="2" t="n">
        <v>0</v>
      </c>
      <c r="H51" s="2" t="n">
        <v>1</v>
      </c>
      <c r="I51" s="2" t="n">
        <v>1</v>
      </c>
      <c r="J51" s="2" t="n">
        <v>1</v>
      </c>
      <c r="K51" s="2" t="n">
        <v>3</v>
      </c>
      <c r="L51" s="2" t="n">
        <v>3</v>
      </c>
      <c r="M51" s="2" t="n">
        <v>5</v>
      </c>
      <c r="N51" s="2" t="n">
        <v>1</v>
      </c>
      <c r="O51" s="2" t="n">
        <v>0</v>
      </c>
      <c r="P51" s="2" t="n">
        <v>0</v>
      </c>
      <c r="Q51" s="2" t="n">
        <v>0</v>
      </c>
      <c r="R51" s="2" t="n">
        <v>1</v>
      </c>
      <c r="S51" t="n">
        <v>-1</v>
      </c>
      <c r="T51" t="n">
        <v>0</v>
      </c>
      <c r="U51" t="n">
        <v>1</v>
      </c>
      <c r="V51" t="n">
        <v>1</v>
      </c>
      <c r="W51" t="n">
        <v>3</v>
      </c>
      <c r="X51" t="n">
        <v>-1</v>
      </c>
      <c r="Y51" t="n">
        <v>1</v>
      </c>
      <c r="Z51" t="n">
        <v>1</v>
      </c>
      <c r="AA51" t="n">
        <v>0</v>
      </c>
      <c r="AB51" t="n">
        <v>38</v>
      </c>
      <c r="AC51" t="inlineStr">
        <is>
          <t>Hello World!</t>
        </is>
      </c>
    </row>
    <row r="52" ht="16" customHeight="1">
      <c r="A52" s="1" t="inlineStr">
        <is>
          <t>9.Blue 3</t>
        </is>
      </c>
      <c r="B52" s="2" t="inlineStr">
        <is>
          <t>Arthur Sayre</t>
        </is>
      </c>
      <c r="C52" s="2" t="n">
        <v>9</v>
      </c>
      <c r="D52" s="2" t="inlineStr">
        <is>
          <t>b3</t>
        </is>
      </c>
      <c r="E52" s="2" t="n">
        <v>2228</v>
      </c>
      <c r="F52" s="2" t="n">
        <v>1</v>
      </c>
      <c r="G52" s="2" t="n">
        <v>1</v>
      </c>
      <c r="H52" s="2" t="n">
        <v>0</v>
      </c>
      <c r="I52" s="2" t="n">
        <v>1</v>
      </c>
      <c r="J52" s="2" t="n">
        <v>2</v>
      </c>
      <c r="K52" s="2" t="n">
        <v>1</v>
      </c>
      <c r="L52" s="2" t="n">
        <v>1</v>
      </c>
      <c r="M52" s="2" t="n">
        <v>4</v>
      </c>
      <c r="N52" s="2" t="n">
        <v>1</v>
      </c>
      <c r="O52" s="2" t="n">
        <v>0</v>
      </c>
      <c r="P52" s="2" t="n">
        <v>1</v>
      </c>
      <c r="Q52" s="2" t="n">
        <v>1</v>
      </c>
      <c r="R52" s="2" t="n">
        <v>1</v>
      </c>
      <c r="S52" t="n">
        <v>-1</v>
      </c>
      <c r="T52" t="n">
        <v>0</v>
      </c>
      <c r="U52" t="n">
        <v>1</v>
      </c>
      <c r="V52" t="n">
        <v>1</v>
      </c>
      <c r="W52" t="n">
        <v>5</v>
      </c>
      <c r="X52" t="n">
        <v>0</v>
      </c>
      <c r="Y52" t="n">
        <v>1</v>
      </c>
      <c r="Z52" t="n">
        <v>1</v>
      </c>
      <c r="AA52" t="n">
        <v>0</v>
      </c>
      <c r="AB52" t="n">
        <v>280</v>
      </c>
      <c r="AC52" t="inlineStr">
        <is>
          <t>Hello World!</t>
        </is>
      </c>
    </row>
    <row r="53" ht="16" customHeight="1">
      <c r="A53" s="1" t="inlineStr">
        <is>
          <t>9.Red 1</t>
        </is>
      </c>
      <c r="B53" s="2" t="inlineStr">
        <is>
          <t>Jonah WoikaKai Wilbur</t>
        </is>
      </c>
      <c r="C53" s="2" t="n">
        <v>9</v>
      </c>
      <c r="D53" s="2" t="inlineStr">
        <is>
          <t>r1</t>
        </is>
      </c>
      <c r="E53" s="2" t="n">
        <v>1585</v>
      </c>
      <c r="F53" s="2" t="n">
        <v>0</v>
      </c>
      <c r="G53" s="2" t="n">
        <v>1</v>
      </c>
      <c r="H53" s="2" t="n">
        <v>1</v>
      </c>
      <c r="I53" s="2" t="n">
        <v>0</v>
      </c>
      <c r="J53" s="2" t="n">
        <v>5</v>
      </c>
      <c r="K53" s="2" t="n">
        <v>3</v>
      </c>
      <c r="L53" s="2" t="n">
        <v>1</v>
      </c>
      <c r="M53" s="2" t="n">
        <v>4</v>
      </c>
      <c r="N53" s="2" t="n">
        <v>1</v>
      </c>
      <c r="O53" s="2" t="n">
        <v>1</v>
      </c>
      <c r="P53" s="2" t="n">
        <v>0</v>
      </c>
      <c r="Q53" s="2" t="n">
        <v>1</v>
      </c>
      <c r="R53" s="2" t="n">
        <v>0</v>
      </c>
      <c r="S53" t="n">
        <v>-1</v>
      </c>
      <c r="T53" t="n">
        <v>0</v>
      </c>
      <c r="U53" t="n">
        <v>0</v>
      </c>
      <c r="V53" t="n">
        <v>0</v>
      </c>
      <c r="W53" t="n">
        <v>4</v>
      </c>
      <c r="X53" t="n">
        <v>0</v>
      </c>
      <c r="Y53" t="n">
        <v>1</v>
      </c>
      <c r="Z53" t="n">
        <v>0</v>
      </c>
      <c r="AA53" t="n">
        <v>1</v>
      </c>
      <c r="AB53" t="n">
        <v>110</v>
      </c>
      <c r="AC53" t="inlineStr">
        <is>
          <t>Hello World!</t>
        </is>
      </c>
    </row>
    <row r="54" ht="16" customHeight="1">
      <c r="A54" s="1" t="inlineStr">
        <is>
          <t>9.Red 2</t>
        </is>
      </c>
      <c r="B54" s="2" t="inlineStr">
        <is>
          <t>Amanah Obaji</t>
        </is>
      </c>
      <c r="C54" s="2" t="n">
        <v>9</v>
      </c>
      <c r="D54" s="2" t="inlineStr">
        <is>
          <t>r2</t>
        </is>
      </c>
      <c r="E54" s="2" t="n">
        <v>353</v>
      </c>
      <c r="F54" s="2" t="n">
        <v>1</v>
      </c>
      <c r="G54" s="2" t="n">
        <v>1</v>
      </c>
      <c r="H54" s="2" t="n">
        <v>0</v>
      </c>
      <c r="I54" s="2" t="n">
        <v>0</v>
      </c>
      <c r="J54" s="2" t="n">
        <v>3</v>
      </c>
      <c r="K54" s="2" t="n">
        <v>1</v>
      </c>
      <c r="L54" s="2" t="n">
        <v>3</v>
      </c>
      <c r="M54" s="2" t="n">
        <v>1</v>
      </c>
      <c r="N54" s="2" t="n">
        <v>0</v>
      </c>
      <c r="O54" s="2" t="n">
        <v>0</v>
      </c>
      <c r="P54" s="2" t="n">
        <v>1</v>
      </c>
      <c r="Q54" s="2" t="n">
        <v>0</v>
      </c>
      <c r="R54" s="2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4</v>
      </c>
      <c r="X54" t="n">
        <v>-1</v>
      </c>
      <c r="Y54" t="n">
        <v>1</v>
      </c>
      <c r="Z54" t="n">
        <v>1</v>
      </c>
      <c r="AA54" t="n">
        <v>0</v>
      </c>
      <c r="AB54" t="n">
        <v>200</v>
      </c>
      <c r="AC54" t="inlineStr">
        <is>
          <t>Hello World!</t>
        </is>
      </c>
    </row>
    <row r="55" ht="16" customHeight="1">
      <c r="A55" s="1" t="inlineStr">
        <is>
          <t>9.Red 3</t>
        </is>
      </c>
      <c r="B55" s="2" t="inlineStr">
        <is>
          <t>Runa Hunt</t>
        </is>
      </c>
      <c r="C55" s="2" t="n">
        <v>9</v>
      </c>
      <c r="D55" s="2" t="inlineStr">
        <is>
          <t>r3</t>
        </is>
      </c>
      <c r="E55" s="2" t="n">
        <v>694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2</v>
      </c>
      <c r="L55" s="2" t="n">
        <v>2</v>
      </c>
      <c r="M55" s="2" t="n">
        <v>5</v>
      </c>
      <c r="N55" s="2" t="n">
        <v>0</v>
      </c>
      <c r="O55" s="2" t="n">
        <v>1</v>
      </c>
      <c r="P55" s="2" t="n">
        <v>0</v>
      </c>
      <c r="Q55" s="2" t="n">
        <v>0</v>
      </c>
      <c r="R55" s="2" t="n">
        <v>0</v>
      </c>
      <c r="S55" t="n">
        <v>2</v>
      </c>
      <c r="T55" t="n">
        <v>0</v>
      </c>
      <c r="U55" t="n">
        <v>0</v>
      </c>
      <c r="V55" t="n">
        <v>1</v>
      </c>
      <c r="W55" t="n">
        <v>5</v>
      </c>
      <c r="X55" t="n">
        <v>-1</v>
      </c>
      <c r="Y55" t="n">
        <v>1</v>
      </c>
      <c r="Z55" t="n">
        <v>0</v>
      </c>
      <c r="AA55" t="n">
        <v>1</v>
      </c>
      <c r="AB55" t="n">
        <v>162</v>
      </c>
      <c r="AC55" t="inlineStr">
        <is>
          <t>Hello World!</t>
        </is>
      </c>
    </row>
    <row r="56" ht="16" customHeight="1">
      <c r="A56" s="1" t="inlineStr">
        <is>
          <t>10.Blue 1</t>
        </is>
      </c>
      <c r="B56" s="2" t="inlineStr">
        <is>
          <t xml:space="preserve">Tetra Ukav </t>
        </is>
      </c>
      <c r="C56" s="2" t="n">
        <v>10</v>
      </c>
      <c r="D56" s="2" t="inlineStr">
        <is>
          <t>b1</t>
        </is>
      </c>
      <c r="E56" s="2" t="n">
        <v>48</v>
      </c>
      <c r="F56" s="2" t="n">
        <v>0</v>
      </c>
      <c r="G56" s="2" t="n">
        <v>1</v>
      </c>
      <c r="H56" s="2" t="n">
        <v>0</v>
      </c>
      <c r="I56" s="2" t="n">
        <v>0</v>
      </c>
      <c r="J56" s="2" t="n">
        <v>2</v>
      </c>
      <c r="K56" s="2" t="n">
        <v>2</v>
      </c>
      <c r="L56" s="2" t="n">
        <v>3</v>
      </c>
      <c r="M56" s="2" t="n">
        <v>3</v>
      </c>
      <c r="N56" s="2" t="n">
        <v>0</v>
      </c>
      <c r="O56" s="2" t="n">
        <v>0</v>
      </c>
      <c r="P56" s="2" t="n">
        <v>1</v>
      </c>
      <c r="Q56" s="2" t="n">
        <v>0</v>
      </c>
      <c r="R56" s="2" t="n">
        <v>1</v>
      </c>
      <c r="S56" t="n">
        <v>-1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n">
        <v>39</v>
      </c>
      <c r="AC56" t="inlineStr">
        <is>
          <t>Hello World!</t>
        </is>
      </c>
    </row>
    <row r="57" ht="16" customHeight="1">
      <c r="A57" s="1" t="inlineStr">
        <is>
          <t>10.Blue 2</t>
        </is>
      </c>
      <c r="B57" s="2" t="inlineStr">
        <is>
          <t>Colby Jackson</t>
        </is>
      </c>
      <c r="C57" s="2" t="n">
        <v>10</v>
      </c>
      <c r="D57" s="2" t="inlineStr">
        <is>
          <t>b2</t>
        </is>
      </c>
      <c r="E57" s="2" t="n">
        <v>7030</v>
      </c>
      <c r="F57" s="2" t="n">
        <v>1</v>
      </c>
      <c r="G57" s="2" t="n">
        <v>1</v>
      </c>
      <c r="H57" s="2" t="n">
        <v>0</v>
      </c>
      <c r="I57" s="2" t="n">
        <v>0</v>
      </c>
      <c r="J57" s="2" t="n">
        <v>5</v>
      </c>
      <c r="K57" s="2" t="n">
        <v>3</v>
      </c>
      <c r="L57" s="2" t="n">
        <v>1</v>
      </c>
      <c r="M57" s="2" t="n">
        <v>2</v>
      </c>
      <c r="N57" s="2" t="n">
        <v>0</v>
      </c>
      <c r="O57" s="2" t="n">
        <v>1</v>
      </c>
      <c r="P57" s="2" t="n">
        <v>0</v>
      </c>
      <c r="Q57" s="2" t="n">
        <v>1</v>
      </c>
      <c r="R57" s="2" t="n">
        <v>1</v>
      </c>
      <c r="S57" t="n">
        <v>2</v>
      </c>
      <c r="T57" t="n">
        <v>1</v>
      </c>
      <c r="U57" t="n">
        <v>0</v>
      </c>
      <c r="V57" t="n">
        <v>0</v>
      </c>
      <c r="W57" t="n">
        <v>5</v>
      </c>
      <c r="X57" t="n">
        <v>-1</v>
      </c>
      <c r="Y57" t="n">
        <v>1</v>
      </c>
      <c r="Z57" t="n">
        <v>1</v>
      </c>
      <c r="AA57" t="n">
        <v>1</v>
      </c>
      <c r="AB57" t="n">
        <v>129</v>
      </c>
      <c r="AC57" t="inlineStr">
        <is>
          <t>Hello World!</t>
        </is>
      </c>
    </row>
    <row r="58" ht="16" customHeight="1">
      <c r="A58" s="1" t="inlineStr">
        <is>
          <t>10.Blue 3</t>
        </is>
      </c>
      <c r="B58" s="2" t="inlineStr">
        <is>
          <t xml:space="preserve">Tetra Ukav </t>
        </is>
      </c>
      <c r="C58" s="2" t="n">
        <v>10</v>
      </c>
      <c r="D58" s="2" t="inlineStr">
        <is>
          <t>b3</t>
        </is>
      </c>
      <c r="E58" s="2" t="n">
        <v>7903</v>
      </c>
      <c r="F58" s="2" t="n">
        <v>1</v>
      </c>
      <c r="G58" s="2" t="n">
        <v>1</v>
      </c>
      <c r="H58" s="2" t="n">
        <v>0</v>
      </c>
      <c r="I58" s="2" t="n">
        <v>1</v>
      </c>
      <c r="J58" s="2" t="n">
        <v>5</v>
      </c>
      <c r="K58" s="2" t="n">
        <v>1</v>
      </c>
      <c r="L58" s="2" t="n">
        <v>2</v>
      </c>
      <c r="M58" s="2" t="n">
        <v>4</v>
      </c>
      <c r="N58" s="2" t="n">
        <v>0</v>
      </c>
      <c r="O58" s="2" t="n">
        <v>1</v>
      </c>
      <c r="P58" s="2" t="n">
        <v>1</v>
      </c>
      <c r="Q58" s="2" t="n">
        <v>0</v>
      </c>
      <c r="R58" s="2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5</v>
      </c>
      <c r="X58" t="n">
        <v>0</v>
      </c>
      <c r="Y58" t="n">
        <v>0</v>
      </c>
      <c r="Z58" t="n">
        <v>1</v>
      </c>
      <c r="AA58" t="n">
        <v>0</v>
      </c>
      <c r="AB58" t="n">
        <v>89</v>
      </c>
      <c r="AC58" t="inlineStr">
        <is>
          <t>Hello World!</t>
        </is>
      </c>
    </row>
    <row r="59" ht="16" customHeight="1">
      <c r="A59" s="1" t="inlineStr">
        <is>
          <t>10.Red 1</t>
        </is>
      </c>
      <c r="B59" s="2" t="inlineStr">
        <is>
          <t>Gianmarco D'Angelo</t>
        </is>
      </c>
      <c r="C59" s="2" t="n">
        <v>10</v>
      </c>
      <c r="D59" s="2" t="inlineStr">
        <is>
          <t>r1</t>
        </is>
      </c>
      <c r="E59" s="2" t="n">
        <v>271</v>
      </c>
      <c r="F59" s="2" t="n">
        <v>1</v>
      </c>
      <c r="G59" s="2" t="n">
        <v>0</v>
      </c>
      <c r="H59" s="2" t="n">
        <v>0</v>
      </c>
      <c r="I59" s="2" t="n">
        <v>1</v>
      </c>
      <c r="J59" s="2" t="n">
        <v>2</v>
      </c>
      <c r="K59" s="2" t="n">
        <v>2</v>
      </c>
      <c r="L59" s="2" t="n">
        <v>2</v>
      </c>
      <c r="M59" s="2" t="n">
        <v>1</v>
      </c>
      <c r="N59" s="2" t="n">
        <v>0</v>
      </c>
      <c r="O59" s="2" t="n">
        <v>1</v>
      </c>
      <c r="P59" s="2" t="n">
        <v>1</v>
      </c>
      <c r="Q59" s="2" t="n">
        <v>1</v>
      </c>
      <c r="R59" s="2" t="n">
        <v>1</v>
      </c>
      <c r="S59" t="n">
        <v>-1</v>
      </c>
      <c r="T59" t="n">
        <v>1</v>
      </c>
      <c r="U59" t="n">
        <v>0</v>
      </c>
      <c r="V59" t="n">
        <v>1</v>
      </c>
      <c r="W59" t="n">
        <v>5</v>
      </c>
      <c r="X59" t="n">
        <v>-1</v>
      </c>
      <c r="Y59" t="n">
        <v>0</v>
      </c>
      <c r="Z59" t="n">
        <v>0</v>
      </c>
      <c r="AA59" t="n">
        <v>0</v>
      </c>
      <c r="AB59" t="n">
        <v>53</v>
      </c>
      <c r="AC59" t="inlineStr">
        <is>
          <t>Hello World!</t>
        </is>
      </c>
    </row>
    <row r="60" ht="16" customHeight="1">
      <c r="A60" s="1" t="inlineStr">
        <is>
          <t>10.Red 2</t>
        </is>
      </c>
      <c r="B60" s="2" t="inlineStr">
        <is>
          <t>Caitlin Munier</t>
        </is>
      </c>
      <c r="C60" s="2" t="n">
        <v>10</v>
      </c>
      <c r="D60" s="2" t="inlineStr">
        <is>
          <t>r2</t>
        </is>
      </c>
      <c r="E60" s="2" t="n">
        <v>1405</v>
      </c>
      <c r="F60" s="2" t="n">
        <v>0</v>
      </c>
      <c r="G60" s="2" t="n">
        <v>0</v>
      </c>
      <c r="H60" s="2" t="n">
        <v>1</v>
      </c>
      <c r="I60" s="2" t="n">
        <v>-1</v>
      </c>
      <c r="J60" s="2" t="n">
        <v>3</v>
      </c>
      <c r="K60" s="2" t="n">
        <v>1</v>
      </c>
      <c r="L60" s="2" t="n">
        <v>1</v>
      </c>
      <c r="M60" s="2" t="n">
        <v>1</v>
      </c>
      <c r="N60" s="2" t="n">
        <v>0</v>
      </c>
      <c r="O60" s="2" t="n">
        <v>1</v>
      </c>
      <c r="P60" s="2" t="n">
        <v>0</v>
      </c>
      <c r="Q60" s="2" t="n">
        <v>1</v>
      </c>
      <c r="R60" s="2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  <c r="AB60" t="n">
        <v>212</v>
      </c>
      <c r="AC60" t="inlineStr">
        <is>
          <t>Hello World!</t>
        </is>
      </c>
    </row>
    <row r="61" ht="16" customHeight="1">
      <c r="A61" s="1" t="inlineStr">
        <is>
          <t>10.Red 3</t>
        </is>
      </c>
      <c r="B61" s="2" t="inlineStr">
        <is>
          <t>Nathan DeVito</t>
        </is>
      </c>
      <c r="C61" s="2" t="n">
        <v>10</v>
      </c>
      <c r="D61" s="2" t="inlineStr">
        <is>
          <t>r3</t>
        </is>
      </c>
      <c r="E61" s="2" t="n">
        <v>4458</v>
      </c>
      <c r="F61" s="2" t="n">
        <v>1</v>
      </c>
      <c r="G61" s="2" t="n">
        <v>1</v>
      </c>
      <c r="H61" s="2" t="n">
        <v>1</v>
      </c>
      <c r="I61" s="2" t="n">
        <v>0</v>
      </c>
      <c r="J61" s="2" t="n">
        <v>5</v>
      </c>
      <c r="K61" s="2" t="n">
        <v>1</v>
      </c>
      <c r="L61" s="2" t="n">
        <v>1</v>
      </c>
      <c r="M61" s="2" t="n">
        <v>1</v>
      </c>
      <c r="N61" s="2" t="n">
        <v>0</v>
      </c>
      <c r="O61" s="2" t="n">
        <v>1</v>
      </c>
      <c r="P61" s="2" t="n">
        <v>1</v>
      </c>
      <c r="Q61" s="2" t="n">
        <v>0</v>
      </c>
      <c r="R61" s="2" t="n">
        <v>1</v>
      </c>
      <c r="S61" t="n">
        <v>2</v>
      </c>
      <c r="T61" t="n">
        <v>0</v>
      </c>
      <c r="U61" t="n">
        <v>0</v>
      </c>
      <c r="V61" t="n">
        <v>1</v>
      </c>
      <c r="W61" t="n">
        <v>4</v>
      </c>
      <c r="X61" t="n">
        <v>0</v>
      </c>
      <c r="Y61" t="n">
        <v>0</v>
      </c>
      <c r="Z61" t="n">
        <v>1</v>
      </c>
      <c r="AA61" t="n">
        <v>0</v>
      </c>
      <c r="AB61" t="n">
        <v>53</v>
      </c>
      <c r="AC61" t="inlineStr">
        <is>
          <t>Hello World!</t>
        </is>
      </c>
    </row>
    <row r="62" ht="16" customHeight="1">
      <c r="A62" s="1" t="inlineStr">
        <is>
          <t>11.Blue 1</t>
        </is>
      </c>
      <c r="B62" s="2" t="inlineStr">
        <is>
          <t>Colby Jackson</t>
        </is>
      </c>
      <c r="C62" s="2" t="n">
        <v>11</v>
      </c>
      <c r="D62" s="2" t="inlineStr">
        <is>
          <t>b1</t>
        </is>
      </c>
      <c r="E62" s="2" t="n">
        <v>3173</v>
      </c>
      <c r="F62" s="2" t="n">
        <v>0</v>
      </c>
      <c r="G62" s="2" t="n">
        <v>0</v>
      </c>
      <c r="H62" s="2" t="n">
        <v>0</v>
      </c>
      <c r="I62" s="2" t="n">
        <v>1</v>
      </c>
      <c r="J62" s="2" t="n">
        <v>5</v>
      </c>
      <c r="K62" s="2" t="n">
        <v>3</v>
      </c>
      <c r="L62" s="2" t="n">
        <v>2</v>
      </c>
      <c r="M62" s="2" t="n">
        <v>4</v>
      </c>
      <c r="N62" s="2" t="n">
        <v>1</v>
      </c>
      <c r="O62" s="2" t="n">
        <v>0</v>
      </c>
      <c r="P62" s="2" t="n">
        <v>1</v>
      </c>
      <c r="Q62" s="2" t="n">
        <v>0</v>
      </c>
      <c r="R62" s="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183</v>
      </c>
      <c r="AC62" t="inlineStr">
        <is>
          <t>Hello World!</t>
        </is>
      </c>
    </row>
    <row r="63" ht="16" customHeight="1">
      <c r="A63" s="1" t="inlineStr">
        <is>
          <t>11.Blue 2</t>
        </is>
      </c>
      <c r="B63" s="2" t="inlineStr">
        <is>
          <t xml:space="preserve">Ruth Christensen </t>
        </is>
      </c>
      <c r="C63" s="2" t="n">
        <v>11</v>
      </c>
      <c r="D63" s="2" t="inlineStr">
        <is>
          <t>b2</t>
        </is>
      </c>
      <c r="E63" s="2" t="n">
        <v>578</v>
      </c>
      <c r="F63" s="2" t="n">
        <v>1</v>
      </c>
      <c r="G63" s="2" t="n">
        <v>0</v>
      </c>
      <c r="H63" s="2" t="n">
        <v>0</v>
      </c>
      <c r="I63" s="2" t="n">
        <v>-1</v>
      </c>
      <c r="J63" s="2" t="n">
        <v>5</v>
      </c>
      <c r="K63" s="2" t="n">
        <v>2</v>
      </c>
      <c r="L63" s="2" t="n">
        <v>2</v>
      </c>
      <c r="M63" s="2" t="n">
        <v>1</v>
      </c>
      <c r="N63" s="2" t="n">
        <v>1</v>
      </c>
      <c r="O63" s="2" t="n">
        <v>1</v>
      </c>
      <c r="P63" s="2" t="n">
        <v>0</v>
      </c>
      <c r="Q63" s="2" t="n">
        <v>1</v>
      </c>
      <c r="R63" s="2" t="n">
        <v>1</v>
      </c>
      <c r="S63" t="n">
        <v>3</v>
      </c>
      <c r="T63" t="n">
        <v>0</v>
      </c>
      <c r="U63" t="n">
        <v>0</v>
      </c>
      <c r="V63" t="n">
        <v>1</v>
      </c>
      <c r="W63" t="n">
        <v>1</v>
      </c>
      <c r="X63" t="n">
        <v>-1</v>
      </c>
      <c r="Y63" t="n">
        <v>0</v>
      </c>
      <c r="Z63" t="n">
        <v>1</v>
      </c>
      <c r="AA63" t="n">
        <v>0</v>
      </c>
      <c r="AB63" t="n">
        <v>49</v>
      </c>
      <c r="AC63" t="inlineStr">
        <is>
          <t>Hello World!</t>
        </is>
      </c>
    </row>
    <row r="64" ht="16" customHeight="1">
      <c r="A64" s="1" t="inlineStr">
        <is>
          <t>11.Blue 3</t>
        </is>
      </c>
      <c r="B64" s="2" t="inlineStr">
        <is>
          <t>Gianmarco D'Angelo</t>
        </is>
      </c>
      <c r="C64" s="2" t="n">
        <v>11</v>
      </c>
      <c r="D64" s="2" t="inlineStr">
        <is>
          <t>b3</t>
        </is>
      </c>
      <c r="E64" s="2" t="n">
        <v>432</v>
      </c>
      <c r="F64" s="2" t="n">
        <v>1</v>
      </c>
      <c r="G64" s="2" t="n">
        <v>0</v>
      </c>
      <c r="H64" s="2" t="n">
        <v>1</v>
      </c>
      <c r="I64" s="2" t="n">
        <v>1</v>
      </c>
      <c r="J64" s="2" t="n">
        <v>1</v>
      </c>
      <c r="K64" s="2" t="n">
        <v>2</v>
      </c>
      <c r="L64" s="2" t="n">
        <v>3</v>
      </c>
      <c r="M64" s="2" t="n">
        <v>1</v>
      </c>
      <c r="N64" s="2" t="n">
        <v>0</v>
      </c>
      <c r="O64" s="2" t="n">
        <v>1</v>
      </c>
      <c r="P64" s="2" t="n">
        <v>0</v>
      </c>
      <c r="Q64" s="2" t="n">
        <v>1</v>
      </c>
      <c r="R64" s="2" t="n">
        <v>0</v>
      </c>
      <c r="S64" t="n">
        <v>2</v>
      </c>
      <c r="T64" t="n">
        <v>1</v>
      </c>
      <c r="U64" t="n">
        <v>0</v>
      </c>
      <c r="V64" t="n">
        <v>0</v>
      </c>
      <c r="W64" t="n">
        <v>1</v>
      </c>
      <c r="X64" t="n">
        <v>-1</v>
      </c>
      <c r="Y64" t="n">
        <v>1</v>
      </c>
      <c r="Z64" t="n">
        <v>1</v>
      </c>
      <c r="AA64" t="n">
        <v>1</v>
      </c>
      <c r="AB64" t="n">
        <v>148</v>
      </c>
      <c r="AC64" t="inlineStr">
        <is>
          <t>Hello World!</t>
        </is>
      </c>
    </row>
    <row r="65" ht="16" customHeight="1">
      <c r="A65" s="1" t="inlineStr">
        <is>
          <t>11.Red 1</t>
        </is>
      </c>
      <c r="B65" s="2" t="inlineStr">
        <is>
          <t>Carter Silva</t>
        </is>
      </c>
      <c r="C65" s="2" t="n">
        <v>11</v>
      </c>
      <c r="D65" s="2" t="inlineStr">
        <is>
          <t>r1</t>
        </is>
      </c>
      <c r="E65" s="2" t="n">
        <v>20</v>
      </c>
      <c r="F65" s="2" t="n">
        <v>0</v>
      </c>
      <c r="G65" s="2" t="n">
        <v>0</v>
      </c>
      <c r="H65" s="2" t="n">
        <v>1</v>
      </c>
      <c r="I65" s="2" t="n">
        <v>0</v>
      </c>
      <c r="J65" s="2" t="n">
        <v>5</v>
      </c>
      <c r="K65" s="2" t="n">
        <v>1</v>
      </c>
      <c r="L65" s="2" t="n">
        <v>1</v>
      </c>
      <c r="M65" s="2" t="n">
        <v>4</v>
      </c>
      <c r="N65" s="2" t="n">
        <v>1</v>
      </c>
      <c r="O65" s="2" t="n">
        <v>1</v>
      </c>
      <c r="P65" s="2" t="n">
        <v>0</v>
      </c>
      <c r="Q65" s="2" t="n">
        <v>1</v>
      </c>
      <c r="R65" s="2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2</v>
      </c>
      <c r="X65" t="n">
        <v>-1</v>
      </c>
      <c r="Y65" t="n">
        <v>1</v>
      </c>
      <c r="Z65" t="n">
        <v>1</v>
      </c>
      <c r="AA65" t="n">
        <v>1</v>
      </c>
      <c r="AB65" t="n">
        <v>290</v>
      </c>
      <c r="AC65" t="inlineStr">
        <is>
          <t>Hello World!</t>
        </is>
      </c>
    </row>
    <row r="66" ht="16" customHeight="1">
      <c r="A66" s="1" t="inlineStr">
        <is>
          <t>11.Red 2</t>
        </is>
      </c>
      <c r="B66" s="2" t="inlineStr">
        <is>
          <t>Colby Jackson</t>
        </is>
      </c>
      <c r="C66" s="2" t="n">
        <v>11</v>
      </c>
      <c r="D66" s="2" t="inlineStr">
        <is>
          <t>r2</t>
        </is>
      </c>
      <c r="E66" s="2" t="n">
        <v>10922</v>
      </c>
      <c r="F66" s="2" t="n">
        <v>1</v>
      </c>
      <c r="G66" s="2" t="n">
        <v>0</v>
      </c>
      <c r="H66" s="2" t="n">
        <v>1</v>
      </c>
      <c r="I66" s="2" t="n">
        <v>1</v>
      </c>
      <c r="J66" s="2" t="n">
        <v>5</v>
      </c>
      <c r="K66" s="2" t="n">
        <v>1</v>
      </c>
      <c r="L66" s="2" t="n">
        <v>1</v>
      </c>
      <c r="M66" s="2" t="n">
        <v>4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t="n">
        <v>-1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154</v>
      </c>
      <c r="AC66" t="inlineStr">
        <is>
          <t>Hello World!</t>
        </is>
      </c>
    </row>
    <row r="67" ht="16" customHeight="1">
      <c r="A67" s="1" t="inlineStr">
        <is>
          <t>11.Red 3</t>
        </is>
      </c>
      <c r="B67" s="2" t="inlineStr">
        <is>
          <t>Caitlin Munier</t>
        </is>
      </c>
      <c r="C67" s="2" t="n">
        <v>11</v>
      </c>
      <c r="D67" s="2" t="inlineStr">
        <is>
          <t>r3</t>
        </is>
      </c>
      <c r="E67" s="2" t="n">
        <v>1468</v>
      </c>
      <c r="F67" s="2" t="n">
        <v>1</v>
      </c>
      <c r="G67" s="2" t="n">
        <v>1</v>
      </c>
      <c r="H67" s="2" t="n">
        <v>1</v>
      </c>
      <c r="I67" s="2" t="n">
        <v>-1</v>
      </c>
      <c r="J67" s="2" t="n">
        <v>4</v>
      </c>
      <c r="K67" s="2" t="n">
        <v>2</v>
      </c>
      <c r="L67" s="2" t="n">
        <v>3</v>
      </c>
      <c r="M67" s="2" t="n">
        <v>3</v>
      </c>
      <c r="N67" s="2" t="n">
        <v>0</v>
      </c>
      <c r="O67" s="2" t="n">
        <v>1</v>
      </c>
      <c r="P67" s="2" t="n">
        <v>1</v>
      </c>
      <c r="Q67" s="2" t="n">
        <v>1</v>
      </c>
      <c r="R67" s="2" t="n">
        <v>1</v>
      </c>
      <c r="S67" t="n">
        <v>3</v>
      </c>
      <c r="T67" t="n">
        <v>1</v>
      </c>
      <c r="U67" t="n">
        <v>0</v>
      </c>
      <c r="V67" t="n">
        <v>0</v>
      </c>
      <c r="W67" t="n">
        <v>2</v>
      </c>
      <c r="X67" t="n">
        <v>1</v>
      </c>
      <c r="Y67" t="n">
        <v>1</v>
      </c>
      <c r="Z67" t="n">
        <v>1</v>
      </c>
      <c r="AA67" t="n">
        <v>1</v>
      </c>
      <c r="AB67" t="n">
        <v>231</v>
      </c>
      <c r="AC67" t="inlineStr">
        <is>
          <t>Hello World!</t>
        </is>
      </c>
    </row>
    <row r="68" ht="16" customHeight="1">
      <c r="A68" s="1" t="inlineStr">
        <is>
          <t>12.Blue 1</t>
        </is>
      </c>
      <c r="B68" s="2" t="inlineStr">
        <is>
          <t>Gianmarco D'Angelo</t>
        </is>
      </c>
      <c r="C68" s="2" t="n">
        <v>12</v>
      </c>
      <c r="D68" s="2" t="inlineStr">
        <is>
          <t>b1</t>
        </is>
      </c>
      <c r="E68" s="2" t="n">
        <v>9767</v>
      </c>
      <c r="F68" s="2" t="n">
        <v>0</v>
      </c>
      <c r="G68" s="2" t="n">
        <v>1</v>
      </c>
      <c r="H68" s="2" t="n">
        <v>1</v>
      </c>
      <c r="I68" s="2" t="n">
        <v>-1</v>
      </c>
      <c r="J68" s="2" t="n">
        <v>3</v>
      </c>
      <c r="K68" s="2" t="n">
        <v>1</v>
      </c>
      <c r="L68" s="2" t="n">
        <v>3</v>
      </c>
      <c r="M68" s="2" t="n">
        <v>1</v>
      </c>
      <c r="N68" s="2" t="n">
        <v>0</v>
      </c>
      <c r="O68" s="2" t="n">
        <v>1</v>
      </c>
      <c r="P68" s="2" t="n">
        <v>1</v>
      </c>
      <c r="Q68" s="2" t="n">
        <v>1</v>
      </c>
      <c r="R68" s="2" t="n">
        <v>0</v>
      </c>
      <c r="S68" t="n">
        <v>-1</v>
      </c>
      <c r="T68" t="n">
        <v>1</v>
      </c>
      <c r="U68" t="n">
        <v>0</v>
      </c>
      <c r="V68" t="n">
        <v>0</v>
      </c>
      <c r="W68" t="n">
        <v>4</v>
      </c>
      <c r="X68" t="n">
        <v>-1</v>
      </c>
      <c r="Y68" t="n">
        <v>0</v>
      </c>
      <c r="Z68" t="n">
        <v>1</v>
      </c>
      <c r="AA68" t="n">
        <v>0</v>
      </c>
      <c r="AB68" t="n">
        <v>218</v>
      </c>
      <c r="AC68" t="inlineStr">
        <is>
          <t>Hello World!</t>
        </is>
      </c>
    </row>
    <row r="69" ht="16" customHeight="1">
      <c r="A69" s="1" t="inlineStr">
        <is>
          <t>12.Blue 2</t>
        </is>
      </c>
      <c r="B69" s="2" t="inlineStr">
        <is>
          <t>Runa Hunt</t>
        </is>
      </c>
      <c r="C69" s="2" t="n">
        <v>12</v>
      </c>
      <c r="D69" s="2" t="inlineStr">
        <is>
          <t>b2</t>
        </is>
      </c>
      <c r="E69" s="2" t="n">
        <v>6423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2</v>
      </c>
      <c r="K69" s="2" t="n">
        <v>2</v>
      </c>
      <c r="L69" s="2" t="n">
        <v>2</v>
      </c>
      <c r="M69" s="2" t="n">
        <v>3</v>
      </c>
      <c r="N69" s="2" t="n">
        <v>1</v>
      </c>
      <c r="O69" s="2" t="n">
        <v>0</v>
      </c>
      <c r="P69" s="2" t="n">
        <v>0</v>
      </c>
      <c r="Q69" s="2" t="n">
        <v>1</v>
      </c>
      <c r="R69" s="2" t="n">
        <v>0</v>
      </c>
      <c r="S69" t="n">
        <v>2</v>
      </c>
      <c r="T69" t="n">
        <v>1</v>
      </c>
      <c r="U69" t="n">
        <v>1</v>
      </c>
      <c r="V69" t="n">
        <v>1</v>
      </c>
      <c r="W69" t="n">
        <v>5</v>
      </c>
      <c r="X69" t="n">
        <v>-1</v>
      </c>
      <c r="Y69" t="n">
        <v>1</v>
      </c>
      <c r="Z69" t="n">
        <v>1</v>
      </c>
      <c r="AA69" t="n">
        <v>1</v>
      </c>
      <c r="AB69" t="n">
        <v>171</v>
      </c>
      <c r="AC69" t="inlineStr">
        <is>
          <t>Hello World!</t>
        </is>
      </c>
    </row>
    <row r="70" ht="16" customHeight="1">
      <c r="A70" s="1" t="inlineStr">
        <is>
          <t>12.Blue 3</t>
        </is>
      </c>
      <c r="B70" s="2" t="inlineStr">
        <is>
          <t>Nathan DeVito</t>
        </is>
      </c>
      <c r="C70" s="2" t="n">
        <v>12</v>
      </c>
      <c r="D70" s="2" t="inlineStr">
        <is>
          <t>b3</t>
        </is>
      </c>
      <c r="E70" s="2" t="n">
        <v>1126</v>
      </c>
      <c r="F70" s="2" t="n">
        <v>1</v>
      </c>
      <c r="G70" s="2" t="n">
        <v>1</v>
      </c>
      <c r="H70" s="2" t="n">
        <v>0</v>
      </c>
      <c r="I70" s="2" t="n">
        <v>1</v>
      </c>
      <c r="J70" s="2" t="n">
        <v>5</v>
      </c>
      <c r="K70" s="2" t="n">
        <v>2</v>
      </c>
      <c r="L70" s="2" t="n">
        <v>3</v>
      </c>
      <c r="M70" s="2" t="n">
        <v>2</v>
      </c>
      <c r="N70" s="2" t="n">
        <v>0</v>
      </c>
      <c r="O70" s="2" t="n">
        <v>0</v>
      </c>
      <c r="P70" s="2" t="n">
        <v>1</v>
      </c>
      <c r="Q70" s="2" t="n">
        <v>0</v>
      </c>
      <c r="R70" s="2" t="n">
        <v>0</v>
      </c>
      <c r="S70" t="n">
        <v>3</v>
      </c>
      <c r="T70" t="n">
        <v>0</v>
      </c>
      <c r="U70" t="n">
        <v>0</v>
      </c>
      <c r="V70" t="n">
        <v>1</v>
      </c>
      <c r="W70" t="n">
        <v>3</v>
      </c>
      <c r="X70" t="n">
        <v>-1</v>
      </c>
      <c r="Y70" t="n">
        <v>1</v>
      </c>
      <c r="Z70" t="n">
        <v>1</v>
      </c>
      <c r="AA70" t="n">
        <v>1</v>
      </c>
      <c r="AB70" t="n">
        <v>133</v>
      </c>
      <c r="AC70" t="inlineStr">
        <is>
          <t>Hello World!</t>
        </is>
      </c>
    </row>
    <row r="71" ht="16" customHeight="1">
      <c r="A71" s="1" t="inlineStr">
        <is>
          <t>12.Red 1</t>
        </is>
      </c>
      <c r="B71" s="2" t="inlineStr">
        <is>
          <t>Domenic Giammusso</t>
        </is>
      </c>
      <c r="C71" s="2" t="n">
        <v>12</v>
      </c>
      <c r="D71" s="2" t="inlineStr">
        <is>
          <t>r1</t>
        </is>
      </c>
      <c r="E71" s="2" t="n">
        <v>564</v>
      </c>
      <c r="F71" s="2" t="n">
        <v>1</v>
      </c>
      <c r="G71" s="2" t="n">
        <v>0</v>
      </c>
      <c r="H71" s="2" t="n">
        <v>1</v>
      </c>
      <c r="I71" s="2" t="n">
        <v>-1</v>
      </c>
      <c r="J71" s="2" t="n">
        <v>4</v>
      </c>
      <c r="K71" s="2" t="n">
        <v>2</v>
      </c>
      <c r="L71" s="2" t="n">
        <v>3</v>
      </c>
      <c r="M71" s="2" t="n">
        <v>3</v>
      </c>
      <c r="N71" s="2" t="n">
        <v>1</v>
      </c>
      <c r="O71" s="2" t="n">
        <v>0</v>
      </c>
      <c r="P71" s="2" t="n">
        <v>0</v>
      </c>
      <c r="Q71" s="2" t="n">
        <v>0</v>
      </c>
      <c r="R71" s="2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1</v>
      </c>
      <c r="Z71" t="n">
        <v>1</v>
      </c>
      <c r="AA71" t="n">
        <v>1</v>
      </c>
      <c r="AB71" t="n">
        <v>173</v>
      </c>
      <c r="AC71" t="inlineStr">
        <is>
          <t>Hello World!</t>
        </is>
      </c>
    </row>
    <row r="72" ht="16" customHeight="1">
      <c r="A72" s="1" t="inlineStr">
        <is>
          <t>12.Red 2</t>
        </is>
      </c>
      <c r="B72" s="2" t="inlineStr">
        <is>
          <t>Colby Jackson</t>
        </is>
      </c>
      <c r="C72" s="2" t="n">
        <v>12</v>
      </c>
      <c r="D72" s="2" t="inlineStr">
        <is>
          <t>r2</t>
        </is>
      </c>
      <c r="E72" s="2" t="n">
        <v>4093</v>
      </c>
      <c r="F72" s="2" t="n">
        <v>0</v>
      </c>
      <c r="G72" s="2" t="n">
        <v>1</v>
      </c>
      <c r="H72" s="2" t="n">
        <v>1</v>
      </c>
      <c r="I72" s="2" t="n">
        <v>1</v>
      </c>
      <c r="J72" s="2" t="n">
        <v>5</v>
      </c>
      <c r="K72" s="2" t="n">
        <v>3</v>
      </c>
      <c r="L72" s="2" t="n">
        <v>2</v>
      </c>
      <c r="M72" s="2" t="n">
        <v>1</v>
      </c>
      <c r="N72" s="2" t="n">
        <v>1</v>
      </c>
      <c r="O72" s="2" t="n">
        <v>1</v>
      </c>
      <c r="P72" s="2" t="n">
        <v>0</v>
      </c>
      <c r="Q72" s="2" t="n">
        <v>1</v>
      </c>
      <c r="R72" s="2" t="n">
        <v>1</v>
      </c>
      <c r="S72" t="n">
        <v>1</v>
      </c>
      <c r="T72" t="n">
        <v>1</v>
      </c>
      <c r="U72" t="n">
        <v>0</v>
      </c>
      <c r="V72" t="n">
        <v>1</v>
      </c>
      <c r="W72" t="n">
        <v>3</v>
      </c>
      <c r="X72" t="n">
        <v>0</v>
      </c>
      <c r="Y72" t="n">
        <v>0</v>
      </c>
      <c r="Z72" t="n">
        <v>0</v>
      </c>
      <c r="AA72" t="n">
        <v>1</v>
      </c>
      <c r="AB72" t="n">
        <v>78</v>
      </c>
      <c r="AC72" t="inlineStr">
        <is>
          <t>Hello World!</t>
        </is>
      </c>
    </row>
    <row r="73" ht="16" customHeight="1">
      <c r="A73" s="1" t="inlineStr">
        <is>
          <t>12.Red 3</t>
        </is>
      </c>
      <c r="B73" s="2" t="inlineStr">
        <is>
          <t xml:space="preserve">Tetra Ukav </t>
        </is>
      </c>
      <c r="C73" s="2" t="n">
        <v>12</v>
      </c>
      <c r="D73" s="2" t="inlineStr">
        <is>
          <t>r3</t>
        </is>
      </c>
      <c r="E73" s="2" t="n">
        <v>1518</v>
      </c>
      <c r="F73" s="2" t="n">
        <v>1</v>
      </c>
      <c r="G73" s="2" t="n">
        <v>0</v>
      </c>
      <c r="H73" s="2" t="n">
        <v>1</v>
      </c>
      <c r="I73" s="2" t="n">
        <v>-1</v>
      </c>
      <c r="J73" s="2" t="n">
        <v>5</v>
      </c>
      <c r="K73" s="2" t="n">
        <v>3</v>
      </c>
      <c r="L73" s="2" t="n">
        <v>2</v>
      </c>
      <c r="M73" s="2" t="n">
        <v>1</v>
      </c>
      <c r="N73" s="2" t="n">
        <v>0</v>
      </c>
      <c r="O73" s="2" t="n">
        <v>0</v>
      </c>
      <c r="P73" s="2" t="n">
        <v>0</v>
      </c>
      <c r="Q73" s="2" t="n">
        <v>1</v>
      </c>
      <c r="R73" s="2" t="n">
        <v>0</v>
      </c>
      <c r="S73" t="n">
        <v>2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70</v>
      </c>
      <c r="AC73" t="inlineStr">
        <is>
          <t>Hello World!</t>
        </is>
      </c>
    </row>
    <row r="74" ht="16" customHeight="1">
      <c r="A74" s="1" t="inlineStr">
        <is>
          <t>13.Blue 1</t>
        </is>
      </c>
      <c r="B74" s="2" t="inlineStr">
        <is>
          <t>Nathan DeVito</t>
        </is>
      </c>
      <c r="C74" s="2" t="n">
        <v>13</v>
      </c>
      <c r="D74" s="2" t="inlineStr">
        <is>
          <t>b1</t>
        </is>
      </c>
      <c r="E74" s="2" t="n">
        <v>3799</v>
      </c>
      <c r="F74" s="2" t="n">
        <v>1</v>
      </c>
      <c r="G74" s="2" t="n">
        <v>0</v>
      </c>
      <c r="H74" s="2" t="n">
        <v>1</v>
      </c>
      <c r="I74" s="2" t="n">
        <v>0</v>
      </c>
      <c r="J74" s="2" t="n">
        <v>3</v>
      </c>
      <c r="K74" s="2" t="n">
        <v>1</v>
      </c>
      <c r="L74" s="2" t="n">
        <v>2</v>
      </c>
      <c r="M74" s="2" t="n">
        <v>4</v>
      </c>
      <c r="N74" s="2" t="n">
        <v>1</v>
      </c>
      <c r="O74" s="2" t="n">
        <v>1</v>
      </c>
      <c r="P74" s="2" t="n">
        <v>0</v>
      </c>
      <c r="Q74" s="2" t="n">
        <v>0</v>
      </c>
      <c r="R74" s="2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5</v>
      </c>
      <c r="X74" t="n">
        <v>1</v>
      </c>
      <c r="Y74" t="n">
        <v>0</v>
      </c>
      <c r="Z74" t="n">
        <v>1</v>
      </c>
      <c r="AA74" t="n">
        <v>1</v>
      </c>
      <c r="AB74" t="n">
        <v>223</v>
      </c>
      <c r="AC74" t="inlineStr">
        <is>
          <t>Hello World!</t>
        </is>
      </c>
    </row>
    <row r="75" ht="16" customHeight="1">
      <c r="A75" s="1" t="inlineStr">
        <is>
          <t>13.Blue 2</t>
        </is>
      </c>
      <c r="B75" s="2" t="inlineStr">
        <is>
          <t>Domenic Giammusso</t>
        </is>
      </c>
      <c r="C75" s="2" t="n">
        <v>13</v>
      </c>
      <c r="D75" s="2" t="inlineStr">
        <is>
          <t>b2</t>
        </is>
      </c>
      <c r="E75" s="2" t="n">
        <v>3003</v>
      </c>
      <c r="F75" s="2" t="n">
        <v>1</v>
      </c>
      <c r="G75" s="2" t="n">
        <v>0</v>
      </c>
      <c r="H75" s="2" t="n">
        <v>1</v>
      </c>
      <c r="I75" s="2" t="n">
        <v>1</v>
      </c>
      <c r="J75" s="2" t="n">
        <v>2</v>
      </c>
      <c r="K75" s="2" t="n">
        <v>3</v>
      </c>
      <c r="L75" s="2" t="n">
        <v>3</v>
      </c>
      <c r="M75" s="2" t="n">
        <v>3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4</v>
      </c>
      <c r="X75" t="n">
        <v>1</v>
      </c>
      <c r="Y75" t="n">
        <v>0</v>
      </c>
      <c r="Z75" t="n">
        <v>0</v>
      </c>
      <c r="AA75" t="n">
        <v>0</v>
      </c>
      <c r="AB75" t="n">
        <v>95</v>
      </c>
      <c r="AC75" t="inlineStr">
        <is>
          <t>Hello World!</t>
        </is>
      </c>
    </row>
    <row r="76" ht="16" customHeight="1">
      <c r="A76" s="1" t="inlineStr">
        <is>
          <t>13.Blue 3</t>
        </is>
      </c>
      <c r="B76" s="2" t="inlineStr">
        <is>
          <t>Colby Jackson</t>
        </is>
      </c>
      <c r="C76" s="2" t="n">
        <v>13</v>
      </c>
      <c r="D76" s="2" t="inlineStr">
        <is>
          <t>b3</t>
        </is>
      </c>
      <c r="E76" s="2" t="n">
        <v>4253</v>
      </c>
      <c r="F76" s="2" t="n">
        <v>0</v>
      </c>
      <c r="G76" s="2" t="n">
        <v>1</v>
      </c>
      <c r="H76" s="2" t="n">
        <v>1</v>
      </c>
      <c r="I76" s="2" t="n">
        <v>0</v>
      </c>
      <c r="J76" s="2" t="n">
        <v>1</v>
      </c>
      <c r="K76" s="2" t="n">
        <v>1</v>
      </c>
      <c r="L76" s="2" t="n">
        <v>3</v>
      </c>
      <c r="M76" s="2" t="n">
        <v>5</v>
      </c>
      <c r="N76" s="2" t="n">
        <v>1</v>
      </c>
      <c r="O76" s="2" t="n">
        <v>0</v>
      </c>
      <c r="P76" s="2" t="n">
        <v>0</v>
      </c>
      <c r="Q76" s="2" t="n">
        <v>0</v>
      </c>
      <c r="R76" s="2" t="n">
        <v>0</v>
      </c>
      <c r="S76" t="n">
        <v>2</v>
      </c>
      <c r="T76" t="n">
        <v>0</v>
      </c>
      <c r="U76" t="n">
        <v>1</v>
      </c>
      <c r="V76" t="n">
        <v>0</v>
      </c>
      <c r="W76" t="n">
        <v>5</v>
      </c>
      <c r="X76" t="n">
        <v>1</v>
      </c>
      <c r="Y76" t="n">
        <v>0</v>
      </c>
      <c r="Z76" t="n">
        <v>0</v>
      </c>
      <c r="AA76" t="n">
        <v>0</v>
      </c>
      <c r="AB76" t="n">
        <v>169</v>
      </c>
      <c r="AC76" t="inlineStr">
        <is>
          <t>Hello World!</t>
        </is>
      </c>
    </row>
    <row r="77" ht="16" customHeight="1">
      <c r="A77" s="1" t="inlineStr">
        <is>
          <t>13.Red 1</t>
        </is>
      </c>
      <c r="B77" s="2" t="inlineStr">
        <is>
          <t>Nathan DeVito</t>
        </is>
      </c>
      <c r="C77" s="2" t="n">
        <v>13</v>
      </c>
      <c r="D77" s="2" t="inlineStr">
        <is>
          <t>r1</t>
        </is>
      </c>
      <c r="E77" s="2" t="n">
        <v>1056</v>
      </c>
      <c r="F77" s="2" t="n">
        <v>0</v>
      </c>
      <c r="G77" s="2" t="n">
        <v>0</v>
      </c>
      <c r="H77" s="2" t="n">
        <v>0</v>
      </c>
      <c r="I77" s="2" t="n">
        <v>1</v>
      </c>
      <c r="J77" s="2" t="n">
        <v>5</v>
      </c>
      <c r="K77" s="2" t="n">
        <v>2</v>
      </c>
      <c r="L77" s="2" t="n">
        <v>2</v>
      </c>
      <c r="M77" s="2" t="n">
        <v>2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5</v>
      </c>
      <c r="X77" t="n">
        <v>-1</v>
      </c>
      <c r="Y77" t="n">
        <v>1</v>
      </c>
      <c r="Z77" t="n">
        <v>1</v>
      </c>
      <c r="AA77" t="n">
        <v>1</v>
      </c>
      <c r="AB77" t="n">
        <v>254</v>
      </c>
      <c r="AC77" t="inlineStr">
        <is>
          <t>Hello World!</t>
        </is>
      </c>
    </row>
    <row r="78" ht="16" customHeight="1">
      <c r="A78" s="1" t="inlineStr">
        <is>
          <t>13.Red 2</t>
        </is>
      </c>
      <c r="B78" s="2" t="inlineStr">
        <is>
          <t>Colby Jackson</t>
        </is>
      </c>
      <c r="C78" s="2" t="n">
        <v>13</v>
      </c>
      <c r="D78" s="2" t="inlineStr">
        <is>
          <t>r2</t>
        </is>
      </c>
      <c r="E78" s="2" t="n">
        <v>10223</v>
      </c>
      <c r="F78" s="2" t="n">
        <v>1</v>
      </c>
      <c r="G78" s="2" t="n">
        <v>0</v>
      </c>
      <c r="H78" s="2" t="n">
        <v>1</v>
      </c>
      <c r="I78" s="2" t="n">
        <v>1</v>
      </c>
      <c r="J78" s="2" t="n">
        <v>5</v>
      </c>
      <c r="K78" s="2" t="n">
        <v>3</v>
      </c>
      <c r="L78" s="2" t="n">
        <v>3</v>
      </c>
      <c r="M78" s="2" t="n">
        <v>5</v>
      </c>
      <c r="N78" s="2" t="n">
        <v>0</v>
      </c>
      <c r="O78" s="2" t="n">
        <v>1</v>
      </c>
      <c r="P78" s="2" t="n">
        <v>0</v>
      </c>
      <c r="Q78" s="2" t="n">
        <v>0</v>
      </c>
      <c r="R78" s="2" t="n">
        <v>0</v>
      </c>
      <c r="S78" t="n">
        <v>-1</v>
      </c>
      <c r="T78" t="n">
        <v>0</v>
      </c>
      <c r="U78" t="n">
        <v>0</v>
      </c>
      <c r="V78" t="n">
        <v>1</v>
      </c>
      <c r="W78" t="n">
        <v>3</v>
      </c>
      <c r="X78" t="n">
        <v>-1</v>
      </c>
      <c r="Y78" t="n">
        <v>0</v>
      </c>
      <c r="Z78" t="n">
        <v>1</v>
      </c>
      <c r="AA78" t="n">
        <v>1</v>
      </c>
      <c r="AB78" t="n">
        <v>62</v>
      </c>
      <c r="AC78" t="inlineStr">
        <is>
          <t>Hello World!</t>
        </is>
      </c>
    </row>
    <row r="79" ht="16" customHeight="1">
      <c r="A79" s="1" t="inlineStr">
        <is>
          <t>13.Red 3</t>
        </is>
      </c>
      <c r="B79" s="2" t="inlineStr">
        <is>
          <t>Carter Silva</t>
        </is>
      </c>
      <c r="C79" s="2" t="n">
        <v>13</v>
      </c>
      <c r="D79" s="2" t="inlineStr">
        <is>
          <t>r3</t>
        </is>
      </c>
      <c r="E79" s="2" t="n">
        <v>3181</v>
      </c>
      <c r="F79" s="2" t="n">
        <v>0</v>
      </c>
      <c r="G79" s="2" t="n">
        <v>1</v>
      </c>
      <c r="H79" s="2" t="n">
        <v>1</v>
      </c>
      <c r="I79" s="2" t="n">
        <v>1</v>
      </c>
      <c r="J79" s="2" t="n">
        <v>1</v>
      </c>
      <c r="K79" s="2" t="n">
        <v>3</v>
      </c>
      <c r="L79" s="2" t="n">
        <v>2</v>
      </c>
      <c r="M79" s="2" t="n">
        <v>1</v>
      </c>
      <c r="N79" s="2" t="n">
        <v>1</v>
      </c>
      <c r="O79" s="2" t="n">
        <v>1</v>
      </c>
      <c r="P79" s="2" t="n">
        <v>0</v>
      </c>
      <c r="Q79" s="2" t="n">
        <v>1</v>
      </c>
      <c r="R79" s="2" t="n">
        <v>1</v>
      </c>
      <c r="S79" t="n">
        <v>2</v>
      </c>
      <c r="T79" t="n">
        <v>1</v>
      </c>
      <c r="U79" t="n">
        <v>0</v>
      </c>
      <c r="V79" t="n">
        <v>0</v>
      </c>
      <c r="W79" t="n">
        <v>3</v>
      </c>
      <c r="X79" t="n">
        <v>0</v>
      </c>
      <c r="Y79" t="n">
        <v>1</v>
      </c>
      <c r="Z79" t="n">
        <v>0</v>
      </c>
      <c r="AA79" t="n">
        <v>1</v>
      </c>
      <c r="AB79" t="n">
        <v>286</v>
      </c>
      <c r="AC79" t="inlineStr">
        <is>
          <t>Hello World!</t>
        </is>
      </c>
    </row>
    <row r="80" ht="16" customHeight="1">
      <c r="A80" s="1" t="inlineStr">
        <is>
          <t>14.Blue 1</t>
        </is>
      </c>
      <c r="B80" s="2" t="inlineStr">
        <is>
          <t>Caitlin Munier</t>
        </is>
      </c>
      <c r="C80" s="2" t="n">
        <v>14</v>
      </c>
      <c r="D80" s="2" t="inlineStr">
        <is>
          <t>b1</t>
        </is>
      </c>
      <c r="E80" s="2" t="n">
        <v>3838</v>
      </c>
      <c r="F80" s="2" t="n">
        <v>1</v>
      </c>
      <c r="G80" s="2" t="n">
        <v>0</v>
      </c>
      <c r="H80" s="2" t="n">
        <v>0</v>
      </c>
      <c r="I80" s="2" t="n">
        <v>-1</v>
      </c>
      <c r="J80" s="2" t="n">
        <v>3</v>
      </c>
      <c r="K80" s="2" t="n">
        <v>2</v>
      </c>
      <c r="L80" s="2" t="n">
        <v>1</v>
      </c>
      <c r="M80" s="2" t="n">
        <v>1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270</v>
      </c>
      <c r="AC80" t="inlineStr">
        <is>
          <t>Hello World!</t>
        </is>
      </c>
    </row>
    <row r="81" ht="16" customHeight="1">
      <c r="A81" s="1" t="inlineStr">
        <is>
          <t>14.Blue 2</t>
        </is>
      </c>
      <c r="B81" s="2" t="inlineStr">
        <is>
          <t>Amanah Obaji</t>
        </is>
      </c>
      <c r="C81" s="2" t="n">
        <v>14</v>
      </c>
      <c r="D81" s="2" t="inlineStr">
        <is>
          <t>b2</t>
        </is>
      </c>
      <c r="E81" s="2" t="n">
        <v>3951</v>
      </c>
      <c r="F81" s="2" t="n">
        <v>1</v>
      </c>
      <c r="G81" s="2" t="n">
        <v>0</v>
      </c>
      <c r="H81" s="2" t="n">
        <v>0</v>
      </c>
      <c r="I81" s="2" t="n">
        <v>0</v>
      </c>
      <c r="J81" s="2" t="n">
        <v>5</v>
      </c>
      <c r="K81" s="2" t="n">
        <v>3</v>
      </c>
      <c r="L81" s="2" t="n">
        <v>1</v>
      </c>
      <c r="M81" s="2" t="n">
        <v>3</v>
      </c>
      <c r="N81" s="2" t="n">
        <v>1</v>
      </c>
      <c r="O81" s="2" t="n">
        <v>1</v>
      </c>
      <c r="P81" s="2" t="n">
        <v>1</v>
      </c>
      <c r="Q81" s="2" t="n">
        <v>0</v>
      </c>
      <c r="R81" s="2" t="n">
        <v>0</v>
      </c>
      <c r="S81" t="n">
        <v>3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170</v>
      </c>
      <c r="AC81" t="inlineStr">
        <is>
          <t>Hello World!</t>
        </is>
      </c>
    </row>
    <row r="82" ht="16" customHeight="1">
      <c r="A82" s="1" t="inlineStr">
        <is>
          <t>14.Blue 3</t>
        </is>
      </c>
      <c r="B82" s="2" t="inlineStr">
        <is>
          <t>Andrew Crawford</t>
        </is>
      </c>
      <c r="C82" s="2" t="n">
        <v>14</v>
      </c>
      <c r="D82" s="2" t="inlineStr">
        <is>
          <t>b3</t>
        </is>
      </c>
      <c r="E82" s="2" t="n">
        <v>8503</v>
      </c>
      <c r="F82" s="2" t="n">
        <v>1</v>
      </c>
      <c r="G82" s="2" t="n">
        <v>0</v>
      </c>
      <c r="H82" s="2" t="n">
        <v>1</v>
      </c>
      <c r="I82" s="2" t="n">
        <v>0</v>
      </c>
      <c r="J82" s="2" t="n">
        <v>5</v>
      </c>
      <c r="K82" s="2" t="n">
        <v>1</v>
      </c>
      <c r="L82" s="2" t="n">
        <v>1</v>
      </c>
      <c r="M82" s="2" t="n">
        <v>3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t="n">
        <v>3</v>
      </c>
      <c r="T82" t="n">
        <v>0</v>
      </c>
      <c r="U82" t="n">
        <v>1</v>
      </c>
      <c r="V82" t="n">
        <v>0</v>
      </c>
      <c r="W82" t="n">
        <v>3</v>
      </c>
      <c r="X82" t="n">
        <v>-1</v>
      </c>
      <c r="Y82" t="n">
        <v>1</v>
      </c>
      <c r="Z82" t="n">
        <v>1</v>
      </c>
      <c r="AA82" t="n">
        <v>0</v>
      </c>
      <c r="AB82" t="n">
        <v>150</v>
      </c>
      <c r="AC82" t="inlineStr">
        <is>
          <t>Hello World!</t>
        </is>
      </c>
    </row>
    <row r="83" ht="16" customHeight="1">
      <c r="A83" s="1" t="inlineStr">
        <is>
          <t>14.Red 1</t>
        </is>
      </c>
      <c r="B83" s="2" t="inlineStr">
        <is>
          <t xml:space="preserve">Ruth Christensen </t>
        </is>
      </c>
      <c r="C83" s="2" t="n">
        <v>14</v>
      </c>
      <c r="D83" s="2" t="inlineStr">
        <is>
          <t>r1</t>
        </is>
      </c>
      <c r="E83" s="2" t="n">
        <v>810</v>
      </c>
      <c r="F83" s="2" t="n">
        <v>1</v>
      </c>
      <c r="G83" s="2" t="n">
        <v>0</v>
      </c>
      <c r="H83" s="2" t="n">
        <v>0</v>
      </c>
      <c r="I83" s="2" t="n">
        <v>-1</v>
      </c>
      <c r="J83" s="2" t="n">
        <v>5</v>
      </c>
      <c r="K83" s="2" t="n">
        <v>2</v>
      </c>
      <c r="L83" s="2" t="n">
        <v>2</v>
      </c>
      <c r="M83" s="2" t="n">
        <v>3</v>
      </c>
      <c r="N83" s="2" t="n">
        <v>0</v>
      </c>
      <c r="O83" s="2" t="n">
        <v>0</v>
      </c>
      <c r="P83" s="2" t="n">
        <v>1</v>
      </c>
      <c r="Q83" s="2" t="n">
        <v>0</v>
      </c>
      <c r="R83" s="2" t="n">
        <v>0</v>
      </c>
      <c r="S83" t="n">
        <v>3</v>
      </c>
      <c r="T83" t="n">
        <v>0</v>
      </c>
      <c r="U83" t="n">
        <v>1</v>
      </c>
      <c r="V83" t="n">
        <v>1</v>
      </c>
      <c r="W83" t="n">
        <v>5</v>
      </c>
      <c r="X83" t="n">
        <v>-1</v>
      </c>
      <c r="Y83" t="n">
        <v>1</v>
      </c>
      <c r="Z83" t="n">
        <v>0</v>
      </c>
      <c r="AA83" t="n">
        <v>1</v>
      </c>
      <c r="AB83" t="n">
        <v>17</v>
      </c>
      <c r="AC83" t="inlineStr">
        <is>
          <t>Hello World!</t>
        </is>
      </c>
    </row>
    <row r="84" ht="16" customHeight="1">
      <c r="A84" s="1" t="inlineStr">
        <is>
          <t>14.Red 2</t>
        </is>
      </c>
      <c r="B84" s="2" t="inlineStr">
        <is>
          <t>Jonah WoikaKai Wilbur</t>
        </is>
      </c>
      <c r="C84" s="2" t="n">
        <v>14</v>
      </c>
      <c r="D84" s="2" t="inlineStr">
        <is>
          <t>r2</t>
        </is>
      </c>
      <c r="E84" s="2" t="n">
        <v>144</v>
      </c>
      <c r="F84" s="2" t="n">
        <v>1</v>
      </c>
      <c r="G84" s="2" t="n">
        <v>0</v>
      </c>
      <c r="H84" s="2" t="n">
        <v>1</v>
      </c>
      <c r="I84" s="2" t="n">
        <v>0</v>
      </c>
      <c r="J84" s="2" t="n">
        <v>3</v>
      </c>
      <c r="K84" s="2" t="n">
        <v>3</v>
      </c>
      <c r="L84" s="2" t="n">
        <v>2</v>
      </c>
      <c r="M84" s="2" t="n">
        <v>1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3</v>
      </c>
      <c r="X84" t="n">
        <v>0</v>
      </c>
      <c r="Y84" t="n">
        <v>1</v>
      </c>
      <c r="Z84" t="n">
        <v>1</v>
      </c>
      <c r="AA84" t="n">
        <v>0</v>
      </c>
      <c r="AB84" t="n">
        <v>161</v>
      </c>
      <c r="AC84" t="inlineStr">
        <is>
          <t>Hello World!</t>
        </is>
      </c>
    </row>
    <row r="85" ht="16" customHeight="1">
      <c r="A85" s="1" t="inlineStr">
        <is>
          <t>14.Red 3</t>
        </is>
      </c>
      <c r="B85" s="2" t="inlineStr">
        <is>
          <t>Jonah WoikaKai Wilbur</t>
        </is>
      </c>
      <c r="C85" s="2" t="n">
        <v>14</v>
      </c>
      <c r="D85" s="2" t="inlineStr">
        <is>
          <t>r3</t>
        </is>
      </c>
      <c r="E85" s="2" t="n">
        <v>5590</v>
      </c>
      <c r="F85" s="2" t="n">
        <v>1</v>
      </c>
      <c r="G85" s="2" t="n">
        <v>0</v>
      </c>
      <c r="H85" s="2" t="n">
        <v>1</v>
      </c>
      <c r="I85" s="2" t="n">
        <v>0</v>
      </c>
      <c r="J85" s="2" t="n">
        <v>5</v>
      </c>
      <c r="K85" s="2" t="n">
        <v>1</v>
      </c>
      <c r="L85" s="2" t="n">
        <v>1</v>
      </c>
      <c r="M85" s="2" t="n">
        <v>5</v>
      </c>
      <c r="N85" s="2" t="n">
        <v>1</v>
      </c>
      <c r="O85" s="2" t="n">
        <v>1</v>
      </c>
      <c r="P85" s="2" t="n">
        <v>0</v>
      </c>
      <c r="Q85" s="2" t="n">
        <v>0</v>
      </c>
      <c r="R85" s="2" t="n">
        <v>1</v>
      </c>
      <c r="S85" t="n">
        <v>3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17</v>
      </c>
      <c r="AC85" t="inlineStr">
        <is>
          <t>Hello World!</t>
        </is>
      </c>
    </row>
    <row r="86" ht="16" customHeight="1">
      <c r="A86" s="1" t="inlineStr">
        <is>
          <t>15.Blue 1</t>
        </is>
      </c>
      <c r="B86" s="2" t="inlineStr">
        <is>
          <t>Amanah Obaji</t>
        </is>
      </c>
      <c r="C86" s="2" t="n">
        <v>15</v>
      </c>
      <c r="D86" s="2" t="inlineStr">
        <is>
          <t>b1</t>
        </is>
      </c>
      <c r="E86" s="2" t="n">
        <v>1450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3</v>
      </c>
      <c r="K86" s="2" t="n">
        <v>3</v>
      </c>
      <c r="L86" s="2" t="n">
        <v>1</v>
      </c>
      <c r="M86" s="2" t="n">
        <v>3</v>
      </c>
      <c r="N86" s="2" t="n">
        <v>1</v>
      </c>
      <c r="O86" s="2" t="n">
        <v>1</v>
      </c>
      <c r="P86" s="2" t="n">
        <v>0</v>
      </c>
      <c r="Q86" s="2" t="n">
        <v>1</v>
      </c>
      <c r="R86" s="2" t="n">
        <v>0</v>
      </c>
      <c r="S86" t="n">
        <v>3</v>
      </c>
      <c r="T86" t="n">
        <v>0</v>
      </c>
      <c r="U86" t="n">
        <v>0</v>
      </c>
      <c r="V86" t="n">
        <v>1</v>
      </c>
      <c r="W86" t="n">
        <v>3</v>
      </c>
      <c r="X86" t="n">
        <v>0</v>
      </c>
      <c r="Y86" t="n">
        <v>1</v>
      </c>
      <c r="Z86" t="n">
        <v>1</v>
      </c>
      <c r="AA86" t="n">
        <v>1</v>
      </c>
      <c r="AB86" t="n">
        <v>5</v>
      </c>
      <c r="AC86" t="inlineStr">
        <is>
          <t>Hello World!</t>
        </is>
      </c>
    </row>
    <row r="87" ht="16" customHeight="1">
      <c r="A87" s="1" t="inlineStr">
        <is>
          <t>15.Blue 2</t>
        </is>
      </c>
      <c r="B87" s="2" t="inlineStr">
        <is>
          <t>Dean Blanchard</t>
        </is>
      </c>
      <c r="C87" s="2" t="n">
        <v>15</v>
      </c>
      <c r="D87" s="2" t="inlineStr">
        <is>
          <t>b2</t>
        </is>
      </c>
      <c r="E87" s="2" t="n">
        <v>3015</v>
      </c>
      <c r="F87" s="2" t="n">
        <v>0</v>
      </c>
      <c r="G87" s="2" t="n">
        <v>1</v>
      </c>
      <c r="H87" s="2" t="n">
        <v>1</v>
      </c>
      <c r="I87" s="2" t="n">
        <v>0</v>
      </c>
      <c r="J87" s="2" t="n">
        <v>2</v>
      </c>
      <c r="K87" s="2" t="n">
        <v>1</v>
      </c>
      <c r="L87" s="2" t="n">
        <v>1</v>
      </c>
      <c r="M87" s="2" t="n">
        <v>4</v>
      </c>
      <c r="N87" s="2" t="n">
        <v>1</v>
      </c>
      <c r="O87" s="2" t="n">
        <v>1</v>
      </c>
      <c r="P87" s="2" t="n">
        <v>0</v>
      </c>
      <c r="Q87" s="2" t="n">
        <v>0</v>
      </c>
      <c r="R87" s="2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4</v>
      </c>
      <c r="X87" t="n">
        <v>-1</v>
      </c>
      <c r="Y87" t="n">
        <v>0</v>
      </c>
      <c r="Z87" t="n">
        <v>0</v>
      </c>
      <c r="AA87" t="n">
        <v>0</v>
      </c>
      <c r="AB87" t="n">
        <v>16</v>
      </c>
      <c r="AC87" t="inlineStr">
        <is>
          <t>Hello World!</t>
        </is>
      </c>
    </row>
    <row r="88" ht="16" customHeight="1">
      <c r="A88" s="1" t="inlineStr">
        <is>
          <t>15.Blue 3</t>
        </is>
      </c>
      <c r="B88" s="2" t="inlineStr">
        <is>
          <t>Colby Jackson</t>
        </is>
      </c>
      <c r="C88" s="2" t="n">
        <v>15</v>
      </c>
      <c r="D88" s="2" t="inlineStr">
        <is>
          <t>b3</t>
        </is>
      </c>
      <c r="E88" s="2" t="n">
        <v>9016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2</v>
      </c>
      <c r="L88" s="2" t="n">
        <v>2</v>
      </c>
      <c r="M88" s="2" t="n">
        <v>1</v>
      </c>
      <c r="N88" s="2" t="n">
        <v>1</v>
      </c>
      <c r="O88" s="2" t="n">
        <v>1</v>
      </c>
      <c r="P88" s="2" t="n">
        <v>0</v>
      </c>
      <c r="Q88" s="2" t="n">
        <v>1</v>
      </c>
      <c r="R88" s="2" t="n">
        <v>1</v>
      </c>
      <c r="S88" t="n">
        <v>2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265</v>
      </c>
      <c r="AC88" t="inlineStr">
        <is>
          <t>Hello World!</t>
        </is>
      </c>
    </row>
    <row r="89" ht="16" customHeight="1">
      <c r="A89" s="1" t="inlineStr">
        <is>
          <t>15.Red 1</t>
        </is>
      </c>
      <c r="B89" s="2" t="inlineStr">
        <is>
          <t xml:space="preserve">Tyler Hignett </t>
        </is>
      </c>
      <c r="C89" s="2" t="n">
        <v>15</v>
      </c>
      <c r="D89" s="2" t="inlineStr">
        <is>
          <t>r1</t>
        </is>
      </c>
      <c r="E89" s="2" t="n">
        <v>639</v>
      </c>
      <c r="F89" s="2" t="n">
        <v>1</v>
      </c>
      <c r="G89" s="2" t="n">
        <v>1</v>
      </c>
      <c r="H89" s="2" t="n">
        <v>1</v>
      </c>
      <c r="I89" s="2" t="n">
        <v>1</v>
      </c>
      <c r="J89" s="2" t="n">
        <v>1</v>
      </c>
      <c r="K89" s="2" t="n">
        <v>3</v>
      </c>
      <c r="L89" s="2" t="n">
        <v>2</v>
      </c>
      <c r="M89" s="2" t="n">
        <v>5</v>
      </c>
      <c r="N89" s="2" t="n">
        <v>0</v>
      </c>
      <c r="O89" s="2" t="n">
        <v>1</v>
      </c>
      <c r="P89" s="2" t="n">
        <v>0</v>
      </c>
      <c r="Q89" s="2" t="n">
        <v>1</v>
      </c>
      <c r="R89" s="2" t="n">
        <v>0</v>
      </c>
      <c r="S89" t="n">
        <v>-1</v>
      </c>
      <c r="T89" t="n">
        <v>1</v>
      </c>
      <c r="U89" t="n">
        <v>1</v>
      </c>
      <c r="V89" t="n">
        <v>1</v>
      </c>
      <c r="W89" t="n">
        <v>3</v>
      </c>
      <c r="X89" t="n">
        <v>-1</v>
      </c>
      <c r="Y89" t="n">
        <v>0</v>
      </c>
      <c r="Z89" t="n">
        <v>0</v>
      </c>
      <c r="AA89" t="n">
        <v>1</v>
      </c>
      <c r="AB89" t="n">
        <v>177</v>
      </c>
      <c r="AC89" t="inlineStr">
        <is>
          <t>Hello World!</t>
        </is>
      </c>
    </row>
    <row r="90" ht="16" customHeight="1">
      <c r="A90" s="1" t="inlineStr">
        <is>
          <t>15.Red 2</t>
        </is>
      </c>
      <c r="B90" s="2" t="inlineStr">
        <is>
          <t xml:space="preserve">Tyler Hignett </t>
        </is>
      </c>
      <c r="C90" s="2" t="n">
        <v>15</v>
      </c>
      <c r="D90" s="2" t="inlineStr">
        <is>
          <t>r2</t>
        </is>
      </c>
      <c r="E90" s="2" t="n">
        <v>5528</v>
      </c>
      <c r="F90" s="2" t="n">
        <v>1</v>
      </c>
      <c r="G90" s="2" t="n">
        <v>1</v>
      </c>
      <c r="H90" s="2" t="n">
        <v>1</v>
      </c>
      <c r="I90" s="2" t="n">
        <v>-1</v>
      </c>
      <c r="J90" s="2" t="n">
        <v>1</v>
      </c>
      <c r="K90" s="2" t="n">
        <v>2</v>
      </c>
      <c r="L90" s="2" t="n">
        <v>3</v>
      </c>
      <c r="M90" s="2" t="n">
        <v>5</v>
      </c>
      <c r="N90" s="2" t="n">
        <v>0</v>
      </c>
      <c r="O90" s="2" t="n">
        <v>1</v>
      </c>
      <c r="P90" s="2" t="n">
        <v>1</v>
      </c>
      <c r="Q90" s="2" t="n">
        <v>1</v>
      </c>
      <c r="R90" s="2" t="n">
        <v>0</v>
      </c>
      <c r="S90" t="n">
        <v>2</v>
      </c>
      <c r="T90" t="n">
        <v>1</v>
      </c>
      <c r="U90" t="n">
        <v>0</v>
      </c>
      <c r="V90" t="n">
        <v>0</v>
      </c>
      <c r="W90" t="n">
        <v>5</v>
      </c>
      <c r="X90" t="n">
        <v>-1</v>
      </c>
      <c r="Y90" t="n">
        <v>1</v>
      </c>
      <c r="Z90" t="n">
        <v>0</v>
      </c>
      <c r="AA90" t="n">
        <v>0</v>
      </c>
      <c r="AB90" t="n">
        <v>171</v>
      </c>
      <c r="AC90" t="inlineStr">
        <is>
          <t>Hello World!</t>
        </is>
      </c>
    </row>
    <row r="91" ht="16" customHeight="1">
      <c r="A91" s="1" t="inlineStr">
        <is>
          <t>15.Red 3</t>
        </is>
      </c>
      <c r="B91" s="2" t="inlineStr">
        <is>
          <t>Caitlin Munier</t>
        </is>
      </c>
      <c r="C91" s="2" t="n">
        <v>15</v>
      </c>
      <c r="D91" s="2" t="inlineStr">
        <is>
          <t>r3</t>
        </is>
      </c>
      <c r="E91" s="2" t="n">
        <v>1591</v>
      </c>
      <c r="F91" s="2" t="n">
        <v>1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1</v>
      </c>
      <c r="L91" s="2" t="n">
        <v>3</v>
      </c>
      <c r="M91" s="2" t="n">
        <v>5</v>
      </c>
      <c r="N91" s="2" t="n">
        <v>0</v>
      </c>
      <c r="O91" s="2" t="n">
        <v>0</v>
      </c>
      <c r="P91" s="2" t="n">
        <v>1</v>
      </c>
      <c r="Q91" s="2" t="n">
        <v>1</v>
      </c>
      <c r="R91" s="2" t="n">
        <v>0</v>
      </c>
      <c r="S91" t="n">
        <v>-1</v>
      </c>
      <c r="T91" t="n">
        <v>1</v>
      </c>
      <c r="U91" t="n">
        <v>0</v>
      </c>
      <c r="V91" t="n">
        <v>0</v>
      </c>
      <c r="W91" t="n">
        <v>4</v>
      </c>
      <c r="X91" t="n">
        <v>0</v>
      </c>
      <c r="Y91" t="n">
        <v>0</v>
      </c>
      <c r="Z91" t="n">
        <v>1</v>
      </c>
      <c r="AA91" t="n">
        <v>0</v>
      </c>
      <c r="AB91" t="n">
        <v>247</v>
      </c>
      <c r="AC91" t="inlineStr">
        <is>
          <t>Hello World!</t>
        </is>
      </c>
    </row>
    <row r="92" ht="16" customHeight="1">
      <c r="A92" s="1" t="inlineStr">
        <is>
          <t>16.Blue 1</t>
        </is>
      </c>
      <c r="B92" s="2" t="inlineStr">
        <is>
          <t>Caitlin Munier</t>
        </is>
      </c>
      <c r="C92" s="2" t="n">
        <v>16</v>
      </c>
      <c r="D92" s="2" t="inlineStr">
        <is>
          <t>b1</t>
        </is>
      </c>
      <c r="E92" s="2" t="n">
        <v>378</v>
      </c>
      <c r="F92" s="2" t="n">
        <v>0</v>
      </c>
      <c r="G92" s="2" t="n">
        <v>0</v>
      </c>
      <c r="H92" s="2" t="n">
        <v>0</v>
      </c>
      <c r="I92" s="2" t="n">
        <v>1</v>
      </c>
      <c r="J92" s="2" t="n">
        <v>3</v>
      </c>
      <c r="K92" s="2" t="n">
        <v>2</v>
      </c>
      <c r="L92" s="2" t="n">
        <v>1</v>
      </c>
      <c r="M92" s="2" t="n">
        <v>2</v>
      </c>
      <c r="N92" s="2" t="n">
        <v>1</v>
      </c>
      <c r="O92" s="2" t="n">
        <v>1</v>
      </c>
      <c r="P92" s="2" t="n">
        <v>1</v>
      </c>
      <c r="Q92" s="2" t="n">
        <v>1</v>
      </c>
      <c r="R92" s="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5</v>
      </c>
      <c r="X92" t="n">
        <v>-1</v>
      </c>
      <c r="Y92" t="n">
        <v>1</v>
      </c>
      <c r="Z92" t="n">
        <v>1</v>
      </c>
      <c r="AA92" t="n">
        <v>1</v>
      </c>
      <c r="AB92" t="n">
        <v>46</v>
      </c>
      <c r="AC92" t="inlineStr">
        <is>
          <t>Hello World!</t>
        </is>
      </c>
    </row>
    <row r="93" ht="16" customHeight="1">
      <c r="A93" s="1" t="inlineStr">
        <is>
          <t>16.Blue 2</t>
        </is>
      </c>
      <c r="B93" s="2" t="inlineStr">
        <is>
          <t>Colby Jackson</t>
        </is>
      </c>
      <c r="C93" s="2" t="n">
        <v>16</v>
      </c>
      <c r="D93" s="2" t="inlineStr">
        <is>
          <t>b2</t>
        </is>
      </c>
      <c r="E93" s="2" t="n">
        <v>1585</v>
      </c>
      <c r="F93" s="2" t="n">
        <v>0</v>
      </c>
      <c r="G93" s="2" t="n">
        <v>1</v>
      </c>
      <c r="H93" s="2" t="n">
        <v>1</v>
      </c>
      <c r="I93" s="2" t="n">
        <v>0</v>
      </c>
      <c r="J93" s="2" t="n">
        <v>5</v>
      </c>
      <c r="K93" s="2" t="n">
        <v>1</v>
      </c>
      <c r="L93" s="2" t="n">
        <v>2</v>
      </c>
      <c r="M93" s="2" t="n">
        <v>5</v>
      </c>
      <c r="N93" s="2" t="n">
        <v>1</v>
      </c>
      <c r="O93" s="2" t="n">
        <v>1</v>
      </c>
      <c r="P93" s="2" t="n">
        <v>1</v>
      </c>
      <c r="Q93" s="2" t="n">
        <v>1</v>
      </c>
      <c r="R93" s="2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4</v>
      </c>
      <c r="X93" t="n">
        <v>0</v>
      </c>
      <c r="Y93" t="n">
        <v>0</v>
      </c>
      <c r="Z93" t="n">
        <v>1</v>
      </c>
      <c r="AA93" t="n">
        <v>1</v>
      </c>
      <c r="AB93" t="n">
        <v>209</v>
      </c>
      <c r="AC93" t="inlineStr">
        <is>
          <t>Hello World!</t>
        </is>
      </c>
    </row>
    <row r="94" ht="16" customHeight="1">
      <c r="A94" s="1" t="inlineStr">
        <is>
          <t>16.Blue 3</t>
        </is>
      </c>
      <c r="B94" s="2" t="inlineStr">
        <is>
          <t>Colby Jackson</t>
        </is>
      </c>
      <c r="C94" s="2" t="n">
        <v>16</v>
      </c>
      <c r="D94" s="2" t="inlineStr">
        <is>
          <t>b3</t>
        </is>
      </c>
      <c r="E94" s="2" t="n">
        <v>6947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5</v>
      </c>
      <c r="K94" s="2" t="n">
        <v>3</v>
      </c>
      <c r="L94" s="2" t="n">
        <v>3</v>
      </c>
      <c r="M94" s="2" t="n">
        <v>2</v>
      </c>
      <c r="N94" s="2" t="n">
        <v>0</v>
      </c>
      <c r="O94" s="2" t="n">
        <v>1</v>
      </c>
      <c r="P94" s="2" t="n">
        <v>0</v>
      </c>
      <c r="Q94" s="2" t="n">
        <v>1</v>
      </c>
      <c r="R94" s="2" t="n">
        <v>0</v>
      </c>
      <c r="S94" t="n">
        <v>-1</v>
      </c>
      <c r="T94" t="n">
        <v>0</v>
      </c>
      <c r="U94" t="n">
        <v>0</v>
      </c>
      <c r="V94" t="n">
        <v>1</v>
      </c>
      <c r="W94" t="n">
        <v>2</v>
      </c>
      <c r="X94" t="n">
        <v>1</v>
      </c>
      <c r="Y94" t="n">
        <v>1</v>
      </c>
      <c r="Z94" t="n">
        <v>1</v>
      </c>
      <c r="AA94" t="n">
        <v>1</v>
      </c>
      <c r="AB94" t="n">
        <v>176</v>
      </c>
      <c r="AC94" t="inlineStr">
        <is>
          <t>Hello World!</t>
        </is>
      </c>
    </row>
    <row r="95" ht="16" customHeight="1">
      <c r="A95" s="1" t="inlineStr">
        <is>
          <t>16.Red 1</t>
        </is>
      </c>
      <c r="B95" s="2" t="inlineStr">
        <is>
          <t>Andrew Crawford</t>
        </is>
      </c>
      <c r="C95" s="2" t="n">
        <v>16</v>
      </c>
      <c r="D95" s="2" t="inlineStr">
        <is>
          <t>r1</t>
        </is>
      </c>
      <c r="E95" s="2" t="n">
        <v>353</v>
      </c>
      <c r="F95" s="2" t="n">
        <v>1</v>
      </c>
      <c r="G95" s="2" t="n">
        <v>0</v>
      </c>
      <c r="H95" s="2" t="n">
        <v>0</v>
      </c>
      <c r="I95" s="2" t="n">
        <v>-1</v>
      </c>
      <c r="J95" s="2" t="n">
        <v>5</v>
      </c>
      <c r="K95" s="2" t="n">
        <v>3</v>
      </c>
      <c r="L95" s="2" t="n">
        <v>2</v>
      </c>
      <c r="M95" s="2" t="n">
        <v>3</v>
      </c>
      <c r="N95" s="2" t="n">
        <v>1</v>
      </c>
      <c r="O95" s="2" t="n">
        <v>1</v>
      </c>
      <c r="P95" s="2" t="n">
        <v>1</v>
      </c>
      <c r="Q95" s="2" t="n">
        <v>0</v>
      </c>
      <c r="R95" s="2" t="n">
        <v>1</v>
      </c>
      <c r="S95" t="n">
        <v>-1</v>
      </c>
      <c r="T95" t="n">
        <v>1</v>
      </c>
      <c r="U95" t="n">
        <v>0</v>
      </c>
      <c r="V95" t="n">
        <v>1</v>
      </c>
      <c r="W95" t="n">
        <v>4</v>
      </c>
      <c r="X95" t="n">
        <v>0</v>
      </c>
      <c r="Y95" t="n">
        <v>0</v>
      </c>
      <c r="Z95" t="n">
        <v>1</v>
      </c>
      <c r="AA95" t="n">
        <v>1</v>
      </c>
      <c r="AB95" t="n">
        <v>227</v>
      </c>
      <c r="AC95" t="inlineStr">
        <is>
          <t>Hello World!</t>
        </is>
      </c>
    </row>
    <row r="96" ht="16" customHeight="1">
      <c r="A96" s="1" t="inlineStr">
        <is>
          <t>16.Red 2</t>
        </is>
      </c>
      <c r="B96" s="2" t="inlineStr">
        <is>
          <t>Eli Harrison</t>
        </is>
      </c>
      <c r="C96" s="2" t="n">
        <v>16</v>
      </c>
      <c r="D96" s="2" t="inlineStr">
        <is>
          <t>r2</t>
        </is>
      </c>
      <c r="E96" s="2" t="n">
        <v>4930</v>
      </c>
      <c r="F96" s="2" t="n">
        <v>0</v>
      </c>
      <c r="G96" s="2" t="n">
        <v>1</v>
      </c>
      <c r="H96" s="2" t="n">
        <v>0</v>
      </c>
      <c r="I96" s="2" t="n">
        <v>-1</v>
      </c>
      <c r="J96" s="2" t="n">
        <v>2</v>
      </c>
      <c r="K96" s="2" t="n">
        <v>3</v>
      </c>
      <c r="L96" s="2" t="n">
        <v>1</v>
      </c>
      <c r="M96" s="2" t="n">
        <v>2</v>
      </c>
      <c r="N96" s="2" t="n">
        <v>0</v>
      </c>
      <c r="O96" s="2" t="n">
        <v>1</v>
      </c>
      <c r="P96" s="2" t="n">
        <v>0</v>
      </c>
      <c r="Q96" s="2" t="n">
        <v>1</v>
      </c>
      <c r="R96" s="2" t="n">
        <v>1</v>
      </c>
      <c r="S96" t="n">
        <v>2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177</v>
      </c>
      <c r="AC96" t="inlineStr">
        <is>
          <t>Hello World!</t>
        </is>
      </c>
    </row>
    <row r="97" ht="16" customHeight="1">
      <c r="A97" s="1" t="inlineStr">
        <is>
          <t>16.Red 3</t>
        </is>
      </c>
      <c r="B97" s="2" t="inlineStr">
        <is>
          <t>Runa Hunt</t>
        </is>
      </c>
      <c r="C97" s="2" t="n">
        <v>16</v>
      </c>
      <c r="D97" s="2" t="inlineStr">
        <is>
          <t>r3</t>
        </is>
      </c>
      <c r="E97" s="2" t="n">
        <v>48</v>
      </c>
      <c r="F97" s="2" t="n">
        <v>0</v>
      </c>
      <c r="G97" s="2" t="n">
        <v>0</v>
      </c>
      <c r="H97" s="2" t="n">
        <v>1</v>
      </c>
      <c r="I97" s="2" t="n">
        <v>-1</v>
      </c>
      <c r="J97" s="2" t="n">
        <v>5</v>
      </c>
      <c r="K97" s="2" t="n">
        <v>2</v>
      </c>
      <c r="L97" s="2" t="n">
        <v>3</v>
      </c>
      <c r="M97" s="2" t="n">
        <v>4</v>
      </c>
      <c r="N97" s="2" t="n">
        <v>0</v>
      </c>
      <c r="O97" s="2" t="n">
        <v>0</v>
      </c>
      <c r="P97" s="2" t="n">
        <v>0</v>
      </c>
      <c r="Q97" s="2" t="n">
        <v>1</v>
      </c>
      <c r="R97" s="2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0</v>
      </c>
      <c r="AA97" t="n">
        <v>1</v>
      </c>
      <c r="AB97" t="n">
        <v>112</v>
      </c>
      <c r="AC97" t="inlineStr">
        <is>
          <t>Hello World!</t>
        </is>
      </c>
    </row>
    <row r="98" ht="16" customHeight="1">
      <c r="A98" s="1" t="inlineStr">
        <is>
          <t>17.Blue 1</t>
        </is>
      </c>
      <c r="B98" s="2" t="inlineStr">
        <is>
          <t xml:space="preserve">Tetra Ukav </t>
        </is>
      </c>
      <c r="C98" s="2" t="n">
        <v>17</v>
      </c>
      <c r="D98" s="2" t="inlineStr">
        <is>
          <t>b1</t>
        </is>
      </c>
      <c r="E98" s="2" t="n">
        <v>424</v>
      </c>
      <c r="F98" s="2" t="n">
        <v>1</v>
      </c>
      <c r="G98" s="2" t="n">
        <v>0</v>
      </c>
      <c r="H98" s="2" t="n">
        <v>1</v>
      </c>
      <c r="I98" s="2" t="n">
        <v>1</v>
      </c>
      <c r="J98" s="2" t="n">
        <v>4</v>
      </c>
      <c r="K98" s="2" t="n">
        <v>1</v>
      </c>
      <c r="L98" s="2" t="n">
        <v>1</v>
      </c>
      <c r="M98" s="2" t="n">
        <v>2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1</v>
      </c>
      <c r="S98" t="n">
        <v>-1</v>
      </c>
      <c r="T98" t="n">
        <v>1</v>
      </c>
      <c r="U98" t="n">
        <v>0</v>
      </c>
      <c r="V98" t="n">
        <v>0</v>
      </c>
      <c r="W98" t="n">
        <v>2</v>
      </c>
      <c r="X98" t="n">
        <v>-1</v>
      </c>
      <c r="Y98" t="n">
        <v>1</v>
      </c>
      <c r="Z98" t="n">
        <v>0</v>
      </c>
      <c r="AA98" t="n">
        <v>0</v>
      </c>
      <c r="AB98" t="n">
        <v>141</v>
      </c>
      <c r="AC98" t="inlineStr">
        <is>
          <t>Hello World!</t>
        </is>
      </c>
    </row>
    <row r="99" ht="16" customHeight="1">
      <c r="A99" s="1" t="inlineStr">
        <is>
          <t>17.Blue 2</t>
        </is>
      </c>
      <c r="B99" s="2" t="inlineStr">
        <is>
          <t>Madison DeCicca</t>
        </is>
      </c>
      <c r="C99" s="2" t="n">
        <v>17</v>
      </c>
      <c r="D99" s="2" t="inlineStr">
        <is>
          <t>b2</t>
        </is>
      </c>
      <c r="E99" s="2" t="n">
        <v>2228</v>
      </c>
      <c r="F99" s="2" t="n">
        <v>0</v>
      </c>
      <c r="G99" s="2" t="n">
        <v>1</v>
      </c>
      <c r="H99" s="2" t="n">
        <v>0</v>
      </c>
      <c r="I99" s="2" t="n">
        <v>0</v>
      </c>
      <c r="J99" s="2" t="n">
        <v>2</v>
      </c>
      <c r="K99" s="2" t="n">
        <v>1</v>
      </c>
      <c r="L99" s="2" t="n">
        <v>1</v>
      </c>
      <c r="M99" s="2" t="n">
        <v>5</v>
      </c>
      <c r="N99" s="2" t="n">
        <v>0</v>
      </c>
      <c r="O99" s="2" t="n">
        <v>1</v>
      </c>
      <c r="P99" s="2" t="n">
        <v>1</v>
      </c>
      <c r="Q99" s="2" t="n">
        <v>1</v>
      </c>
      <c r="R99" s="2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5</v>
      </c>
      <c r="X99" t="n">
        <v>1</v>
      </c>
      <c r="Y99" t="n">
        <v>0</v>
      </c>
      <c r="Z99" t="n">
        <v>1</v>
      </c>
      <c r="AA99" t="n">
        <v>0</v>
      </c>
      <c r="AB99" t="n">
        <v>209</v>
      </c>
      <c r="AC99" t="inlineStr">
        <is>
          <t>Hello World!</t>
        </is>
      </c>
    </row>
    <row r="100" ht="16" customHeight="1">
      <c r="A100" s="1" t="inlineStr">
        <is>
          <t>17.Blue 3</t>
        </is>
      </c>
      <c r="B100" s="2" t="inlineStr">
        <is>
          <t>Dean Blanchard</t>
        </is>
      </c>
      <c r="C100" s="2" t="n">
        <v>17</v>
      </c>
      <c r="D100" s="2" t="inlineStr">
        <is>
          <t>b3</t>
        </is>
      </c>
      <c r="E100" s="2" t="n">
        <v>1787</v>
      </c>
      <c r="F100" s="2" t="n">
        <v>1</v>
      </c>
      <c r="G100" s="2" t="n">
        <v>1</v>
      </c>
      <c r="H100" s="2" t="n">
        <v>0</v>
      </c>
      <c r="I100" s="2" t="n">
        <v>0</v>
      </c>
      <c r="J100" s="2" t="n">
        <v>5</v>
      </c>
      <c r="K100" s="2" t="n">
        <v>3</v>
      </c>
      <c r="L100" s="2" t="n">
        <v>2</v>
      </c>
      <c r="M100" s="2" t="n">
        <v>4</v>
      </c>
      <c r="N100" s="2" t="n">
        <v>1</v>
      </c>
      <c r="O100" s="2" t="n">
        <v>0</v>
      </c>
      <c r="P100" s="2" t="n">
        <v>0</v>
      </c>
      <c r="Q100" s="2" t="n">
        <v>1</v>
      </c>
      <c r="R100" s="2" t="n">
        <v>1</v>
      </c>
      <c r="S100" t="n">
        <v>3</v>
      </c>
      <c r="T100" t="n">
        <v>1</v>
      </c>
      <c r="U100" t="n">
        <v>1</v>
      </c>
      <c r="V100" t="n">
        <v>0</v>
      </c>
      <c r="W100" t="n">
        <v>1</v>
      </c>
      <c r="X100" t="n">
        <v>-1</v>
      </c>
      <c r="Y100" t="n">
        <v>0</v>
      </c>
      <c r="Z100" t="n">
        <v>0</v>
      </c>
      <c r="AA100" t="n">
        <v>1</v>
      </c>
      <c r="AB100" t="n">
        <v>265</v>
      </c>
      <c r="AC100" t="inlineStr">
        <is>
          <t>Hello World!</t>
        </is>
      </c>
    </row>
    <row r="101" ht="16" customHeight="1">
      <c r="A101" s="1" t="inlineStr">
        <is>
          <t>17.Red 1</t>
        </is>
      </c>
      <c r="B101" s="2" t="inlineStr">
        <is>
          <t>Andrew Crawford</t>
        </is>
      </c>
      <c r="C101" s="2" t="n">
        <v>17</v>
      </c>
      <c r="D101" s="2" t="inlineStr">
        <is>
          <t>r1</t>
        </is>
      </c>
      <c r="E101" s="2" t="n">
        <v>1781</v>
      </c>
      <c r="F101" s="2" t="n">
        <v>0</v>
      </c>
      <c r="G101" s="2" t="n">
        <v>0</v>
      </c>
      <c r="H101" s="2" t="n">
        <v>0</v>
      </c>
      <c r="I101" s="2" t="n">
        <v>1</v>
      </c>
      <c r="J101" s="2" t="n">
        <v>5</v>
      </c>
      <c r="K101" s="2" t="n">
        <v>2</v>
      </c>
      <c r="L101" s="2" t="n">
        <v>2</v>
      </c>
      <c r="M101" s="2" t="n">
        <v>5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5</v>
      </c>
      <c r="X101" t="n">
        <v>1</v>
      </c>
      <c r="Y101" t="n">
        <v>0</v>
      </c>
      <c r="Z101" t="n">
        <v>0</v>
      </c>
      <c r="AA101" t="n">
        <v>1</v>
      </c>
      <c r="AB101" t="n">
        <v>151</v>
      </c>
      <c r="AC101" t="inlineStr">
        <is>
          <t>Hello World!</t>
        </is>
      </c>
    </row>
    <row r="102" ht="16" customHeight="1">
      <c r="A102" s="1" t="inlineStr">
        <is>
          <t>17.Red 2</t>
        </is>
      </c>
      <c r="B102" s="2" t="inlineStr">
        <is>
          <t>Matthew Mazzota</t>
        </is>
      </c>
      <c r="C102" s="2" t="n">
        <v>17</v>
      </c>
      <c r="D102" s="2" t="inlineStr">
        <is>
          <t>r2</t>
        </is>
      </c>
      <c r="E102" s="2" t="n">
        <v>1507</v>
      </c>
      <c r="F102" s="2" t="n">
        <v>0</v>
      </c>
      <c r="G102" s="2" t="n">
        <v>1</v>
      </c>
      <c r="H102" s="2" t="n">
        <v>0</v>
      </c>
      <c r="I102" s="2" t="n">
        <v>1</v>
      </c>
      <c r="J102" s="2" t="n">
        <v>1</v>
      </c>
      <c r="K102" s="2" t="n">
        <v>2</v>
      </c>
      <c r="L102" s="2" t="n">
        <v>1</v>
      </c>
      <c r="M102" s="2" t="n">
        <v>2</v>
      </c>
      <c r="N102" s="2" t="n">
        <v>0</v>
      </c>
      <c r="O102" s="2" t="n">
        <v>0</v>
      </c>
      <c r="P102" s="2" t="n">
        <v>0</v>
      </c>
      <c r="Q102" s="2" t="n">
        <v>1</v>
      </c>
      <c r="R102" s="2" t="n">
        <v>0</v>
      </c>
      <c r="S102" t="n">
        <v>-1</v>
      </c>
      <c r="T102" t="n">
        <v>1</v>
      </c>
      <c r="U102" t="n">
        <v>1</v>
      </c>
      <c r="V102" t="n">
        <v>0</v>
      </c>
      <c r="W102" t="n">
        <v>4</v>
      </c>
      <c r="X102" t="n">
        <v>1</v>
      </c>
      <c r="Y102" t="n">
        <v>0</v>
      </c>
      <c r="Z102" t="n">
        <v>1</v>
      </c>
      <c r="AA102" t="n">
        <v>1</v>
      </c>
      <c r="AB102" t="n">
        <v>13</v>
      </c>
      <c r="AC102" t="inlineStr">
        <is>
          <t>Hello World!</t>
        </is>
      </c>
    </row>
    <row r="103" ht="16" customHeight="1">
      <c r="A103" s="1" t="inlineStr">
        <is>
          <t>17.Red 3</t>
        </is>
      </c>
      <c r="B103" s="2" t="inlineStr">
        <is>
          <t>Amanah Obaji</t>
        </is>
      </c>
      <c r="C103" s="2" t="n">
        <v>17</v>
      </c>
      <c r="D103" s="2" t="inlineStr">
        <is>
          <t>r3</t>
        </is>
      </c>
      <c r="E103" s="2" t="n">
        <v>2340</v>
      </c>
      <c r="F103" s="2" t="n">
        <v>0</v>
      </c>
      <c r="G103" s="2" t="n">
        <v>1</v>
      </c>
      <c r="H103" s="2" t="n">
        <v>0</v>
      </c>
      <c r="I103" s="2" t="n">
        <v>1</v>
      </c>
      <c r="J103" s="2" t="n">
        <v>1</v>
      </c>
      <c r="K103" s="2" t="n">
        <v>1</v>
      </c>
      <c r="L103" s="2" t="n">
        <v>1</v>
      </c>
      <c r="M103" s="2" t="n">
        <v>3</v>
      </c>
      <c r="N103" s="2" t="n">
        <v>0</v>
      </c>
      <c r="O103" s="2" t="n">
        <v>0</v>
      </c>
      <c r="P103" s="2" t="n">
        <v>1</v>
      </c>
      <c r="Q103" s="2" t="n">
        <v>0</v>
      </c>
      <c r="R103" s="2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3</v>
      </c>
      <c r="X103" t="n">
        <v>-1</v>
      </c>
      <c r="Y103" t="n">
        <v>1</v>
      </c>
      <c r="Z103" t="n">
        <v>1</v>
      </c>
      <c r="AA103" t="n">
        <v>0</v>
      </c>
      <c r="AB103" t="n">
        <v>255</v>
      </c>
      <c r="AC103" t="inlineStr">
        <is>
          <t>Hello World!</t>
        </is>
      </c>
    </row>
    <row r="104" ht="16" customHeight="1">
      <c r="A104" s="1" t="inlineStr">
        <is>
          <t>18.Blue 1</t>
        </is>
      </c>
      <c r="B104" s="2" t="inlineStr">
        <is>
          <t>Domenic Giammusso</t>
        </is>
      </c>
      <c r="C104" s="2" t="n">
        <v>18</v>
      </c>
      <c r="D104" s="2" t="inlineStr">
        <is>
          <t>b1</t>
        </is>
      </c>
      <c r="E104" s="2" t="n">
        <v>325</v>
      </c>
      <c r="F104" s="2" t="n">
        <v>1</v>
      </c>
      <c r="G104" s="2" t="n">
        <v>1</v>
      </c>
      <c r="H104" s="2" t="n">
        <v>1</v>
      </c>
      <c r="I104" s="2" t="n">
        <v>-1</v>
      </c>
      <c r="J104" s="2" t="n">
        <v>4</v>
      </c>
      <c r="K104" s="2" t="n">
        <v>3</v>
      </c>
      <c r="L104" s="2" t="n">
        <v>3</v>
      </c>
      <c r="M104" s="2" t="n">
        <v>2</v>
      </c>
      <c r="N104" s="2" t="n">
        <v>1</v>
      </c>
      <c r="O104" s="2" t="n">
        <v>0</v>
      </c>
      <c r="P104" s="2" t="n">
        <v>0</v>
      </c>
      <c r="Q104" s="2" t="n">
        <v>0</v>
      </c>
      <c r="R104" s="2" t="n">
        <v>0</v>
      </c>
      <c r="S104" t="n">
        <v>1</v>
      </c>
      <c r="T104" t="n">
        <v>0</v>
      </c>
      <c r="U104" t="n">
        <v>1</v>
      </c>
      <c r="V104" t="n">
        <v>1</v>
      </c>
      <c r="W104" t="n">
        <v>4</v>
      </c>
      <c r="X104" t="n">
        <v>1</v>
      </c>
      <c r="Y104" t="n">
        <v>1</v>
      </c>
      <c r="Z104" t="n">
        <v>0</v>
      </c>
      <c r="AA104" t="n">
        <v>1</v>
      </c>
      <c r="AB104" t="n">
        <v>170</v>
      </c>
      <c r="AC104" t="inlineStr">
        <is>
          <t>Hello World!</t>
        </is>
      </c>
    </row>
    <row r="105" ht="16" customHeight="1">
      <c r="A105" s="1" t="inlineStr">
        <is>
          <t>18.Blue 2</t>
        </is>
      </c>
      <c r="B105" s="2" t="inlineStr">
        <is>
          <t>Jonah WoikaKai Wilbur</t>
        </is>
      </c>
      <c r="C105" s="2" t="n">
        <v>18</v>
      </c>
      <c r="D105" s="2" t="inlineStr">
        <is>
          <t>b2</t>
        </is>
      </c>
      <c r="E105" s="2" t="n">
        <v>694</v>
      </c>
      <c r="F105" s="2" t="n">
        <v>1</v>
      </c>
      <c r="G105" s="2" t="n">
        <v>0</v>
      </c>
      <c r="H105" s="2" t="n">
        <v>1</v>
      </c>
      <c r="I105" s="2" t="n">
        <v>1</v>
      </c>
      <c r="J105" s="2" t="n">
        <v>4</v>
      </c>
      <c r="K105" s="2" t="n">
        <v>2</v>
      </c>
      <c r="L105" s="2" t="n">
        <v>3</v>
      </c>
      <c r="M105" s="2" t="n">
        <v>2</v>
      </c>
      <c r="N105" s="2" t="n">
        <v>0</v>
      </c>
      <c r="O105" s="2" t="n">
        <v>0</v>
      </c>
      <c r="P105" s="2" t="n">
        <v>1</v>
      </c>
      <c r="Q105" s="2" t="n">
        <v>1</v>
      </c>
      <c r="R105" s="2" t="n">
        <v>0</v>
      </c>
      <c r="S105" t="n">
        <v>3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n">
        <v>51</v>
      </c>
      <c r="AC105" t="inlineStr">
        <is>
          <t>Hello World!</t>
        </is>
      </c>
    </row>
    <row r="106" ht="16" customHeight="1">
      <c r="A106" s="1" t="inlineStr">
        <is>
          <t>18.Blue 3</t>
        </is>
      </c>
      <c r="B106" s="2" t="inlineStr">
        <is>
          <t>Nicholas Munier</t>
        </is>
      </c>
      <c r="C106" s="2" t="n">
        <v>18</v>
      </c>
      <c r="D106" s="2" t="inlineStr">
        <is>
          <t>b3</t>
        </is>
      </c>
      <c r="E106" s="2" t="n">
        <v>1559</v>
      </c>
      <c r="F106" s="2" t="n">
        <v>1</v>
      </c>
      <c r="G106" s="2" t="n">
        <v>1</v>
      </c>
      <c r="H106" s="2" t="n">
        <v>0</v>
      </c>
      <c r="I106" s="2" t="n">
        <v>-1</v>
      </c>
      <c r="J106" s="2" t="n">
        <v>3</v>
      </c>
      <c r="K106" s="2" t="n">
        <v>3</v>
      </c>
      <c r="L106" s="2" t="n">
        <v>2</v>
      </c>
      <c r="M106" s="2" t="n">
        <v>2</v>
      </c>
      <c r="N106" s="2" t="n">
        <v>1</v>
      </c>
      <c r="O106" s="2" t="n">
        <v>0</v>
      </c>
      <c r="P106" s="2" t="n">
        <v>0</v>
      </c>
      <c r="Q106" s="2" t="n">
        <v>1</v>
      </c>
      <c r="R106" s="2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142</v>
      </c>
      <c r="AC106" t="inlineStr">
        <is>
          <t>Hello World!</t>
        </is>
      </c>
    </row>
    <row r="107" ht="16" customHeight="1">
      <c r="A107" s="1" t="inlineStr">
        <is>
          <t>18.Red 1</t>
        </is>
      </c>
      <c r="B107" s="2" t="inlineStr">
        <is>
          <t>Amanah Obaji</t>
        </is>
      </c>
      <c r="C107" s="2" t="n">
        <v>18</v>
      </c>
      <c r="D107" s="2" t="inlineStr">
        <is>
          <t>r1</t>
        </is>
      </c>
      <c r="E107" s="2" t="n">
        <v>191</v>
      </c>
      <c r="F107" s="2" t="n">
        <v>0</v>
      </c>
      <c r="G107" s="2" t="n">
        <v>1</v>
      </c>
      <c r="H107" s="2" t="n">
        <v>1</v>
      </c>
      <c r="I107" s="2" t="n">
        <v>0</v>
      </c>
      <c r="J107" s="2" t="n">
        <v>5</v>
      </c>
      <c r="K107" s="2" t="n">
        <v>1</v>
      </c>
      <c r="L107" s="2" t="n">
        <v>1</v>
      </c>
      <c r="M107" s="2" t="n">
        <v>3</v>
      </c>
      <c r="N107" s="2" t="n">
        <v>0</v>
      </c>
      <c r="O107" s="2" t="n">
        <v>0</v>
      </c>
      <c r="P107" s="2" t="n">
        <v>0</v>
      </c>
      <c r="Q107" s="2" t="n">
        <v>1</v>
      </c>
      <c r="R107" s="2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4</v>
      </c>
      <c r="X107" t="n">
        <v>0</v>
      </c>
      <c r="Y107" t="n">
        <v>0</v>
      </c>
      <c r="Z107" t="n">
        <v>1</v>
      </c>
      <c r="AA107" t="n">
        <v>1</v>
      </c>
      <c r="AB107" t="n">
        <v>56</v>
      </c>
      <c r="AC107" t="inlineStr">
        <is>
          <t>Hello World!</t>
        </is>
      </c>
    </row>
    <row r="108" ht="16" customHeight="1">
      <c r="A108" s="1" t="inlineStr">
        <is>
          <t>18.Red 2</t>
        </is>
      </c>
      <c r="B108" s="2" t="inlineStr">
        <is>
          <t>Jonah WoikaKai Wilbur</t>
        </is>
      </c>
      <c r="C108" s="2" t="n">
        <v>18</v>
      </c>
      <c r="D108" s="2" t="inlineStr">
        <is>
          <t>r2</t>
        </is>
      </c>
      <c r="E108" s="2" t="n">
        <v>340</v>
      </c>
      <c r="F108" s="2" t="n">
        <v>0</v>
      </c>
      <c r="G108" s="2" t="n">
        <v>1</v>
      </c>
      <c r="H108" s="2" t="n">
        <v>0</v>
      </c>
      <c r="I108" s="2" t="n">
        <v>1</v>
      </c>
      <c r="J108" s="2" t="n">
        <v>4</v>
      </c>
      <c r="K108" s="2" t="n">
        <v>2</v>
      </c>
      <c r="L108" s="2" t="n">
        <v>1</v>
      </c>
      <c r="M108" s="2" t="n">
        <v>3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1</v>
      </c>
      <c r="S108" t="n">
        <v>1</v>
      </c>
      <c r="T108" t="n">
        <v>0</v>
      </c>
      <c r="U108" t="n">
        <v>1</v>
      </c>
      <c r="V108" t="n">
        <v>1</v>
      </c>
      <c r="W108" t="n">
        <v>4</v>
      </c>
      <c r="X108" t="n">
        <v>1</v>
      </c>
      <c r="Y108" t="n">
        <v>1</v>
      </c>
      <c r="Z108" t="n">
        <v>0</v>
      </c>
      <c r="AA108" t="n">
        <v>1</v>
      </c>
      <c r="AB108" t="n">
        <v>233</v>
      </c>
      <c r="AC108" t="inlineStr">
        <is>
          <t>Hello World!</t>
        </is>
      </c>
    </row>
    <row r="109" ht="16" customHeight="1">
      <c r="A109" s="1" t="inlineStr">
        <is>
          <t>18.Red 3</t>
        </is>
      </c>
      <c r="B109" s="2" t="inlineStr">
        <is>
          <t>Caitlin Munier</t>
        </is>
      </c>
      <c r="C109" s="2" t="n">
        <v>18</v>
      </c>
      <c r="D109" s="2" t="inlineStr">
        <is>
          <t>r3</t>
        </is>
      </c>
      <c r="E109" s="2" t="n">
        <v>3044</v>
      </c>
      <c r="F109" s="2" t="n">
        <v>0</v>
      </c>
      <c r="G109" s="2" t="n">
        <v>1</v>
      </c>
      <c r="H109" s="2" t="n">
        <v>0</v>
      </c>
      <c r="I109" s="2" t="n">
        <v>-1</v>
      </c>
      <c r="J109" s="2" t="n">
        <v>4</v>
      </c>
      <c r="K109" s="2" t="n">
        <v>3</v>
      </c>
      <c r="L109" s="2" t="n">
        <v>2</v>
      </c>
      <c r="M109" s="2" t="n">
        <v>2</v>
      </c>
      <c r="N109" s="2" t="n">
        <v>1</v>
      </c>
      <c r="O109" s="2" t="n">
        <v>1</v>
      </c>
      <c r="P109" s="2" t="n">
        <v>1</v>
      </c>
      <c r="Q109" s="2" t="n">
        <v>0</v>
      </c>
      <c r="R109" s="2" t="n">
        <v>0</v>
      </c>
      <c r="S109" t="n">
        <v>3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82</v>
      </c>
      <c r="AC109" t="inlineStr">
        <is>
          <t>Hello World!</t>
        </is>
      </c>
    </row>
    <row r="110" ht="16" customHeight="1">
      <c r="A110" s="1" t="inlineStr">
        <is>
          <t>19.Blue 1</t>
        </is>
      </c>
      <c r="B110" s="2" t="inlineStr">
        <is>
          <t>Nathan DeVito</t>
        </is>
      </c>
      <c r="C110" s="2" t="n">
        <v>19</v>
      </c>
      <c r="D110" s="2" t="inlineStr">
        <is>
          <t>b1</t>
        </is>
      </c>
      <c r="E110" s="2" t="n">
        <v>4253</v>
      </c>
      <c r="F110" s="2" t="n">
        <v>1</v>
      </c>
      <c r="G110" s="2" t="n">
        <v>1</v>
      </c>
      <c r="H110" s="2" t="n">
        <v>0</v>
      </c>
      <c r="I110" s="2" t="n">
        <v>-1</v>
      </c>
      <c r="J110" s="2" t="n">
        <v>4</v>
      </c>
      <c r="K110" s="2" t="n">
        <v>1</v>
      </c>
      <c r="L110" s="2" t="n">
        <v>2</v>
      </c>
      <c r="M110" s="2" t="n">
        <v>2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t="n">
        <v>-1</v>
      </c>
      <c r="T110" t="n">
        <v>1</v>
      </c>
      <c r="U110" t="n">
        <v>0</v>
      </c>
      <c r="V110" t="n">
        <v>0</v>
      </c>
      <c r="W110" t="n">
        <v>4</v>
      </c>
      <c r="X110" t="n">
        <v>0</v>
      </c>
      <c r="Y110" t="n">
        <v>0</v>
      </c>
      <c r="Z110" t="n">
        <v>0</v>
      </c>
      <c r="AA110" t="n">
        <v>1</v>
      </c>
      <c r="AB110" t="n">
        <v>64</v>
      </c>
      <c r="AC110" t="inlineStr">
        <is>
          <t>Hello World!</t>
        </is>
      </c>
    </row>
    <row r="111" ht="16" customHeight="1">
      <c r="A111" s="1" t="inlineStr">
        <is>
          <t>19.Blue 2</t>
        </is>
      </c>
      <c r="B111" s="2" t="inlineStr">
        <is>
          <t>Nathan DeVito</t>
        </is>
      </c>
      <c r="C111" s="2" t="n">
        <v>19</v>
      </c>
      <c r="D111" s="2" t="inlineStr">
        <is>
          <t>b2</t>
        </is>
      </c>
      <c r="E111" s="2" t="n">
        <v>3173</v>
      </c>
      <c r="F111" s="2" t="n">
        <v>1</v>
      </c>
      <c r="G111" s="2" t="n">
        <v>1</v>
      </c>
      <c r="H111" s="2" t="n">
        <v>0</v>
      </c>
      <c r="I111" s="2" t="n">
        <v>0</v>
      </c>
      <c r="J111" s="2" t="n">
        <v>2</v>
      </c>
      <c r="K111" s="2" t="n">
        <v>1</v>
      </c>
      <c r="L111" s="2" t="n">
        <v>1</v>
      </c>
      <c r="M111" s="2" t="n">
        <v>1</v>
      </c>
      <c r="N111" s="2" t="n">
        <v>1</v>
      </c>
      <c r="O111" s="2" t="n">
        <v>1</v>
      </c>
      <c r="P111" s="2" t="n">
        <v>1</v>
      </c>
      <c r="Q111" s="2" t="n">
        <v>0</v>
      </c>
      <c r="R111" s="2" t="n">
        <v>0</v>
      </c>
      <c r="S111" t="n">
        <v>3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229</v>
      </c>
      <c r="AC111" t="inlineStr">
        <is>
          <t>Hello World!</t>
        </is>
      </c>
    </row>
    <row r="112" ht="16" customHeight="1">
      <c r="A112" s="1" t="inlineStr">
        <is>
          <t>19.Blue 3</t>
        </is>
      </c>
      <c r="B112" s="2" t="inlineStr">
        <is>
          <t>Runa Hunt</t>
        </is>
      </c>
      <c r="C112" s="2" t="n">
        <v>19</v>
      </c>
      <c r="D112" s="2" t="inlineStr">
        <is>
          <t>b3</t>
        </is>
      </c>
      <c r="E112" s="2" t="n">
        <v>6868</v>
      </c>
      <c r="F112" s="2" t="n">
        <v>0</v>
      </c>
      <c r="G112" s="2" t="n">
        <v>0</v>
      </c>
      <c r="H112" s="2" t="n">
        <v>1</v>
      </c>
      <c r="I112" s="2" t="n">
        <v>-1</v>
      </c>
      <c r="J112" s="2" t="n">
        <v>3</v>
      </c>
      <c r="K112" s="2" t="n">
        <v>3</v>
      </c>
      <c r="L112" s="2" t="n">
        <v>2</v>
      </c>
      <c r="M112" s="2" t="n">
        <v>1</v>
      </c>
      <c r="N112" s="2" t="n">
        <v>0</v>
      </c>
      <c r="O112" s="2" t="n">
        <v>0</v>
      </c>
      <c r="P112" s="2" t="n">
        <v>1</v>
      </c>
      <c r="Q112" s="2" t="n">
        <v>0</v>
      </c>
      <c r="R112" s="2" t="n">
        <v>0</v>
      </c>
      <c r="S112" t="n">
        <v>3</v>
      </c>
      <c r="T112" t="n">
        <v>1</v>
      </c>
      <c r="U112" t="n">
        <v>0</v>
      </c>
      <c r="V112" t="n">
        <v>0</v>
      </c>
      <c r="W112" t="n">
        <v>2</v>
      </c>
      <c r="X112" t="n">
        <v>0</v>
      </c>
      <c r="Y112" t="n">
        <v>1</v>
      </c>
      <c r="Z112" t="n">
        <v>1</v>
      </c>
      <c r="AA112" t="n">
        <v>1</v>
      </c>
      <c r="AB112" t="n">
        <v>263</v>
      </c>
      <c r="AC112" t="inlineStr">
        <is>
          <t>Hello World!</t>
        </is>
      </c>
    </row>
    <row r="113" ht="16" customHeight="1">
      <c r="A113" s="1" t="inlineStr">
        <is>
          <t>19.Red 1</t>
        </is>
      </c>
      <c r="B113" s="2" t="inlineStr">
        <is>
          <t>Amanah Obaji</t>
        </is>
      </c>
      <c r="C113" s="2" t="n">
        <v>19</v>
      </c>
      <c r="D113" s="2" t="inlineStr">
        <is>
          <t>r1</t>
        </is>
      </c>
      <c r="E113" s="2" t="n">
        <v>1511</v>
      </c>
      <c r="F113" s="2" t="n">
        <v>0</v>
      </c>
      <c r="G113" s="2" t="n">
        <v>1</v>
      </c>
      <c r="H113" s="2" t="n">
        <v>0</v>
      </c>
      <c r="I113" s="2" t="n">
        <v>1</v>
      </c>
      <c r="J113" s="2" t="n">
        <v>3</v>
      </c>
      <c r="K113" s="2" t="n">
        <v>3</v>
      </c>
      <c r="L113" s="2" t="n">
        <v>2</v>
      </c>
      <c r="M113" s="2" t="n">
        <v>3</v>
      </c>
      <c r="N113" s="2" t="n">
        <v>1</v>
      </c>
      <c r="O113" s="2" t="n">
        <v>1</v>
      </c>
      <c r="P113" s="2" t="n">
        <v>0</v>
      </c>
      <c r="Q113" s="2" t="n">
        <v>0</v>
      </c>
      <c r="R113" s="2" t="n">
        <v>1</v>
      </c>
      <c r="S113" t="n">
        <v>-1</v>
      </c>
      <c r="T113" t="n">
        <v>0</v>
      </c>
      <c r="U113" t="n">
        <v>1</v>
      </c>
      <c r="V113" t="n">
        <v>0</v>
      </c>
      <c r="W113" t="n">
        <v>3</v>
      </c>
      <c r="X113" t="n">
        <v>1</v>
      </c>
      <c r="Y113" t="n">
        <v>0</v>
      </c>
      <c r="Z113" t="n">
        <v>1</v>
      </c>
      <c r="AA113" t="n">
        <v>0</v>
      </c>
      <c r="AB113" t="n">
        <v>86</v>
      </c>
      <c r="AC113" t="inlineStr">
        <is>
          <t>Hello World!</t>
        </is>
      </c>
    </row>
    <row r="114" ht="16" customHeight="1">
      <c r="A114" s="1" t="inlineStr">
        <is>
          <t>19.Red 2</t>
        </is>
      </c>
      <c r="B114" s="2" t="inlineStr">
        <is>
          <t>Domenic Giammusso</t>
        </is>
      </c>
      <c r="C114" s="2" t="n">
        <v>19</v>
      </c>
      <c r="D114" s="2" t="inlineStr">
        <is>
          <t>r2</t>
        </is>
      </c>
      <c r="E114" s="2" t="n">
        <v>1126</v>
      </c>
      <c r="F114" s="2" t="n">
        <v>1</v>
      </c>
      <c r="G114" s="2" t="n">
        <v>0</v>
      </c>
      <c r="H114" s="2" t="n">
        <v>1</v>
      </c>
      <c r="I114" s="2" t="n">
        <v>1</v>
      </c>
      <c r="J114" s="2" t="n">
        <v>3</v>
      </c>
      <c r="K114" s="2" t="n">
        <v>3</v>
      </c>
      <c r="L114" s="2" t="n">
        <v>2</v>
      </c>
      <c r="M114" s="2" t="n">
        <v>2</v>
      </c>
      <c r="N114" s="2" t="n">
        <v>0</v>
      </c>
      <c r="O114" s="2" t="n">
        <v>1</v>
      </c>
      <c r="P114" s="2" t="n">
        <v>0</v>
      </c>
      <c r="Q114" s="2" t="n">
        <v>1</v>
      </c>
      <c r="R114" s="2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-1</v>
      </c>
      <c r="Y114" t="n">
        <v>1</v>
      </c>
      <c r="Z114" t="n">
        <v>1</v>
      </c>
      <c r="AA114" t="n">
        <v>1</v>
      </c>
      <c r="AB114" t="n">
        <v>266</v>
      </c>
      <c r="AC114" t="inlineStr">
        <is>
          <t>Hello World!</t>
        </is>
      </c>
    </row>
    <row r="115" ht="16" customHeight="1">
      <c r="A115" s="1" t="inlineStr">
        <is>
          <t>19.Red 3</t>
        </is>
      </c>
      <c r="B115" s="2" t="inlineStr">
        <is>
          <t>Domenic Giammusso</t>
        </is>
      </c>
      <c r="C115" s="2" t="n">
        <v>19</v>
      </c>
      <c r="D115" s="2" t="inlineStr">
        <is>
          <t>r3</t>
        </is>
      </c>
      <c r="E115" s="2" t="n">
        <v>1405</v>
      </c>
      <c r="F115" s="2" t="n">
        <v>0</v>
      </c>
      <c r="G115" s="2" t="n">
        <v>1</v>
      </c>
      <c r="H115" s="2" t="n">
        <v>1</v>
      </c>
      <c r="I115" s="2" t="n">
        <v>-1</v>
      </c>
      <c r="J115" s="2" t="n">
        <v>3</v>
      </c>
      <c r="K115" s="2" t="n">
        <v>2</v>
      </c>
      <c r="L115" s="2" t="n">
        <v>1</v>
      </c>
      <c r="M115" s="2" t="n">
        <v>3</v>
      </c>
      <c r="N115" s="2" t="n">
        <v>1</v>
      </c>
      <c r="O115" s="2" t="n">
        <v>0</v>
      </c>
      <c r="P115" s="2" t="n">
        <v>0</v>
      </c>
      <c r="Q115" s="2" t="n">
        <v>0</v>
      </c>
      <c r="R115" s="2" t="n">
        <v>1</v>
      </c>
      <c r="S115" t="n">
        <v>3</v>
      </c>
      <c r="T115" t="n">
        <v>0</v>
      </c>
      <c r="U115" t="n">
        <v>0</v>
      </c>
      <c r="V115" t="n">
        <v>1</v>
      </c>
      <c r="W115" t="n">
        <v>4</v>
      </c>
      <c r="X115" t="n">
        <v>1</v>
      </c>
      <c r="Y115" t="n">
        <v>0</v>
      </c>
      <c r="Z115" t="n">
        <v>0</v>
      </c>
      <c r="AA115" t="n">
        <v>0</v>
      </c>
      <c r="AB115" t="n">
        <v>54</v>
      </c>
      <c r="AC115" t="inlineStr">
        <is>
          <t>Hello World!</t>
        </is>
      </c>
    </row>
    <row r="116" ht="16" customHeight="1">
      <c r="A116" s="1" t="inlineStr">
        <is>
          <t>20.Blue 1</t>
        </is>
      </c>
      <c r="B116" s="2" t="inlineStr">
        <is>
          <t xml:space="preserve">Tetra Ukav </t>
        </is>
      </c>
      <c r="C116" s="2" t="n">
        <v>20</v>
      </c>
      <c r="D116" s="2" t="inlineStr">
        <is>
          <t>b1</t>
        </is>
      </c>
      <c r="E116" s="2" t="n">
        <v>7903</v>
      </c>
      <c r="F116" s="2" t="n">
        <v>1</v>
      </c>
      <c r="G116" s="2" t="n">
        <v>1</v>
      </c>
      <c r="H116" s="2" t="n">
        <v>0</v>
      </c>
      <c r="I116" s="2" t="n">
        <v>0</v>
      </c>
      <c r="J116" s="2" t="n">
        <v>2</v>
      </c>
      <c r="K116" s="2" t="n">
        <v>1</v>
      </c>
      <c r="L116" s="2" t="n">
        <v>1</v>
      </c>
      <c r="M116" s="2" t="n">
        <v>2</v>
      </c>
      <c r="N116" s="2" t="n">
        <v>0</v>
      </c>
      <c r="O116" s="2" t="n">
        <v>0</v>
      </c>
      <c r="P116" s="2" t="n">
        <v>1</v>
      </c>
      <c r="Q116" s="2" t="n">
        <v>0</v>
      </c>
      <c r="R116" s="2" t="n">
        <v>1</v>
      </c>
      <c r="S116" t="n">
        <v>2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224</v>
      </c>
      <c r="AC116" t="inlineStr">
        <is>
          <t>Hello World!</t>
        </is>
      </c>
    </row>
    <row r="117" ht="16" customHeight="1">
      <c r="A117" s="1" t="inlineStr">
        <is>
          <t>20.Blue 2</t>
        </is>
      </c>
      <c r="B117" s="2" t="inlineStr">
        <is>
          <t>Nathan DeVito</t>
        </is>
      </c>
      <c r="C117" s="2" t="n">
        <v>20</v>
      </c>
      <c r="D117" s="2" t="inlineStr">
        <is>
          <t>b2</t>
        </is>
      </c>
      <c r="E117" s="2" t="n">
        <v>3003</v>
      </c>
      <c r="F117" s="2" t="n">
        <v>0</v>
      </c>
      <c r="G117" s="2" t="n">
        <v>0</v>
      </c>
      <c r="H117" s="2" t="n">
        <v>0</v>
      </c>
      <c r="I117" s="2" t="n">
        <v>-1</v>
      </c>
      <c r="J117" s="2" t="n">
        <v>2</v>
      </c>
      <c r="K117" s="2" t="n">
        <v>3</v>
      </c>
      <c r="L117" s="2" t="n">
        <v>2</v>
      </c>
      <c r="M117" s="2" t="n">
        <v>3</v>
      </c>
      <c r="N117" s="2" t="n">
        <v>1</v>
      </c>
      <c r="O117" s="2" t="n">
        <v>0</v>
      </c>
      <c r="P117" s="2" t="n">
        <v>0</v>
      </c>
      <c r="Q117" s="2" t="n">
        <v>1</v>
      </c>
      <c r="R117" s="2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</v>
      </c>
      <c r="X117" t="n">
        <v>0</v>
      </c>
      <c r="Y117" t="n">
        <v>0</v>
      </c>
      <c r="Z117" t="n">
        <v>0</v>
      </c>
      <c r="AA117" t="n">
        <v>1</v>
      </c>
      <c r="AB117" t="n">
        <v>41</v>
      </c>
      <c r="AC117" t="inlineStr">
        <is>
          <t>Hello World!</t>
        </is>
      </c>
    </row>
    <row r="118" ht="16" customHeight="1">
      <c r="A118" s="1" t="inlineStr">
        <is>
          <t>20.Blue 3</t>
        </is>
      </c>
      <c r="B118" s="2" t="inlineStr">
        <is>
          <t>Colby Jackson</t>
        </is>
      </c>
      <c r="C118" s="2" t="n">
        <v>20</v>
      </c>
      <c r="D118" s="2" t="inlineStr">
        <is>
          <t>b3</t>
        </is>
      </c>
      <c r="E118" s="2" t="n">
        <v>3181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1</v>
      </c>
      <c r="K118" s="2" t="n">
        <v>2</v>
      </c>
      <c r="L118" s="2" t="n">
        <v>1</v>
      </c>
      <c r="M118" s="2" t="n">
        <v>1</v>
      </c>
      <c r="N118" s="2" t="n">
        <v>0</v>
      </c>
      <c r="O118" s="2" t="n">
        <v>1</v>
      </c>
      <c r="P118" s="2" t="n">
        <v>0</v>
      </c>
      <c r="Q118" s="2" t="n">
        <v>0</v>
      </c>
      <c r="R118" s="2" t="n">
        <v>0</v>
      </c>
      <c r="S118" t="n">
        <v>2</v>
      </c>
      <c r="T118" t="n">
        <v>1</v>
      </c>
      <c r="U118" t="n">
        <v>0</v>
      </c>
      <c r="V118" t="n">
        <v>0</v>
      </c>
      <c r="W118" t="n">
        <v>5</v>
      </c>
      <c r="X118" t="n">
        <v>0</v>
      </c>
      <c r="Y118" t="n">
        <v>0</v>
      </c>
      <c r="Z118" t="n">
        <v>0</v>
      </c>
      <c r="AA118" t="n">
        <v>0</v>
      </c>
      <c r="AB118" t="n">
        <v>135</v>
      </c>
      <c r="AC118" t="inlineStr">
        <is>
          <t>Hello World!</t>
        </is>
      </c>
    </row>
    <row r="119" ht="16" customHeight="1">
      <c r="A119" s="1" t="inlineStr">
        <is>
          <t>20.Red 1</t>
        </is>
      </c>
      <c r="B119" s="2" t="inlineStr">
        <is>
          <t>Autumn Schoenfeld</t>
        </is>
      </c>
      <c r="C119" s="2" t="n">
        <v>20</v>
      </c>
      <c r="D119" s="2" t="inlineStr">
        <is>
          <t>r1</t>
        </is>
      </c>
      <c r="E119" s="2" t="n">
        <v>9767</v>
      </c>
      <c r="F119" s="2" t="n">
        <v>0</v>
      </c>
      <c r="G119" s="2" t="n">
        <v>1</v>
      </c>
      <c r="H119" s="2" t="n">
        <v>0</v>
      </c>
      <c r="I119" s="2" t="n">
        <v>0</v>
      </c>
      <c r="J119" s="2" t="n">
        <v>2</v>
      </c>
      <c r="K119" s="2" t="n">
        <v>2</v>
      </c>
      <c r="L119" s="2" t="n">
        <v>2</v>
      </c>
      <c r="M119" s="2" t="n">
        <v>1</v>
      </c>
      <c r="N119" s="2" t="n">
        <v>1</v>
      </c>
      <c r="O119" s="2" t="n">
        <v>0</v>
      </c>
      <c r="P119" s="2" t="n">
        <v>1</v>
      </c>
      <c r="Q119" s="2" t="n">
        <v>0</v>
      </c>
      <c r="R119" s="2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1</v>
      </c>
      <c r="AB119" t="n">
        <v>30</v>
      </c>
      <c r="AC119" t="inlineStr">
        <is>
          <t>Hello World!</t>
        </is>
      </c>
    </row>
    <row r="120" ht="16" customHeight="1">
      <c r="A120" s="1" t="inlineStr">
        <is>
          <t>20.Red 2</t>
        </is>
      </c>
      <c r="B120" s="2" t="inlineStr">
        <is>
          <t>Colby Jackson</t>
        </is>
      </c>
      <c r="C120" s="2" t="n">
        <v>20</v>
      </c>
      <c r="D120" s="2" t="inlineStr">
        <is>
          <t>r2</t>
        </is>
      </c>
      <c r="E120" s="2" t="n">
        <v>10922</v>
      </c>
      <c r="F120" s="2" t="n">
        <v>1</v>
      </c>
      <c r="G120" s="2" t="n">
        <v>0</v>
      </c>
      <c r="H120" s="2" t="n">
        <v>0</v>
      </c>
      <c r="I120" s="2" t="n">
        <v>1</v>
      </c>
      <c r="J120" s="2" t="n">
        <v>3</v>
      </c>
      <c r="K120" s="2" t="n">
        <v>2</v>
      </c>
      <c r="L120" s="2" t="n">
        <v>2</v>
      </c>
      <c r="M120" s="2" t="n">
        <v>1</v>
      </c>
      <c r="N120" s="2" t="n">
        <v>0</v>
      </c>
      <c r="O120" s="2" t="n">
        <v>1</v>
      </c>
      <c r="P120" s="2" t="n">
        <v>0</v>
      </c>
      <c r="Q120" s="2" t="n">
        <v>1</v>
      </c>
      <c r="R120" s="2" t="n">
        <v>0</v>
      </c>
      <c r="S120" t="n">
        <v>-1</v>
      </c>
      <c r="T120" t="n">
        <v>0</v>
      </c>
      <c r="U120" t="n">
        <v>0</v>
      </c>
      <c r="V120" t="n">
        <v>1</v>
      </c>
      <c r="W120" t="n">
        <v>1</v>
      </c>
      <c r="X120" t="n">
        <v>-1</v>
      </c>
      <c r="Y120" t="n">
        <v>1</v>
      </c>
      <c r="Z120" t="n">
        <v>0</v>
      </c>
      <c r="AA120" t="n">
        <v>1</v>
      </c>
      <c r="AB120" t="n">
        <v>257</v>
      </c>
      <c r="AC120" t="inlineStr">
        <is>
          <t>Hello World!</t>
        </is>
      </c>
    </row>
    <row r="121" ht="16" customHeight="1">
      <c r="A121" s="1" t="inlineStr">
        <is>
          <t>20.Red 3</t>
        </is>
      </c>
      <c r="B121" s="2" t="inlineStr">
        <is>
          <t>Domenic Giammusso</t>
        </is>
      </c>
      <c r="C121" s="2" t="n">
        <v>20</v>
      </c>
      <c r="D121" s="2" t="inlineStr">
        <is>
          <t>r3</t>
        </is>
      </c>
      <c r="E121" s="2" t="n">
        <v>3838</v>
      </c>
      <c r="F121" s="2" t="n">
        <v>0</v>
      </c>
      <c r="G121" s="2" t="n">
        <v>0</v>
      </c>
      <c r="H121" s="2" t="n">
        <v>0</v>
      </c>
      <c r="I121" s="2" t="n">
        <v>-1</v>
      </c>
      <c r="J121" s="2" t="n">
        <v>3</v>
      </c>
      <c r="K121" s="2" t="n">
        <v>3</v>
      </c>
      <c r="L121" s="2" t="n">
        <v>1</v>
      </c>
      <c r="M121" s="2" t="n">
        <v>3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t="n">
        <v>2</v>
      </c>
      <c r="T121" t="n">
        <v>1</v>
      </c>
      <c r="U121" t="n">
        <v>1</v>
      </c>
      <c r="V121" t="n">
        <v>1</v>
      </c>
      <c r="W121" t="n">
        <v>4</v>
      </c>
      <c r="X121" t="n">
        <v>-1</v>
      </c>
      <c r="Y121" t="n">
        <v>1</v>
      </c>
      <c r="Z121" t="n">
        <v>0</v>
      </c>
      <c r="AA121" t="n">
        <v>0</v>
      </c>
      <c r="AB121" t="n">
        <v>61</v>
      </c>
      <c r="AC121" t="inlineStr">
        <is>
          <t>Hello World!</t>
        </is>
      </c>
    </row>
    <row r="122" ht="16" customHeight="1">
      <c r="A122" s="1" t="inlineStr">
        <is>
          <t>21.Blue 1</t>
        </is>
      </c>
      <c r="B122" s="2" t="inlineStr">
        <is>
          <t>Dean Blanchard</t>
        </is>
      </c>
      <c r="C122" s="2" t="n">
        <v>21</v>
      </c>
      <c r="D122" s="2" t="inlineStr">
        <is>
          <t>b1</t>
        </is>
      </c>
      <c r="E122" s="2" t="n">
        <v>9016</v>
      </c>
      <c r="F122" s="2" t="n">
        <v>1</v>
      </c>
      <c r="G122" s="2" t="n">
        <v>0</v>
      </c>
      <c r="H122" s="2" t="n">
        <v>0</v>
      </c>
      <c r="I122" s="2" t="n">
        <v>0</v>
      </c>
      <c r="J122" s="2" t="n">
        <v>3</v>
      </c>
      <c r="K122" s="2" t="n">
        <v>2</v>
      </c>
      <c r="L122" s="2" t="n">
        <v>1</v>
      </c>
      <c r="M122" s="2" t="n">
        <v>3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1</v>
      </c>
      <c r="S122" t="n">
        <v>-1</v>
      </c>
      <c r="T122" t="n">
        <v>0</v>
      </c>
      <c r="U122" t="n">
        <v>1</v>
      </c>
      <c r="V122" t="n">
        <v>1</v>
      </c>
      <c r="W122" t="n">
        <v>4</v>
      </c>
      <c r="X122" t="n">
        <v>1</v>
      </c>
      <c r="Y122" t="n">
        <v>1</v>
      </c>
      <c r="Z122" t="n">
        <v>0</v>
      </c>
      <c r="AA122" t="n">
        <v>1</v>
      </c>
      <c r="AB122" t="n">
        <v>135</v>
      </c>
      <c r="AC122" t="inlineStr">
        <is>
          <t>Hello World!</t>
        </is>
      </c>
    </row>
    <row r="123" ht="16" customHeight="1">
      <c r="A123" s="1" t="inlineStr">
        <is>
          <t>21.Blue 2</t>
        </is>
      </c>
      <c r="B123" s="2" t="inlineStr">
        <is>
          <t>Dean Blanchard</t>
        </is>
      </c>
      <c r="C123" s="2" t="n">
        <v>21</v>
      </c>
      <c r="D123" s="2" t="inlineStr">
        <is>
          <t>b2</t>
        </is>
      </c>
      <c r="E123" s="2" t="n">
        <v>144</v>
      </c>
      <c r="F123" s="2" t="n">
        <v>1</v>
      </c>
      <c r="G123" s="2" t="n">
        <v>0</v>
      </c>
      <c r="H123" s="2" t="n">
        <v>0</v>
      </c>
      <c r="I123" s="2" t="n">
        <v>0</v>
      </c>
      <c r="J123" s="2" t="n">
        <v>1</v>
      </c>
      <c r="K123" s="2" t="n">
        <v>1</v>
      </c>
      <c r="L123" s="2" t="n">
        <v>1</v>
      </c>
      <c r="M123" s="2" t="n">
        <v>3</v>
      </c>
      <c r="N123" s="2" t="n">
        <v>0</v>
      </c>
      <c r="O123" s="2" t="n">
        <v>0</v>
      </c>
      <c r="P123" s="2" t="n">
        <v>1</v>
      </c>
      <c r="Q123" s="2" t="n">
        <v>1</v>
      </c>
      <c r="R123" s="2" t="n">
        <v>1</v>
      </c>
      <c r="S123" t="n">
        <v>3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151</v>
      </c>
      <c r="AC123" t="inlineStr">
        <is>
          <t>Hello World!</t>
        </is>
      </c>
    </row>
    <row r="124" ht="16" customHeight="1">
      <c r="A124" s="1" t="inlineStr">
        <is>
          <t>21.Blue 3</t>
        </is>
      </c>
      <c r="B124" s="2" t="inlineStr">
        <is>
          <t>Ethan Stiffler</t>
        </is>
      </c>
      <c r="C124" s="2" t="n">
        <v>21</v>
      </c>
      <c r="D124" s="2" t="inlineStr">
        <is>
          <t>b3</t>
        </is>
      </c>
      <c r="E124" s="2" t="n">
        <v>3799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2</v>
      </c>
      <c r="K124" s="2" t="n">
        <v>1</v>
      </c>
      <c r="L124" s="2" t="n">
        <v>3</v>
      </c>
      <c r="M124" s="2" t="n">
        <v>2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1</v>
      </c>
      <c r="S124" t="n">
        <v>3</v>
      </c>
      <c r="T124" t="n">
        <v>0</v>
      </c>
      <c r="U124" t="n">
        <v>1</v>
      </c>
      <c r="V124" t="n">
        <v>0</v>
      </c>
      <c r="W124" t="n">
        <v>3</v>
      </c>
      <c r="X124" t="n">
        <v>0</v>
      </c>
      <c r="Y124" t="n">
        <v>1</v>
      </c>
      <c r="Z124" t="n">
        <v>1</v>
      </c>
      <c r="AA124" t="n">
        <v>0</v>
      </c>
      <c r="AB124" t="n">
        <v>248</v>
      </c>
      <c r="AC124" t="inlineStr">
        <is>
          <t>Hello World!</t>
        </is>
      </c>
    </row>
    <row r="125" ht="16" customHeight="1">
      <c r="A125" s="1" t="inlineStr">
        <is>
          <t>21.Red 1</t>
        </is>
      </c>
      <c r="B125" s="2" t="inlineStr">
        <is>
          <t>Madison DeCicca</t>
        </is>
      </c>
      <c r="C125" s="2" t="n">
        <v>21</v>
      </c>
      <c r="D125" s="2" t="inlineStr">
        <is>
          <t>r1</t>
        </is>
      </c>
      <c r="E125" s="2" t="n">
        <v>7030</v>
      </c>
      <c r="F125" s="2" t="n">
        <v>0</v>
      </c>
      <c r="G125" s="2" t="n">
        <v>1</v>
      </c>
      <c r="H125" s="2" t="n">
        <v>0</v>
      </c>
      <c r="I125" s="2" t="n">
        <v>-1</v>
      </c>
      <c r="J125" s="2" t="n">
        <v>2</v>
      </c>
      <c r="K125" s="2" t="n">
        <v>2</v>
      </c>
      <c r="L125" s="2" t="n">
        <v>2</v>
      </c>
      <c r="M125" s="2" t="n">
        <v>4</v>
      </c>
      <c r="N125" s="2" t="n">
        <v>0</v>
      </c>
      <c r="O125" s="2" t="n">
        <v>1</v>
      </c>
      <c r="P125" s="2" t="n">
        <v>0</v>
      </c>
      <c r="Q125" s="2" t="n">
        <v>0</v>
      </c>
      <c r="R125" s="2" t="n">
        <v>1</v>
      </c>
      <c r="S125" t="n">
        <v>2</v>
      </c>
      <c r="T125" t="n">
        <v>0</v>
      </c>
      <c r="U125" t="n">
        <v>0</v>
      </c>
      <c r="V125" t="n">
        <v>1</v>
      </c>
      <c r="W125" t="n">
        <v>5</v>
      </c>
      <c r="X125" t="n">
        <v>0</v>
      </c>
      <c r="Y125" t="n">
        <v>1</v>
      </c>
      <c r="Z125" t="n">
        <v>0</v>
      </c>
      <c r="AA125" t="n">
        <v>0</v>
      </c>
      <c r="AB125" t="n">
        <v>80</v>
      </c>
      <c r="AC125" t="inlineStr">
        <is>
          <t>Hello World!</t>
        </is>
      </c>
    </row>
    <row r="126" ht="16" customHeight="1">
      <c r="A126" s="1" t="inlineStr">
        <is>
          <t>21.Red 2</t>
        </is>
      </c>
      <c r="B126" s="2" t="inlineStr">
        <is>
          <t>Nathan DeVito</t>
        </is>
      </c>
      <c r="C126" s="2" t="n">
        <v>21</v>
      </c>
      <c r="D126" s="2" t="inlineStr">
        <is>
          <t>r2</t>
        </is>
      </c>
      <c r="E126" s="2" t="n">
        <v>20</v>
      </c>
      <c r="F126" s="2" t="n">
        <v>0</v>
      </c>
      <c r="G126" s="2" t="n">
        <v>1</v>
      </c>
      <c r="H126" s="2" t="n">
        <v>1</v>
      </c>
      <c r="I126" s="2" t="n">
        <v>-1</v>
      </c>
      <c r="J126" s="2" t="n">
        <v>3</v>
      </c>
      <c r="K126" s="2" t="n">
        <v>3</v>
      </c>
      <c r="L126" s="2" t="n">
        <v>2</v>
      </c>
      <c r="M126" s="2" t="n">
        <v>4</v>
      </c>
      <c r="N126" s="2" t="n">
        <v>1</v>
      </c>
      <c r="O126" s="2" t="n">
        <v>1</v>
      </c>
      <c r="P126" s="2" t="n">
        <v>1</v>
      </c>
      <c r="Q126" s="2" t="n">
        <v>1</v>
      </c>
      <c r="R126" s="2" t="n">
        <v>1</v>
      </c>
      <c r="S126" t="n">
        <v>2</v>
      </c>
      <c r="T126" t="n">
        <v>0</v>
      </c>
      <c r="U126" t="n">
        <v>1</v>
      </c>
      <c r="V126" t="n">
        <v>1</v>
      </c>
      <c r="W126" t="n">
        <v>5</v>
      </c>
      <c r="X126" t="n">
        <v>1</v>
      </c>
      <c r="Y126" t="n">
        <v>0</v>
      </c>
      <c r="Z126" t="n">
        <v>1</v>
      </c>
      <c r="AA126" t="n">
        <v>1</v>
      </c>
      <c r="AB126" t="n">
        <v>215</v>
      </c>
      <c r="AC126" t="inlineStr">
        <is>
          <t>Hello World!</t>
        </is>
      </c>
    </row>
    <row r="127" ht="16" customHeight="1">
      <c r="A127" s="1" t="inlineStr">
        <is>
          <t>21.Red 3</t>
        </is>
      </c>
      <c r="B127" s="2" t="inlineStr">
        <is>
          <t>Gianmarco D'Angelo</t>
        </is>
      </c>
      <c r="C127" s="2" t="n">
        <v>21</v>
      </c>
      <c r="D127" s="2" t="inlineStr">
        <is>
          <t>r3</t>
        </is>
      </c>
      <c r="E127" s="2" t="n">
        <v>3015</v>
      </c>
      <c r="F127" s="2" t="n">
        <v>1</v>
      </c>
      <c r="G127" s="2" t="n">
        <v>1</v>
      </c>
      <c r="H127" s="2" t="n">
        <v>0</v>
      </c>
      <c r="I127" s="2" t="n">
        <v>-1</v>
      </c>
      <c r="J127" s="2" t="n">
        <v>1</v>
      </c>
      <c r="K127" s="2" t="n">
        <v>3</v>
      </c>
      <c r="L127" s="2" t="n">
        <v>1</v>
      </c>
      <c r="M127" s="2" t="n">
        <v>3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1</v>
      </c>
      <c r="AB127" t="n">
        <v>207</v>
      </c>
      <c r="AC127" t="inlineStr">
        <is>
          <t>Hello World!</t>
        </is>
      </c>
    </row>
    <row r="128" ht="16" customHeight="1">
      <c r="A128" s="1" t="inlineStr">
        <is>
          <t>22.Blue 1</t>
        </is>
      </c>
      <c r="B128" s="2" t="inlineStr">
        <is>
          <t xml:space="preserve">Tyler Hignett </t>
        </is>
      </c>
      <c r="C128" s="2" t="n">
        <v>22</v>
      </c>
      <c r="D128" s="2" t="inlineStr">
        <is>
          <t>b1</t>
        </is>
      </c>
      <c r="E128" s="2" t="n">
        <v>1585</v>
      </c>
      <c r="F128" s="2" t="n">
        <v>1</v>
      </c>
      <c r="G128" s="2" t="n">
        <v>0</v>
      </c>
      <c r="H128" s="2" t="n">
        <v>1</v>
      </c>
      <c r="I128" s="2" t="n">
        <v>-1</v>
      </c>
      <c r="J128" s="2" t="n">
        <v>1</v>
      </c>
      <c r="K128" s="2" t="n">
        <v>2</v>
      </c>
      <c r="L128" s="2" t="n">
        <v>2</v>
      </c>
      <c r="M128" s="2" t="n">
        <v>3</v>
      </c>
      <c r="N128" s="2" t="n">
        <v>1</v>
      </c>
      <c r="O128" s="2" t="n">
        <v>0</v>
      </c>
      <c r="P128" s="2" t="n">
        <v>0</v>
      </c>
      <c r="Q128" s="2" t="n">
        <v>0</v>
      </c>
      <c r="R128" s="2" t="n">
        <v>0</v>
      </c>
      <c r="S128" t="n">
        <v>-1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1</v>
      </c>
      <c r="Z128" t="n">
        <v>0</v>
      </c>
      <c r="AA128" t="n">
        <v>1</v>
      </c>
      <c r="AB128" t="n">
        <v>50</v>
      </c>
      <c r="AC128" t="inlineStr">
        <is>
          <t>Hello World!</t>
        </is>
      </c>
    </row>
    <row r="129" ht="16" customHeight="1">
      <c r="A129" s="1" t="inlineStr">
        <is>
          <t>22.Blue 2</t>
        </is>
      </c>
      <c r="B129" s="2" t="inlineStr">
        <is>
          <t xml:space="preserve">Tetra Ukav </t>
        </is>
      </c>
      <c r="C129" s="2" t="n">
        <v>22</v>
      </c>
      <c r="D129" s="2" t="inlineStr">
        <is>
          <t>b2</t>
        </is>
      </c>
      <c r="E129" s="2" t="n">
        <v>432</v>
      </c>
      <c r="F129" s="2" t="n">
        <v>0</v>
      </c>
      <c r="G129" s="2" t="n">
        <v>1</v>
      </c>
      <c r="H129" s="2" t="n">
        <v>0</v>
      </c>
      <c r="I129" s="2" t="n">
        <v>1</v>
      </c>
      <c r="J129" s="2" t="n">
        <v>2</v>
      </c>
      <c r="K129" s="2" t="n">
        <v>2</v>
      </c>
      <c r="L129" s="2" t="n">
        <v>2</v>
      </c>
      <c r="M129" s="2" t="n">
        <v>2</v>
      </c>
      <c r="N129" s="2" t="n">
        <v>1</v>
      </c>
      <c r="O129" s="2" t="n">
        <v>0</v>
      </c>
      <c r="P129" s="2" t="n">
        <v>1</v>
      </c>
      <c r="Q129" s="2" t="n">
        <v>0</v>
      </c>
      <c r="R129" s="2" t="n">
        <v>1</v>
      </c>
      <c r="S129" t="n">
        <v>3</v>
      </c>
      <c r="T129" t="n">
        <v>1</v>
      </c>
      <c r="U129" t="n">
        <v>0</v>
      </c>
      <c r="V129" t="n">
        <v>0</v>
      </c>
      <c r="W129" t="n">
        <v>1</v>
      </c>
      <c r="X129" t="n">
        <v>-1</v>
      </c>
      <c r="Y129" t="n">
        <v>0</v>
      </c>
      <c r="Z129" t="n">
        <v>1</v>
      </c>
      <c r="AA129" t="n">
        <v>0</v>
      </c>
      <c r="AB129" t="n">
        <v>235</v>
      </c>
      <c r="AC129" t="inlineStr">
        <is>
          <t>Hello World!</t>
        </is>
      </c>
    </row>
    <row r="130" ht="16" customHeight="1">
      <c r="A130" s="1" t="inlineStr">
        <is>
          <t>22.Blue 3</t>
        </is>
      </c>
      <c r="B130" s="2" t="inlineStr">
        <is>
          <t>Autumn Schoenfeld</t>
        </is>
      </c>
      <c r="C130" s="2" t="n">
        <v>22</v>
      </c>
      <c r="D130" s="2" t="inlineStr">
        <is>
          <t>b3</t>
        </is>
      </c>
      <c r="E130" s="2" t="n">
        <v>564</v>
      </c>
      <c r="F130" s="2" t="n">
        <v>0</v>
      </c>
      <c r="G130" s="2" t="n">
        <v>0</v>
      </c>
      <c r="H130" s="2" t="n">
        <v>0</v>
      </c>
      <c r="I130" s="2" t="n">
        <v>1</v>
      </c>
      <c r="J130" s="2" t="n">
        <v>1</v>
      </c>
      <c r="K130" s="2" t="n">
        <v>1</v>
      </c>
      <c r="L130" s="2" t="n">
        <v>2</v>
      </c>
      <c r="M130" s="2" t="n">
        <v>1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2</v>
      </c>
      <c r="X130" t="n">
        <v>-1</v>
      </c>
      <c r="Y130" t="n">
        <v>1</v>
      </c>
      <c r="Z130" t="n">
        <v>1</v>
      </c>
      <c r="AA130" t="n">
        <v>0</v>
      </c>
      <c r="AB130" t="n">
        <v>178</v>
      </c>
      <c r="AC130" t="inlineStr">
        <is>
          <t>Hello World!</t>
        </is>
      </c>
    </row>
    <row r="131" ht="16" customHeight="1">
      <c r="A131" s="1" t="inlineStr">
        <is>
          <t>22.Red 1</t>
        </is>
      </c>
      <c r="B131" s="2" t="inlineStr">
        <is>
          <t>Amanah Obaji</t>
        </is>
      </c>
      <c r="C131" s="2" t="n">
        <v>22</v>
      </c>
      <c r="D131" s="2" t="inlineStr">
        <is>
          <t>r1</t>
        </is>
      </c>
      <c r="E131" s="2" t="n">
        <v>3951</v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2</v>
      </c>
      <c r="K131" s="2" t="n">
        <v>2</v>
      </c>
      <c r="L131" s="2" t="n">
        <v>2</v>
      </c>
      <c r="M131" s="2" t="n">
        <v>2</v>
      </c>
      <c r="N131" s="2" t="n">
        <v>0</v>
      </c>
      <c r="O131" s="2" t="n">
        <v>1</v>
      </c>
      <c r="P131" s="2" t="n">
        <v>1</v>
      </c>
      <c r="Q131" s="2" t="n">
        <v>0</v>
      </c>
      <c r="R131" s="2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5</v>
      </c>
      <c r="X131" t="n">
        <v>-1</v>
      </c>
      <c r="Y131" t="n">
        <v>0</v>
      </c>
      <c r="Z131" t="n">
        <v>0</v>
      </c>
      <c r="AA131" t="n">
        <v>0</v>
      </c>
      <c r="AB131" t="n">
        <v>109</v>
      </c>
      <c r="AC131" t="inlineStr">
        <is>
          <t>Hello World!</t>
        </is>
      </c>
    </row>
    <row r="132" ht="16" customHeight="1">
      <c r="A132" s="1" t="inlineStr">
        <is>
          <t>22.Red 2</t>
        </is>
      </c>
      <c r="B132" s="2" t="inlineStr">
        <is>
          <t>Autumn Schoenfeld</t>
        </is>
      </c>
      <c r="C132" s="2" t="n">
        <v>22</v>
      </c>
      <c r="D132" s="2" t="inlineStr">
        <is>
          <t>r2</t>
        </is>
      </c>
      <c r="E132" s="2" t="n">
        <v>1450</v>
      </c>
      <c r="F132" s="2" t="n">
        <v>1</v>
      </c>
      <c r="G132" s="2" t="n">
        <v>1</v>
      </c>
      <c r="H132" s="2" t="n">
        <v>0</v>
      </c>
      <c r="I132" s="2" t="n">
        <v>-1</v>
      </c>
      <c r="J132" s="2" t="n">
        <v>3</v>
      </c>
      <c r="K132" s="2" t="n">
        <v>1</v>
      </c>
      <c r="L132" s="2" t="n">
        <v>1</v>
      </c>
      <c r="M132" s="2" t="n">
        <v>2</v>
      </c>
      <c r="N132" s="2" t="n">
        <v>1</v>
      </c>
      <c r="O132" s="2" t="n">
        <v>0</v>
      </c>
      <c r="P132" s="2" t="n">
        <v>0</v>
      </c>
      <c r="Q132" s="2" t="n">
        <v>1</v>
      </c>
      <c r="R132" s="2" t="n">
        <v>0</v>
      </c>
      <c r="S132" t="n">
        <v>-1</v>
      </c>
      <c r="T132" t="n">
        <v>0</v>
      </c>
      <c r="U132" t="n">
        <v>0</v>
      </c>
      <c r="V132" t="n">
        <v>1</v>
      </c>
      <c r="W132" t="n">
        <v>3</v>
      </c>
      <c r="X132" t="n">
        <v>0</v>
      </c>
      <c r="Y132" t="n">
        <v>1</v>
      </c>
      <c r="Z132" t="n">
        <v>0</v>
      </c>
      <c r="AA132" t="n">
        <v>1</v>
      </c>
      <c r="AB132" t="n">
        <v>245</v>
      </c>
      <c r="AC132" t="inlineStr">
        <is>
          <t>Hello World!</t>
        </is>
      </c>
    </row>
    <row r="133" ht="16" customHeight="1">
      <c r="A133" s="1" t="inlineStr">
        <is>
          <t>22.Red 3</t>
        </is>
      </c>
      <c r="B133" s="2" t="inlineStr">
        <is>
          <t>Runa Hunt</t>
        </is>
      </c>
      <c r="C133" s="2" t="n">
        <v>22</v>
      </c>
      <c r="D133" s="2" t="inlineStr">
        <is>
          <t>r3</t>
        </is>
      </c>
      <c r="E133" s="2" t="n">
        <v>6947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3</v>
      </c>
      <c r="K133" s="2" t="n">
        <v>3</v>
      </c>
      <c r="L133" s="2" t="n">
        <v>2</v>
      </c>
      <c r="M133" s="2" t="n">
        <v>1</v>
      </c>
      <c r="N133" s="2" t="n">
        <v>0</v>
      </c>
      <c r="O133" s="2" t="n">
        <v>1</v>
      </c>
      <c r="P133" s="2" t="n">
        <v>0</v>
      </c>
      <c r="Q133" s="2" t="n">
        <v>0</v>
      </c>
      <c r="R133" s="2" t="n">
        <v>1</v>
      </c>
      <c r="S133" t="n">
        <v>-1</v>
      </c>
      <c r="T133" t="n">
        <v>0</v>
      </c>
      <c r="U133" t="n">
        <v>1</v>
      </c>
      <c r="V133" t="n">
        <v>1</v>
      </c>
      <c r="W133" t="n">
        <v>3</v>
      </c>
      <c r="X133" t="n">
        <v>1</v>
      </c>
      <c r="Y133" t="n">
        <v>0</v>
      </c>
      <c r="Z133" t="n">
        <v>1</v>
      </c>
      <c r="AA133" t="n">
        <v>0</v>
      </c>
      <c r="AB133" t="n">
        <v>128</v>
      </c>
      <c r="AC133" t="inlineStr">
        <is>
          <t>Hello World!</t>
        </is>
      </c>
    </row>
    <row r="134" ht="16" customHeight="1">
      <c r="A134" s="1" t="inlineStr">
        <is>
          <t>23.Blue 1</t>
        </is>
      </c>
      <c r="B134" s="2" t="inlineStr">
        <is>
          <t xml:space="preserve">Tetra Ukav </t>
        </is>
      </c>
      <c r="C134" s="2" t="n">
        <v>23</v>
      </c>
      <c r="D134" s="2" t="inlineStr">
        <is>
          <t>b1</t>
        </is>
      </c>
      <c r="E134" s="2" t="n">
        <v>4093</v>
      </c>
      <c r="F134" s="2" t="n">
        <v>0</v>
      </c>
      <c r="G134" s="2" t="n">
        <v>0</v>
      </c>
      <c r="H134" s="2" t="n">
        <v>1</v>
      </c>
      <c r="I134" s="2" t="n">
        <v>-1</v>
      </c>
      <c r="J134" s="2" t="n">
        <v>3</v>
      </c>
      <c r="K134" s="2" t="n">
        <v>2</v>
      </c>
      <c r="L134" s="2" t="n">
        <v>3</v>
      </c>
      <c r="M134" s="2" t="n">
        <v>3</v>
      </c>
      <c r="N134" s="2" t="n">
        <v>1</v>
      </c>
      <c r="O134" s="2" t="n">
        <v>1</v>
      </c>
      <c r="P134" s="2" t="n">
        <v>1</v>
      </c>
      <c r="Q134" s="2" t="n">
        <v>1</v>
      </c>
      <c r="R134" s="2" t="n">
        <v>1</v>
      </c>
      <c r="S134" t="n">
        <v>2</v>
      </c>
      <c r="T134" t="n">
        <v>1</v>
      </c>
      <c r="U134" t="n">
        <v>1</v>
      </c>
      <c r="V134" t="n">
        <v>0</v>
      </c>
      <c r="W134" t="n">
        <v>4</v>
      </c>
      <c r="X134" t="n">
        <v>-1</v>
      </c>
      <c r="Y134" t="n">
        <v>1</v>
      </c>
      <c r="Z134" t="n">
        <v>0</v>
      </c>
      <c r="AA134" t="n">
        <v>1</v>
      </c>
      <c r="AB134" t="n">
        <v>34</v>
      </c>
      <c r="AC134" t="inlineStr">
        <is>
          <t>Hello World!</t>
        </is>
      </c>
    </row>
    <row r="135" ht="16" customHeight="1">
      <c r="A135" s="1" t="inlineStr">
        <is>
          <t>23.Blue 2</t>
        </is>
      </c>
      <c r="B135" s="2" t="inlineStr">
        <is>
          <t>Nicholas Munier</t>
        </is>
      </c>
      <c r="C135" s="2" t="n">
        <v>23</v>
      </c>
      <c r="D135" s="2" t="inlineStr">
        <is>
          <t>b2</t>
        </is>
      </c>
      <c r="E135" s="2" t="n">
        <v>2228</v>
      </c>
      <c r="F135" s="2" t="n">
        <v>1</v>
      </c>
      <c r="G135" s="2" t="n">
        <v>1</v>
      </c>
      <c r="H135" s="2" t="n">
        <v>1</v>
      </c>
      <c r="I135" s="2" t="n">
        <v>0</v>
      </c>
      <c r="J135" s="2" t="n">
        <v>3</v>
      </c>
      <c r="K135" s="2" t="n">
        <v>3</v>
      </c>
      <c r="L135" s="2" t="n">
        <v>1</v>
      </c>
      <c r="M135" s="2" t="n">
        <v>1</v>
      </c>
      <c r="N135" s="2" t="n">
        <v>1</v>
      </c>
      <c r="O135" s="2" t="n">
        <v>0</v>
      </c>
      <c r="P135" s="2" t="n">
        <v>1</v>
      </c>
      <c r="Q135" s="2" t="n">
        <v>1</v>
      </c>
      <c r="R135" s="2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4</v>
      </c>
      <c r="X135" t="n">
        <v>0</v>
      </c>
      <c r="Y135" t="n">
        <v>0</v>
      </c>
      <c r="Z135" t="n">
        <v>1</v>
      </c>
      <c r="AA135" t="n">
        <v>0</v>
      </c>
      <c r="AB135" t="n">
        <v>206</v>
      </c>
      <c r="AC135" t="inlineStr">
        <is>
          <t>Hello World!</t>
        </is>
      </c>
    </row>
    <row r="136" ht="16" customHeight="1">
      <c r="A136" s="1" t="inlineStr">
        <is>
          <t>23.Blue 3</t>
        </is>
      </c>
      <c r="B136" s="2" t="inlineStr">
        <is>
          <t>Celton Norter</t>
        </is>
      </c>
      <c r="C136" s="2" t="n">
        <v>23</v>
      </c>
      <c r="D136" s="2" t="inlineStr">
        <is>
          <t>b3</t>
        </is>
      </c>
      <c r="E136" s="2" t="n">
        <v>578</v>
      </c>
      <c r="F136" s="2" t="n">
        <v>1</v>
      </c>
      <c r="G136" s="2" t="n">
        <v>0</v>
      </c>
      <c r="H136" s="2" t="n">
        <v>0</v>
      </c>
      <c r="I136" s="2" t="n">
        <v>1</v>
      </c>
      <c r="J136" s="2" t="n">
        <v>2</v>
      </c>
      <c r="K136" s="2" t="n">
        <v>3</v>
      </c>
      <c r="L136" s="2" t="n">
        <v>1</v>
      </c>
      <c r="M136" s="2" t="n">
        <v>1</v>
      </c>
      <c r="N136" s="2" t="n">
        <v>1</v>
      </c>
      <c r="O136" s="2" t="n">
        <v>0</v>
      </c>
      <c r="P136" s="2" t="n">
        <v>0</v>
      </c>
      <c r="Q136" s="2" t="n">
        <v>0</v>
      </c>
      <c r="R136" s="2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-1</v>
      </c>
      <c r="Y136" t="n">
        <v>0</v>
      </c>
      <c r="Z136" t="n">
        <v>0</v>
      </c>
      <c r="AA136" t="n">
        <v>1</v>
      </c>
      <c r="AB136" t="n">
        <v>165</v>
      </c>
      <c r="AC136" t="inlineStr">
        <is>
          <t>Hello World!</t>
        </is>
      </c>
    </row>
    <row r="137" ht="16" customHeight="1">
      <c r="A137" s="1" t="inlineStr">
        <is>
          <t>23.Red 1</t>
        </is>
      </c>
      <c r="B137" s="2" t="inlineStr">
        <is>
          <t>Connor Rapp</t>
        </is>
      </c>
      <c r="C137" s="2" t="n">
        <v>23</v>
      </c>
      <c r="D137" s="2" t="inlineStr">
        <is>
          <t>r1</t>
        </is>
      </c>
      <c r="E137" s="2" t="n">
        <v>1787</v>
      </c>
      <c r="F137" s="2" t="n">
        <v>1</v>
      </c>
      <c r="G137" s="2" t="n">
        <v>1</v>
      </c>
      <c r="H137" s="2" t="n">
        <v>1</v>
      </c>
      <c r="I137" s="2" t="n">
        <v>1</v>
      </c>
      <c r="J137" s="2" t="n">
        <v>4</v>
      </c>
      <c r="K137" s="2" t="n">
        <v>3</v>
      </c>
      <c r="L137" s="2" t="n">
        <v>1</v>
      </c>
      <c r="M137" s="2" t="n">
        <v>3</v>
      </c>
      <c r="N137" s="2" t="n">
        <v>0</v>
      </c>
      <c r="O137" s="2" t="n">
        <v>0</v>
      </c>
      <c r="P137" s="2" t="n">
        <v>1</v>
      </c>
      <c r="Q137" s="2" t="n">
        <v>0</v>
      </c>
      <c r="R137" s="2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4</v>
      </c>
      <c r="X137" t="n">
        <v>1</v>
      </c>
      <c r="Y137" t="n">
        <v>0</v>
      </c>
      <c r="Z137" t="n">
        <v>0</v>
      </c>
      <c r="AA137" t="n">
        <v>1</v>
      </c>
      <c r="AB137" t="n">
        <v>284</v>
      </c>
      <c r="AC137" t="inlineStr">
        <is>
          <t>Hello World!</t>
        </is>
      </c>
    </row>
    <row r="138" ht="16" customHeight="1">
      <c r="A138" s="1" t="inlineStr">
        <is>
          <t>23.Red 2</t>
        </is>
      </c>
      <c r="B138" s="2" t="inlineStr">
        <is>
          <t>Eli Harrison</t>
        </is>
      </c>
      <c r="C138" s="2" t="n">
        <v>23</v>
      </c>
      <c r="D138" s="2" t="inlineStr">
        <is>
          <t>r2</t>
        </is>
      </c>
      <c r="E138" s="2" t="n">
        <v>378</v>
      </c>
      <c r="F138" s="2" t="n">
        <v>0</v>
      </c>
      <c r="G138" s="2" t="n">
        <v>1</v>
      </c>
      <c r="H138" s="2" t="n">
        <v>0</v>
      </c>
      <c r="I138" s="2" t="n">
        <v>1</v>
      </c>
      <c r="J138" s="2" t="n">
        <v>3</v>
      </c>
      <c r="K138" s="2" t="n">
        <v>2</v>
      </c>
      <c r="L138" s="2" t="n">
        <v>2</v>
      </c>
      <c r="M138" s="2" t="n">
        <v>2</v>
      </c>
      <c r="N138" s="2" t="n">
        <v>1</v>
      </c>
      <c r="O138" s="2" t="n">
        <v>1</v>
      </c>
      <c r="P138" s="2" t="n">
        <v>1</v>
      </c>
      <c r="Q138" s="2" t="n">
        <v>0</v>
      </c>
      <c r="R138" s="2" t="n">
        <v>1</v>
      </c>
      <c r="S138" t="n">
        <v>2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1</v>
      </c>
      <c r="AB138" t="n">
        <v>134</v>
      </c>
      <c r="AC138" t="inlineStr">
        <is>
          <t>Hello World!</t>
        </is>
      </c>
    </row>
    <row r="139" ht="16" customHeight="1">
      <c r="A139" s="1" t="inlineStr">
        <is>
          <t>23.Red 3</t>
        </is>
      </c>
      <c r="B139" s="2" t="inlineStr">
        <is>
          <t>Dean Blanchard</t>
        </is>
      </c>
      <c r="C139" s="2" t="n">
        <v>23</v>
      </c>
      <c r="D139" s="2" t="inlineStr">
        <is>
          <t>r3</t>
        </is>
      </c>
      <c r="E139" s="2" t="n">
        <v>1056</v>
      </c>
      <c r="F139" s="2" t="n">
        <v>1</v>
      </c>
      <c r="G139" s="2" t="n">
        <v>1</v>
      </c>
      <c r="H139" s="2" t="n">
        <v>0</v>
      </c>
      <c r="I139" s="2" t="n">
        <v>-1</v>
      </c>
      <c r="J139" s="2" t="n">
        <v>5</v>
      </c>
      <c r="K139" s="2" t="n">
        <v>1</v>
      </c>
      <c r="L139" s="2" t="n">
        <v>3</v>
      </c>
      <c r="M139" s="2" t="n">
        <v>1</v>
      </c>
      <c r="N139" s="2" t="n">
        <v>1</v>
      </c>
      <c r="O139" s="2" t="n">
        <v>0</v>
      </c>
      <c r="P139" s="2" t="n">
        <v>1</v>
      </c>
      <c r="Q139" s="2" t="n">
        <v>0</v>
      </c>
      <c r="R139" s="2" t="n">
        <v>0</v>
      </c>
      <c r="S139" t="n">
        <v>2</v>
      </c>
      <c r="T139" t="n">
        <v>1</v>
      </c>
      <c r="U139" t="n">
        <v>1</v>
      </c>
      <c r="V139" t="n">
        <v>0</v>
      </c>
      <c r="W139" t="n">
        <v>5</v>
      </c>
      <c r="X139" t="n">
        <v>-1</v>
      </c>
      <c r="Y139" t="n">
        <v>0</v>
      </c>
      <c r="Z139" t="n">
        <v>0</v>
      </c>
      <c r="AA139" t="n">
        <v>1</v>
      </c>
      <c r="AB139" t="n">
        <v>167</v>
      </c>
      <c r="AC139" t="inlineStr">
        <is>
          <t>Hello World!</t>
        </is>
      </c>
    </row>
    <row r="140" ht="16" customHeight="1">
      <c r="A140" s="1" t="inlineStr">
        <is>
          <t>24.Blue 1</t>
        </is>
      </c>
      <c r="B140" s="2" t="inlineStr">
        <is>
          <t>Runa Hunt</t>
        </is>
      </c>
      <c r="C140" s="2" t="n">
        <v>24</v>
      </c>
      <c r="D140" s="2" t="inlineStr">
        <is>
          <t>b1</t>
        </is>
      </c>
      <c r="E140" s="2" t="n">
        <v>48</v>
      </c>
      <c r="F140" s="2" t="n">
        <v>1</v>
      </c>
      <c r="G140" s="2" t="n">
        <v>0</v>
      </c>
      <c r="H140" s="2" t="n">
        <v>1</v>
      </c>
      <c r="I140" s="2" t="n">
        <v>0</v>
      </c>
      <c r="J140" s="2" t="n">
        <v>5</v>
      </c>
      <c r="K140" s="2" t="n">
        <v>1</v>
      </c>
      <c r="L140" s="2" t="n">
        <v>1</v>
      </c>
      <c r="M140" s="2" t="n">
        <v>4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1</v>
      </c>
      <c r="S140" t="n">
        <v>-1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165</v>
      </c>
      <c r="AC140" t="inlineStr">
        <is>
          <t>Hello World!</t>
        </is>
      </c>
    </row>
    <row r="141" ht="16" customHeight="1">
      <c r="A141" s="1" t="inlineStr">
        <is>
          <t>24.Blue 2</t>
        </is>
      </c>
      <c r="B141" s="2" t="inlineStr">
        <is>
          <t>Caitlin Munier</t>
        </is>
      </c>
      <c r="C141" s="2" t="n">
        <v>24</v>
      </c>
      <c r="D141" s="2" t="inlineStr">
        <is>
          <t>b2</t>
        </is>
      </c>
      <c r="E141" s="2" t="n">
        <v>1781</v>
      </c>
      <c r="F141" s="2" t="n">
        <v>1</v>
      </c>
      <c r="G141" s="2" t="n">
        <v>0</v>
      </c>
      <c r="H141" s="2" t="n">
        <v>1</v>
      </c>
      <c r="I141" s="2" t="n">
        <v>1</v>
      </c>
      <c r="J141" s="2" t="n">
        <v>3</v>
      </c>
      <c r="K141" s="2" t="n">
        <v>3</v>
      </c>
      <c r="L141" s="2" t="n">
        <v>3</v>
      </c>
      <c r="M141" s="2" t="n">
        <v>1</v>
      </c>
      <c r="N141" s="2" t="n">
        <v>0</v>
      </c>
      <c r="O141" s="2" t="n">
        <v>1</v>
      </c>
      <c r="P141" s="2" t="n">
        <v>1</v>
      </c>
      <c r="Q141" s="2" t="n">
        <v>1</v>
      </c>
      <c r="R141" s="2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3</v>
      </c>
      <c r="X141" t="n">
        <v>0</v>
      </c>
      <c r="Y141" t="n">
        <v>0</v>
      </c>
      <c r="Z141" t="n">
        <v>1</v>
      </c>
      <c r="AA141" t="n">
        <v>0</v>
      </c>
      <c r="AB141" t="n">
        <v>248</v>
      </c>
      <c r="AC141" t="inlineStr">
        <is>
          <t>Hello World!</t>
        </is>
      </c>
    </row>
    <row r="142" ht="16" customHeight="1">
      <c r="A142" s="1" t="inlineStr">
        <is>
          <t>24.Blue 3</t>
        </is>
      </c>
      <c r="B142" s="2" t="inlineStr">
        <is>
          <t xml:space="preserve">Ruth Christensen </t>
        </is>
      </c>
      <c r="C142" s="2" t="n">
        <v>24</v>
      </c>
      <c r="D142" s="2" t="inlineStr">
        <is>
          <t>b3</t>
        </is>
      </c>
      <c r="E142" s="2" t="n">
        <v>810</v>
      </c>
      <c r="F142" s="2" t="n">
        <v>1</v>
      </c>
      <c r="G142" s="2" t="n">
        <v>0</v>
      </c>
      <c r="H142" s="2" t="n">
        <v>0</v>
      </c>
      <c r="I142" s="2" t="n">
        <v>-1</v>
      </c>
      <c r="J142" s="2" t="n">
        <v>4</v>
      </c>
      <c r="K142" s="2" t="n">
        <v>2</v>
      </c>
      <c r="L142" s="2" t="n">
        <v>3</v>
      </c>
      <c r="M142" s="2" t="n">
        <v>4</v>
      </c>
      <c r="N142" s="2" t="n">
        <v>0</v>
      </c>
      <c r="O142" s="2" t="n">
        <v>1</v>
      </c>
      <c r="P142" s="2" t="n">
        <v>0</v>
      </c>
      <c r="Q142" s="2" t="n">
        <v>1</v>
      </c>
      <c r="R142" s="2" t="n">
        <v>1</v>
      </c>
      <c r="S142" t="n">
        <v>3</v>
      </c>
      <c r="T142" t="n">
        <v>1</v>
      </c>
      <c r="U142" t="n">
        <v>0</v>
      </c>
      <c r="V142" t="n">
        <v>0</v>
      </c>
      <c r="W142" t="n">
        <v>1</v>
      </c>
      <c r="X142" t="n">
        <v>-1</v>
      </c>
      <c r="Y142" t="n">
        <v>1</v>
      </c>
      <c r="Z142" t="n">
        <v>0</v>
      </c>
      <c r="AA142" t="n">
        <v>0</v>
      </c>
      <c r="AB142" t="n">
        <v>49</v>
      </c>
      <c r="AC142" t="inlineStr">
        <is>
          <t>Hello World!</t>
        </is>
      </c>
    </row>
    <row r="143" ht="16" customHeight="1">
      <c r="A143" s="1" t="inlineStr">
        <is>
          <t>24.Red 1</t>
        </is>
      </c>
      <c r="B143" s="2" t="inlineStr">
        <is>
          <t>Celton Norter</t>
        </is>
      </c>
      <c r="C143" s="2" t="n">
        <v>24</v>
      </c>
      <c r="D143" s="2" t="inlineStr">
        <is>
          <t>r1</t>
        </is>
      </c>
      <c r="E143" s="2" t="n">
        <v>639</v>
      </c>
      <c r="F143" s="2" t="n">
        <v>0</v>
      </c>
      <c r="G143" s="2" t="n">
        <v>1</v>
      </c>
      <c r="H143" s="2" t="n">
        <v>0</v>
      </c>
      <c r="I143" s="2" t="n">
        <v>1</v>
      </c>
      <c r="J143" s="2" t="n">
        <v>5</v>
      </c>
      <c r="K143" s="2" t="n">
        <v>3</v>
      </c>
      <c r="L143" s="2" t="n">
        <v>2</v>
      </c>
      <c r="M143" s="2" t="n">
        <v>5</v>
      </c>
      <c r="N143" s="2" t="n">
        <v>1</v>
      </c>
      <c r="O143" s="2" t="n">
        <v>1</v>
      </c>
      <c r="P143" s="2" t="n">
        <v>1</v>
      </c>
      <c r="Q143" s="2" t="n">
        <v>0</v>
      </c>
      <c r="R143" s="2" t="n">
        <v>0</v>
      </c>
      <c r="S143" t="n">
        <v>3</v>
      </c>
      <c r="T143" t="n">
        <v>1</v>
      </c>
      <c r="U143" t="n">
        <v>1</v>
      </c>
      <c r="V143" t="n">
        <v>0</v>
      </c>
      <c r="W143" t="n">
        <v>2</v>
      </c>
      <c r="X143" t="n">
        <v>0</v>
      </c>
      <c r="Y143" t="n">
        <v>1</v>
      </c>
      <c r="Z143" t="n">
        <v>0</v>
      </c>
      <c r="AA143" t="n">
        <v>1</v>
      </c>
      <c r="AB143" t="n">
        <v>74</v>
      </c>
      <c r="AC143" t="inlineStr">
        <is>
          <t>Hello World!</t>
        </is>
      </c>
    </row>
    <row r="144" ht="16" customHeight="1">
      <c r="A144" s="1" t="inlineStr">
        <is>
          <t>24.Red 2</t>
        </is>
      </c>
      <c r="B144" s="2" t="inlineStr">
        <is>
          <t>Andrew Crawford</t>
        </is>
      </c>
      <c r="C144" s="2" t="n">
        <v>24</v>
      </c>
      <c r="D144" s="2" t="inlineStr">
        <is>
          <t>r2</t>
        </is>
      </c>
      <c r="E144" s="2" t="n">
        <v>325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5</v>
      </c>
      <c r="K144" s="2" t="n">
        <v>3</v>
      </c>
      <c r="L144" s="2" t="n">
        <v>1</v>
      </c>
      <c r="M144" s="2" t="n">
        <v>3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t="n">
        <v>-1</v>
      </c>
      <c r="T144" t="n">
        <v>1</v>
      </c>
      <c r="U144" t="n">
        <v>1</v>
      </c>
      <c r="V144" t="n">
        <v>1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222</v>
      </c>
      <c r="AC144" t="inlineStr">
        <is>
          <t>Hello World!</t>
        </is>
      </c>
    </row>
    <row r="145" ht="16" customHeight="1">
      <c r="A145" s="1" t="inlineStr">
        <is>
          <t>24.Red 3</t>
        </is>
      </c>
      <c r="B145" s="2" t="inlineStr">
        <is>
          <t>Jonah WoikaKai Wilbur</t>
        </is>
      </c>
      <c r="C145" s="2" t="n">
        <v>24</v>
      </c>
      <c r="D145" s="2" t="inlineStr">
        <is>
          <t>r3</t>
        </is>
      </c>
      <c r="E145" s="2" t="n">
        <v>1518</v>
      </c>
      <c r="F145" s="2" t="n">
        <v>0</v>
      </c>
      <c r="G145" s="2" t="n">
        <v>1</v>
      </c>
      <c r="H145" s="2" t="n">
        <v>0</v>
      </c>
      <c r="I145" s="2" t="n">
        <v>-1</v>
      </c>
      <c r="J145" s="2" t="n">
        <v>1</v>
      </c>
      <c r="K145" s="2" t="n">
        <v>3</v>
      </c>
      <c r="L145" s="2" t="n">
        <v>1</v>
      </c>
      <c r="M145" s="2" t="n">
        <v>2</v>
      </c>
      <c r="N145" s="2" t="n">
        <v>1</v>
      </c>
      <c r="O145" s="2" t="n">
        <v>1</v>
      </c>
      <c r="P145" s="2" t="n">
        <v>0</v>
      </c>
      <c r="Q145" s="2" t="n">
        <v>0</v>
      </c>
      <c r="R145" s="2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4</v>
      </c>
      <c r="X145" t="n">
        <v>-1</v>
      </c>
      <c r="Y145" t="n">
        <v>0</v>
      </c>
      <c r="Z145" t="n">
        <v>1</v>
      </c>
      <c r="AA145" t="n">
        <v>1</v>
      </c>
      <c r="AB145" t="n">
        <v>38</v>
      </c>
      <c r="AC145" t="inlineStr">
        <is>
          <t>Hello World!</t>
        </is>
      </c>
    </row>
    <row r="146" ht="16" customHeight="1">
      <c r="A146" s="1" t="inlineStr">
        <is>
          <t>25.Blue 1</t>
        </is>
      </c>
      <c r="B146" s="2" t="inlineStr">
        <is>
          <t>Eli Harrison</t>
        </is>
      </c>
      <c r="C146" s="2" t="n">
        <v>25</v>
      </c>
      <c r="D146" s="2" t="inlineStr">
        <is>
          <t>b1</t>
        </is>
      </c>
      <c r="E146" s="2" t="n">
        <v>2340</v>
      </c>
      <c r="F146" s="2" t="n">
        <v>1</v>
      </c>
      <c r="G146" s="2" t="n">
        <v>1</v>
      </c>
      <c r="H146" s="2" t="n">
        <v>1</v>
      </c>
      <c r="I146" s="2" t="n">
        <v>0</v>
      </c>
      <c r="J146" s="2" t="n">
        <v>2</v>
      </c>
      <c r="K146" s="2" t="n">
        <v>1</v>
      </c>
      <c r="L146" s="2" t="n">
        <v>1</v>
      </c>
      <c r="M146" s="2" t="n">
        <v>5</v>
      </c>
      <c r="N146" s="2" t="n">
        <v>1</v>
      </c>
      <c r="O146" s="2" t="n">
        <v>1</v>
      </c>
      <c r="P146" s="2" t="n">
        <v>0</v>
      </c>
      <c r="Q146" s="2" t="n">
        <v>1</v>
      </c>
      <c r="R146" s="2" t="n">
        <v>0</v>
      </c>
      <c r="S146" t="n">
        <v>2</v>
      </c>
      <c r="T146" t="n">
        <v>0</v>
      </c>
      <c r="U146" t="n">
        <v>0</v>
      </c>
      <c r="V146" t="n">
        <v>1</v>
      </c>
      <c r="W146" t="n">
        <v>3</v>
      </c>
      <c r="X146" t="n">
        <v>-1</v>
      </c>
      <c r="Y146" t="n">
        <v>0</v>
      </c>
      <c r="Z146" t="n">
        <v>0</v>
      </c>
      <c r="AA146" t="n">
        <v>1</v>
      </c>
      <c r="AB146" t="n">
        <v>140</v>
      </c>
      <c r="AC146" t="inlineStr">
        <is>
          <t>Hello World!</t>
        </is>
      </c>
    </row>
    <row r="147" ht="16" customHeight="1">
      <c r="A147" s="1" t="inlineStr">
        <is>
          <t>25.Blue 2</t>
        </is>
      </c>
      <c r="B147" s="2" t="inlineStr">
        <is>
          <t>Nathan DeVito</t>
        </is>
      </c>
      <c r="C147" s="2" t="n">
        <v>25</v>
      </c>
      <c r="D147" s="2" t="inlineStr">
        <is>
          <t>b2</t>
        </is>
      </c>
      <c r="E147" s="2" t="n">
        <v>5590</v>
      </c>
      <c r="F147" s="2" t="n">
        <v>1</v>
      </c>
      <c r="G147" s="2" t="n">
        <v>0</v>
      </c>
      <c r="H147" s="2" t="n">
        <v>1</v>
      </c>
      <c r="I147" s="2" t="n">
        <v>-1</v>
      </c>
      <c r="J147" s="2" t="n">
        <v>5</v>
      </c>
      <c r="K147" s="2" t="n">
        <v>3</v>
      </c>
      <c r="L147" s="2" t="n">
        <v>1</v>
      </c>
      <c r="M147" s="2" t="n">
        <v>4</v>
      </c>
      <c r="N147" s="2" t="n">
        <v>1</v>
      </c>
      <c r="O147" s="2" t="n">
        <v>1</v>
      </c>
      <c r="P147" s="2" t="n">
        <v>1</v>
      </c>
      <c r="Q147" s="2" t="n">
        <v>0</v>
      </c>
      <c r="R147" s="2" t="n">
        <v>1</v>
      </c>
      <c r="S147" t="n">
        <v>3</v>
      </c>
      <c r="T147" t="n">
        <v>1</v>
      </c>
      <c r="U147" t="n">
        <v>1</v>
      </c>
      <c r="V147" t="n">
        <v>0</v>
      </c>
      <c r="W147" t="n">
        <v>5</v>
      </c>
      <c r="X147" t="n">
        <v>0</v>
      </c>
      <c r="Y147" t="n">
        <v>0</v>
      </c>
      <c r="Z147" t="n">
        <v>1</v>
      </c>
      <c r="AA147" t="n">
        <v>0</v>
      </c>
      <c r="AB147" t="n">
        <v>70</v>
      </c>
      <c r="AC147" t="inlineStr">
        <is>
          <t>Hello World!</t>
        </is>
      </c>
    </row>
    <row r="148" ht="16" customHeight="1">
      <c r="A148" s="1" t="inlineStr">
        <is>
          <t>25.Blue 3</t>
        </is>
      </c>
      <c r="B148" s="2" t="inlineStr">
        <is>
          <t>Jonah WoikaKai Wilbur</t>
        </is>
      </c>
      <c r="C148" s="2" t="n">
        <v>25</v>
      </c>
      <c r="D148" s="2" t="inlineStr">
        <is>
          <t>b3</t>
        </is>
      </c>
      <c r="E148" s="2" t="n">
        <v>191</v>
      </c>
      <c r="F148" s="2" t="n">
        <v>0</v>
      </c>
      <c r="G148" s="2" t="n">
        <v>1</v>
      </c>
      <c r="H148" s="2" t="n">
        <v>1</v>
      </c>
      <c r="I148" s="2" t="n">
        <v>-1</v>
      </c>
      <c r="J148" s="2" t="n">
        <v>5</v>
      </c>
      <c r="K148" s="2" t="n">
        <v>3</v>
      </c>
      <c r="L148" s="2" t="n">
        <v>3</v>
      </c>
      <c r="M148" s="2" t="n">
        <v>5</v>
      </c>
      <c r="N148" s="2" t="n">
        <v>1</v>
      </c>
      <c r="O148" s="2" t="n">
        <v>0</v>
      </c>
      <c r="P148" s="2" t="n">
        <v>1</v>
      </c>
      <c r="Q148" s="2" t="n">
        <v>1</v>
      </c>
      <c r="R148" s="2" t="n">
        <v>1</v>
      </c>
      <c r="S148" t="n">
        <v>2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1</v>
      </c>
      <c r="AB148" t="n">
        <v>130</v>
      </c>
      <c r="AC148" t="inlineStr">
        <is>
          <t>Hello World!</t>
        </is>
      </c>
    </row>
    <row r="149" ht="16" customHeight="1">
      <c r="A149" s="1" t="inlineStr">
        <is>
          <t>25.Red 1</t>
        </is>
      </c>
      <c r="B149" s="2" t="inlineStr">
        <is>
          <t>Domenic Giammusso</t>
        </is>
      </c>
      <c r="C149" s="2" t="n">
        <v>25</v>
      </c>
      <c r="D149" s="2" t="inlineStr">
        <is>
          <t>r1</t>
        </is>
      </c>
      <c r="E149" s="2" t="n">
        <v>1559</v>
      </c>
      <c r="F149" s="2" t="n">
        <v>1</v>
      </c>
      <c r="G149" s="2" t="n">
        <v>0</v>
      </c>
      <c r="H149" s="2" t="n">
        <v>0</v>
      </c>
      <c r="I149" s="2" t="n">
        <v>1</v>
      </c>
      <c r="J149" s="2" t="n">
        <v>4</v>
      </c>
      <c r="K149" s="2" t="n">
        <v>1</v>
      </c>
      <c r="L149" s="2" t="n">
        <v>1</v>
      </c>
      <c r="M149" s="2" t="n">
        <v>4</v>
      </c>
      <c r="N149" s="2" t="n">
        <v>0</v>
      </c>
      <c r="O149" s="2" t="n">
        <v>0</v>
      </c>
      <c r="P149" s="2" t="n">
        <v>1</v>
      </c>
      <c r="Q149" s="2" t="n">
        <v>1</v>
      </c>
      <c r="R149" s="2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4</v>
      </c>
      <c r="X149" t="n">
        <v>-1</v>
      </c>
      <c r="Y149" t="n">
        <v>0</v>
      </c>
      <c r="Z149" t="n">
        <v>1</v>
      </c>
      <c r="AA149" t="n">
        <v>1</v>
      </c>
      <c r="AB149" t="n">
        <v>35</v>
      </c>
      <c r="AC149" t="inlineStr">
        <is>
          <t>Hello World!</t>
        </is>
      </c>
    </row>
    <row r="150" ht="16" customHeight="1">
      <c r="A150" s="1" t="inlineStr">
        <is>
          <t>25.Red 2</t>
        </is>
      </c>
      <c r="B150" s="2" t="inlineStr">
        <is>
          <t>Gianmarco D'Angelo</t>
        </is>
      </c>
      <c r="C150" s="2" t="n">
        <v>25</v>
      </c>
      <c r="D150" s="2" t="inlineStr">
        <is>
          <t>r2</t>
        </is>
      </c>
      <c r="E150" s="2" t="n">
        <v>1507</v>
      </c>
      <c r="F150" s="2" t="n">
        <v>1</v>
      </c>
      <c r="G150" s="2" t="n">
        <v>1</v>
      </c>
      <c r="H150" s="2" t="n">
        <v>0</v>
      </c>
      <c r="I150" s="2" t="n">
        <v>1</v>
      </c>
      <c r="J150" s="2" t="n">
        <v>3</v>
      </c>
      <c r="K150" s="2" t="n">
        <v>1</v>
      </c>
      <c r="L150" s="2" t="n">
        <v>3</v>
      </c>
      <c r="M150" s="2" t="n">
        <v>4</v>
      </c>
      <c r="N150" s="2" t="n">
        <v>0</v>
      </c>
      <c r="O150" s="2" t="n">
        <v>1</v>
      </c>
      <c r="P150" s="2" t="n">
        <v>0</v>
      </c>
      <c r="Q150" s="2" t="n">
        <v>0</v>
      </c>
      <c r="R150" s="2" t="n">
        <v>1</v>
      </c>
      <c r="S150" t="n">
        <v>3</v>
      </c>
      <c r="T150" t="n">
        <v>0</v>
      </c>
      <c r="U150" t="n">
        <v>1</v>
      </c>
      <c r="V150" t="n">
        <v>1</v>
      </c>
      <c r="W150" t="n">
        <v>5</v>
      </c>
      <c r="X150" t="n">
        <v>0</v>
      </c>
      <c r="Y150" t="n">
        <v>1</v>
      </c>
      <c r="Z150" t="n">
        <v>1</v>
      </c>
      <c r="AA150" t="n">
        <v>1</v>
      </c>
      <c r="AB150" t="n">
        <v>124</v>
      </c>
      <c r="AC150" t="inlineStr">
        <is>
          <t>Hello World!</t>
        </is>
      </c>
    </row>
    <row r="151" ht="16" customHeight="1">
      <c r="A151" s="1" t="inlineStr">
        <is>
          <t>25.Red 3</t>
        </is>
      </c>
      <c r="B151" s="2" t="inlineStr">
        <is>
          <t>Connor Rapp</t>
        </is>
      </c>
      <c r="C151" s="2" t="n">
        <v>25</v>
      </c>
      <c r="D151" s="2" t="inlineStr">
        <is>
          <t>r3</t>
        </is>
      </c>
      <c r="E151" s="2" t="n">
        <v>4930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2</v>
      </c>
      <c r="K151" s="2" t="n">
        <v>3</v>
      </c>
      <c r="L151" s="2" t="n">
        <v>2</v>
      </c>
      <c r="M151" s="2" t="n">
        <v>3</v>
      </c>
      <c r="N151" s="2" t="n">
        <v>1</v>
      </c>
      <c r="O151" s="2" t="n">
        <v>0</v>
      </c>
      <c r="P151" s="2" t="n">
        <v>1</v>
      </c>
      <c r="Q151" s="2" t="n">
        <v>1</v>
      </c>
      <c r="R151" s="2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0</v>
      </c>
      <c r="AA151" t="n">
        <v>1</v>
      </c>
      <c r="AB151" t="n">
        <v>135</v>
      </c>
      <c r="AC151" t="inlineStr">
        <is>
          <t>Hello World!</t>
        </is>
      </c>
    </row>
    <row r="152" ht="16" customHeight="1">
      <c r="A152" s="1" t="inlineStr">
        <is>
          <t>26.Blue 1</t>
        </is>
      </c>
      <c r="B152" s="2" t="inlineStr">
        <is>
          <t>Arthur Sayre</t>
        </is>
      </c>
      <c r="C152" s="2" t="n">
        <v>26</v>
      </c>
      <c r="D152" s="2" t="inlineStr">
        <is>
          <t>b1</t>
        </is>
      </c>
      <c r="E152" s="2" t="n">
        <v>694</v>
      </c>
      <c r="F152" s="2" t="n">
        <v>1</v>
      </c>
      <c r="G152" s="2" t="n">
        <v>0</v>
      </c>
      <c r="H152" s="2" t="n">
        <v>1</v>
      </c>
      <c r="I152" s="2" t="n">
        <v>0</v>
      </c>
      <c r="J152" s="2" t="n">
        <v>5</v>
      </c>
      <c r="K152" s="2" t="n">
        <v>1</v>
      </c>
      <c r="L152" s="2" t="n">
        <v>3</v>
      </c>
      <c r="M152" s="2" t="n">
        <v>2</v>
      </c>
      <c r="N152" s="2" t="n">
        <v>1</v>
      </c>
      <c r="O152" s="2" t="n">
        <v>0</v>
      </c>
      <c r="P152" s="2" t="n">
        <v>0</v>
      </c>
      <c r="Q152" s="2" t="n">
        <v>1</v>
      </c>
      <c r="R152" s="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5</v>
      </c>
      <c r="X152" t="n">
        <v>1</v>
      </c>
      <c r="Y152" t="n">
        <v>0</v>
      </c>
      <c r="Z152" t="n">
        <v>0</v>
      </c>
      <c r="AA152" t="n">
        <v>1</v>
      </c>
      <c r="AB152" t="n">
        <v>210</v>
      </c>
      <c r="AC152" t="inlineStr">
        <is>
          <t>Hello World!</t>
        </is>
      </c>
    </row>
    <row r="153" ht="16" customHeight="1">
      <c r="A153" s="1" t="inlineStr">
        <is>
          <t>26.Blue 2</t>
        </is>
      </c>
      <c r="B153" s="2" t="inlineStr">
        <is>
          <t>Jonah WoikaKai Wilbur</t>
        </is>
      </c>
      <c r="C153" s="2" t="n">
        <v>26</v>
      </c>
      <c r="D153" s="2" t="inlineStr">
        <is>
          <t>b2</t>
        </is>
      </c>
      <c r="E153" s="2" t="n">
        <v>271</v>
      </c>
      <c r="F153" s="2" t="n">
        <v>1</v>
      </c>
      <c r="G153" s="2" t="n">
        <v>1</v>
      </c>
      <c r="H153" s="2" t="n">
        <v>0</v>
      </c>
      <c r="I153" s="2" t="n">
        <v>1</v>
      </c>
      <c r="J153" s="2" t="n">
        <v>4</v>
      </c>
      <c r="K153" s="2" t="n">
        <v>3</v>
      </c>
      <c r="L153" s="2" t="n">
        <v>3</v>
      </c>
      <c r="M153" s="2" t="n">
        <v>3</v>
      </c>
      <c r="N153" s="2" t="n">
        <v>1</v>
      </c>
      <c r="O153" s="2" t="n">
        <v>1</v>
      </c>
      <c r="P153" s="2" t="n">
        <v>0</v>
      </c>
      <c r="Q153" s="2" t="n">
        <v>0</v>
      </c>
      <c r="R153" s="2" t="n">
        <v>0</v>
      </c>
      <c r="S153" t="n">
        <v>2</v>
      </c>
      <c r="T153" t="n">
        <v>1</v>
      </c>
      <c r="U153" t="n">
        <v>0</v>
      </c>
      <c r="V153" t="n">
        <v>1</v>
      </c>
      <c r="W153" t="n">
        <v>3</v>
      </c>
      <c r="X153" t="n">
        <v>1</v>
      </c>
      <c r="Y153" t="n">
        <v>1</v>
      </c>
      <c r="Z153" t="n">
        <v>1</v>
      </c>
      <c r="AA153" t="n">
        <v>1</v>
      </c>
      <c r="AB153" t="n">
        <v>285</v>
      </c>
      <c r="AC153" t="inlineStr">
        <is>
          <t>Hello World!</t>
        </is>
      </c>
    </row>
    <row r="154" ht="16" customHeight="1">
      <c r="A154" s="1" t="inlineStr">
        <is>
          <t>26.Blue 3</t>
        </is>
      </c>
      <c r="B154" s="2" t="inlineStr">
        <is>
          <t>Ethan Stiffler</t>
        </is>
      </c>
      <c r="C154" s="2" t="n">
        <v>26</v>
      </c>
      <c r="D154" s="2" t="inlineStr">
        <is>
          <t>b3</t>
        </is>
      </c>
      <c r="E154" s="2" t="n">
        <v>1591</v>
      </c>
      <c r="F154" s="2" t="n">
        <v>0</v>
      </c>
      <c r="G154" s="2" t="n">
        <v>0</v>
      </c>
      <c r="H154" s="2" t="n">
        <v>1</v>
      </c>
      <c r="I154" s="2" t="n">
        <v>0</v>
      </c>
      <c r="J154" s="2" t="n">
        <v>5</v>
      </c>
      <c r="K154" s="2" t="n">
        <v>1</v>
      </c>
      <c r="L154" s="2" t="n">
        <v>2</v>
      </c>
      <c r="M154" s="2" t="n">
        <v>1</v>
      </c>
      <c r="N154" s="2" t="n">
        <v>0</v>
      </c>
      <c r="O154" s="2" t="n">
        <v>0</v>
      </c>
      <c r="P154" s="2" t="n">
        <v>1</v>
      </c>
      <c r="Q154" s="2" t="n">
        <v>0</v>
      </c>
      <c r="R154" s="2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2</v>
      </c>
      <c r="X154" t="n">
        <v>0</v>
      </c>
      <c r="Y154" t="n">
        <v>1</v>
      </c>
      <c r="Z154" t="n">
        <v>1</v>
      </c>
      <c r="AA154" t="n">
        <v>1</v>
      </c>
      <c r="AB154" t="n">
        <v>92</v>
      </c>
      <c r="AC154" t="inlineStr">
        <is>
          <t>Hello World!</t>
        </is>
      </c>
    </row>
    <row r="155" ht="16" customHeight="1">
      <c r="A155" s="1" t="inlineStr">
        <is>
          <t>26.Red 1</t>
        </is>
      </c>
      <c r="B155" s="2" t="inlineStr">
        <is>
          <t xml:space="preserve">Tyler Hignett </t>
        </is>
      </c>
      <c r="C155" s="2" t="n">
        <v>26</v>
      </c>
      <c r="D155" s="2" t="inlineStr">
        <is>
          <t>r1</t>
        </is>
      </c>
      <c r="E155" s="2" t="n">
        <v>6868</v>
      </c>
      <c r="F155" s="2" t="n">
        <v>1</v>
      </c>
      <c r="G155" s="2" t="n">
        <v>0</v>
      </c>
      <c r="H155" s="2" t="n">
        <v>1</v>
      </c>
      <c r="I155" s="2" t="n">
        <v>1</v>
      </c>
      <c r="J155" s="2" t="n">
        <v>5</v>
      </c>
      <c r="K155" s="2" t="n">
        <v>1</v>
      </c>
      <c r="L155" s="2" t="n">
        <v>3</v>
      </c>
      <c r="M155" s="2" t="n">
        <v>3</v>
      </c>
      <c r="N155" s="2" t="n">
        <v>1</v>
      </c>
      <c r="O155" s="2" t="n">
        <v>1</v>
      </c>
      <c r="P155" s="2" t="n">
        <v>0</v>
      </c>
      <c r="Q155" s="2" t="n">
        <v>1</v>
      </c>
      <c r="R155" s="2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2</v>
      </c>
      <c r="X155" t="n">
        <v>-1</v>
      </c>
      <c r="Y155" t="n">
        <v>1</v>
      </c>
      <c r="Z155" t="n">
        <v>1</v>
      </c>
      <c r="AA155" t="n">
        <v>0</v>
      </c>
      <c r="AB155" t="n">
        <v>17</v>
      </c>
      <c r="AC155" t="inlineStr">
        <is>
          <t>Hello World!</t>
        </is>
      </c>
    </row>
    <row r="156" ht="16" customHeight="1">
      <c r="A156" s="1" t="inlineStr">
        <is>
          <t>26.Red 2</t>
        </is>
      </c>
      <c r="B156" s="2" t="inlineStr">
        <is>
          <t>Nicholas Munier</t>
        </is>
      </c>
      <c r="C156" s="2" t="n">
        <v>26</v>
      </c>
      <c r="D156" s="2" t="inlineStr">
        <is>
          <t>r2</t>
        </is>
      </c>
      <c r="E156" s="2" t="n">
        <v>8503</v>
      </c>
      <c r="F156" s="2" t="n">
        <v>1</v>
      </c>
      <c r="G156" s="2" t="n">
        <v>0</v>
      </c>
      <c r="H156" s="2" t="n">
        <v>1</v>
      </c>
      <c r="I156" s="2" t="n">
        <v>1</v>
      </c>
      <c r="J156" s="2" t="n">
        <v>4</v>
      </c>
      <c r="K156" s="2" t="n">
        <v>3</v>
      </c>
      <c r="L156" s="2" t="n">
        <v>3</v>
      </c>
      <c r="M156" s="2" t="n">
        <v>5</v>
      </c>
      <c r="N156" s="2" t="n">
        <v>1</v>
      </c>
      <c r="O156" s="2" t="n">
        <v>1</v>
      </c>
      <c r="P156" s="2" t="n">
        <v>0</v>
      </c>
      <c r="Q156" s="2" t="n">
        <v>1</v>
      </c>
      <c r="R156" s="2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95</v>
      </c>
      <c r="AC156" t="inlineStr">
        <is>
          <t>Hello World!</t>
        </is>
      </c>
    </row>
    <row r="157" ht="16" customHeight="1">
      <c r="A157" s="1" t="inlineStr">
        <is>
          <t>26.Red 3</t>
        </is>
      </c>
      <c r="B157" s="2" t="inlineStr">
        <is>
          <t>Madison DeCicca</t>
        </is>
      </c>
      <c r="C157" s="2" t="n">
        <v>26</v>
      </c>
      <c r="D157" s="2" t="inlineStr">
        <is>
          <t>r3</t>
        </is>
      </c>
      <c r="E157" s="2" t="n">
        <v>424</v>
      </c>
      <c r="F157" s="2" t="n">
        <v>0</v>
      </c>
      <c r="G157" s="2" t="n">
        <v>1</v>
      </c>
      <c r="H157" s="2" t="n">
        <v>0</v>
      </c>
      <c r="I157" s="2" t="n">
        <v>0</v>
      </c>
      <c r="J157" s="2" t="n">
        <v>3</v>
      </c>
      <c r="K157" s="2" t="n">
        <v>3</v>
      </c>
      <c r="L157" s="2" t="n">
        <v>2</v>
      </c>
      <c r="M157" s="2" t="n">
        <v>3</v>
      </c>
      <c r="N157" s="2" t="n">
        <v>0</v>
      </c>
      <c r="O157" s="2" t="n">
        <v>1</v>
      </c>
      <c r="P157" s="2" t="n">
        <v>0</v>
      </c>
      <c r="Q157" s="2" t="n">
        <v>1</v>
      </c>
      <c r="R157" s="2" t="n">
        <v>0</v>
      </c>
      <c r="S157" t="n">
        <v>3</v>
      </c>
      <c r="T157" t="n">
        <v>0</v>
      </c>
      <c r="U157" t="n">
        <v>1</v>
      </c>
      <c r="V157" t="n">
        <v>1</v>
      </c>
      <c r="W157" t="n">
        <v>5</v>
      </c>
      <c r="X157" t="n">
        <v>0</v>
      </c>
      <c r="Y157" t="n">
        <v>1</v>
      </c>
      <c r="Z157" t="n">
        <v>1</v>
      </c>
      <c r="AA157" t="n">
        <v>0</v>
      </c>
      <c r="AB157" t="n">
        <v>146</v>
      </c>
      <c r="AC157" t="inlineStr">
        <is>
          <t>Hello World!</t>
        </is>
      </c>
    </row>
    <row r="158" ht="16" customHeight="1">
      <c r="A158" s="1" t="inlineStr">
        <is>
          <t>27.Blue 1</t>
        </is>
      </c>
      <c r="B158" s="2" t="inlineStr">
        <is>
          <t>Autumn Schoenfeld</t>
        </is>
      </c>
      <c r="C158" s="2" t="n">
        <v>27</v>
      </c>
      <c r="D158" s="2" t="inlineStr">
        <is>
          <t>b1</t>
        </is>
      </c>
      <c r="E158" s="2" t="n">
        <v>353</v>
      </c>
      <c r="F158" s="2" t="n">
        <v>0</v>
      </c>
      <c r="G158" s="2" t="n">
        <v>0</v>
      </c>
      <c r="H158" s="2" t="n">
        <v>1</v>
      </c>
      <c r="I158" s="2" t="n">
        <v>1</v>
      </c>
      <c r="J158" s="2" t="n">
        <v>5</v>
      </c>
      <c r="K158" s="2" t="n">
        <v>2</v>
      </c>
      <c r="L158" s="2" t="n">
        <v>1</v>
      </c>
      <c r="M158" s="2" t="n">
        <v>2</v>
      </c>
      <c r="N158" s="2" t="n">
        <v>0</v>
      </c>
      <c r="O158" s="2" t="n">
        <v>1</v>
      </c>
      <c r="P158" s="2" t="n">
        <v>0</v>
      </c>
      <c r="Q158" s="2" t="n">
        <v>0</v>
      </c>
      <c r="R158" s="2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3</v>
      </c>
      <c r="X158" t="n">
        <v>1</v>
      </c>
      <c r="Y158" t="n">
        <v>1</v>
      </c>
      <c r="Z158" t="n">
        <v>0</v>
      </c>
      <c r="AA158" t="n">
        <v>1</v>
      </c>
      <c r="AB158" t="n">
        <v>54</v>
      </c>
      <c r="AC158" t="inlineStr">
        <is>
          <t>Hello World!</t>
        </is>
      </c>
    </row>
    <row r="159" ht="16" customHeight="1">
      <c r="A159" s="1" t="inlineStr">
        <is>
          <t>27.Blue 2</t>
        </is>
      </c>
      <c r="B159" s="2" t="inlineStr">
        <is>
          <t>Amanah Obaji</t>
        </is>
      </c>
      <c r="C159" s="2" t="n">
        <v>27</v>
      </c>
      <c r="D159" s="2" t="inlineStr">
        <is>
          <t>b2</t>
        </is>
      </c>
      <c r="E159" s="2" t="n">
        <v>1511</v>
      </c>
      <c r="F159" s="2" t="n">
        <v>0</v>
      </c>
      <c r="G159" s="2" t="n">
        <v>0</v>
      </c>
      <c r="H159" s="2" t="n">
        <v>0</v>
      </c>
      <c r="I159" s="2" t="n">
        <v>1</v>
      </c>
      <c r="J159" s="2" t="n">
        <v>5</v>
      </c>
      <c r="K159" s="2" t="n">
        <v>1</v>
      </c>
      <c r="L159" s="2" t="n">
        <v>1</v>
      </c>
      <c r="M159" s="2" t="n">
        <v>2</v>
      </c>
      <c r="N159" s="2" t="n">
        <v>1</v>
      </c>
      <c r="O159" s="2" t="n">
        <v>1</v>
      </c>
      <c r="P159" s="2" t="n">
        <v>0</v>
      </c>
      <c r="Q159" s="2" t="n">
        <v>0</v>
      </c>
      <c r="R159" s="2" t="n">
        <v>0</v>
      </c>
      <c r="S159" t="n">
        <v>2</v>
      </c>
      <c r="T159" t="n">
        <v>1</v>
      </c>
      <c r="U159" t="n">
        <v>0</v>
      </c>
      <c r="V159" t="n">
        <v>1</v>
      </c>
      <c r="W159" t="n">
        <v>5</v>
      </c>
      <c r="X159" t="n">
        <v>0</v>
      </c>
      <c r="Y159" t="n">
        <v>0</v>
      </c>
      <c r="Z159" t="n">
        <v>1</v>
      </c>
      <c r="AA159" t="n">
        <v>1</v>
      </c>
      <c r="AB159" t="n">
        <v>120</v>
      </c>
      <c r="AC159" t="inlineStr">
        <is>
          <t>Hello World!</t>
        </is>
      </c>
    </row>
    <row r="160" ht="16" customHeight="1">
      <c r="A160" s="1" t="inlineStr">
        <is>
          <t>27.Blue 3</t>
        </is>
      </c>
      <c r="B160" s="2" t="inlineStr">
        <is>
          <t>Nicholas Munier</t>
        </is>
      </c>
      <c r="C160" s="2" t="n">
        <v>27</v>
      </c>
      <c r="D160" s="2" t="inlineStr">
        <is>
          <t>b3</t>
        </is>
      </c>
      <c r="E160" s="2" t="n">
        <v>340</v>
      </c>
      <c r="F160" s="2" t="n">
        <v>1</v>
      </c>
      <c r="G160" s="2" t="n">
        <v>1</v>
      </c>
      <c r="H160" s="2" t="n">
        <v>1</v>
      </c>
      <c r="I160" s="2" t="n">
        <v>0</v>
      </c>
      <c r="J160" s="2" t="n">
        <v>3</v>
      </c>
      <c r="K160" s="2" t="n">
        <v>2</v>
      </c>
      <c r="L160" s="2" t="n">
        <v>1</v>
      </c>
      <c r="M160" s="2" t="n">
        <v>1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3</v>
      </c>
      <c r="X160" t="n">
        <v>-1</v>
      </c>
      <c r="Y160" t="n">
        <v>0</v>
      </c>
      <c r="Z160" t="n">
        <v>1</v>
      </c>
      <c r="AA160" t="n">
        <v>1</v>
      </c>
      <c r="AB160" t="n">
        <v>84</v>
      </c>
      <c r="AC160" t="inlineStr">
        <is>
          <t>Hello World!</t>
        </is>
      </c>
    </row>
    <row r="161" ht="16" customHeight="1">
      <c r="A161" s="1" t="inlineStr">
        <is>
          <t>27.Red 1</t>
        </is>
      </c>
      <c r="B161" s="2" t="inlineStr">
        <is>
          <t>Jonah WoikaKai Wilbur</t>
        </is>
      </c>
      <c r="C161" s="2" t="n">
        <v>27</v>
      </c>
      <c r="D161" s="2" t="inlineStr">
        <is>
          <t>r1</t>
        </is>
      </c>
      <c r="E161" s="2" t="n">
        <v>4458</v>
      </c>
      <c r="F161" s="2" t="n">
        <v>1</v>
      </c>
      <c r="G161" s="2" t="n">
        <v>1</v>
      </c>
      <c r="H161" s="2" t="n">
        <v>0</v>
      </c>
      <c r="I161" s="2" t="n">
        <v>-1</v>
      </c>
      <c r="J161" s="2" t="n">
        <v>3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1</v>
      </c>
      <c r="P161" s="2" t="n">
        <v>1</v>
      </c>
      <c r="Q161" s="2" t="n">
        <v>1</v>
      </c>
      <c r="R161" s="2" t="n">
        <v>1</v>
      </c>
      <c r="S161" t="n">
        <v>0</v>
      </c>
      <c r="T161" t="n">
        <v>1</v>
      </c>
      <c r="U161" t="n">
        <v>1</v>
      </c>
      <c r="V161" t="n">
        <v>1</v>
      </c>
      <c r="W161" t="n">
        <v>5</v>
      </c>
      <c r="X161" t="n">
        <v>-1</v>
      </c>
      <c r="Y161" t="n">
        <v>1</v>
      </c>
      <c r="Z161" t="n">
        <v>1</v>
      </c>
      <c r="AA161" t="n">
        <v>0</v>
      </c>
      <c r="AB161" t="n">
        <v>102</v>
      </c>
      <c r="AC161" t="inlineStr">
        <is>
          <t>Hello World!</t>
        </is>
      </c>
    </row>
    <row r="162" ht="16" customHeight="1">
      <c r="A162" s="1" t="inlineStr">
        <is>
          <t>27.Red 2</t>
        </is>
      </c>
      <c r="B162" s="2" t="inlineStr">
        <is>
          <t>Arthur Sayre</t>
        </is>
      </c>
      <c r="C162" s="2" t="n">
        <v>27</v>
      </c>
      <c r="D162" s="2" t="inlineStr">
        <is>
          <t>r2</t>
        </is>
      </c>
      <c r="E162" s="2" t="n">
        <v>3044</v>
      </c>
      <c r="F162" s="2" t="n">
        <v>0</v>
      </c>
      <c r="G162" s="2" t="n">
        <v>0</v>
      </c>
      <c r="H162" s="2" t="n">
        <v>1</v>
      </c>
      <c r="I162" s="2" t="n">
        <v>0</v>
      </c>
      <c r="J162" s="2" t="n">
        <v>1</v>
      </c>
      <c r="K162" s="2" t="n">
        <v>2</v>
      </c>
      <c r="L162" s="2" t="n">
        <v>1</v>
      </c>
      <c r="M162" s="2" t="n">
        <v>5</v>
      </c>
      <c r="N162" s="2" t="n">
        <v>0</v>
      </c>
      <c r="O162" s="2" t="n">
        <v>1</v>
      </c>
      <c r="P162" s="2" t="n">
        <v>1</v>
      </c>
      <c r="Q162" s="2" t="n">
        <v>1</v>
      </c>
      <c r="R162" s="2" t="n">
        <v>0</v>
      </c>
      <c r="S162" t="n">
        <v>-1</v>
      </c>
      <c r="T162" t="n">
        <v>0</v>
      </c>
      <c r="U162" t="n">
        <v>1</v>
      </c>
      <c r="V162" t="n">
        <v>0</v>
      </c>
      <c r="W162" t="n">
        <v>5</v>
      </c>
      <c r="X162" t="n">
        <v>1</v>
      </c>
      <c r="Y162" t="n">
        <v>0</v>
      </c>
      <c r="Z162" t="n">
        <v>0</v>
      </c>
      <c r="AA162" t="n">
        <v>0</v>
      </c>
      <c r="AB162" t="n">
        <v>283</v>
      </c>
      <c r="AC162" t="inlineStr">
        <is>
          <t>Hello World!</t>
        </is>
      </c>
    </row>
    <row r="163" ht="16" customHeight="1">
      <c r="A163" s="1" t="inlineStr">
        <is>
          <t>27.Red 3</t>
        </is>
      </c>
      <c r="B163" s="2" t="inlineStr">
        <is>
          <t>Arthur Sayre</t>
        </is>
      </c>
      <c r="C163" s="2" t="n">
        <v>27</v>
      </c>
      <c r="D163" s="2" t="inlineStr">
        <is>
          <t>r3</t>
        </is>
      </c>
      <c r="E163" s="2" t="n">
        <v>10223</v>
      </c>
      <c r="F163" s="2" t="n">
        <v>0</v>
      </c>
      <c r="G163" s="2" t="n">
        <v>1</v>
      </c>
      <c r="H163" s="2" t="n">
        <v>0</v>
      </c>
      <c r="I163" s="2" t="n">
        <v>-1</v>
      </c>
      <c r="J163" s="2" t="n">
        <v>4</v>
      </c>
      <c r="K163" s="2" t="n">
        <v>1</v>
      </c>
      <c r="L163" s="2" t="n">
        <v>1</v>
      </c>
      <c r="M163" s="2" t="n">
        <v>4</v>
      </c>
      <c r="N163" s="2" t="n">
        <v>0</v>
      </c>
      <c r="O163" s="2" t="n">
        <v>1</v>
      </c>
      <c r="P163" s="2" t="n">
        <v>1</v>
      </c>
      <c r="Q163" s="2" t="n">
        <v>1</v>
      </c>
      <c r="R163" s="2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</v>
      </c>
      <c r="X163" t="n">
        <v>1</v>
      </c>
      <c r="Y163" t="n">
        <v>0</v>
      </c>
      <c r="Z163" t="n">
        <v>1</v>
      </c>
      <c r="AA163" t="n">
        <v>0</v>
      </c>
      <c r="AB163" t="n">
        <v>232</v>
      </c>
      <c r="AC163" t="inlineStr">
        <is>
          <t>Hello World!</t>
        </is>
      </c>
    </row>
    <row r="164" ht="16" customHeight="1">
      <c r="A164" s="1" t="inlineStr">
        <is>
          <t>28.Blue 1</t>
        </is>
      </c>
      <c r="B164" s="2" t="inlineStr">
        <is>
          <t>Caitlin Munier</t>
        </is>
      </c>
      <c r="C164" s="2" t="n">
        <v>28</v>
      </c>
      <c r="D164" s="2" t="inlineStr">
        <is>
          <t>b1</t>
        </is>
      </c>
      <c r="E164" s="2" t="n">
        <v>7903</v>
      </c>
      <c r="F164" s="2" t="n">
        <v>1</v>
      </c>
      <c r="G164" s="2" t="n">
        <v>1</v>
      </c>
      <c r="H164" s="2" t="n">
        <v>0</v>
      </c>
      <c r="I164" s="2" t="n">
        <v>1</v>
      </c>
      <c r="J164" s="2" t="n">
        <v>2</v>
      </c>
      <c r="K164" s="2" t="n">
        <v>1</v>
      </c>
      <c r="L164" s="2" t="n">
        <v>1</v>
      </c>
      <c r="M164" s="2" t="n">
        <v>4</v>
      </c>
      <c r="N164" s="2" t="n">
        <v>1</v>
      </c>
      <c r="O164" s="2" t="n">
        <v>0</v>
      </c>
      <c r="P164" s="2" t="n">
        <v>1</v>
      </c>
      <c r="Q164" s="2" t="n">
        <v>0</v>
      </c>
      <c r="R164" s="2" t="n">
        <v>1</v>
      </c>
      <c r="S164" t="n">
        <v>-1</v>
      </c>
      <c r="T164" t="n">
        <v>1</v>
      </c>
      <c r="U164" t="n">
        <v>0</v>
      </c>
      <c r="V164" t="n">
        <v>1</v>
      </c>
      <c r="W164" t="n">
        <v>4</v>
      </c>
      <c r="X164" t="n">
        <v>1</v>
      </c>
      <c r="Y164" t="n">
        <v>1</v>
      </c>
      <c r="Z164" t="n">
        <v>0</v>
      </c>
      <c r="AA164" t="n">
        <v>0</v>
      </c>
      <c r="AB164" t="n">
        <v>138</v>
      </c>
      <c r="AC164" t="inlineStr">
        <is>
          <t>Hello World!</t>
        </is>
      </c>
    </row>
    <row r="165" ht="16" customHeight="1">
      <c r="A165" s="1" t="inlineStr">
        <is>
          <t>28.Blue 2</t>
        </is>
      </c>
      <c r="B165" s="2" t="inlineStr">
        <is>
          <t>Connor Rapp</t>
        </is>
      </c>
      <c r="C165" s="2" t="n">
        <v>28</v>
      </c>
      <c r="D165" s="2" t="inlineStr">
        <is>
          <t>b2</t>
        </is>
      </c>
      <c r="E165" s="2" t="n">
        <v>6947</v>
      </c>
      <c r="F165" s="2" t="n">
        <v>1</v>
      </c>
      <c r="G165" s="2" t="n">
        <v>1</v>
      </c>
      <c r="H165" s="2" t="n">
        <v>1</v>
      </c>
      <c r="I165" s="2" t="n">
        <v>0</v>
      </c>
      <c r="J165" s="2" t="n">
        <v>2</v>
      </c>
      <c r="K165" s="2" t="n">
        <v>3</v>
      </c>
      <c r="L165" s="2" t="n">
        <v>2</v>
      </c>
      <c r="M165" s="2" t="n">
        <v>2</v>
      </c>
      <c r="N165" s="2" t="n">
        <v>0</v>
      </c>
      <c r="O165" s="2" t="n">
        <v>0</v>
      </c>
      <c r="P165" s="2" t="n">
        <v>1</v>
      </c>
      <c r="Q165" s="2" t="n">
        <v>0</v>
      </c>
      <c r="R165" s="2" t="n">
        <v>0</v>
      </c>
      <c r="S165" t="n">
        <v>3</v>
      </c>
      <c r="T165" t="n">
        <v>0</v>
      </c>
      <c r="U165" t="n">
        <v>1</v>
      </c>
      <c r="V165" t="n">
        <v>1</v>
      </c>
      <c r="W165" t="n">
        <v>4</v>
      </c>
      <c r="X165" t="n">
        <v>-1</v>
      </c>
      <c r="Y165" t="n">
        <v>1</v>
      </c>
      <c r="Z165" t="n">
        <v>0</v>
      </c>
      <c r="AA165" t="n">
        <v>1</v>
      </c>
      <c r="AB165" t="n">
        <v>89</v>
      </c>
      <c r="AC165" t="inlineStr">
        <is>
          <t>Hello World!</t>
        </is>
      </c>
    </row>
    <row r="166" ht="16" customHeight="1">
      <c r="A166" s="1" t="inlineStr">
        <is>
          <t>28.Blue 3</t>
        </is>
      </c>
      <c r="B166" s="2" t="inlineStr">
        <is>
          <t>Dean Blanchard</t>
        </is>
      </c>
      <c r="C166" s="2" t="n">
        <v>28</v>
      </c>
      <c r="D166" s="2" t="inlineStr">
        <is>
          <t>b3</t>
        </is>
      </c>
      <c r="E166" s="2" t="n">
        <v>6423</v>
      </c>
      <c r="F166" s="2" t="n">
        <v>1</v>
      </c>
      <c r="G166" s="2" t="n">
        <v>0</v>
      </c>
      <c r="H166" s="2" t="n">
        <v>0</v>
      </c>
      <c r="I166" s="2" t="n">
        <v>-1</v>
      </c>
      <c r="J166" s="2" t="n">
        <v>1</v>
      </c>
      <c r="K166" s="2" t="n">
        <v>2</v>
      </c>
      <c r="L166" s="2" t="n">
        <v>1</v>
      </c>
      <c r="M166" s="2" t="n">
        <v>2</v>
      </c>
      <c r="N166" s="2" t="n">
        <v>1</v>
      </c>
      <c r="O166" s="2" t="n">
        <v>0</v>
      </c>
      <c r="P166" s="2" t="n">
        <v>1</v>
      </c>
      <c r="Q166" s="2" t="n">
        <v>1</v>
      </c>
      <c r="R166" s="2" t="n">
        <v>1</v>
      </c>
      <c r="S166" t="n">
        <v>-1</v>
      </c>
      <c r="T166" t="n">
        <v>1</v>
      </c>
      <c r="U166" t="n">
        <v>0</v>
      </c>
      <c r="V166" t="n">
        <v>1</v>
      </c>
      <c r="W166" t="n">
        <v>4</v>
      </c>
      <c r="X166" t="n">
        <v>-1</v>
      </c>
      <c r="Y166" t="n">
        <v>0</v>
      </c>
      <c r="Z166" t="n">
        <v>0</v>
      </c>
      <c r="AA166" t="n">
        <v>0</v>
      </c>
      <c r="AB166" t="n">
        <v>290</v>
      </c>
      <c r="AC166" t="inlineStr">
        <is>
          <t>Hello World!</t>
        </is>
      </c>
    </row>
    <row r="167" ht="16" customHeight="1">
      <c r="A167" s="1" t="inlineStr">
        <is>
          <t>28.Red 1</t>
        </is>
      </c>
      <c r="B167" s="2" t="inlineStr">
        <is>
          <t>Dean Blanchard</t>
        </is>
      </c>
      <c r="C167" s="2" t="n">
        <v>28</v>
      </c>
      <c r="D167" s="2" t="inlineStr">
        <is>
          <t>r1</t>
        </is>
      </c>
      <c r="E167" s="2" t="n">
        <v>5528</v>
      </c>
      <c r="F167" s="2" t="n">
        <v>0</v>
      </c>
      <c r="G167" s="2" t="n">
        <v>0</v>
      </c>
      <c r="H167" s="2" t="n">
        <v>0</v>
      </c>
      <c r="I167" s="2" t="n">
        <v>1</v>
      </c>
      <c r="J167" s="2" t="n">
        <v>4</v>
      </c>
      <c r="K167" s="2" t="n">
        <v>1</v>
      </c>
      <c r="L167" s="2" t="n">
        <v>3</v>
      </c>
      <c r="M167" s="2" t="n">
        <v>1</v>
      </c>
      <c r="N167" s="2" t="n">
        <v>1</v>
      </c>
      <c r="O167" s="2" t="n">
        <v>1</v>
      </c>
      <c r="P167" s="2" t="n">
        <v>1</v>
      </c>
      <c r="Q167" s="2" t="n">
        <v>0</v>
      </c>
      <c r="R167" s="2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3</v>
      </c>
      <c r="X167" t="n">
        <v>0</v>
      </c>
      <c r="Y167" t="n">
        <v>1</v>
      </c>
      <c r="Z167" t="n">
        <v>0</v>
      </c>
      <c r="AA167" t="n">
        <v>0</v>
      </c>
      <c r="AB167" t="n">
        <v>42</v>
      </c>
      <c r="AC167" t="inlineStr">
        <is>
          <t>Hello World!</t>
        </is>
      </c>
    </row>
    <row r="168" ht="16" customHeight="1">
      <c r="A168" s="1" t="inlineStr">
        <is>
          <t>28.Red 2</t>
        </is>
      </c>
      <c r="B168" s="2" t="inlineStr">
        <is>
          <t>Runa Hunt</t>
        </is>
      </c>
      <c r="C168" s="2" t="n">
        <v>28</v>
      </c>
      <c r="D168" s="2" t="inlineStr">
        <is>
          <t>r2</t>
        </is>
      </c>
      <c r="E168" s="2" t="n">
        <v>1468</v>
      </c>
      <c r="F168" s="2" t="n">
        <v>1</v>
      </c>
      <c r="G168" s="2" t="n">
        <v>1</v>
      </c>
      <c r="H168" s="2" t="n">
        <v>1</v>
      </c>
      <c r="I168" s="2" t="n">
        <v>-1</v>
      </c>
      <c r="J168" s="2" t="n">
        <v>5</v>
      </c>
      <c r="K168" s="2" t="n">
        <v>3</v>
      </c>
      <c r="L168" s="2" t="n">
        <v>1</v>
      </c>
      <c r="M168" s="2" t="n">
        <v>5</v>
      </c>
      <c r="N168" s="2" t="n">
        <v>0</v>
      </c>
      <c r="O168" s="2" t="n">
        <v>0</v>
      </c>
      <c r="P168" s="2" t="n">
        <v>1</v>
      </c>
      <c r="Q168" s="2" t="n">
        <v>0</v>
      </c>
      <c r="R168" s="2" t="n">
        <v>1</v>
      </c>
      <c r="S168" t="n">
        <v>3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131</v>
      </c>
      <c r="AC168" t="inlineStr">
        <is>
          <t>Hello World!</t>
        </is>
      </c>
    </row>
    <row r="169" ht="16" customHeight="1">
      <c r="A169" s="1" t="inlineStr">
        <is>
          <t>28.Red 3</t>
        </is>
      </c>
      <c r="B169" s="2" t="inlineStr">
        <is>
          <t>Connor Rapp</t>
        </is>
      </c>
      <c r="C169" s="2" t="n">
        <v>28</v>
      </c>
      <c r="D169" s="2" t="inlineStr">
        <is>
          <t>r3</t>
        </is>
      </c>
      <c r="E169" s="2" t="n">
        <v>144</v>
      </c>
      <c r="F169" s="2" t="n">
        <v>0</v>
      </c>
      <c r="G169" s="2" t="n">
        <v>1</v>
      </c>
      <c r="H169" s="2" t="n">
        <v>0</v>
      </c>
      <c r="I169" s="2" t="n">
        <v>0</v>
      </c>
      <c r="J169" s="2" t="n">
        <v>3</v>
      </c>
      <c r="K169" s="2" t="n">
        <v>1</v>
      </c>
      <c r="L169" s="2" t="n">
        <v>1</v>
      </c>
      <c r="M169" s="2" t="n">
        <v>5</v>
      </c>
      <c r="N169" s="2" t="n">
        <v>0</v>
      </c>
      <c r="O169" s="2" t="n">
        <v>1</v>
      </c>
      <c r="P169" s="2" t="n">
        <v>0</v>
      </c>
      <c r="Q169" s="2" t="n">
        <v>0</v>
      </c>
      <c r="R169" s="2" t="n">
        <v>0</v>
      </c>
      <c r="S169" t="n">
        <v>-1</v>
      </c>
      <c r="T169" t="n">
        <v>0</v>
      </c>
      <c r="U169" t="n">
        <v>1</v>
      </c>
      <c r="V169" t="n">
        <v>0</v>
      </c>
      <c r="W169" t="n">
        <v>3</v>
      </c>
      <c r="X169" t="n">
        <v>0</v>
      </c>
      <c r="Y169" t="n">
        <v>0</v>
      </c>
      <c r="Z169" t="n">
        <v>1</v>
      </c>
      <c r="AA169" t="n">
        <v>1</v>
      </c>
      <c r="AB169" t="n">
        <v>183</v>
      </c>
      <c r="AC169" t="inlineStr">
        <is>
          <t>Hello World!</t>
        </is>
      </c>
    </row>
    <row r="170" ht="16" customHeight="1">
      <c r="A170" s="1" t="inlineStr">
        <is>
          <t>29.Blue 1</t>
        </is>
      </c>
      <c r="B170" s="2" t="inlineStr">
        <is>
          <t xml:space="preserve">Ruth Christensen </t>
        </is>
      </c>
      <c r="C170" s="2" t="n">
        <v>29</v>
      </c>
      <c r="D170" s="2" t="inlineStr">
        <is>
          <t>b1</t>
        </is>
      </c>
      <c r="E170" s="2" t="n">
        <v>20</v>
      </c>
      <c r="F170" s="2" t="n">
        <v>0</v>
      </c>
      <c r="G170" s="2" t="n">
        <v>0</v>
      </c>
      <c r="H170" s="2" t="n">
        <v>0</v>
      </c>
      <c r="I170" s="2" t="n">
        <v>1</v>
      </c>
      <c r="J170" s="2" t="n">
        <v>5</v>
      </c>
      <c r="K170" s="2" t="n">
        <v>3</v>
      </c>
      <c r="L170" s="2" t="n">
        <v>2</v>
      </c>
      <c r="M170" s="2" t="n">
        <v>1</v>
      </c>
      <c r="N170" s="2" t="n">
        <v>1</v>
      </c>
      <c r="O170" s="2" t="n">
        <v>0</v>
      </c>
      <c r="P170" s="2" t="n">
        <v>1</v>
      </c>
      <c r="Q170" s="2" t="n">
        <v>1</v>
      </c>
      <c r="R170" s="2" t="n">
        <v>1</v>
      </c>
      <c r="S170" t="n">
        <v>3</v>
      </c>
      <c r="T170" t="n">
        <v>1</v>
      </c>
      <c r="U170" t="n">
        <v>1</v>
      </c>
      <c r="V170" t="n">
        <v>0</v>
      </c>
      <c r="W170" t="n">
        <v>5</v>
      </c>
      <c r="X170" t="n">
        <v>-1</v>
      </c>
      <c r="Y170" t="n">
        <v>1</v>
      </c>
      <c r="Z170" t="n">
        <v>0</v>
      </c>
      <c r="AA170" t="n">
        <v>1</v>
      </c>
      <c r="AB170" t="n">
        <v>140</v>
      </c>
      <c r="AC170" t="inlineStr">
        <is>
          <t>Hello World!</t>
        </is>
      </c>
    </row>
    <row r="171" ht="16" customHeight="1">
      <c r="A171" s="1" t="inlineStr">
        <is>
          <t>29.Blue 2</t>
        </is>
      </c>
      <c r="B171" s="2" t="inlineStr">
        <is>
          <t>Runa Hunt</t>
        </is>
      </c>
      <c r="C171" s="2" t="n">
        <v>29</v>
      </c>
      <c r="D171" s="2" t="inlineStr">
        <is>
          <t>b2</t>
        </is>
      </c>
      <c r="E171" s="2" t="n">
        <v>1405</v>
      </c>
      <c r="F171" s="2" t="n">
        <v>1</v>
      </c>
      <c r="G171" s="2" t="n">
        <v>1</v>
      </c>
      <c r="H171" s="2" t="n">
        <v>1</v>
      </c>
      <c r="I171" s="2" t="n">
        <v>1</v>
      </c>
      <c r="J171" s="2" t="n">
        <v>5</v>
      </c>
      <c r="K171" s="2" t="n">
        <v>2</v>
      </c>
      <c r="L171" s="2" t="n">
        <v>3</v>
      </c>
      <c r="M171" s="2" t="n">
        <v>4</v>
      </c>
      <c r="N171" s="2" t="n">
        <v>1</v>
      </c>
      <c r="O171" s="2" t="n">
        <v>0</v>
      </c>
      <c r="P171" s="2" t="n">
        <v>0</v>
      </c>
      <c r="Q171" s="2" t="n">
        <v>0</v>
      </c>
      <c r="R171" s="2" t="n">
        <v>1</v>
      </c>
      <c r="S171" t="n">
        <v>-1</v>
      </c>
      <c r="T171" t="n">
        <v>0</v>
      </c>
      <c r="U171" t="n">
        <v>0</v>
      </c>
      <c r="V171" t="n">
        <v>0</v>
      </c>
      <c r="W171" t="n">
        <v>3</v>
      </c>
      <c r="X171" t="n">
        <v>1</v>
      </c>
      <c r="Y171" t="n">
        <v>0</v>
      </c>
      <c r="Z171" t="n">
        <v>0</v>
      </c>
      <c r="AA171" t="n">
        <v>1</v>
      </c>
      <c r="AB171" t="n">
        <v>283</v>
      </c>
      <c r="AC171" t="inlineStr">
        <is>
          <t>Hello World!</t>
        </is>
      </c>
    </row>
    <row r="172" ht="16" customHeight="1">
      <c r="A172" s="1" t="inlineStr">
        <is>
          <t>29.Blue 3</t>
        </is>
      </c>
      <c r="B172" s="2" t="inlineStr">
        <is>
          <t xml:space="preserve">Tetra Ukav </t>
        </is>
      </c>
      <c r="C172" s="2" t="n">
        <v>29</v>
      </c>
      <c r="D172" s="2" t="inlineStr">
        <is>
          <t>b3</t>
        </is>
      </c>
      <c r="E172" s="2" t="n">
        <v>4093</v>
      </c>
      <c r="F172" s="2" t="n">
        <v>1</v>
      </c>
      <c r="G172" s="2" t="n">
        <v>0</v>
      </c>
      <c r="H172" s="2" t="n">
        <v>0</v>
      </c>
      <c r="I172" s="2" t="n">
        <v>1</v>
      </c>
      <c r="J172" s="2" t="n">
        <v>2</v>
      </c>
      <c r="K172" s="2" t="n">
        <v>2</v>
      </c>
      <c r="L172" s="2" t="n">
        <v>1</v>
      </c>
      <c r="M172" s="2" t="n">
        <v>2</v>
      </c>
      <c r="N172" s="2" t="n">
        <v>0</v>
      </c>
      <c r="O172" s="2" t="n">
        <v>0</v>
      </c>
      <c r="P172" s="2" t="n">
        <v>1</v>
      </c>
      <c r="Q172" s="2" t="n">
        <v>1</v>
      </c>
      <c r="R172" s="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4</v>
      </c>
      <c r="X172" t="n">
        <v>-1</v>
      </c>
      <c r="Y172" t="n">
        <v>0</v>
      </c>
      <c r="Z172" t="n">
        <v>0</v>
      </c>
      <c r="AA172" t="n">
        <v>0</v>
      </c>
      <c r="AB172" t="n">
        <v>51</v>
      </c>
      <c r="AC172" t="inlineStr">
        <is>
          <t>Hello World!</t>
        </is>
      </c>
    </row>
    <row r="173" ht="16" customHeight="1">
      <c r="A173" s="1" t="inlineStr">
        <is>
          <t>29.Red 1</t>
        </is>
      </c>
      <c r="B173" s="2" t="inlineStr">
        <is>
          <t>Nathan DeVito</t>
        </is>
      </c>
      <c r="C173" s="2" t="n">
        <v>29</v>
      </c>
      <c r="D173" s="2" t="inlineStr">
        <is>
          <t>r1</t>
        </is>
      </c>
      <c r="E173" s="2" t="n">
        <v>3951</v>
      </c>
      <c r="F173" s="2" t="n">
        <v>1</v>
      </c>
      <c r="G173" s="2" t="n">
        <v>0</v>
      </c>
      <c r="H173" s="2" t="n">
        <v>0</v>
      </c>
      <c r="I173" s="2" t="n">
        <v>0</v>
      </c>
      <c r="J173" s="2" t="n">
        <v>1</v>
      </c>
      <c r="K173" s="2" t="n">
        <v>2</v>
      </c>
      <c r="L173" s="2" t="n">
        <v>2</v>
      </c>
      <c r="M173" s="2" t="n">
        <v>5</v>
      </c>
      <c r="N173" s="2" t="n">
        <v>1</v>
      </c>
      <c r="O173" s="2" t="n">
        <v>0</v>
      </c>
      <c r="P173" s="2" t="n">
        <v>1</v>
      </c>
      <c r="Q173" s="2" t="n">
        <v>0</v>
      </c>
      <c r="R173" s="2" t="n">
        <v>0</v>
      </c>
      <c r="S173" t="n">
        <v>2</v>
      </c>
      <c r="T173" t="n">
        <v>0</v>
      </c>
      <c r="U173" t="n">
        <v>1</v>
      </c>
      <c r="V173" t="n">
        <v>1</v>
      </c>
      <c r="W173" t="n">
        <v>2</v>
      </c>
      <c r="X173" t="n">
        <v>0</v>
      </c>
      <c r="Y173" t="n">
        <v>1</v>
      </c>
      <c r="Z173" t="n">
        <v>1</v>
      </c>
      <c r="AA173" t="n">
        <v>0</v>
      </c>
      <c r="AB173" t="n">
        <v>243</v>
      </c>
      <c r="AC173" t="inlineStr">
        <is>
          <t>Hello World!</t>
        </is>
      </c>
    </row>
    <row r="174" ht="16" customHeight="1">
      <c r="A174" s="1" t="inlineStr">
        <is>
          <t>29.Red 2</t>
        </is>
      </c>
      <c r="B174" s="2" t="inlineStr">
        <is>
          <t>Amanah Obaji</t>
        </is>
      </c>
      <c r="C174" s="2" t="n">
        <v>29</v>
      </c>
      <c r="D174" s="2" t="inlineStr">
        <is>
          <t>r2</t>
        </is>
      </c>
      <c r="E174" s="2" t="n">
        <v>3015</v>
      </c>
      <c r="F174" s="2" t="n">
        <v>0</v>
      </c>
      <c r="G174" s="2" t="n">
        <v>0</v>
      </c>
      <c r="H174" s="2" t="n">
        <v>0</v>
      </c>
      <c r="I174" s="2" t="n">
        <v>-1</v>
      </c>
      <c r="J174" s="2" t="n">
        <v>4</v>
      </c>
      <c r="K174" s="2" t="n">
        <v>3</v>
      </c>
      <c r="L174" s="2" t="n">
        <v>1</v>
      </c>
      <c r="M174" s="2" t="n">
        <v>2</v>
      </c>
      <c r="N174" s="2" t="n">
        <v>1</v>
      </c>
      <c r="O174" s="2" t="n">
        <v>1</v>
      </c>
      <c r="P174" s="2" t="n">
        <v>1</v>
      </c>
      <c r="Q174" s="2" t="n">
        <v>1</v>
      </c>
      <c r="R174" s="2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3</v>
      </c>
      <c r="X174" t="n">
        <v>-1</v>
      </c>
      <c r="Y174" t="n">
        <v>1</v>
      </c>
      <c r="Z174" t="n">
        <v>0</v>
      </c>
      <c r="AA174" t="n">
        <v>1</v>
      </c>
      <c r="AB174" t="n">
        <v>74</v>
      </c>
      <c r="AC174" t="inlineStr">
        <is>
          <t>Hello World!</t>
        </is>
      </c>
    </row>
    <row r="175" ht="16" customHeight="1">
      <c r="A175" s="1" t="inlineStr">
        <is>
          <t>29.Red 3</t>
        </is>
      </c>
      <c r="B175" s="2" t="inlineStr">
        <is>
          <t xml:space="preserve">Tetra Ukav </t>
        </is>
      </c>
      <c r="C175" s="2" t="n">
        <v>29</v>
      </c>
      <c r="D175" s="2" t="inlineStr">
        <is>
          <t>r3</t>
        </is>
      </c>
      <c r="E175" s="2" t="n">
        <v>2228</v>
      </c>
      <c r="F175" s="2" t="n">
        <v>0</v>
      </c>
      <c r="G175" s="2" t="n">
        <v>1</v>
      </c>
      <c r="H175" s="2" t="n">
        <v>1</v>
      </c>
      <c r="I175" s="2" t="n">
        <v>0</v>
      </c>
      <c r="J175" s="2" t="n">
        <v>5</v>
      </c>
      <c r="K175" s="2" t="n">
        <v>1</v>
      </c>
      <c r="L175" s="2" t="n">
        <v>1</v>
      </c>
      <c r="M175" s="2" t="n">
        <v>4</v>
      </c>
      <c r="N175" s="2" t="n">
        <v>0</v>
      </c>
      <c r="O175" s="2" t="n">
        <v>1</v>
      </c>
      <c r="P175" s="2" t="n">
        <v>1</v>
      </c>
      <c r="Q175" s="2" t="n">
        <v>0</v>
      </c>
      <c r="R175" s="2" t="n">
        <v>0</v>
      </c>
      <c r="S175" t="n">
        <v>2</v>
      </c>
      <c r="T175" t="n">
        <v>0</v>
      </c>
      <c r="U175" t="n">
        <v>1</v>
      </c>
      <c r="V175" t="n">
        <v>0</v>
      </c>
      <c r="W175" t="n">
        <v>5</v>
      </c>
      <c r="X175" t="n">
        <v>-1</v>
      </c>
      <c r="Y175" t="n">
        <v>0</v>
      </c>
      <c r="Z175" t="n">
        <v>0</v>
      </c>
      <c r="AA175" t="n">
        <v>1</v>
      </c>
      <c r="AB175" t="n">
        <v>299</v>
      </c>
      <c r="AC175" t="inlineStr">
        <is>
          <t>Hello World!</t>
        </is>
      </c>
    </row>
    <row r="176" ht="16" customHeight="1">
      <c r="A176" s="1" t="inlineStr">
        <is>
          <t>30.Blue 1</t>
        </is>
      </c>
      <c r="B176" s="2" t="inlineStr">
        <is>
          <t>Jonah WoikaKai Wilbur</t>
        </is>
      </c>
      <c r="C176" s="2" t="n">
        <v>30</v>
      </c>
      <c r="D176" s="2" t="inlineStr">
        <is>
          <t>b1</t>
        </is>
      </c>
      <c r="E176" s="2" t="n">
        <v>1126</v>
      </c>
      <c r="F176" s="2" t="n">
        <v>0</v>
      </c>
      <c r="G176" s="2" t="n">
        <v>1</v>
      </c>
      <c r="H176" s="2" t="n">
        <v>0</v>
      </c>
      <c r="I176" s="2" t="n">
        <v>1</v>
      </c>
      <c r="J176" s="2" t="n">
        <v>3</v>
      </c>
      <c r="K176" s="2" t="n">
        <v>1</v>
      </c>
      <c r="L176" s="2" t="n">
        <v>1</v>
      </c>
      <c r="M176" s="2" t="n">
        <v>4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3</v>
      </c>
      <c r="X176" t="n">
        <v>1</v>
      </c>
      <c r="Y176" t="n">
        <v>0</v>
      </c>
      <c r="Z176" t="n">
        <v>0</v>
      </c>
      <c r="AA176" t="n">
        <v>1</v>
      </c>
      <c r="AB176" t="n">
        <v>74</v>
      </c>
      <c r="AC176" t="inlineStr">
        <is>
          <t>Hello World!</t>
        </is>
      </c>
    </row>
    <row r="177" ht="16" customHeight="1">
      <c r="A177" s="1" t="inlineStr">
        <is>
          <t>30.Blue 2</t>
        </is>
      </c>
      <c r="B177" s="2" t="inlineStr">
        <is>
          <t>Colby Jackson</t>
        </is>
      </c>
      <c r="C177" s="2" t="n">
        <v>30</v>
      </c>
      <c r="D177" s="2" t="inlineStr">
        <is>
          <t>b2</t>
        </is>
      </c>
      <c r="E177" s="2" t="n">
        <v>7030</v>
      </c>
      <c r="F177" s="2" t="n">
        <v>1</v>
      </c>
      <c r="G177" s="2" t="n">
        <v>0</v>
      </c>
      <c r="H177" s="2" t="n">
        <v>1</v>
      </c>
      <c r="I177" s="2" t="n">
        <v>-1</v>
      </c>
      <c r="J177" s="2" t="n">
        <v>1</v>
      </c>
      <c r="K177" s="2" t="n">
        <v>1</v>
      </c>
      <c r="L177" s="2" t="n">
        <v>3</v>
      </c>
      <c r="M177" s="2" t="n">
        <v>3</v>
      </c>
      <c r="N177" s="2" t="n">
        <v>1</v>
      </c>
      <c r="O177" s="2" t="n">
        <v>0</v>
      </c>
      <c r="P177" s="2" t="n">
        <v>0</v>
      </c>
      <c r="Q177" s="2" t="n">
        <v>0</v>
      </c>
      <c r="R177" s="2" t="n">
        <v>0</v>
      </c>
      <c r="S177" t="n">
        <v>-1</v>
      </c>
      <c r="T177" t="n">
        <v>1</v>
      </c>
      <c r="U177" t="n">
        <v>0</v>
      </c>
      <c r="V177" t="n">
        <v>0</v>
      </c>
      <c r="W177" t="n">
        <v>3</v>
      </c>
      <c r="X177" t="n">
        <v>-1</v>
      </c>
      <c r="Y177" t="n">
        <v>0</v>
      </c>
      <c r="Z177" t="n">
        <v>1</v>
      </c>
      <c r="AA177" t="n">
        <v>1</v>
      </c>
      <c r="AB177" t="n">
        <v>192</v>
      </c>
      <c r="AC177" t="inlineStr">
        <is>
          <t>Hello World!</t>
        </is>
      </c>
    </row>
    <row r="178" ht="16" customHeight="1">
      <c r="A178" s="1" t="inlineStr">
        <is>
          <t>30.Blue 3</t>
        </is>
      </c>
      <c r="B178" s="2" t="inlineStr">
        <is>
          <t>Eli Harrison</t>
        </is>
      </c>
      <c r="C178" s="2" t="n">
        <v>30</v>
      </c>
      <c r="D178" s="2" t="inlineStr">
        <is>
          <t>b3</t>
        </is>
      </c>
      <c r="E178" s="2" t="n">
        <v>1781</v>
      </c>
      <c r="F178" s="2" t="n">
        <v>0</v>
      </c>
      <c r="G178" s="2" t="n">
        <v>1</v>
      </c>
      <c r="H178" s="2" t="n">
        <v>0</v>
      </c>
      <c r="I178" s="2" t="n">
        <v>-1</v>
      </c>
      <c r="J178" s="2" t="n">
        <v>3</v>
      </c>
      <c r="K178" s="2" t="n">
        <v>3</v>
      </c>
      <c r="L178" s="2" t="n">
        <v>1</v>
      </c>
      <c r="M178" s="2" t="n">
        <v>1</v>
      </c>
      <c r="N178" s="2" t="n">
        <v>0</v>
      </c>
      <c r="O178" s="2" t="n">
        <v>1</v>
      </c>
      <c r="P178" s="2" t="n">
        <v>0</v>
      </c>
      <c r="Q178" s="2" t="n">
        <v>1</v>
      </c>
      <c r="R178" s="2" t="n">
        <v>0</v>
      </c>
      <c r="S178" t="n">
        <v>-1</v>
      </c>
      <c r="T178" t="n">
        <v>1</v>
      </c>
      <c r="U178" t="n">
        <v>1</v>
      </c>
      <c r="V178" t="n">
        <v>0</v>
      </c>
      <c r="W178" t="n">
        <v>4</v>
      </c>
      <c r="X178" t="n">
        <v>-1</v>
      </c>
      <c r="Y178" t="n">
        <v>0</v>
      </c>
      <c r="Z178" t="n">
        <v>0</v>
      </c>
      <c r="AA178" t="n">
        <v>1</v>
      </c>
      <c r="AB178" t="n">
        <v>151</v>
      </c>
      <c r="AC178" t="inlineStr">
        <is>
          <t>Hello World!</t>
        </is>
      </c>
    </row>
    <row r="179" ht="16" customHeight="1">
      <c r="A179" s="1" t="inlineStr">
        <is>
          <t>30.Red 1</t>
        </is>
      </c>
      <c r="B179" s="2" t="inlineStr">
        <is>
          <t>Matthew Mazzota</t>
        </is>
      </c>
      <c r="C179" s="2" t="n">
        <v>30</v>
      </c>
      <c r="D179" s="2" t="inlineStr">
        <is>
          <t>r1</t>
        </is>
      </c>
      <c r="E179" s="2" t="n">
        <v>1450</v>
      </c>
      <c r="F179" s="2" t="n">
        <v>0</v>
      </c>
      <c r="G179" s="2" t="n">
        <v>1</v>
      </c>
      <c r="H179" s="2" t="n">
        <v>1</v>
      </c>
      <c r="I179" s="2" t="n">
        <v>-1</v>
      </c>
      <c r="J179" s="2" t="n">
        <v>2</v>
      </c>
      <c r="K179" s="2" t="n">
        <v>2</v>
      </c>
      <c r="L179" s="2" t="n">
        <v>3</v>
      </c>
      <c r="M179" s="2" t="n">
        <v>5</v>
      </c>
      <c r="N179" s="2" t="n">
        <v>0</v>
      </c>
      <c r="O179" s="2" t="n">
        <v>1</v>
      </c>
      <c r="P179" s="2" t="n">
        <v>1</v>
      </c>
      <c r="Q179" s="2" t="n">
        <v>1</v>
      </c>
      <c r="R179" s="2" t="n">
        <v>0</v>
      </c>
      <c r="S179" t="n">
        <v>3</v>
      </c>
      <c r="T179" t="n">
        <v>1</v>
      </c>
      <c r="U179" t="n">
        <v>0</v>
      </c>
      <c r="V179" t="n">
        <v>0</v>
      </c>
      <c r="W179" t="n">
        <v>3</v>
      </c>
      <c r="X179" t="n">
        <v>1</v>
      </c>
      <c r="Y179" t="n">
        <v>0</v>
      </c>
      <c r="Z179" t="n">
        <v>1</v>
      </c>
      <c r="AA179" t="n">
        <v>0</v>
      </c>
      <c r="AB179" t="n">
        <v>197</v>
      </c>
      <c r="AC179" t="inlineStr">
        <is>
          <t>Hello World!</t>
        </is>
      </c>
    </row>
    <row r="180" ht="16" customHeight="1">
      <c r="A180" s="1" t="inlineStr">
        <is>
          <t>30.Red 2</t>
        </is>
      </c>
      <c r="B180" s="2" t="inlineStr">
        <is>
          <t>Andrew Crawford</t>
        </is>
      </c>
      <c r="C180" s="2" t="n">
        <v>30</v>
      </c>
      <c r="D180" s="2" t="inlineStr">
        <is>
          <t>r2</t>
        </is>
      </c>
      <c r="E180" s="2" t="n">
        <v>578</v>
      </c>
      <c r="F180" s="2" t="n">
        <v>1</v>
      </c>
      <c r="G180" s="2" t="n">
        <v>1</v>
      </c>
      <c r="H180" s="2" t="n">
        <v>1</v>
      </c>
      <c r="I180" s="2" t="n">
        <v>0</v>
      </c>
      <c r="J180" s="2" t="n">
        <v>1</v>
      </c>
      <c r="K180" s="2" t="n">
        <v>3</v>
      </c>
      <c r="L180" s="2" t="n">
        <v>1</v>
      </c>
      <c r="M180" s="2" t="n">
        <v>4</v>
      </c>
      <c r="N180" s="2" t="n">
        <v>1</v>
      </c>
      <c r="O180" s="2" t="n">
        <v>0</v>
      </c>
      <c r="P180" s="2" t="n">
        <v>0</v>
      </c>
      <c r="Q180" s="2" t="n">
        <v>1</v>
      </c>
      <c r="R180" s="2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-1</v>
      </c>
      <c r="Y180" t="n">
        <v>1</v>
      </c>
      <c r="Z180" t="n">
        <v>0</v>
      </c>
      <c r="AA180" t="n">
        <v>1</v>
      </c>
      <c r="AB180" t="n">
        <v>235</v>
      </c>
      <c r="AC180" t="inlineStr">
        <is>
          <t>Hello World!</t>
        </is>
      </c>
    </row>
    <row r="181" ht="16" customHeight="1">
      <c r="A181" s="1" t="inlineStr">
        <is>
          <t>30.Red 3</t>
        </is>
      </c>
      <c r="B181" s="2" t="inlineStr">
        <is>
          <t xml:space="preserve">Ruth Christensen </t>
        </is>
      </c>
      <c r="C181" s="2" t="n">
        <v>30</v>
      </c>
      <c r="D181" s="2" t="inlineStr">
        <is>
          <t>r3</t>
        </is>
      </c>
      <c r="E181" s="2" t="n">
        <v>3003</v>
      </c>
      <c r="F181" s="2" t="n">
        <v>1</v>
      </c>
      <c r="G181" s="2" t="n">
        <v>1</v>
      </c>
      <c r="H181" s="2" t="n">
        <v>0</v>
      </c>
      <c r="I181" s="2" t="n">
        <v>-1</v>
      </c>
      <c r="J181" s="2" t="n">
        <v>2</v>
      </c>
      <c r="K181" s="2" t="n">
        <v>2</v>
      </c>
      <c r="L181" s="2" t="n">
        <v>1</v>
      </c>
      <c r="M181" s="2" t="n">
        <v>3</v>
      </c>
      <c r="N181" s="2" t="n">
        <v>0</v>
      </c>
      <c r="O181" s="2" t="n">
        <v>1</v>
      </c>
      <c r="P181" s="2" t="n">
        <v>0</v>
      </c>
      <c r="Q181" s="2" t="n">
        <v>0</v>
      </c>
      <c r="R181" s="2" t="n">
        <v>1</v>
      </c>
      <c r="S181" t="n">
        <v>-1</v>
      </c>
      <c r="T181" t="n">
        <v>1</v>
      </c>
      <c r="U181" t="n">
        <v>0</v>
      </c>
      <c r="V181" t="n">
        <v>1</v>
      </c>
      <c r="W181" t="n">
        <v>5</v>
      </c>
      <c r="X181" t="n">
        <v>-1</v>
      </c>
      <c r="Y181" t="n">
        <v>0</v>
      </c>
      <c r="Z181" t="n">
        <v>1</v>
      </c>
      <c r="AA181" t="n">
        <v>0</v>
      </c>
      <c r="AB181" t="n">
        <v>178</v>
      </c>
      <c r="AC181" t="inlineStr">
        <is>
          <t>Hello World!</t>
        </is>
      </c>
    </row>
    <row r="182" ht="16" customHeight="1">
      <c r="A182" s="1" t="inlineStr">
        <is>
          <t>31.Blue 1</t>
        </is>
      </c>
      <c r="B182" s="2" t="inlineStr">
        <is>
          <t>Gianmarco D'Angelo</t>
        </is>
      </c>
      <c r="C182" s="2" t="n">
        <v>31</v>
      </c>
      <c r="D182" s="2" t="inlineStr">
        <is>
          <t>b1</t>
        </is>
      </c>
      <c r="E182" s="2" t="n">
        <v>9767</v>
      </c>
      <c r="F182" s="2" t="n">
        <v>0</v>
      </c>
      <c r="G182" s="2" t="n">
        <v>1</v>
      </c>
      <c r="H182" s="2" t="n">
        <v>0</v>
      </c>
      <c r="I182" s="2" t="n">
        <v>0</v>
      </c>
      <c r="J182" s="2" t="n">
        <v>3</v>
      </c>
      <c r="K182" s="2" t="n">
        <v>2</v>
      </c>
      <c r="L182" s="2" t="n">
        <v>1</v>
      </c>
      <c r="M182" s="2" t="n">
        <v>5</v>
      </c>
      <c r="N182" s="2" t="n">
        <v>1</v>
      </c>
      <c r="O182" s="2" t="n">
        <v>1</v>
      </c>
      <c r="P182" s="2" t="n">
        <v>1</v>
      </c>
      <c r="Q182" s="2" t="n">
        <v>0</v>
      </c>
      <c r="R182" s="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1</v>
      </c>
      <c r="AA182" t="n">
        <v>1</v>
      </c>
      <c r="AB182" t="n">
        <v>284</v>
      </c>
      <c r="AC182" t="inlineStr">
        <is>
          <t>Hello World!</t>
        </is>
      </c>
    </row>
    <row r="183" ht="16" customHeight="1">
      <c r="A183" s="1" t="inlineStr">
        <is>
          <t>31.Blue 2</t>
        </is>
      </c>
      <c r="B183" s="2" t="inlineStr">
        <is>
          <t>Autumn Schoenfeld</t>
        </is>
      </c>
      <c r="C183" s="2" t="n">
        <v>31</v>
      </c>
      <c r="D183" s="2" t="inlineStr">
        <is>
          <t>b2</t>
        </is>
      </c>
      <c r="E183" s="2" t="n">
        <v>1787</v>
      </c>
      <c r="F183" s="2" t="n">
        <v>1</v>
      </c>
      <c r="G183" s="2" t="n">
        <v>0</v>
      </c>
      <c r="H183" s="2" t="n">
        <v>0</v>
      </c>
      <c r="I183" s="2" t="n">
        <v>-1</v>
      </c>
      <c r="J183" s="2" t="n">
        <v>1</v>
      </c>
      <c r="K183" s="2" t="n">
        <v>1</v>
      </c>
      <c r="L183" s="2" t="n">
        <v>3</v>
      </c>
      <c r="M183" s="2" t="n">
        <v>5</v>
      </c>
      <c r="N183" s="2" t="n">
        <v>1</v>
      </c>
      <c r="O183" s="2" t="n">
        <v>0</v>
      </c>
      <c r="P183" s="2" t="n">
        <v>0</v>
      </c>
      <c r="Q183" s="2" t="n">
        <v>1</v>
      </c>
      <c r="R183" s="2" t="n">
        <v>0</v>
      </c>
      <c r="S183" t="n">
        <v>3</v>
      </c>
      <c r="T183" t="n">
        <v>0</v>
      </c>
      <c r="U183" t="n">
        <v>0</v>
      </c>
      <c r="V183" t="n">
        <v>1</v>
      </c>
      <c r="W183" t="n">
        <v>5</v>
      </c>
      <c r="X183" t="n">
        <v>0</v>
      </c>
      <c r="Y183" t="n">
        <v>0</v>
      </c>
      <c r="Z183" t="n">
        <v>0</v>
      </c>
      <c r="AA183" t="n">
        <v>1</v>
      </c>
      <c r="AB183" t="n">
        <v>186</v>
      </c>
      <c r="AC183" t="inlineStr">
        <is>
          <t>Hello World!</t>
        </is>
      </c>
    </row>
    <row r="184" ht="16" customHeight="1">
      <c r="A184" s="1" t="inlineStr">
        <is>
          <t>31.Blue 3</t>
        </is>
      </c>
      <c r="B184" s="2" t="inlineStr">
        <is>
          <t>Caitlin Munier</t>
        </is>
      </c>
      <c r="C184" s="2" t="n">
        <v>31</v>
      </c>
      <c r="D184" s="2" t="inlineStr">
        <is>
          <t>b3</t>
        </is>
      </c>
      <c r="E184" s="2" t="n">
        <v>564</v>
      </c>
      <c r="F184" s="2" t="n">
        <v>0</v>
      </c>
      <c r="G184" s="2" t="n">
        <v>1</v>
      </c>
      <c r="H184" s="2" t="n">
        <v>1</v>
      </c>
      <c r="I184" s="2" t="n">
        <v>0</v>
      </c>
      <c r="J184" s="2" t="n">
        <v>4</v>
      </c>
      <c r="K184" s="2" t="n">
        <v>2</v>
      </c>
      <c r="L184" s="2" t="n">
        <v>3</v>
      </c>
      <c r="M184" s="2" t="n">
        <v>3</v>
      </c>
      <c r="N184" s="2" t="n">
        <v>1</v>
      </c>
      <c r="O184" s="2" t="n">
        <v>1</v>
      </c>
      <c r="P184" s="2" t="n">
        <v>1</v>
      </c>
      <c r="Q184" s="2" t="n">
        <v>1</v>
      </c>
      <c r="R184" s="2" t="n">
        <v>0</v>
      </c>
      <c r="S184" t="n">
        <v>3</v>
      </c>
      <c r="T184" t="n">
        <v>1</v>
      </c>
      <c r="U184" t="n">
        <v>0</v>
      </c>
      <c r="V184" t="n">
        <v>0</v>
      </c>
      <c r="W184" t="n">
        <v>1</v>
      </c>
      <c r="X184" t="n">
        <v>-1</v>
      </c>
      <c r="Y184" t="n">
        <v>1</v>
      </c>
      <c r="Z184" t="n">
        <v>1</v>
      </c>
      <c r="AA184" t="n">
        <v>1</v>
      </c>
      <c r="AB184" t="n">
        <v>222</v>
      </c>
      <c r="AC184" t="inlineStr">
        <is>
          <t>Hello World!</t>
        </is>
      </c>
    </row>
    <row r="185" ht="16" customHeight="1">
      <c r="A185" s="1" t="inlineStr">
        <is>
          <t>31.Red 1</t>
        </is>
      </c>
      <c r="B185" s="2" t="inlineStr">
        <is>
          <t>Amanah Obaji</t>
        </is>
      </c>
      <c r="C185" s="2" t="n">
        <v>31</v>
      </c>
      <c r="D185" s="2" t="inlineStr">
        <is>
          <t>r1</t>
        </is>
      </c>
      <c r="E185" s="2" t="n">
        <v>1559</v>
      </c>
      <c r="F185" s="2" t="n">
        <v>1</v>
      </c>
      <c r="G185" s="2" t="n">
        <v>0</v>
      </c>
      <c r="H185" s="2" t="n">
        <v>1</v>
      </c>
      <c r="I185" s="2" t="n">
        <v>1</v>
      </c>
      <c r="J185" s="2" t="n">
        <v>3</v>
      </c>
      <c r="K185" s="2" t="n">
        <v>1</v>
      </c>
      <c r="L185" s="2" t="n">
        <v>1</v>
      </c>
      <c r="M185" s="2" t="n">
        <v>5</v>
      </c>
      <c r="N185" s="2" t="n">
        <v>1</v>
      </c>
      <c r="O185" s="2" t="n">
        <v>0</v>
      </c>
      <c r="P185" s="2" t="n">
        <v>1</v>
      </c>
      <c r="Q185" s="2" t="n">
        <v>0</v>
      </c>
      <c r="R185" s="2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-1</v>
      </c>
      <c r="Y185" t="n">
        <v>0</v>
      </c>
      <c r="Z185" t="n">
        <v>0</v>
      </c>
      <c r="AA185" t="n">
        <v>0</v>
      </c>
      <c r="AB185" t="n">
        <v>60</v>
      </c>
      <c r="AC185" t="inlineStr">
        <is>
          <t>Hello World!</t>
        </is>
      </c>
    </row>
    <row r="186" ht="16" customHeight="1">
      <c r="A186" s="1" t="inlineStr">
        <is>
          <t>31.Red 2</t>
        </is>
      </c>
      <c r="B186" s="2" t="inlineStr">
        <is>
          <t>Celton Norter</t>
        </is>
      </c>
      <c r="C186" s="2" t="n">
        <v>31</v>
      </c>
      <c r="D186" s="2" t="inlineStr">
        <is>
          <t>r2</t>
        </is>
      </c>
      <c r="E186" s="2" t="n">
        <v>639</v>
      </c>
      <c r="F186" s="2" t="n">
        <v>0</v>
      </c>
      <c r="G186" s="2" t="n">
        <v>0</v>
      </c>
      <c r="H186" s="2" t="n">
        <v>1</v>
      </c>
      <c r="I186" s="2" t="n">
        <v>-1</v>
      </c>
      <c r="J186" s="2" t="n">
        <v>1</v>
      </c>
      <c r="K186" s="2" t="n">
        <v>2</v>
      </c>
      <c r="L186" s="2" t="n">
        <v>3</v>
      </c>
      <c r="M186" s="2" t="n">
        <v>2</v>
      </c>
      <c r="N186" s="2" t="n">
        <v>0</v>
      </c>
      <c r="O186" s="2" t="n">
        <v>0</v>
      </c>
      <c r="P186" s="2" t="n">
        <v>0</v>
      </c>
      <c r="Q186" s="2" t="n">
        <v>1</v>
      </c>
      <c r="R186" s="2" t="n">
        <v>0</v>
      </c>
      <c r="S186" t="n">
        <v>2</v>
      </c>
      <c r="T186" t="n">
        <v>1</v>
      </c>
      <c r="U186" t="n">
        <v>0</v>
      </c>
      <c r="V186" t="n">
        <v>0</v>
      </c>
      <c r="W186" t="n">
        <v>5</v>
      </c>
      <c r="X186" t="n">
        <v>-1</v>
      </c>
      <c r="Y186" t="n">
        <v>1</v>
      </c>
      <c r="Z186" t="n">
        <v>1</v>
      </c>
      <c r="AA186" t="n">
        <v>0</v>
      </c>
      <c r="AB186" t="n">
        <v>55</v>
      </c>
      <c r="AC186" t="inlineStr">
        <is>
          <t>Hello World!</t>
        </is>
      </c>
    </row>
    <row r="187" ht="16" customHeight="1">
      <c r="A187" s="1" t="inlineStr">
        <is>
          <t>31.Red 3</t>
        </is>
      </c>
      <c r="B187" s="2" t="inlineStr">
        <is>
          <t>Colby Jackson</t>
        </is>
      </c>
      <c r="C187" s="2" t="n">
        <v>31</v>
      </c>
      <c r="D187" s="2" t="inlineStr">
        <is>
          <t>r3</t>
        </is>
      </c>
      <c r="E187" s="2" t="n">
        <v>191</v>
      </c>
      <c r="F187" s="2" t="n">
        <v>1</v>
      </c>
      <c r="G187" s="2" t="n">
        <v>1</v>
      </c>
      <c r="H187" s="2" t="n">
        <v>0</v>
      </c>
      <c r="I187" s="2" t="n">
        <v>0</v>
      </c>
      <c r="J187" s="2" t="n">
        <v>1</v>
      </c>
      <c r="K187" s="2" t="n">
        <v>1</v>
      </c>
      <c r="L187" s="2" t="n">
        <v>3</v>
      </c>
      <c r="M187" s="2" t="n">
        <v>3</v>
      </c>
      <c r="N187" s="2" t="n">
        <v>1</v>
      </c>
      <c r="O187" s="2" t="n">
        <v>1</v>
      </c>
      <c r="P187" s="2" t="n">
        <v>0</v>
      </c>
      <c r="Q187" s="2" t="n">
        <v>1</v>
      </c>
      <c r="R187" s="2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292</v>
      </c>
      <c r="AC187" t="inlineStr">
        <is>
          <t>Hello World!</t>
        </is>
      </c>
    </row>
    <row r="188" ht="16" customHeight="1">
      <c r="A188" s="1" t="inlineStr">
        <is>
          <t>32.Blue 1</t>
        </is>
      </c>
      <c r="B188" s="2" t="inlineStr">
        <is>
          <t>Runa Hunt</t>
        </is>
      </c>
      <c r="C188" s="2" t="n">
        <v>32</v>
      </c>
      <c r="D188" s="2" t="inlineStr">
        <is>
          <t>b1</t>
        </is>
      </c>
      <c r="E188" s="2" t="n">
        <v>1518</v>
      </c>
      <c r="F188" s="2" t="n">
        <v>1</v>
      </c>
      <c r="G188" s="2" t="n">
        <v>0</v>
      </c>
      <c r="H188" s="2" t="n">
        <v>1</v>
      </c>
      <c r="I188" s="2" t="n">
        <v>-1</v>
      </c>
      <c r="J188" s="2" t="n">
        <v>4</v>
      </c>
      <c r="K188" s="2" t="n">
        <v>3</v>
      </c>
      <c r="L188" s="2" t="n">
        <v>1</v>
      </c>
      <c r="M188" s="2" t="n">
        <v>2</v>
      </c>
      <c r="N188" s="2" t="n">
        <v>1</v>
      </c>
      <c r="O188" s="2" t="n">
        <v>1</v>
      </c>
      <c r="P188" s="2" t="n">
        <v>0</v>
      </c>
      <c r="Q188" s="2" t="n">
        <v>0</v>
      </c>
      <c r="R188" s="2" t="n">
        <v>0</v>
      </c>
      <c r="S188" t="n">
        <v>3</v>
      </c>
      <c r="T188" t="n">
        <v>1</v>
      </c>
      <c r="U188" t="n">
        <v>0</v>
      </c>
      <c r="V188" t="n">
        <v>0</v>
      </c>
      <c r="W188" t="n">
        <v>2</v>
      </c>
      <c r="X188" t="n">
        <v>-1</v>
      </c>
      <c r="Y188" t="n">
        <v>1</v>
      </c>
      <c r="Z188" t="n">
        <v>0</v>
      </c>
      <c r="AA188" t="n">
        <v>1</v>
      </c>
      <c r="AB188" t="n">
        <v>218</v>
      </c>
      <c r="AC188" t="inlineStr">
        <is>
          <t>Hello World!</t>
        </is>
      </c>
    </row>
    <row r="189" ht="16" customHeight="1">
      <c r="A189" s="1" t="inlineStr">
        <is>
          <t>32.Blue 2</t>
        </is>
      </c>
      <c r="B189" s="2" t="inlineStr">
        <is>
          <t>Runa Hunt</t>
        </is>
      </c>
      <c r="C189" s="2" t="n">
        <v>32</v>
      </c>
      <c r="D189" s="2" t="inlineStr">
        <is>
          <t>b2</t>
        </is>
      </c>
      <c r="E189" s="2" t="n">
        <v>4253</v>
      </c>
      <c r="F189" s="2" t="n">
        <v>0</v>
      </c>
      <c r="G189" s="2" t="n">
        <v>0</v>
      </c>
      <c r="H189" s="2" t="n">
        <v>0</v>
      </c>
      <c r="I189" s="2" t="n">
        <v>-1</v>
      </c>
      <c r="J189" s="2" t="n">
        <v>2</v>
      </c>
      <c r="K189" s="2" t="n">
        <v>2</v>
      </c>
      <c r="L189" s="2" t="n">
        <v>3</v>
      </c>
      <c r="M189" s="2" t="n">
        <v>5</v>
      </c>
      <c r="N189" s="2" t="n">
        <v>0</v>
      </c>
      <c r="O189" s="2" t="n">
        <v>1</v>
      </c>
      <c r="P189" s="2" t="n">
        <v>1</v>
      </c>
      <c r="Q189" s="2" t="n">
        <v>1</v>
      </c>
      <c r="R189" s="2" t="n">
        <v>0</v>
      </c>
      <c r="S189" t="n">
        <v>2</v>
      </c>
      <c r="T189" t="n">
        <v>0</v>
      </c>
      <c r="U189" t="n">
        <v>0</v>
      </c>
      <c r="V189" t="n">
        <v>0</v>
      </c>
      <c r="W189" t="n">
        <v>4</v>
      </c>
      <c r="X189" t="n">
        <v>1</v>
      </c>
      <c r="Y189" t="n">
        <v>1</v>
      </c>
      <c r="Z189" t="n">
        <v>1</v>
      </c>
      <c r="AA189" t="n">
        <v>1</v>
      </c>
      <c r="AB189" t="n">
        <v>68</v>
      </c>
      <c r="AC189" t="inlineStr">
        <is>
          <t>Hello World!</t>
        </is>
      </c>
    </row>
    <row r="190" ht="16" customHeight="1">
      <c r="A190" s="1" t="inlineStr">
        <is>
          <t>32.Blue 3</t>
        </is>
      </c>
      <c r="B190" s="2" t="inlineStr">
        <is>
          <t xml:space="preserve">Tetra Ukav </t>
        </is>
      </c>
      <c r="C190" s="2" t="n">
        <v>32</v>
      </c>
      <c r="D190" s="2" t="inlineStr">
        <is>
          <t>b3</t>
        </is>
      </c>
      <c r="E190" s="2" t="n">
        <v>1585</v>
      </c>
      <c r="F190" s="2" t="n">
        <v>1</v>
      </c>
      <c r="G190" s="2" t="n">
        <v>1</v>
      </c>
      <c r="H190" s="2" t="n">
        <v>1</v>
      </c>
      <c r="I190" s="2" t="n">
        <v>0</v>
      </c>
      <c r="J190" s="2" t="n">
        <v>3</v>
      </c>
      <c r="K190" s="2" t="n">
        <v>1</v>
      </c>
      <c r="L190" s="2" t="n">
        <v>1</v>
      </c>
      <c r="M190" s="2" t="n">
        <v>2</v>
      </c>
      <c r="N190" s="2" t="n">
        <v>0</v>
      </c>
      <c r="O190" s="2" t="n">
        <v>1</v>
      </c>
      <c r="P190" s="2" t="n">
        <v>1</v>
      </c>
      <c r="Q190" s="2" t="n">
        <v>0</v>
      </c>
      <c r="R190" s="2" t="n">
        <v>1</v>
      </c>
      <c r="S190" t="n">
        <v>3</v>
      </c>
      <c r="T190" t="n">
        <v>0</v>
      </c>
      <c r="U190" t="n">
        <v>0</v>
      </c>
      <c r="V190" t="n">
        <v>0</v>
      </c>
      <c r="W190" t="n">
        <v>5</v>
      </c>
      <c r="X190" t="n">
        <v>0</v>
      </c>
      <c r="Y190" t="n">
        <v>0</v>
      </c>
      <c r="Z190" t="n">
        <v>0</v>
      </c>
      <c r="AA190" t="n">
        <v>1</v>
      </c>
      <c r="AB190" t="n">
        <v>17</v>
      </c>
      <c r="AC190" t="inlineStr">
        <is>
          <t>Hello World!</t>
        </is>
      </c>
    </row>
    <row r="191" ht="16" customHeight="1">
      <c r="A191" s="1" t="inlineStr">
        <is>
          <t>32.Red 1</t>
        </is>
      </c>
      <c r="B191" s="2" t="inlineStr">
        <is>
          <t>Carter Silva</t>
        </is>
      </c>
      <c r="C191" s="2" t="n">
        <v>32</v>
      </c>
      <c r="D191" s="2" t="inlineStr">
        <is>
          <t>r1</t>
        </is>
      </c>
      <c r="E191" s="2" t="n">
        <v>271</v>
      </c>
      <c r="F191" s="2" t="n">
        <v>0</v>
      </c>
      <c r="G191" s="2" t="n">
        <v>0</v>
      </c>
      <c r="H191" s="2" t="n">
        <v>1</v>
      </c>
      <c r="I191" s="2" t="n">
        <v>1</v>
      </c>
      <c r="J191" s="2" t="n">
        <v>1</v>
      </c>
      <c r="K191" s="2" t="n">
        <v>2</v>
      </c>
      <c r="L191" s="2" t="n">
        <v>3</v>
      </c>
      <c r="M191" s="2" t="n">
        <v>3</v>
      </c>
      <c r="N191" s="2" t="n">
        <v>1</v>
      </c>
      <c r="O191" s="2" t="n">
        <v>0</v>
      </c>
      <c r="P191" s="2" t="n">
        <v>0</v>
      </c>
      <c r="Q191" s="2" t="n">
        <v>1</v>
      </c>
      <c r="R191" s="2" t="n">
        <v>0</v>
      </c>
      <c r="S191" t="n">
        <v>3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1</v>
      </c>
      <c r="Z191" t="n">
        <v>1</v>
      </c>
      <c r="AA191" t="n">
        <v>0</v>
      </c>
      <c r="AB191" t="n">
        <v>65</v>
      </c>
      <c r="AC191" t="inlineStr">
        <is>
          <t>Hello World!</t>
        </is>
      </c>
    </row>
    <row r="192" ht="16" customHeight="1">
      <c r="A192" s="1" t="inlineStr">
        <is>
          <t>32.Red 2</t>
        </is>
      </c>
      <c r="B192" s="2" t="inlineStr">
        <is>
          <t>Andrew Crawford</t>
        </is>
      </c>
      <c r="C192" s="2" t="n">
        <v>32</v>
      </c>
      <c r="D192" s="2" t="inlineStr">
        <is>
          <t>r2</t>
        </is>
      </c>
      <c r="E192" s="2" t="n">
        <v>5590</v>
      </c>
      <c r="F192" s="2" t="n">
        <v>0</v>
      </c>
      <c r="G192" s="2" t="n">
        <v>0</v>
      </c>
      <c r="H192" s="2" t="n">
        <v>1</v>
      </c>
      <c r="I192" s="2" t="n">
        <v>-1</v>
      </c>
      <c r="J192" s="2" t="n">
        <v>1</v>
      </c>
      <c r="K192" s="2" t="n">
        <v>3</v>
      </c>
      <c r="L192" s="2" t="n">
        <v>3</v>
      </c>
      <c r="M192" s="2" t="n">
        <v>4</v>
      </c>
      <c r="N192" s="2" t="n">
        <v>0</v>
      </c>
      <c r="O192" s="2" t="n">
        <v>1</v>
      </c>
      <c r="P192" s="2" t="n">
        <v>0</v>
      </c>
      <c r="Q192" s="2" t="n">
        <v>1</v>
      </c>
      <c r="R192" s="2" t="n">
        <v>1</v>
      </c>
      <c r="S192" t="n">
        <v>3</v>
      </c>
      <c r="T192" t="n">
        <v>1</v>
      </c>
      <c r="U192" t="n">
        <v>1</v>
      </c>
      <c r="V192" t="n">
        <v>0</v>
      </c>
      <c r="W192" t="n">
        <v>4</v>
      </c>
      <c r="X192" t="n">
        <v>0</v>
      </c>
      <c r="Y192" t="n">
        <v>1</v>
      </c>
      <c r="Z192" t="n">
        <v>0</v>
      </c>
      <c r="AA192" t="n">
        <v>1</v>
      </c>
      <c r="AB192" t="n">
        <v>34</v>
      </c>
      <c r="AC192" t="inlineStr">
        <is>
          <t>Hello World!</t>
        </is>
      </c>
    </row>
    <row r="193" ht="16" customHeight="1">
      <c r="A193" s="1" t="inlineStr">
        <is>
          <t>32.Red 3</t>
        </is>
      </c>
      <c r="B193" s="2" t="inlineStr">
        <is>
          <t>Domenic Giammusso</t>
        </is>
      </c>
      <c r="C193" s="2" t="n">
        <v>32</v>
      </c>
      <c r="D193" s="2" t="inlineStr">
        <is>
          <t>r3</t>
        </is>
      </c>
      <c r="E193" s="2" t="n">
        <v>10922</v>
      </c>
      <c r="F193" s="2" t="n">
        <v>0</v>
      </c>
      <c r="G193" s="2" t="n">
        <v>0</v>
      </c>
      <c r="H193" s="2" t="n">
        <v>0</v>
      </c>
      <c r="I193" s="2" t="n">
        <v>1</v>
      </c>
      <c r="J193" s="2" t="n">
        <v>4</v>
      </c>
      <c r="K193" s="2" t="n">
        <v>3</v>
      </c>
      <c r="L193" s="2" t="n">
        <v>2</v>
      </c>
      <c r="M193" s="2" t="n">
        <v>4</v>
      </c>
      <c r="N193" s="2" t="n">
        <v>0</v>
      </c>
      <c r="O193" s="2" t="n">
        <v>1</v>
      </c>
      <c r="P193" s="2" t="n">
        <v>0</v>
      </c>
      <c r="Q193" s="2" t="n">
        <v>1</v>
      </c>
      <c r="R193" s="2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2</v>
      </c>
      <c r="X193" t="n">
        <v>-1</v>
      </c>
      <c r="Y193" t="n">
        <v>1</v>
      </c>
      <c r="Z193" t="n">
        <v>1</v>
      </c>
      <c r="AA193" t="n">
        <v>0</v>
      </c>
      <c r="AB193" t="n">
        <v>85</v>
      </c>
      <c r="AC193" t="inlineStr">
        <is>
          <t>Hello World!</t>
        </is>
      </c>
    </row>
    <row r="194" ht="16" customHeight="1">
      <c r="A194" s="1" t="inlineStr">
        <is>
          <t>33.Blue 1</t>
        </is>
      </c>
      <c r="B194" s="2" t="inlineStr">
        <is>
          <t>Arthur Sayre</t>
        </is>
      </c>
      <c r="C194" s="2" t="n">
        <v>33</v>
      </c>
      <c r="D194" s="2" t="inlineStr">
        <is>
          <t>b1</t>
        </is>
      </c>
      <c r="E194" s="2" t="n">
        <v>3181</v>
      </c>
      <c r="F194" s="2" t="n">
        <v>0</v>
      </c>
      <c r="G194" s="2" t="n">
        <v>0</v>
      </c>
      <c r="H194" s="2" t="n">
        <v>1</v>
      </c>
      <c r="I194" s="2" t="n">
        <v>-1</v>
      </c>
      <c r="J194" s="2" t="n">
        <v>2</v>
      </c>
      <c r="K194" s="2" t="n">
        <v>3</v>
      </c>
      <c r="L194" s="2" t="n">
        <v>2</v>
      </c>
      <c r="M194" s="2" t="n">
        <v>1</v>
      </c>
      <c r="N194" s="2" t="n">
        <v>0</v>
      </c>
      <c r="O194" s="2" t="n">
        <v>1</v>
      </c>
      <c r="P194" s="2" t="n">
        <v>0</v>
      </c>
      <c r="Q194" s="2" t="n">
        <v>1</v>
      </c>
      <c r="R194" s="2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115</v>
      </c>
      <c r="AC194" t="inlineStr">
        <is>
          <t>Hello World!</t>
        </is>
      </c>
    </row>
    <row r="195" ht="16" customHeight="1">
      <c r="A195" s="1" t="inlineStr">
        <is>
          <t>33.Blue 2</t>
        </is>
      </c>
      <c r="B195" s="2" t="inlineStr">
        <is>
          <t>Dean Blanchard</t>
        </is>
      </c>
      <c r="C195" s="2" t="n">
        <v>33</v>
      </c>
      <c r="D195" s="2" t="inlineStr">
        <is>
          <t>b2</t>
        </is>
      </c>
      <c r="E195" s="2" t="n">
        <v>3838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5</v>
      </c>
      <c r="K195" s="2" t="n">
        <v>1</v>
      </c>
      <c r="L195" s="2" t="n">
        <v>2</v>
      </c>
      <c r="M195" s="2" t="n">
        <v>5</v>
      </c>
      <c r="N195" s="2" t="n">
        <v>1</v>
      </c>
      <c r="O195" s="2" t="n">
        <v>0</v>
      </c>
      <c r="P195" s="2" t="n">
        <v>1</v>
      </c>
      <c r="Q195" s="2" t="n">
        <v>1</v>
      </c>
      <c r="R195" s="2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5</v>
      </c>
      <c r="X195" t="n">
        <v>0</v>
      </c>
      <c r="Y195" t="n">
        <v>1</v>
      </c>
      <c r="Z195" t="n">
        <v>0</v>
      </c>
      <c r="AA195" t="n">
        <v>1</v>
      </c>
      <c r="AB195" t="n">
        <v>269</v>
      </c>
      <c r="AC195" t="inlineStr">
        <is>
          <t>Hello World!</t>
        </is>
      </c>
    </row>
    <row r="196" ht="16" customHeight="1">
      <c r="A196" s="1" t="inlineStr">
        <is>
          <t>33.Blue 3</t>
        </is>
      </c>
      <c r="B196" s="2" t="inlineStr">
        <is>
          <t>Connor Rapp</t>
        </is>
      </c>
      <c r="C196" s="2" t="n">
        <v>33</v>
      </c>
      <c r="D196" s="2" t="inlineStr">
        <is>
          <t>b3</t>
        </is>
      </c>
      <c r="E196" s="2" t="n">
        <v>810</v>
      </c>
      <c r="F196" s="2" t="n">
        <v>1</v>
      </c>
      <c r="G196" s="2" t="n">
        <v>1</v>
      </c>
      <c r="H196" s="2" t="n">
        <v>1</v>
      </c>
      <c r="I196" s="2" t="n">
        <v>-1</v>
      </c>
      <c r="J196" s="2" t="n">
        <v>3</v>
      </c>
      <c r="K196" s="2" t="n">
        <v>3</v>
      </c>
      <c r="L196" s="2" t="n">
        <v>3</v>
      </c>
      <c r="M196" s="2" t="n">
        <v>3</v>
      </c>
      <c r="N196" s="2" t="n">
        <v>1</v>
      </c>
      <c r="O196" s="2" t="n">
        <v>0</v>
      </c>
      <c r="P196" s="2" t="n">
        <v>1</v>
      </c>
      <c r="Q196" s="2" t="n">
        <v>0</v>
      </c>
      <c r="R196" s="2" t="n">
        <v>1</v>
      </c>
      <c r="S196" t="n">
        <v>1</v>
      </c>
      <c r="T196" t="n">
        <v>1</v>
      </c>
      <c r="U196" t="n">
        <v>0</v>
      </c>
      <c r="V196" t="n">
        <v>0</v>
      </c>
      <c r="W196" t="n">
        <v>3</v>
      </c>
      <c r="X196" t="n">
        <v>1</v>
      </c>
      <c r="Y196" t="n">
        <v>1</v>
      </c>
      <c r="Z196" t="n">
        <v>1</v>
      </c>
      <c r="AA196" t="n">
        <v>1</v>
      </c>
      <c r="AB196" t="n">
        <v>158</v>
      </c>
      <c r="AC196" t="inlineStr">
        <is>
          <t>Hello World!</t>
        </is>
      </c>
    </row>
    <row r="197" ht="16" customHeight="1">
      <c r="A197" s="1" t="inlineStr">
        <is>
          <t>33.Red 1</t>
        </is>
      </c>
      <c r="B197" s="2" t="inlineStr">
        <is>
          <t>Nathan DeVito</t>
        </is>
      </c>
      <c r="C197" s="2" t="n">
        <v>33</v>
      </c>
      <c r="D197" s="2" t="inlineStr">
        <is>
          <t>r1</t>
        </is>
      </c>
      <c r="E197" s="2" t="n">
        <v>3044</v>
      </c>
      <c r="F197" s="2" t="n">
        <v>1</v>
      </c>
      <c r="G197" s="2" t="n">
        <v>0</v>
      </c>
      <c r="H197" s="2" t="n">
        <v>0</v>
      </c>
      <c r="I197" s="2" t="n">
        <v>-1</v>
      </c>
      <c r="J197" s="2" t="n">
        <v>1</v>
      </c>
      <c r="K197" s="2" t="n">
        <v>1</v>
      </c>
      <c r="L197" s="2" t="n">
        <v>1</v>
      </c>
      <c r="M197" s="2" t="n">
        <v>1</v>
      </c>
      <c r="N197" s="2" t="n">
        <v>1</v>
      </c>
      <c r="O197" s="2" t="n">
        <v>1</v>
      </c>
      <c r="P197" s="2" t="n">
        <v>0</v>
      </c>
      <c r="Q197" s="2" t="n">
        <v>1</v>
      </c>
      <c r="R197" s="2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4</v>
      </c>
      <c r="X197" t="n">
        <v>-1</v>
      </c>
      <c r="Y197" t="n">
        <v>1</v>
      </c>
      <c r="Z197" t="n">
        <v>0</v>
      </c>
      <c r="AA197" t="n">
        <v>1</v>
      </c>
      <c r="AB197" t="n">
        <v>85</v>
      </c>
      <c r="AC197" t="inlineStr">
        <is>
          <t>Hello World!</t>
        </is>
      </c>
    </row>
    <row r="198" ht="16" customHeight="1">
      <c r="A198" s="1" t="inlineStr">
        <is>
          <t>33.Red 2</t>
        </is>
      </c>
      <c r="B198" s="2" t="inlineStr">
        <is>
          <t>Jonah WoikaKai Wilbur</t>
        </is>
      </c>
      <c r="C198" s="2" t="n">
        <v>33</v>
      </c>
      <c r="D198" s="2" t="inlineStr">
        <is>
          <t>r2</t>
        </is>
      </c>
      <c r="E198" s="2" t="n">
        <v>424</v>
      </c>
      <c r="F198" s="2" t="n">
        <v>0</v>
      </c>
      <c r="G198" s="2" t="n">
        <v>0</v>
      </c>
      <c r="H198" s="2" t="n">
        <v>0</v>
      </c>
      <c r="I198" s="2" t="n">
        <v>1</v>
      </c>
      <c r="J198" s="2" t="n">
        <v>4</v>
      </c>
      <c r="K198" s="2" t="n">
        <v>1</v>
      </c>
      <c r="L198" s="2" t="n">
        <v>1</v>
      </c>
      <c r="M198" s="2" t="n">
        <v>2</v>
      </c>
      <c r="N198" s="2" t="n">
        <v>1</v>
      </c>
      <c r="O198" s="2" t="n">
        <v>1</v>
      </c>
      <c r="P198" s="2" t="n">
        <v>1</v>
      </c>
      <c r="Q198" s="2" t="n">
        <v>0</v>
      </c>
      <c r="R198" s="2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5</v>
      </c>
      <c r="X198" t="n">
        <v>1</v>
      </c>
      <c r="Y198" t="n">
        <v>1</v>
      </c>
      <c r="Z198" t="n">
        <v>1</v>
      </c>
      <c r="AA198" t="n">
        <v>1</v>
      </c>
      <c r="AB198" t="n">
        <v>115</v>
      </c>
      <c r="AC198" t="inlineStr">
        <is>
          <t>Hello World!</t>
        </is>
      </c>
    </row>
    <row r="199" ht="16" customHeight="1">
      <c r="A199" s="1" t="inlineStr">
        <is>
          <t>33.Red 3</t>
        </is>
      </c>
      <c r="B199" s="2" t="inlineStr">
        <is>
          <t>Autumn Schoenfeld</t>
        </is>
      </c>
      <c r="C199" s="2" t="n">
        <v>33</v>
      </c>
      <c r="D199" s="2" t="inlineStr">
        <is>
          <t>r3</t>
        </is>
      </c>
      <c r="E199" s="2" t="n">
        <v>1511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4</v>
      </c>
      <c r="K199" s="2" t="n">
        <v>3</v>
      </c>
      <c r="L199" s="2" t="n">
        <v>1</v>
      </c>
      <c r="M199" s="2" t="n">
        <v>5</v>
      </c>
      <c r="N199" s="2" t="n">
        <v>0</v>
      </c>
      <c r="O199" s="2" t="n">
        <v>1</v>
      </c>
      <c r="P199" s="2" t="n">
        <v>1</v>
      </c>
      <c r="Q199" s="2" t="n">
        <v>0</v>
      </c>
      <c r="R199" s="2" t="n">
        <v>0</v>
      </c>
      <c r="S199" t="n">
        <v>3</v>
      </c>
      <c r="T199" t="n">
        <v>0</v>
      </c>
      <c r="U199" t="n">
        <v>1</v>
      </c>
      <c r="V199" t="n">
        <v>0</v>
      </c>
      <c r="W199" t="n">
        <v>5</v>
      </c>
      <c r="X199" t="n">
        <v>1</v>
      </c>
      <c r="Y199" t="n">
        <v>1</v>
      </c>
      <c r="Z199" t="n">
        <v>1</v>
      </c>
      <c r="AA199" t="n">
        <v>1</v>
      </c>
      <c r="AB199" t="n">
        <v>99</v>
      </c>
      <c r="AC199" t="inlineStr">
        <is>
          <t>Hello World!</t>
        </is>
      </c>
    </row>
    <row r="200" ht="16" customHeight="1">
      <c r="A200" s="1" t="inlineStr">
        <is>
          <t>34.Blue 1</t>
        </is>
      </c>
      <c r="B200" s="2" t="inlineStr">
        <is>
          <t>Carter Silva</t>
        </is>
      </c>
      <c r="C200" s="2" t="n">
        <v>34</v>
      </c>
      <c r="D200" s="2" t="inlineStr">
        <is>
          <t>b1</t>
        </is>
      </c>
      <c r="E200" s="2" t="n">
        <v>1468</v>
      </c>
      <c r="F200" s="2" t="n">
        <v>1</v>
      </c>
      <c r="G200" s="2" t="n">
        <v>1</v>
      </c>
      <c r="H200" s="2" t="n">
        <v>0</v>
      </c>
      <c r="I200" s="2" t="n">
        <v>-1</v>
      </c>
      <c r="J200" s="2" t="n">
        <v>4</v>
      </c>
      <c r="K200" s="2" t="n">
        <v>2</v>
      </c>
      <c r="L200" s="2" t="n">
        <v>1</v>
      </c>
      <c r="M200" s="2" t="n">
        <v>1</v>
      </c>
      <c r="N200" s="2" t="n">
        <v>1</v>
      </c>
      <c r="O200" s="2" t="n">
        <v>0</v>
      </c>
      <c r="P200" s="2" t="n">
        <v>0</v>
      </c>
      <c r="Q200" s="2" t="n">
        <v>1</v>
      </c>
      <c r="R200" s="2" t="n">
        <v>1</v>
      </c>
      <c r="S200" t="n">
        <v>2</v>
      </c>
      <c r="T200" t="n">
        <v>0</v>
      </c>
      <c r="U200" t="n">
        <v>0</v>
      </c>
      <c r="V200" t="n">
        <v>0</v>
      </c>
      <c r="W200" t="n">
        <v>3</v>
      </c>
      <c r="X200" t="n">
        <v>-1</v>
      </c>
      <c r="Y200" t="n">
        <v>0</v>
      </c>
      <c r="Z200" t="n">
        <v>0</v>
      </c>
      <c r="AA200" t="n">
        <v>0</v>
      </c>
      <c r="AB200" t="n">
        <v>15</v>
      </c>
      <c r="AC200" t="inlineStr">
        <is>
          <t>Hello World!</t>
        </is>
      </c>
    </row>
    <row r="201" ht="16" customHeight="1">
      <c r="A201" s="1" t="inlineStr">
        <is>
          <t>34.Blue 2</t>
        </is>
      </c>
      <c r="B201" s="2" t="inlineStr">
        <is>
          <t>Runa Hunt</t>
        </is>
      </c>
      <c r="C201" s="2" t="n">
        <v>34</v>
      </c>
      <c r="D201" s="2" t="inlineStr">
        <is>
          <t>b2</t>
        </is>
      </c>
      <c r="E201" s="2" t="n">
        <v>4458</v>
      </c>
      <c r="F201" s="2" t="n">
        <v>0</v>
      </c>
      <c r="G201" s="2" t="n">
        <v>1</v>
      </c>
      <c r="H201" s="2" t="n">
        <v>1</v>
      </c>
      <c r="I201" s="2" t="n">
        <v>-1</v>
      </c>
      <c r="J201" s="2" t="n">
        <v>2</v>
      </c>
      <c r="K201" s="2" t="n">
        <v>1</v>
      </c>
      <c r="L201" s="2" t="n">
        <v>2</v>
      </c>
      <c r="M201" s="2" t="n">
        <v>2</v>
      </c>
      <c r="N201" s="2" t="n">
        <v>0</v>
      </c>
      <c r="O201" s="2" t="n">
        <v>1</v>
      </c>
      <c r="P201" s="2" t="n">
        <v>1</v>
      </c>
      <c r="Q201" s="2" t="n">
        <v>0</v>
      </c>
      <c r="R201" s="2" t="n">
        <v>1</v>
      </c>
      <c r="S201" t="n">
        <v>2</v>
      </c>
      <c r="T201" t="n">
        <v>0</v>
      </c>
      <c r="U201" t="n">
        <v>0</v>
      </c>
      <c r="V201" t="n">
        <v>1</v>
      </c>
      <c r="W201" t="n">
        <v>1</v>
      </c>
      <c r="X201" t="n">
        <v>-1</v>
      </c>
      <c r="Y201" t="n">
        <v>0</v>
      </c>
      <c r="Z201" t="n">
        <v>0</v>
      </c>
      <c r="AA201" t="n">
        <v>1</v>
      </c>
      <c r="AB201" t="n">
        <v>240</v>
      </c>
      <c r="AC201" t="inlineStr">
        <is>
          <t>Hello World!</t>
        </is>
      </c>
    </row>
    <row r="202" ht="16" customHeight="1">
      <c r="A202" s="1" t="inlineStr">
        <is>
          <t>34.Blue 3</t>
        </is>
      </c>
      <c r="B202" s="2" t="inlineStr">
        <is>
          <t>Amanah Obaji</t>
        </is>
      </c>
      <c r="C202" s="2" t="n">
        <v>34</v>
      </c>
      <c r="D202" s="2" t="inlineStr">
        <is>
          <t>b3</t>
        </is>
      </c>
      <c r="E202" s="2" t="n">
        <v>8503</v>
      </c>
      <c r="F202" s="2" t="n">
        <v>0</v>
      </c>
      <c r="G202" s="2" t="n">
        <v>0</v>
      </c>
      <c r="H202" s="2" t="n">
        <v>0</v>
      </c>
      <c r="I202" s="2" t="n">
        <v>1</v>
      </c>
      <c r="J202" s="2" t="n">
        <v>2</v>
      </c>
      <c r="K202" s="2" t="n">
        <v>3</v>
      </c>
      <c r="L202" s="2" t="n">
        <v>1</v>
      </c>
      <c r="M202" s="2" t="n">
        <v>2</v>
      </c>
      <c r="N202" s="2" t="n">
        <v>0</v>
      </c>
      <c r="O202" s="2" t="n">
        <v>1</v>
      </c>
      <c r="P202" s="2" t="n">
        <v>1</v>
      </c>
      <c r="Q202" s="2" t="n">
        <v>0</v>
      </c>
      <c r="R202" s="2" t="n">
        <v>1</v>
      </c>
      <c r="S202" t="n">
        <v>3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1</v>
      </c>
      <c r="AB202" t="n">
        <v>144</v>
      </c>
      <c r="AC202" t="inlineStr">
        <is>
          <t>Hello World!</t>
        </is>
      </c>
    </row>
    <row r="203" ht="16" customHeight="1">
      <c r="A203" s="1" t="inlineStr">
        <is>
          <t>34.Red 1</t>
        </is>
      </c>
      <c r="B203" s="2" t="inlineStr">
        <is>
          <t>Nathan DeVito</t>
        </is>
      </c>
      <c r="C203" s="2" t="n">
        <v>34</v>
      </c>
      <c r="D203" s="2" t="inlineStr">
        <is>
          <t>r1</t>
        </is>
      </c>
      <c r="E203" s="2" t="n">
        <v>2340</v>
      </c>
      <c r="F203" s="2" t="n">
        <v>0</v>
      </c>
      <c r="G203" s="2" t="n">
        <v>0</v>
      </c>
      <c r="H203" s="2" t="n">
        <v>1</v>
      </c>
      <c r="I203" s="2" t="n">
        <v>1</v>
      </c>
      <c r="J203" s="2" t="n">
        <v>5</v>
      </c>
      <c r="K203" s="2" t="n">
        <v>1</v>
      </c>
      <c r="L203" s="2" t="n">
        <v>2</v>
      </c>
      <c r="M203" s="2" t="n">
        <v>1</v>
      </c>
      <c r="N203" s="2" t="n">
        <v>0</v>
      </c>
      <c r="O203" s="2" t="n">
        <v>1</v>
      </c>
      <c r="P203" s="2" t="n">
        <v>0</v>
      </c>
      <c r="Q203" s="2" t="n">
        <v>0</v>
      </c>
      <c r="R203" s="2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3</v>
      </c>
      <c r="X203" t="n">
        <v>-1</v>
      </c>
      <c r="Y203" t="n">
        <v>0</v>
      </c>
      <c r="Z203" t="n">
        <v>0</v>
      </c>
      <c r="AA203" t="n">
        <v>0</v>
      </c>
      <c r="AB203" t="n">
        <v>230</v>
      </c>
      <c r="AC203" t="inlineStr">
        <is>
          <t>Hello World!</t>
        </is>
      </c>
    </row>
    <row r="204" ht="16" customHeight="1">
      <c r="A204" s="1" t="inlineStr">
        <is>
          <t>34.Red 2</t>
        </is>
      </c>
      <c r="B204" s="2" t="inlineStr">
        <is>
          <t>Madison DeCicca</t>
        </is>
      </c>
      <c r="C204" s="2" t="n">
        <v>34</v>
      </c>
      <c r="D204" s="2" t="inlineStr">
        <is>
          <t>r2</t>
        </is>
      </c>
      <c r="E204" s="2" t="n">
        <v>10223</v>
      </c>
      <c r="F204" s="2" t="n">
        <v>1</v>
      </c>
      <c r="G204" s="2" t="n">
        <v>0</v>
      </c>
      <c r="H204" s="2" t="n">
        <v>1</v>
      </c>
      <c r="I204" s="2" t="n">
        <v>1</v>
      </c>
      <c r="J204" s="2" t="n">
        <v>1</v>
      </c>
      <c r="K204" s="2" t="n">
        <v>2</v>
      </c>
      <c r="L204" s="2" t="n">
        <v>2</v>
      </c>
      <c r="M204" s="2" t="n">
        <v>3</v>
      </c>
      <c r="N204" s="2" t="n">
        <v>1</v>
      </c>
      <c r="O204" s="2" t="n">
        <v>0</v>
      </c>
      <c r="P204" s="2" t="n">
        <v>1</v>
      </c>
      <c r="Q204" s="2" t="n">
        <v>1</v>
      </c>
      <c r="R204" s="2" t="n">
        <v>1</v>
      </c>
      <c r="S204" t="n">
        <v>3</v>
      </c>
      <c r="T204" t="n">
        <v>0</v>
      </c>
      <c r="U204" t="n">
        <v>1</v>
      </c>
      <c r="V204" t="n">
        <v>1</v>
      </c>
      <c r="W204" t="n">
        <v>3</v>
      </c>
      <c r="X204" t="n">
        <v>-1</v>
      </c>
      <c r="Y204" t="n">
        <v>0</v>
      </c>
      <c r="Z204" t="n">
        <v>0</v>
      </c>
      <c r="AA204" t="n">
        <v>0</v>
      </c>
      <c r="AB204" t="n">
        <v>40</v>
      </c>
      <c r="AC204" t="inlineStr">
        <is>
          <t>Hello World!</t>
        </is>
      </c>
    </row>
    <row r="205" ht="16" customHeight="1">
      <c r="A205" s="1" t="inlineStr">
        <is>
          <t>34.Red 3</t>
        </is>
      </c>
      <c r="B205" s="2" t="inlineStr">
        <is>
          <t xml:space="preserve">Tetra Ukav </t>
        </is>
      </c>
      <c r="C205" s="2" t="n">
        <v>34</v>
      </c>
      <c r="D205" s="2" t="inlineStr">
        <is>
          <t>r3</t>
        </is>
      </c>
      <c r="E205" s="2" t="n">
        <v>9016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3</v>
      </c>
      <c r="K205" s="2" t="n">
        <v>3</v>
      </c>
      <c r="L205" s="2" t="n">
        <v>1</v>
      </c>
      <c r="M205" s="2" t="n">
        <v>4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t="n">
        <v>-1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169</v>
      </c>
      <c r="AC205" t="inlineStr">
        <is>
          <t>Hello World!</t>
        </is>
      </c>
    </row>
    <row r="206" ht="16" customHeight="1">
      <c r="A206" s="1" t="inlineStr">
        <is>
          <t>35.Blue 1</t>
        </is>
      </c>
      <c r="B206" s="2" t="inlineStr">
        <is>
          <t>Arthur Sayre</t>
        </is>
      </c>
      <c r="C206" s="2" t="n">
        <v>35</v>
      </c>
      <c r="D206" s="2" t="inlineStr">
        <is>
          <t>b1</t>
        </is>
      </c>
      <c r="E206" s="2" t="n">
        <v>694</v>
      </c>
      <c r="F206" s="2" t="n">
        <v>0</v>
      </c>
      <c r="G206" s="2" t="n">
        <v>0</v>
      </c>
      <c r="H206" s="2" t="n">
        <v>1</v>
      </c>
      <c r="I206" s="2" t="n">
        <v>0</v>
      </c>
      <c r="J206" s="2" t="n">
        <v>2</v>
      </c>
      <c r="K206" s="2" t="n">
        <v>1</v>
      </c>
      <c r="L206" s="2" t="n">
        <v>3</v>
      </c>
      <c r="M206" s="2" t="n">
        <v>2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n">
        <v>93</v>
      </c>
      <c r="AC206" t="inlineStr">
        <is>
          <t>Hello World!</t>
        </is>
      </c>
    </row>
    <row r="207" ht="16" customHeight="1">
      <c r="A207" s="1" t="inlineStr">
        <is>
          <t>35.Blue 2</t>
        </is>
      </c>
      <c r="B207" s="2" t="inlineStr">
        <is>
          <t>Autumn Schoenfeld</t>
        </is>
      </c>
      <c r="C207" s="2" t="n">
        <v>35</v>
      </c>
      <c r="D207" s="2" t="inlineStr">
        <is>
          <t>b2</t>
        </is>
      </c>
      <c r="E207" s="2" t="n">
        <v>6423</v>
      </c>
      <c r="F207" s="2" t="n">
        <v>1</v>
      </c>
      <c r="G207" s="2" t="n">
        <v>1</v>
      </c>
      <c r="H207" s="2" t="n">
        <v>0</v>
      </c>
      <c r="I207" s="2" t="n">
        <v>1</v>
      </c>
      <c r="J207" s="2" t="n">
        <v>3</v>
      </c>
      <c r="K207" s="2" t="n">
        <v>2</v>
      </c>
      <c r="L207" s="2" t="n">
        <v>3</v>
      </c>
      <c r="M207" s="2" t="n">
        <v>4</v>
      </c>
      <c r="N207" s="2" t="n">
        <v>0</v>
      </c>
      <c r="O207" s="2" t="n">
        <v>1</v>
      </c>
      <c r="P207" s="2" t="n">
        <v>0</v>
      </c>
      <c r="Q207" s="2" t="n">
        <v>0</v>
      </c>
      <c r="R207" s="2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192</v>
      </c>
      <c r="AC207" t="inlineStr">
        <is>
          <t>Hello World!</t>
        </is>
      </c>
    </row>
    <row r="208" ht="16" customHeight="1">
      <c r="A208" s="1" t="inlineStr">
        <is>
          <t>35.Blue 3</t>
        </is>
      </c>
      <c r="B208" s="2" t="inlineStr">
        <is>
          <t xml:space="preserve">Tyler Hignett </t>
        </is>
      </c>
      <c r="C208" s="2" t="n">
        <v>35</v>
      </c>
      <c r="D208" s="2" t="inlineStr">
        <is>
          <t>b3</t>
        </is>
      </c>
      <c r="E208" s="2" t="n">
        <v>1056</v>
      </c>
      <c r="F208" s="2" t="n">
        <v>0</v>
      </c>
      <c r="G208" s="2" t="n">
        <v>1</v>
      </c>
      <c r="H208" s="2" t="n">
        <v>1</v>
      </c>
      <c r="I208" s="2" t="n">
        <v>0</v>
      </c>
      <c r="J208" s="2" t="n">
        <v>4</v>
      </c>
      <c r="K208" s="2" t="n">
        <v>2</v>
      </c>
      <c r="L208" s="2" t="n">
        <v>1</v>
      </c>
      <c r="M208" s="2" t="n">
        <v>2</v>
      </c>
      <c r="N208" s="2" t="n">
        <v>0</v>
      </c>
      <c r="O208" s="2" t="n">
        <v>1</v>
      </c>
      <c r="P208" s="2" t="n">
        <v>1</v>
      </c>
      <c r="Q208" s="2" t="n">
        <v>0</v>
      </c>
      <c r="R208" s="2" t="n">
        <v>0</v>
      </c>
      <c r="S208" t="n">
        <v>2</v>
      </c>
      <c r="T208" t="n">
        <v>0</v>
      </c>
      <c r="U208" t="n">
        <v>1</v>
      </c>
      <c r="V208" t="n">
        <v>0</v>
      </c>
      <c r="W208" t="n">
        <v>2</v>
      </c>
      <c r="X208" t="n">
        <v>-1</v>
      </c>
      <c r="Y208" t="n">
        <v>1</v>
      </c>
      <c r="Z208" t="n">
        <v>0</v>
      </c>
      <c r="AA208" t="n">
        <v>0</v>
      </c>
      <c r="AB208" t="n">
        <v>276</v>
      </c>
      <c r="AC208" t="inlineStr">
        <is>
          <t>Hello World!</t>
        </is>
      </c>
    </row>
    <row r="209" ht="16" customHeight="1">
      <c r="A209" s="1" t="inlineStr">
        <is>
          <t>35.Red 1</t>
        </is>
      </c>
      <c r="B209" s="2" t="inlineStr">
        <is>
          <t>Andrew Crawford</t>
        </is>
      </c>
      <c r="C209" s="2" t="n">
        <v>35</v>
      </c>
      <c r="D209" s="2" t="inlineStr">
        <is>
          <t>r1</t>
        </is>
      </c>
      <c r="E209" s="2" t="n">
        <v>48</v>
      </c>
      <c r="F209" s="2" t="n">
        <v>1</v>
      </c>
      <c r="G209" s="2" t="n">
        <v>1</v>
      </c>
      <c r="H209" s="2" t="n">
        <v>1</v>
      </c>
      <c r="I209" s="2" t="n">
        <v>-1</v>
      </c>
      <c r="J209" s="2" t="n">
        <v>5</v>
      </c>
      <c r="K209" s="2" t="n">
        <v>3</v>
      </c>
      <c r="L209" s="2" t="n">
        <v>3</v>
      </c>
      <c r="M209" s="2" t="n">
        <v>2</v>
      </c>
      <c r="N209" s="2" t="n">
        <v>1</v>
      </c>
      <c r="O209" s="2" t="n">
        <v>0</v>
      </c>
      <c r="P209" s="2" t="n">
        <v>0</v>
      </c>
      <c r="Q209" s="2" t="n">
        <v>1</v>
      </c>
      <c r="R209" s="2" t="n">
        <v>1</v>
      </c>
      <c r="S209" t="n">
        <v>2</v>
      </c>
      <c r="T209" t="n">
        <v>0</v>
      </c>
      <c r="U209" t="n">
        <v>0</v>
      </c>
      <c r="V209" t="n">
        <v>1</v>
      </c>
      <c r="W209" t="n">
        <v>3</v>
      </c>
      <c r="X209" t="n">
        <v>1</v>
      </c>
      <c r="Y209" t="n">
        <v>1</v>
      </c>
      <c r="Z209" t="n">
        <v>0</v>
      </c>
      <c r="AA209" t="n">
        <v>1</v>
      </c>
      <c r="AB209" t="n">
        <v>120</v>
      </c>
      <c r="AC209" t="inlineStr">
        <is>
          <t>Hello World!</t>
        </is>
      </c>
    </row>
    <row r="210" ht="16" customHeight="1">
      <c r="A210" s="1" t="inlineStr">
        <is>
          <t>35.Red 2</t>
        </is>
      </c>
      <c r="B210" s="2" t="inlineStr">
        <is>
          <t>Domenic Giammusso</t>
        </is>
      </c>
      <c r="C210" s="2" t="n">
        <v>35</v>
      </c>
      <c r="D210" s="2" t="inlineStr">
        <is>
          <t>r2</t>
        </is>
      </c>
      <c r="E210" s="2" t="n">
        <v>378</v>
      </c>
      <c r="F210" s="2" t="n">
        <v>0</v>
      </c>
      <c r="G210" s="2" t="n">
        <v>1</v>
      </c>
      <c r="H210" s="2" t="n">
        <v>0</v>
      </c>
      <c r="I210" s="2" t="n">
        <v>-1</v>
      </c>
      <c r="J210" s="2" t="n">
        <v>2</v>
      </c>
      <c r="K210" s="2" t="n">
        <v>2</v>
      </c>
      <c r="L210" s="2" t="n">
        <v>1</v>
      </c>
      <c r="M210" s="2" t="n">
        <v>2</v>
      </c>
      <c r="N210" s="2" t="n">
        <v>0</v>
      </c>
      <c r="O210" s="2" t="n">
        <v>1</v>
      </c>
      <c r="P210" s="2" t="n">
        <v>1</v>
      </c>
      <c r="Q210" s="2" t="n">
        <v>0</v>
      </c>
      <c r="R210" s="2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5</v>
      </c>
      <c r="X210" t="n">
        <v>-1</v>
      </c>
      <c r="Y210" t="n">
        <v>1</v>
      </c>
      <c r="Z210" t="n">
        <v>0</v>
      </c>
      <c r="AA210" t="n">
        <v>1</v>
      </c>
      <c r="AB210" t="n">
        <v>112</v>
      </c>
      <c r="AC210" t="inlineStr">
        <is>
          <t>Hello World!</t>
        </is>
      </c>
    </row>
    <row r="211" ht="16" customHeight="1">
      <c r="A211" s="1" t="inlineStr">
        <is>
          <t>35.Red 3</t>
        </is>
      </c>
      <c r="B211" s="2" t="inlineStr">
        <is>
          <t>Jonah WoikaKai Wilbur</t>
        </is>
      </c>
      <c r="C211" s="2" t="n">
        <v>35</v>
      </c>
      <c r="D211" s="2" t="inlineStr">
        <is>
          <t>r3</t>
        </is>
      </c>
      <c r="E211" s="2" t="n">
        <v>1591</v>
      </c>
      <c r="F211" s="2" t="n">
        <v>1</v>
      </c>
      <c r="G211" s="2" t="n">
        <v>1</v>
      </c>
      <c r="H211" s="2" t="n">
        <v>1</v>
      </c>
      <c r="I211" s="2" t="n">
        <v>1</v>
      </c>
      <c r="J211" s="2" t="n">
        <v>2</v>
      </c>
      <c r="K211" s="2" t="n">
        <v>3</v>
      </c>
      <c r="L211" s="2" t="n">
        <v>3</v>
      </c>
      <c r="M211" s="2" t="n">
        <v>4</v>
      </c>
      <c r="N211" s="2" t="n">
        <v>0</v>
      </c>
      <c r="O211" s="2" t="n">
        <v>0</v>
      </c>
      <c r="P211" s="2" t="n">
        <v>1</v>
      </c>
      <c r="Q211" s="2" t="n">
        <v>1</v>
      </c>
      <c r="R211" s="2" t="n">
        <v>1</v>
      </c>
      <c r="S211" t="n">
        <v>3</v>
      </c>
      <c r="T211" t="n">
        <v>0</v>
      </c>
      <c r="U211" t="n">
        <v>1</v>
      </c>
      <c r="V211" t="n">
        <v>1</v>
      </c>
      <c r="W211" t="n">
        <v>3</v>
      </c>
      <c r="X211" t="n">
        <v>0</v>
      </c>
      <c r="Y211" t="n">
        <v>1</v>
      </c>
      <c r="Z211" t="n">
        <v>0</v>
      </c>
      <c r="AA211" t="n">
        <v>1</v>
      </c>
      <c r="AB211" t="n">
        <v>135</v>
      </c>
      <c r="AC211" t="inlineStr">
        <is>
          <t>Hello World!</t>
        </is>
      </c>
    </row>
    <row r="212" ht="16" customHeight="1">
      <c r="A212" s="1" t="inlineStr">
        <is>
          <t>36.Blue 1</t>
        </is>
      </c>
      <c r="B212" s="2" t="inlineStr">
        <is>
          <t>Matthew Mazzota</t>
        </is>
      </c>
      <c r="C212" s="2" t="n">
        <v>36</v>
      </c>
      <c r="D212" s="2" t="inlineStr">
        <is>
          <t>b1</t>
        </is>
      </c>
      <c r="E212" s="2" t="n">
        <v>340</v>
      </c>
      <c r="F212" s="2" t="n">
        <v>0</v>
      </c>
      <c r="G212" s="2" t="n">
        <v>0</v>
      </c>
      <c r="H212" s="2" t="n">
        <v>0</v>
      </c>
      <c r="I212" s="2" t="n">
        <v>1</v>
      </c>
      <c r="J212" s="2" t="n">
        <v>2</v>
      </c>
      <c r="K212" s="2" t="n">
        <v>1</v>
      </c>
      <c r="L212" s="2" t="n">
        <v>1</v>
      </c>
      <c r="M212" s="2" t="n">
        <v>4</v>
      </c>
      <c r="N212" s="2" t="n">
        <v>1</v>
      </c>
      <c r="O212" s="2" t="n">
        <v>0</v>
      </c>
      <c r="P212" s="2" t="n">
        <v>1</v>
      </c>
      <c r="Q212" s="2" t="n">
        <v>1</v>
      </c>
      <c r="R212" s="2" t="n">
        <v>1</v>
      </c>
      <c r="S212" t="n">
        <v>2</v>
      </c>
      <c r="T212" t="n">
        <v>1</v>
      </c>
      <c r="U212" t="n">
        <v>0</v>
      </c>
      <c r="V212" t="n">
        <v>0</v>
      </c>
      <c r="W212" t="n">
        <v>5</v>
      </c>
      <c r="X212" t="n">
        <v>-1</v>
      </c>
      <c r="Y212" t="n">
        <v>1</v>
      </c>
      <c r="Z212" t="n">
        <v>1</v>
      </c>
      <c r="AA212" t="n">
        <v>0</v>
      </c>
      <c r="AB212" t="n">
        <v>295</v>
      </c>
      <c r="AC212" t="inlineStr">
        <is>
          <t>Hello World!</t>
        </is>
      </c>
    </row>
    <row r="213" ht="16" customHeight="1">
      <c r="A213" s="1" t="inlineStr">
        <is>
          <t>36.Blue 2</t>
        </is>
      </c>
      <c r="B213" s="2" t="inlineStr">
        <is>
          <t>Eli Harrison</t>
        </is>
      </c>
      <c r="C213" s="2" t="n">
        <v>36</v>
      </c>
      <c r="D213" s="2" t="inlineStr">
        <is>
          <t>b2</t>
        </is>
      </c>
      <c r="E213" s="2" t="n">
        <v>3173</v>
      </c>
      <c r="F213" s="2" t="n">
        <v>0</v>
      </c>
      <c r="G213" s="2" t="n">
        <v>0</v>
      </c>
      <c r="H213" s="2" t="n">
        <v>1</v>
      </c>
      <c r="I213" s="2" t="n">
        <v>-1</v>
      </c>
      <c r="J213" s="2" t="n">
        <v>1</v>
      </c>
      <c r="K213" s="2" t="n">
        <v>1</v>
      </c>
      <c r="L213" s="2" t="n">
        <v>1</v>
      </c>
      <c r="M213" s="2" t="n">
        <v>2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3</v>
      </c>
      <c r="X213" t="n">
        <v>0</v>
      </c>
      <c r="Y213" t="n">
        <v>0</v>
      </c>
      <c r="Z213" t="n">
        <v>1</v>
      </c>
      <c r="AA213" t="n">
        <v>1</v>
      </c>
      <c r="AB213" t="n">
        <v>168</v>
      </c>
      <c r="AC213" t="inlineStr">
        <is>
          <t>Hello World!</t>
        </is>
      </c>
    </row>
    <row r="214" ht="16" customHeight="1">
      <c r="A214" s="1" t="inlineStr">
        <is>
          <t>36.Blue 3</t>
        </is>
      </c>
      <c r="B214" s="2" t="inlineStr">
        <is>
          <t>Eli Harrison</t>
        </is>
      </c>
      <c r="C214" s="2" t="n">
        <v>36</v>
      </c>
      <c r="D214" s="2" t="inlineStr">
        <is>
          <t>b3</t>
        </is>
      </c>
      <c r="E214" s="2" t="n">
        <v>3799</v>
      </c>
      <c r="F214" s="2" t="n">
        <v>1</v>
      </c>
      <c r="G214" s="2" t="n">
        <v>1</v>
      </c>
      <c r="H214" s="2" t="n">
        <v>0</v>
      </c>
      <c r="I214" s="2" t="n">
        <v>1</v>
      </c>
      <c r="J214" s="2" t="n">
        <v>5</v>
      </c>
      <c r="K214" s="2" t="n">
        <v>2</v>
      </c>
      <c r="L214" s="2" t="n">
        <v>2</v>
      </c>
      <c r="M214" s="2" t="n">
        <v>2</v>
      </c>
      <c r="N214" s="2" t="n">
        <v>1</v>
      </c>
      <c r="O214" s="2" t="n">
        <v>0</v>
      </c>
      <c r="P214" s="2" t="n">
        <v>0</v>
      </c>
      <c r="Q214" s="2" t="n">
        <v>1</v>
      </c>
      <c r="R214" s="2" t="n">
        <v>0</v>
      </c>
      <c r="S214" t="n">
        <v>3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n">
        <v>226</v>
      </c>
      <c r="AC214" t="inlineStr">
        <is>
          <t>Hello World!</t>
        </is>
      </c>
    </row>
    <row r="215" ht="16" customHeight="1">
      <c r="A215" s="1" t="inlineStr">
        <is>
          <t>36.Red 1</t>
        </is>
      </c>
      <c r="B215" s="2" t="inlineStr">
        <is>
          <t>Andrew Crawford</t>
        </is>
      </c>
      <c r="C215" s="2" t="n">
        <v>36</v>
      </c>
      <c r="D215" s="2" t="inlineStr">
        <is>
          <t>r1</t>
        </is>
      </c>
      <c r="E215" s="2" t="n">
        <v>1507</v>
      </c>
      <c r="F215" s="2" t="n">
        <v>1</v>
      </c>
      <c r="G215" s="2" t="n">
        <v>1</v>
      </c>
      <c r="H215" s="2" t="n">
        <v>0</v>
      </c>
      <c r="I215" s="2" t="n">
        <v>0</v>
      </c>
      <c r="J215" s="2" t="n">
        <v>2</v>
      </c>
      <c r="K215" s="2" t="n">
        <v>1</v>
      </c>
      <c r="L215" s="2" t="n">
        <v>2</v>
      </c>
      <c r="M215" s="2" t="n">
        <v>3</v>
      </c>
      <c r="N215" s="2" t="n">
        <v>1</v>
      </c>
      <c r="O215" s="2" t="n">
        <v>1</v>
      </c>
      <c r="P215" s="2" t="n">
        <v>0</v>
      </c>
      <c r="Q215" s="2" t="n">
        <v>1</v>
      </c>
      <c r="R215" s="2" t="n">
        <v>0</v>
      </c>
      <c r="S215" t="n">
        <v>3</v>
      </c>
      <c r="T215" t="n">
        <v>0</v>
      </c>
      <c r="U215" t="n">
        <v>1</v>
      </c>
      <c r="V215" t="n">
        <v>0</v>
      </c>
      <c r="W215" t="n">
        <v>4</v>
      </c>
      <c r="X215" t="n">
        <v>1</v>
      </c>
      <c r="Y215" t="n">
        <v>0</v>
      </c>
      <c r="Z215" t="n">
        <v>0</v>
      </c>
      <c r="AA215" t="n">
        <v>0</v>
      </c>
      <c r="AB215" t="n">
        <v>56</v>
      </c>
      <c r="AC215" t="inlineStr">
        <is>
          <t>Hello World!</t>
        </is>
      </c>
    </row>
    <row r="216" ht="16" customHeight="1">
      <c r="A216" s="1" t="inlineStr">
        <is>
          <t>36.Red 2</t>
        </is>
      </c>
      <c r="B216" s="2" t="inlineStr">
        <is>
          <t>Eli Harrison</t>
        </is>
      </c>
      <c r="C216" s="2" t="n">
        <v>36</v>
      </c>
      <c r="D216" s="2" t="inlineStr">
        <is>
          <t>r2</t>
        </is>
      </c>
      <c r="E216" s="2" t="n">
        <v>353</v>
      </c>
      <c r="F216" s="2" t="n">
        <v>1</v>
      </c>
      <c r="G216" s="2" t="n">
        <v>0</v>
      </c>
      <c r="H216" s="2" t="n">
        <v>0</v>
      </c>
      <c r="I216" s="2" t="n">
        <v>0</v>
      </c>
      <c r="J216" s="2" t="n">
        <v>5</v>
      </c>
      <c r="K216" s="2" t="n">
        <v>1</v>
      </c>
      <c r="L216" s="2" t="n">
        <v>2</v>
      </c>
      <c r="M216" s="2" t="n">
        <v>1</v>
      </c>
      <c r="N216" s="2" t="n">
        <v>0</v>
      </c>
      <c r="O216" s="2" t="n">
        <v>1</v>
      </c>
      <c r="P216" s="2" t="n">
        <v>0</v>
      </c>
      <c r="Q216" s="2" t="n">
        <v>1</v>
      </c>
      <c r="R216" s="2" t="n">
        <v>0</v>
      </c>
      <c r="S216" t="n">
        <v>3</v>
      </c>
      <c r="T216" t="n">
        <v>0</v>
      </c>
      <c r="U216" t="n">
        <v>1</v>
      </c>
      <c r="V216" t="n">
        <v>0</v>
      </c>
      <c r="W216" t="n">
        <v>3</v>
      </c>
      <c r="X216" t="n">
        <v>1</v>
      </c>
      <c r="Y216" t="n">
        <v>1</v>
      </c>
      <c r="Z216" t="n">
        <v>1</v>
      </c>
      <c r="AA216" t="n">
        <v>1</v>
      </c>
      <c r="AB216" t="n">
        <v>22</v>
      </c>
      <c r="AC216" t="inlineStr">
        <is>
          <t>Hello World!</t>
        </is>
      </c>
    </row>
    <row r="217" ht="16" customHeight="1">
      <c r="A217" s="1" t="inlineStr">
        <is>
          <t>36.Red 3</t>
        </is>
      </c>
      <c r="B217" s="2" t="inlineStr">
        <is>
          <t>Andrew Crawford</t>
        </is>
      </c>
      <c r="C217" s="2" t="n">
        <v>36</v>
      </c>
      <c r="D217" s="2" t="inlineStr">
        <is>
          <t>r3</t>
        </is>
      </c>
      <c r="E217" s="2" t="n">
        <v>5528</v>
      </c>
      <c r="F217" s="2" t="n">
        <v>1</v>
      </c>
      <c r="G217" s="2" t="n">
        <v>0</v>
      </c>
      <c r="H217" s="2" t="n">
        <v>0</v>
      </c>
      <c r="I217" s="2" t="n">
        <v>0</v>
      </c>
      <c r="J217" s="2" t="n">
        <v>3</v>
      </c>
      <c r="K217" s="2" t="n">
        <v>3</v>
      </c>
      <c r="L217" s="2" t="n">
        <v>2</v>
      </c>
      <c r="M217" s="2" t="n">
        <v>5</v>
      </c>
      <c r="N217" s="2" t="n">
        <v>1</v>
      </c>
      <c r="O217" s="2" t="n">
        <v>1</v>
      </c>
      <c r="P217" s="2" t="n">
        <v>1</v>
      </c>
      <c r="Q217" s="2" t="n">
        <v>1</v>
      </c>
      <c r="R217" s="2" t="n">
        <v>1</v>
      </c>
      <c r="S217" t="n">
        <v>3</v>
      </c>
      <c r="T217" t="n">
        <v>1</v>
      </c>
      <c r="U217" t="n">
        <v>1</v>
      </c>
      <c r="V217" t="n">
        <v>1</v>
      </c>
      <c r="W217" t="n">
        <v>2</v>
      </c>
      <c r="X217" t="n">
        <v>-1</v>
      </c>
      <c r="Y217" t="n">
        <v>0</v>
      </c>
      <c r="Z217" t="n">
        <v>0</v>
      </c>
      <c r="AA217" t="n">
        <v>0</v>
      </c>
      <c r="AB217" t="n">
        <v>93</v>
      </c>
      <c r="AC217" t="inlineStr">
        <is>
          <t>Hello World!</t>
        </is>
      </c>
    </row>
    <row r="218" ht="16" customHeight="1">
      <c r="A218" s="1" t="inlineStr">
        <is>
          <t>37.Blue 1</t>
        </is>
      </c>
      <c r="B218" s="2" t="inlineStr">
        <is>
          <t xml:space="preserve">Tetra Ukav </t>
        </is>
      </c>
      <c r="C218" s="2" t="n">
        <v>37</v>
      </c>
      <c r="D218" s="2" t="inlineStr">
        <is>
          <t>b1</t>
        </is>
      </c>
      <c r="E218" s="2" t="n">
        <v>6868</v>
      </c>
      <c r="F218" s="2" t="n">
        <v>0</v>
      </c>
      <c r="G218" s="2" t="n">
        <v>0</v>
      </c>
      <c r="H218" s="2" t="n">
        <v>0</v>
      </c>
      <c r="I218" s="2" t="n">
        <v>-1</v>
      </c>
      <c r="J218" s="2" t="n">
        <v>2</v>
      </c>
      <c r="K218" s="2" t="n">
        <v>3</v>
      </c>
      <c r="L218" s="2" t="n">
        <v>1</v>
      </c>
      <c r="M218" s="2" t="n">
        <v>1</v>
      </c>
      <c r="N218" s="2" t="n">
        <v>0</v>
      </c>
      <c r="O218" s="2" t="n">
        <v>1</v>
      </c>
      <c r="P218" s="2" t="n">
        <v>0</v>
      </c>
      <c r="Q218" s="2" t="n">
        <v>1</v>
      </c>
      <c r="R218" s="2" t="n">
        <v>0</v>
      </c>
      <c r="S218" t="n">
        <v>-1</v>
      </c>
      <c r="T218" t="n">
        <v>0</v>
      </c>
      <c r="U218" t="n">
        <v>0</v>
      </c>
      <c r="V218" t="n">
        <v>0</v>
      </c>
      <c r="W218" t="n">
        <v>3</v>
      </c>
      <c r="X218" t="n">
        <v>1</v>
      </c>
      <c r="Y218" t="n">
        <v>1</v>
      </c>
      <c r="Z218" t="n">
        <v>0</v>
      </c>
      <c r="AA218" t="n">
        <v>1</v>
      </c>
      <c r="AB218" t="n">
        <v>11</v>
      </c>
      <c r="AC218" t="inlineStr">
        <is>
          <t>Hello World!</t>
        </is>
      </c>
    </row>
    <row r="219" ht="16" customHeight="1">
      <c r="A219" s="1" t="inlineStr">
        <is>
          <t>37.Blue 2</t>
        </is>
      </c>
      <c r="B219" s="2" t="inlineStr">
        <is>
          <t>Nathan DeVito</t>
        </is>
      </c>
      <c r="C219" s="2" t="n">
        <v>37</v>
      </c>
      <c r="D219" s="2" t="inlineStr">
        <is>
          <t>b2</t>
        </is>
      </c>
      <c r="E219" s="2" t="n">
        <v>4930</v>
      </c>
      <c r="F219" s="2" t="n">
        <v>0</v>
      </c>
      <c r="G219" s="2" t="n">
        <v>1</v>
      </c>
      <c r="H219" s="2" t="n">
        <v>1</v>
      </c>
      <c r="I219" s="2" t="n">
        <v>-1</v>
      </c>
      <c r="J219" s="2" t="n">
        <v>3</v>
      </c>
      <c r="K219" s="2" t="n">
        <v>3</v>
      </c>
      <c r="L219" s="2" t="n">
        <v>1</v>
      </c>
      <c r="M219" s="2" t="n">
        <v>1</v>
      </c>
      <c r="N219" s="2" t="n">
        <v>0</v>
      </c>
      <c r="O219" s="2" t="n">
        <v>1</v>
      </c>
      <c r="P219" s="2" t="n">
        <v>1</v>
      </c>
      <c r="Q219" s="2" t="n">
        <v>1</v>
      </c>
      <c r="R219" s="2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14</v>
      </c>
      <c r="AC219" t="inlineStr">
        <is>
          <t>Hello World!</t>
        </is>
      </c>
    </row>
    <row r="220" ht="16" customHeight="1">
      <c r="A220" s="1" t="inlineStr">
        <is>
          <t>37.Blue 3</t>
        </is>
      </c>
      <c r="B220" s="2" t="inlineStr">
        <is>
          <t xml:space="preserve">Tetra Ukav </t>
        </is>
      </c>
      <c r="C220" s="2" t="n">
        <v>37</v>
      </c>
      <c r="D220" s="2" t="inlineStr">
        <is>
          <t>b3</t>
        </is>
      </c>
      <c r="E220" s="2" t="n">
        <v>4093</v>
      </c>
      <c r="F220" s="2" t="n">
        <v>1</v>
      </c>
      <c r="G220" s="2" t="n">
        <v>0</v>
      </c>
      <c r="H220" s="2" t="n">
        <v>1</v>
      </c>
      <c r="I220" s="2" t="n">
        <v>-1</v>
      </c>
      <c r="J220" s="2" t="n">
        <v>3</v>
      </c>
      <c r="K220" s="2" t="n">
        <v>3</v>
      </c>
      <c r="L220" s="2" t="n">
        <v>1</v>
      </c>
      <c r="M220" s="2" t="n">
        <v>1</v>
      </c>
      <c r="N220" s="2" t="n">
        <v>0</v>
      </c>
      <c r="O220" s="2" t="n">
        <v>0</v>
      </c>
      <c r="P220" s="2" t="n">
        <v>1</v>
      </c>
      <c r="Q220" s="2" t="n">
        <v>1</v>
      </c>
      <c r="R220" s="2" t="n">
        <v>1</v>
      </c>
      <c r="S220" t="n">
        <v>2</v>
      </c>
      <c r="T220" t="n">
        <v>0</v>
      </c>
      <c r="U220" t="n">
        <v>1</v>
      </c>
      <c r="V220" t="n">
        <v>0</v>
      </c>
      <c r="W220" t="n">
        <v>2</v>
      </c>
      <c r="X220" t="n">
        <v>1</v>
      </c>
      <c r="Y220" t="n">
        <v>0</v>
      </c>
      <c r="Z220" t="n">
        <v>0</v>
      </c>
      <c r="AA220" t="n">
        <v>1</v>
      </c>
      <c r="AB220" t="n">
        <v>156</v>
      </c>
      <c r="AC220" t="inlineStr">
        <is>
          <t>Hello World!</t>
        </is>
      </c>
    </row>
    <row r="221" ht="16" customHeight="1">
      <c r="A221" s="1" t="inlineStr">
        <is>
          <t>37.Red 1</t>
        </is>
      </c>
      <c r="B221" s="2" t="inlineStr">
        <is>
          <t>Nicholas Munier</t>
        </is>
      </c>
      <c r="C221" s="2" t="n">
        <v>37</v>
      </c>
      <c r="D221" s="2" t="inlineStr">
        <is>
          <t>r1</t>
        </is>
      </c>
      <c r="E221" s="2" t="n">
        <v>432</v>
      </c>
      <c r="F221" s="2" t="n">
        <v>0</v>
      </c>
      <c r="G221" s="2" t="n">
        <v>1</v>
      </c>
      <c r="H221" s="2" t="n">
        <v>0</v>
      </c>
      <c r="I221" s="2" t="n">
        <v>0</v>
      </c>
      <c r="J221" s="2" t="n">
        <v>5</v>
      </c>
      <c r="K221" s="2" t="n">
        <v>1</v>
      </c>
      <c r="L221" s="2" t="n">
        <v>1</v>
      </c>
      <c r="M221" s="2" t="n">
        <v>2</v>
      </c>
      <c r="N221" s="2" t="n">
        <v>0</v>
      </c>
      <c r="O221" s="2" t="n">
        <v>1</v>
      </c>
      <c r="P221" s="2" t="n">
        <v>0</v>
      </c>
      <c r="Q221" s="2" t="n">
        <v>1</v>
      </c>
      <c r="R221" s="2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-1</v>
      </c>
      <c r="Y221" t="n">
        <v>0</v>
      </c>
      <c r="Z221" t="n">
        <v>0</v>
      </c>
      <c r="AA221" t="n">
        <v>0</v>
      </c>
      <c r="AB221" t="n">
        <v>4</v>
      </c>
      <c r="AC221" t="inlineStr">
        <is>
          <t>Hello World!</t>
        </is>
      </c>
    </row>
    <row r="222" ht="16" customHeight="1">
      <c r="A222" s="1" t="inlineStr">
        <is>
          <t>37.Red 2</t>
        </is>
      </c>
      <c r="B222" s="2" t="inlineStr">
        <is>
          <t>Autumn Schoenfeld</t>
        </is>
      </c>
      <c r="C222" s="2" t="n">
        <v>37</v>
      </c>
      <c r="D222" s="2" t="inlineStr">
        <is>
          <t>r2</t>
        </is>
      </c>
      <c r="E222" s="2" t="n">
        <v>7030</v>
      </c>
      <c r="F222" s="2" t="n">
        <v>1</v>
      </c>
      <c r="G222" s="2" t="n">
        <v>1</v>
      </c>
      <c r="H222" s="2" t="n">
        <v>1</v>
      </c>
      <c r="I222" s="2" t="n">
        <v>0</v>
      </c>
      <c r="J222" s="2" t="n">
        <v>4</v>
      </c>
      <c r="K222" s="2" t="n">
        <v>2</v>
      </c>
      <c r="L222" s="2" t="n">
        <v>2</v>
      </c>
      <c r="M222" s="2" t="n">
        <v>3</v>
      </c>
      <c r="N222" s="2" t="n">
        <v>1</v>
      </c>
      <c r="O222" s="2" t="n">
        <v>0</v>
      </c>
      <c r="P222" s="2" t="n">
        <v>1</v>
      </c>
      <c r="Q222" s="2" t="n">
        <v>1</v>
      </c>
      <c r="R222" s="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n">
        <v>187</v>
      </c>
      <c r="AC222" t="inlineStr">
        <is>
          <t>Hello World!</t>
        </is>
      </c>
    </row>
    <row r="223" ht="16" customHeight="1">
      <c r="A223" s="1" t="inlineStr">
        <is>
          <t>37.Red 3</t>
        </is>
      </c>
      <c r="B223" s="2" t="inlineStr">
        <is>
          <t>Connor Rapp</t>
        </is>
      </c>
      <c r="C223" s="2" t="n">
        <v>37</v>
      </c>
      <c r="D223" s="2" t="inlineStr">
        <is>
          <t>r3</t>
        </is>
      </c>
      <c r="E223" s="2" t="n">
        <v>325</v>
      </c>
      <c r="F223" s="2" t="n">
        <v>0</v>
      </c>
      <c r="G223" s="2" t="n">
        <v>0</v>
      </c>
      <c r="H223" s="2" t="n">
        <v>1</v>
      </c>
      <c r="I223" s="2" t="n">
        <v>1</v>
      </c>
      <c r="J223" s="2" t="n">
        <v>3</v>
      </c>
      <c r="K223" s="2" t="n">
        <v>3</v>
      </c>
      <c r="L223" s="2" t="n">
        <v>3</v>
      </c>
      <c r="M223" s="2" t="n">
        <v>4</v>
      </c>
      <c r="N223" s="2" t="n">
        <v>1</v>
      </c>
      <c r="O223" s="2" t="n">
        <v>0</v>
      </c>
      <c r="P223" s="2" t="n">
        <v>0</v>
      </c>
      <c r="Q223" s="2" t="n">
        <v>0</v>
      </c>
      <c r="R223" s="2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2</v>
      </c>
      <c r="X223" t="n">
        <v>0</v>
      </c>
      <c r="Y223" t="n">
        <v>1</v>
      </c>
      <c r="Z223" t="n">
        <v>0</v>
      </c>
      <c r="AA223" t="n">
        <v>0</v>
      </c>
      <c r="AB223" t="n">
        <v>214</v>
      </c>
      <c r="AC223" t="inlineStr">
        <is>
          <t>Hello World!</t>
        </is>
      </c>
    </row>
    <row r="224" ht="16" customHeight="1">
      <c r="A224" s="1" t="inlineStr">
        <is>
          <t>38.Blue 1</t>
        </is>
      </c>
      <c r="B224" s="2" t="inlineStr">
        <is>
          <t>Caitlin Munier</t>
        </is>
      </c>
      <c r="C224" s="2" t="n">
        <v>38</v>
      </c>
      <c r="D224" s="2" t="inlineStr">
        <is>
          <t>b1</t>
        </is>
      </c>
      <c r="E224" s="2" t="n">
        <v>3015</v>
      </c>
      <c r="F224" s="2" t="n">
        <v>0</v>
      </c>
      <c r="G224" s="2" t="n">
        <v>1</v>
      </c>
      <c r="H224" s="2" t="n">
        <v>1</v>
      </c>
      <c r="I224" s="2" t="n">
        <v>-1</v>
      </c>
      <c r="J224" s="2" t="n">
        <v>2</v>
      </c>
      <c r="K224" s="2" t="n">
        <v>2</v>
      </c>
      <c r="L224" s="2" t="n">
        <v>3</v>
      </c>
      <c r="M224" s="2" t="n">
        <v>2</v>
      </c>
      <c r="N224" s="2" t="n">
        <v>0</v>
      </c>
      <c r="O224" s="2" t="n">
        <v>0</v>
      </c>
      <c r="P224" s="2" t="n">
        <v>0</v>
      </c>
      <c r="Q224" s="2" t="n">
        <v>1</v>
      </c>
      <c r="R224" s="2" t="n">
        <v>0</v>
      </c>
      <c r="S224" t="n">
        <v>-1</v>
      </c>
      <c r="T224" t="n">
        <v>0</v>
      </c>
      <c r="U224" t="n">
        <v>0</v>
      </c>
      <c r="V224" t="n">
        <v>0</v>
      </c>
      <c r="W224" t="n">
        <v>5</v>
      </c>
      <c r="X224" t="n">
        <v>1</v>
      </c>
      <c r="Y224" t="n">
        <v>1</v>
      </c>
      <c r="Z224" t="n">
        <v>0</v>
      </c>
      <c r="AA224" t="n">
        <v>0</v>
      </c>
      <c r="AB224" t="n">
        <v>258</v>
      </c>
      <c r="AC224" t="inlineStr">
        <is>
          <t>Hello World!</t>
        </is>
      </c>
    </row>
    <row r="225" ht="16" customHeight="1">
      <c r="A225" s="1" t="inlineStr">
        <is>
          <t>38.Blue 2</t>
        </is>
      </c>
      <c r="B225" s="2" t="inlineStr">
        <is>
          <t>Madison DeCicca</t>
        </is>
      </c>
      <c r="C225" s="2" t="n">
        <v>38</v>
      </c>
      <c r="D225" s="2" t="inlineStr">
        <is>
          <t>b2</t>
        </is>
      </c>
      <c r="E225" s="2" t="n">
        <v>1559</v>
      </c>
      <c r="F225" s="2" t="n">
        <v>1</v>
      </c>
      <c r="G225" s="2" t="n">
        <v>0</v>
      </c>
      <c r="H225" s="2" t="n">
        <v>1</v>
      </c>
      <c r="I225" s="2" t="n">
        <v>-1</v>
      </c>
      <c r="J225" s="2" t="n">
        <v>5</v>
      </c>
      <c r="K225" s="2" t="n">
        <v>1</v>
      </c>
      <c r="L225" s="2" t="n">
        <v>1</v>
      </c>
      <c r="M225" s="2" t="n">
        <v>3</v>
      </c>
      <c r="N225" s="2" t="n">
        <v>1</v>
      </c>
      <c r="O225" s="2" t="n">
        <v>0</v>
      </c>
      <c r="P225" s="2" t="n">
        <v>0</v>
      </c>
      <c r="Q225" s="2" t="n">
        <v>0</v>
      </c>
      <c r="R225" s="2" t="n">
        <v>1</v>
      </c>
      <c r="S225" t="n">
        <v>3</v>
      </c>
      <c r="T225" t="n">
        <v>0</v>
      </c>
      <c r="U225" t="n">
        <v>1</v>
      </c>
      <c r="V225" t="n">
        <v>0</v>
      </c>
      <c r="W225" t="n">
        <v>3</v>
      </c>
      <c r="X225" t="n">
        <v>0</v>
      </c>
      <c r="Y225" t="n">
        <v>1</v>
      </c>
      <c r="Z225" t="n">
        <v>0</v>
      </c>
      <c r="AA225" t="n">
        <v>0</v>
      </c>
      <c r="AB225" t="n">
        <v>209</v>
      </c>
      <c r="AC225" t="inlineStr">
        <is>
          <t>Hello World!</t>
        </is>
      </c>
    </row>
    <row r="226" ht="16" customHeight="1">
      <c r="A226" s="1" t="inlineStr">
        <is>
          <t>38.Blue 3</t>
        </is>
      </c>
      <c r="B226" s="2" t="inlineStr">
        <is>
          <t>Runa Hunt</t>
        </is>
      </c>
      <c r="C226" s="2" t="n">
        <v>38</v>
      </c>
      <c r="D226" s="2" t="inlineStr">
        <is>
          <t>b3</t>
        </is>
      </c>
      <c r="E226" s="2" t="n">
        <v>1787</v>
      </c>
      <c r="F226" s="2" t="n">
        <v>0</v>
      </c>
      <c r="G226" s="2" t="n">
        <v>0</v>
      </c>
      <c r="H226" s="2" t="n">
        <v>1</v>
      </c>
      <c r="I226" s="2" t="n">
        <v>-1</v>
      </c>
      <c r="J226" s="2" t="n">
        <v>4</v>
      </c>
      <c r="K226" s="2" t="n">
        <v>3</v>
      </c>
      <c r="L226" s="2" t="n">
        <v>2</v>
      </c>
      <c r="M226" s="2" t="n">
        <v>4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t="n">
        <v>-1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10</v>
      </c>
      <c r="AC226" t="inlineStr">
        <is>
          <t>Hello World!</t>
        </is>
      </c>
    </row>
    <row r="227" ht="16" customHeight="1">
      <c r="A227" s="1" t="inlineStr">
        <is>
          <t>38.Red 1</t>
        </is>
      </c>
      <c r="B227" s="2" t="inlineStr">
        <is>
          <t>Nicholas Munier</t>
        </is>
      </c>
      <c r="C227" s="2" t="n">
        <v>38</v>
      </c>
      <c r="D227" s="2" t="inlineStr">
        <is>
          <t>r1</t>
        </is>
      </c>
      <c r="E227" s="2" t="n">
        <v>10922</v>
      </c>
      <c r="F227" s="2" t="n">
        <v>0</v>
      </c>
      <c r="G227" s="2" t="n">
        <v>1</v>
      </c>
      <c r="H227" s="2" t="n">
        <v>1</v>
      </c>
      <c r="I227" s="2" t="n">
        <v>0</v>
      </c>
      <c r="J227" s="2" t="n">
        <v>1</v>
      </c>
      <c r="K227" s="2" t="n">
        <v>1</v>
      </c>
      <c r="L227" s="2" t="n">
        <v>3</v>
      </c>
      <c r="M227" s="2" t="n">
        <v>3</v>
      </c>
      <c r="N227" s="2" t="n">
        <v>1</v>
      </c>
      <c r="O227" s="2" t="n">
        <v>0</v>
      </c>
      <c r="P227" s="2" t="n">
        <v>1</v>
      </c>
      <c r="Q227" s="2" t="n">
        <v>1</v>
      </c>
      <c r="R227" s="2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5</v>
      </c>
      <c r="X227" t="n">
        <v>-1</v>
      </c>
      <c r="Y227" t="n">
        <v>0</v>
      </c>
      <c r="Z227" t="n">
        <v>0</v>
      </c>
      <c r="AA227" t="n">
        <v>1</v>
      </c>
      <c r="AB227" t="n">
        <v>50</v>
      </c>
      <c r="AC227" t="inlineStr">
        <is>
          <t>Hello World!</t>
        </is>
      </c>
    </row>
    <row r="228" ht="16" customHeight="1">
      <c r="A228" s="1" t="inlineStr">
        <is>
          <t>38.Red 2</t>
        </is>
      </c>
      <c r="B228" s="2" t="inlineStr">
        <is>
          <t>Madison DeCicca</t>
        </is>
      </c>
      <c r="C228" s="2" t="n">
        <v>38</v>
      </c>
      <c r="D228" s="2" t="inlineStr">
        <is>
          <t>r2</t>
        </is>
      </c>
      <c r="E228" s="2" t="n">
        <v>3951</v>
      </c>
      <c r="F228" s="2" t="n">
        <v>1</v>
      </c>
      <c r="G228" s="2" t="n">
        <v>1</v>
      </c>
      <c r="H228" s="2" t="n">
        <v>1</v>
      </c>
      <c r="I228" s="2" t="n">
        <v>-1</v>
      </c>
      <c r="J228" s="2" t="n">
        <v>3</v>
      </c>
      <c r="K228" s="2" t="n">
        <v>2</v>
      </c>
      <c r="L228" s="2" t="n">
        <v>2</v>
      </c>
      <c r="M228" s="2" t="n">
        <v>3</v>
      </c>
      <c r="N228" s="2" t="n">
        <v>0</v>
      </c>
      <c r="O228" s="2" t="n">
        <v>1</v>
      </c>
      <c r="P228" s="2" t="n">
        <v>1</v>
      </c>
      <c r="Q228" s="2" t="n">
        <v>1</v>
      </c>
      <c r="R228" s="2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2</v>
      </c>
      <c r="X228" t="n">
        <v>1</v>
      </c>
      <c r="Y228" t="n">
        <v>1</v>
      </c>
      <c r="Z228" t="n">
        <v>1</v>
      </c>
      <c r="AA228" t="n">
        <v>1</v>
      </c>
      <c r="AB228" t="n">
        <v>230</v>
      </c>
      <c r="AC228" t="inlineStr">
        <is>
          <t>Hello World!</t>
        </is>
      </c>
    </row>
    <row r="229" ht="16" customHeight="1">
      <c r="A229" s="1" t="inlineStr">
        <is>
          <t>38.Red 3</t>
        </is>
      </c>
      <c r="B229" s="2" t="inlineStr">
        <is>
          <t xml:space="preserve">Ruth Christensen </t>
        </is>
      </c>
      <c r="C229" s="2" t="n">
        <v>38</v>
      </c>
      <c r="D229" s="2" t="inlineStr">
        <is>
          <t>r3</t>
        </is>
      </c>
      <c r="E229" s="2" t="n">
        <v>1585</v>
      </c>
      <c r="F229" s="2" t="n">
        <v>0</v>
      </c>
      <c r="G229" s="2" t="n">
        <v>1</v>
      </c>
      <c r="H229" s="2" t="n">
        <v>1</v>
      </c>
      <c r="I229" s="2" t="n">
        <v>-1</v>
      </c>
      <c r="J229" s="2" t="n">
        <v>1</v>
      </c>
      <c r="K229" s="2" t="n">
        <v>1</v>
      </c>
      <c r="L229" s="2" t="n">
        <v>2</v>
      </c>
      <c r="M229" s="2" t="n">
        <v>4</v>
      </c>
      <c r="N229" s="2" t="n">
        <v>1</v>
      </c>
      <c r="O229" s="2" t="n">
        <v>1</v>
      </c>
      <c r="P229" s="2" t="n">
        <v>1</v>
      </c>
      <c r="Q229" s="2" t="n">
        <v>0</v>
      </c>
      <c r="R229" s="2" t="n">
        <v>0</v>
      </c>
      <c r="S229" t="n">
        <v>3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10</v>
      </c>
      <c r="AC229" t="inlineStr">
        <is>
          <t>Hello World!</t>
        </is>
      </c>
    </row>
    <row r="230" ht="16" customHeight="1">
      <c r="A230" s="1" t="inlineStr">
        <is>
          <t>39.Blue 1</t>
        </is>
      </c>
      <c r="B230" s="2" t="inlineStr">
        <is>
          <t>Connor Rapp</t>
        </is>
      </c>
      <c r="C230" s="2" t="n">
        <v>39</v>
      </c>
      <c r="D230" s="2" t="inlineStr">
        <is>
          <t>b1</t>
        </is>
      </c>
      <c r="E230" s="2" t="n">
        <v>578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3</v>
      </c>
      <c r="K230" s="2" t="n">
        <v>3</v>
      </c>
      <c r="L230" s="2" t="n">
        <v>1</v>
      </c>
      <c r="M230" s="2" t="n">
        <v>5</v>
      </c>
      <c r="N230" s="2" t="n">
        <v>1</v>
      </c>
      <c r="O230" s="2" t="n">
        <v>0</v>
      </c>
      <c r="P230" s="2" t="n">
        <v>0</v>
      </c>
      <c r="Q230" s="2" t="n">
        <v>0</v>
      </c>
      <c r="R230" s="2" t="n">
        <v>0</v>
      </c>
      <c r="S230" t="n">
        <v>2</v>
      </c>
      <c r="T230" t="n">
        <v>1</v>
      </c>
      <c r="U230" t="n">
        <v>0</v>
      </c>
      <c r="V230" t="n">
        <v>1</v>
      </c>
      <c r="W230" t="n">
        <v>4</v>
      </c>
      <c r="X230" t="n">
        <v>1</v>
      </c>
      <c r="Y230" t="n">
        <v>0</v>
      </c>
      <c r="Z230" t="n">
        <v>0</v>
      </c>
      <c r="AA230" t="n">
        <v>0</v>
      </c>
      <c r="AB230" t="n">
        <v>297</v>
      </c>
      <c r="AC230" t="inlineStr">
        <is>
          <t>Hello World!</t>
        </is>
      </c>
    </row>
    <row r="231" ht="16" customHeight="1">
      <c r="A231" s="1" t="inlineStr">
        <is>
          <t>39.Blue 2</t>
        </is>
      </c>
      <c r="B231" s="2" t="inlineStr">
        <is>
          <t>Amanah Obaji</t>
        </is>
      </c>
      <c r="C231" s="2" t="n">
        <v>39</v>
      </c>
      <c r="D231" s="2" t="inlineStr">
        <is>
          <t>b2</t>
        </is>
      </c>
      <c r="E231" s="2" t="n">
        <v>1781</v>
      </c>
      <c r="F231" s="2" t="n">
        <v>1</v>
      </c>
      <c r="G231" s="2" t="n">
        <v>0</v>
      </c>
      <c r="H231" s="2" t="n">
        <v>0</v>
      </c>
      <c r="I231" s="2" t="n">
        <v>1</v>
      </c>
      <c r="J231" s="2" t="n">
        <v>5</v>
      </c>
      <c r="K231" s="2" t="n">
        <v>3</v>
      </c>
      <c r="L231" s="2" t="n">
        <v>2</v>
      </c>
      <c r="M231" s="2" t="n">
        <v>3</v>
      </c>
      <c r="N231" s="2" t="n">
        <v>0</v>
      </c>
      <c r="O231" s="2" t="n">
        <v>1</v>
      </c>
      <c r="P231" s="2" t="n">
        <v>1</v>
      </c>
      <c r="Q231" s="2" t="n">
        <v>1</v>
      </c>
      <c r="R231" s="2" t="n">
        <v>1</v>
      </c>
      <c r="S231" t="n">
        <v>-1</v>
      </c>
      <c r="T231" t="n">
        <v>1</v>
      </c>
      <c r="U231" t="n">
        <v>1</v>
      </c>
      <c r="V231" t="n">
        <v>1</v>
      </c>
      <c r="W231" t="n">
        <v>2</v>
      </c>
      <c r="X231" t="n">
        <v>1</v>
      </c>
      <c r="Y231" t="n">
        <v>0</v>
      </c>
      <c r="Z231" t="n">
        <v>1</v>
      </c>
      <c r="AA231" t="n">
        <v>0</v>
      </c>
      <c r="AB231" t="n">
        <v>211</v>
      </c>
      <c r="AC231" t="inlineStr">
        <is>
          <t>Hello World!</t>
        </is>
      </c>
    </row>
    <row r="232" ht="16" customHeight="1">
      <c r="A232" s="1" t="inlineStr">
        <is>
          <t>39.Blue 3</t>
        </is>
      </c>
      <c r="B232" s="2" t="inlineStr">
        <is>
          <t>Amanah Obaji</t>
        </is>
      </c>
      <c r="C232" s="2" t="n">
        <v>39</v>
      </c>
      <c r="D232" s="2" t="inlineStr">
        <is>
          <t>b3</t>
        </is>
      </c>
      <c r="E232" s="2" t="n">
        <v>144</v>
      </c>
      <c r="F232" s="2" t="n">
        <v>1</v>
      </c>
      <c r="G232" s="2" t="n">
        <v>1</v>
      </c>
      <c r="H232" s="2" t="n">
        <v>1</v>
      </c>
      <c r="I232" s="2" t="n">
        <v>-1</v>
      </c>
      <c r="J232" s="2" t="n">
        <v>1</v>
      </c>
      <c r="K232" s="2" t="n">
        <v>3</v>
      </c>
      <c r="L232" s="2" t="n">
        <v>2</v>
      </c>
      <c r="M232" s="2" t="n">
        <v>1</v>
      </c>
      <c r="N232" s="2" t="n">
        <v>1</v>
      </c>
      <c r="O232" s="2" t="n">
        <v>0</v>
      </c>
      <c r="P232" s="2" t="n">
        <v>1</v>
      </c>
      <c r="Q232" s="2" t="n">
        <v>1</v>
      </c>
      <c r="R232" s="2" t="n">
        <v>1</v>
      </c>
      <c r="S232" t="n">
        <v>-1</v>
      </c>
      <c r="T232" t="n">
        <v>0</v>
      </c>
      <c r="U232" t="n">
        <v>1</v>
      </c>
      <c r="V232" t="n">
        <v>1</v>
      </c>
      <c r="W232" t="n">
        <v>4</v>
      </c>
      <c r="X232" t="n">
        <v>1</v>
      </c>
      <c r="Y232" t="n">
        <v>0</v>
      </c>
      <c r="Z232" t="n">
        <v>1</v>
      </c>
      <c r="AA232" t="n">
        <v>0</v>
      </c>
      <c r="AB232" t="n">
        <v>85</v>
      </c>
      <c r="AC232" t="inlineStr">
        <is>
          <t>Hello World!</t>
        </is>
      </c>
    </row>
    <row r="233" ht="16" customHeight="1">
      <c r="A233" s="1" t="inlineStr">
        <is>
          <t>39.Red 1</t>
        </is>
      </c>
      <c r="B233" s="2" t="inlineStr">
        <is>
          <t>Amanah Obaji</t>
        </is>
      </c>
      <c r="C233" s="2" t="n">
        <v>39</v>
      </c>
      <c r="D233" s="2" t="inlineStr">
        <is>
          <t>r1</t>
        </is>
      </c>
      <c r="E233" s="2" t="n">
        <v>191</v>
      </c>
      <c r="F233" s="2" t="n">
        <v>0</v>
      </c>
      <c r="G233" s="2" t="n">
        <v>0</v>
      </c>
      <c r="H233" s="2" t="n">
        <v>1</v>
      </c>
      <c r="I233" s="2" t="n">
        <v>0</v>
      </c>
      <c r="J233" s="2" t="n">
        <v>4</v>
      </c>
      <c r="K233" s="2" t="n">
        <v>2</v>
      </c>
      <c r="L233" s="2" t="n">
        <v>1</v>
      </c>
      <c r="M233" s="2" t="n">
        <v>3</v>
      </c>
      <c r="N233" s="2" t="n">
        <v>0</v>
      </c>
      <c r="O233" s="2" t="n">
        <v>1</v>
      </c>
      <c r="P233" s="2" t="n">
        <v>0</v>
      </c>
      <c r="Q233" s="2" t="n">
        <v>0</v>
      </c>
      <c r="R233" s="2" t="n">
        <v>1</v>
      </c>
      <c r="S233" t="n">
        <v>3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173</v>
      </c>
      <c r="AC233" t="inlineStr">
        <is>
          <t>Hello World!</t>
        </is>
      </c>
    </row>
    <row r="234" ht="16" customHeight="1">
      <c r="A234" s="1" t="inlineStr">
        <is>
          <t>39.Red 2</t>
        </is>
      </c>
      <c r="B234" s="2" t="inlineStr">
        <is>
          <t>Arthur Sayre</t>
        </is>
      </c>
      <c r="C234" s="2" t="n">
        <v>39</v>
      </c>
      <c r="D234" s="2" t="inlineStr">
        <is>
          <t>r2</t>
        </is>
      </c>
      <c r="E234" s="2" t="n">
        <v>1511</v>
      </c>
      <c r="F234" s="2" t="n">
        <v>0</v>
      </c>
      <c r="G234" s="2" t="n">
        <v>0</v>
      </c>
      <c r="H234" s="2" t="n">
        <v>0</v>
      </c>
      <c r="I234" s="2" t="n">
        <v>-1</v>
      </c>
      <c r="J234" s="2" t="n">
        <v>4</v>
      </c>
      <c r="K234" s="2" t="n">
        <v>1</v>
      </c>
      <c r="L234" s="2" t="n">
        <v>2</v>
      </c>
      <c r="M234" s="2" t="n">
        <v>2</v>
      </c>
      <c r="N234" s="2" t="n">
        <v>1</v>
      </c>
      <c r="O234" s="2" t="n">
        <v>0</v>
      </c>
      <c r="P234" s="2" t="n">
        <v>0</v>
      </c>
      <c r="Q234" s="2" t="n">
        <v>1</v>
      </c>
      <c r="R234" s="2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-1</v>
      </c>
      <c r="Y234" t="n">
        <v>1</v>
      </c>
      <c r="Z234" t="n">
        <v>1</v>
      </c>
      <c r="AA234" t="n">
        <v>0</v>
      </c>
      <c r="AB234" t="n">
        <v>246</v>
      </c>
      <c r="AC234" t="inlineStr">
        <is>
          <t>Hello World!</t>
        </is>
      </c>
    </row>
    <row r="235" ht="16" customHeight="1">
      <c r="A235" s="1" t="inlineStr">
        <is>
          <t>39.Red 3</t>
        </is>
      </c>
      <c r="B235" s="2" t="inlineStr">
        <is>
          <t>Nicholas Munier</t>
        </is>
      </c>
      <c r="C235" s="2" t="n">
        <v>39</v>
      </c>
      <c r="D235" s="2" t="inlineStr">
        <is>
          <t>r3</t>
        </is>
      </c>
      <c r="E235" s="2" t="n">
        <v>271</v>
      </c>
      <c r="F235" s="2" t="n">
        <v>0</v>
      </c>
      <c r="G235" s="2" t="n">
        <v>0</v>
      </c>
      <c r="H235" s="2" t="n">
        <v>0</v>
      </c>
      <c r="I235" s="2" t="n">
        <v>1</v>
      </c>
      <c r="J235" s="2" t="n">
        <v>2</v>
      </c>
      <c r="K235" s="2" t="n">
        <v>3</v>
      </c>
      <c r="L235" s="2" t="n">
        <v>1</v>
      </c>
      <c r="M235" s="2" t="n">
        <v>1</v>
      </c>
      <c r="N235" s="2" t="n">
        <v>0</v>
      </c>
      <c r="O235" s="2" t="n">
        <v>1</v>
      </c>
      <c r="P235" s="2" t="n">
        <v>0</v>
      </c>
      <c r="Q235" s="2" t="n">
        <v>1</v>
      </c>
      <c r="R235" s="2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5</v>
      </c>
      <c r="X235" t="n">
        <v>1</v>
      </c>
      <c r="Y235" t="n">
        <v>1</v>
      </c>
      <c r="Z235" t="n">
        <v>1</v>
      </c>
      <c r="AA235" t="n">
        <v>1</v>
      </c>
      <c r="AB235" t="n">
        <v>160</v>
      </c>
      <c r="AC235" t="inlineStr">
        <is>
          <t>Hello World!</t>
        </is>
      </c>
    </row>
    <row r="236" ht="16" customHeight="1">
      <c r="A236" s="1" t="inlineStr">
        <is>
          <t>40.Blue 1</t>
        </is>
      </c>
      <c r="B236" s="2" t="inlineStr">
        <is>
          <t>Arthur Sayre</t>
        </is>
      </c>
      <c r="C236" s="2" t="n">
        <v>40</v>
      </c>
      <c r="D236" s="2" t="inlineStr">
        <is>
          <t>b1</t>
        </is>
      </c>
      <c r="E236" s="2" t="n">
        <v>4253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4</v>
      </c>
      <c r="K236" s="2" t="n">
        <v>1</v>
      </c>
      <c r="L236" s="2" t="n">
        <v>2</v>
      </c>
      <c r="M236" s="2" t="n">
        <v>1</v>
      </c>
      <c r="N236" s="2" t="n">
        <v>0</v>
      </c>
      <c r="O236" s="2" t="n">
        <v>1</v>
      </c>
      <c r="P236" s="2" t="n">
        <v>1</v>
      </c>
      <c r="Q236" s="2" t="n">
        <v>1</v>
      </c>
      <c r="R236" s="2" t="n">
        <v>1</v>
      </c>
      <c r="S236" t="n">
        <v>2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214</v>
      </c>
      <c r="AC236" t="inlineStr">
        <is>
          <t>Hello World!</t>
        </is>
      </c>
    </row>
    <row r="237" ht="16" customHeight="1">
      <c r="A237" s="1" t="inlineStr">
        <is>
          <t>40.Blue 2</t>
        </is>
      </c>
      <c r="B237" s="2" t="inlineStr">
        <is>
          <t>Matthew Mazzota</t>
        </is>
      </c>
      <c r="C237" s="2" t="n">
        <v>40</v>
      </c>
      <c r="D237" s="2" t="inlineStr">
        <is>
          <t>b2</t>
        </is>
      </c>
      <c r="E237" s="2" t="n">
        <v>3044</v>
      </c>
      <c r="F237" s="2" t="n">
        <v>1</v>
      </c>
      <c r="G237" s="2" t="n">
        <v>1</v>
      </c>
      <c r="H237" s="2" t="n">
        <v>0</v>
      </c>
      <c r="I237" s="2" t="n">
        <v>-1</v>
      </c>
      <c r="J237" s="2" t="n">
        <v>4</v>
      </c>
      <c r="K237" s="2" t="n">
        <v>1</v>
      </c>
      <c r="L237" s="2" t="n">
        <v>3</v>
      </c>
      <c r="M237" s="2" t="n">
        <v>1</v>
      </c>
      <c r="N237" s="2" t="n">
        <v>1</v>
      </c>
      <c r="O237" s="2" t="n">
        <v>1</v>
      </c>
      <c r="P237" s="2" t="n">
        <v>1</v>
      </c>
      <c r="Q237" s="2" t="n">
        <v>0</v>
      </c>
      <c r="R237" s="2" t="n">
        <v>1</v>
      </c>
      <c r="S237" t="n">
        <v>-1</v>
      </c>
      <c r="T237" t="n">
        <v>1</v>
      </c>
      <c r="U237" t="n">
        <v>0</v>
      </c>
      <c r="V237" t="n">
        <v>0</v>
      </c>
      <c r="W237" t="n">
        <v>5</v>
      </c>
      <c r="X237" t="n">
        <v>1</v>
      </c>
      <c r="Y237" t="n">
        <v>0</v>
      </c>
      <c r="Z237" t="n">
        <v>1</v>
      </c>
      <c r="AA237" t="n">
        <v>1</v>
      </c>
      <c r="AB237" t="n">
        <v>68</v>
      </c>
      <c r="AC237" t="inlineStr">
        <is>
          <t>Hello World!</t>
        </is>
      </c>
    </row>
    <row r="238" ht="16" customHeight="1">
      <c r="A238" s="1" t="inlineStr">
        <is>
          <t>40.Blue 3</t>
        </is>
      </c>
      <c r="B238" s="2" t="inlineStr">
        <is>
          <t>Nathan DeVito</t>
        </is>
      </c>
      <c r="C238" s="2" t="n">
        <v>40</v>
      </c>
      <c r="D238" s="2" t="inlineStr">
        <is>
          <t>b3</t>
        </is>
      </c>
      <c r="E238" s="2" t="n">
        <v>2340</v>
      </c>
      <c r="F238" s="2" t="n">
        <v>1</v>
      </c>
      <c r="G238" s="2" t="n">
        <v>1</v>
      </c>
      <c r="H238" s="2" t="n">
        <v>1</v>
      </c>
      <c r="I238" s="2" t="n">
        <v>1</v>
      </c>
      <c r="J238" s="2" t="n">
        <v>2</v>
      </c>
      <c r="K238" s="2" t="n">
        <v>3</v>
      </c>
      <c r="L238" s="2" t="n">
        <v>3</v>
      </c>
      <c r="M238" s="2" t="n">
        <v>5</v>
      </c>
      <c r="N238" s="2" t="n">
        <v>1</v>
      </c>
      <c r="O238" s="2" t="n">
        <v>1</v>
      </c>
      <c r="P238" s="2" t="n">
        <v>0</v>
      </c>
      <c r="Q238" s="2" t="n">
        <v>0</v>
      </c>
      <c r="R238" s="2" t="n">
        <v>0</v>
      </c>
      <c r="S238" t="n">
        <v>3</v>
      </c>
      <c r="T238" t="n">
        <v>0</v>
      </c>
      <c r="U238" t="n">
        <v>1</v>
      </c>
      <c r="V238" t="n">
        <v>0</v>
      </c>
      <c r="W238" t="n">
        <v>5</v>
      </c>
      <c r="X238" t="n">
        <v>1</v>
      </c>
      <c r="Y238" t="n">
        <v>0</v>
      </c>
      <c r="Z238" t="n">
        <v>1</v>
      </c>
      <c r="AA238" t="n">
        <v>0</v>
      </c>
      <c r="AB238" t="n">
        <v>93</v>
      </c>
      <c r="AC238" t="inlineStr">
        <is>
          <t>Hello World!</t>
        </is>
      </c>
    </row>
    <row r="239" ht="16" customHeight="1">
      <c r="A239" s="1" t="inlineStr">
        <is>
          <t>40.Red 1</t>
        </is>
      </c>
      <c r="B239" s="2" t="inlineStr">
        <is>
          <t>Nicholas Munier</t>
        </is>
      </c>
      <c r="C239" s="2" t="n">
        <v>40</v>
      </c>
      <c r="D239" s="2" t="inlineStr">
        <is>
          <t>r1</t>
        </is>
      </c>
      <c r="E239" s="2" t="n">
        <v>3003</v>
      </c>
      <c r="F239" s="2" t="n">
        <v>0</v>
      </c>
      <c r="G239" s="2" t="n">
        <v>1</v>
      </c>
      <c r="H239" s="2" t="n">
        <v>0</v>
      </c>
      <c r="I239" s="2" t="n">
        <v>-1</v>
      </c>
      <c r="J239" s="2" t="n">
        <v>4</v>
      </c>
      <c r="K239" s="2" t="n">
        <v>1</v>
      </c>
      <c r="L239" s="2" t="n">
        <v>3</v>
      </c>
      <c r="M239" s="2" t="n">
        <v>4</v>
      </c>
      <c r="N239" s="2" t="n">
        <v>1</v>
      </c>
      <c r="O239" s="2" t="n">
        <v>0</v>
      </c>
      <c r="P239" s="2" t="n">
        <v>1</v>
      </c>
      <c r="Q239" s="2" t="n">
        <v>1</v>
      </c>
      <c r="R239" s="2" t="n">
        <v>1</v>
      </c>
      <c r="S239" t="n">
        <v>-1</v>
      </c>
      <c r="T239" t="n">
        <v>1</v>
      </c>
      <c r="U239" t="n">
        <v>0</v>
      </c>
      <c r="V239" t="n">
        <v>1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202</v>
      </c>
      <c r="AC239" t="inlineStr">
        <is>
          <t>Hello World!</t>
        </is>
      </c>
    </row>
    <row r="240" ht="16" customHeight="1">
      <c r="A240" s="1" t="inlineStr">
        <is>
          <t>40.Red 2</t>
        </is>
      </c>
      <c r="B240" s="2" t="inlineStr">
        <is>
          <t>Colby Jackson</t>
        </is>
      </c>
      <c r="C240" s="2" t="n">
        <v>40</v>
      </c>
      <c r="D240" s="2" t="inlineStr">
        <is>
          <t>r2</t>
        </is>
      </c>
      <c r="E240" s="2" t="n">
        <v>20</v>
      </c>
      <c r="F240" s="2" t="n">
        <v>0</v>
      </c>
      <c r="G240" s="2" t="n">
        <v>0</v>
      </c>
      <c r="H240" s="2" t="n">
        <v>1</v>
      </c>
      <c r="I240" s="2" t="n">
        <v>-1</v>
      </c>
      <c r="J240" s="2" t="n">
        <v>2</v>
      </c>
      <c r="K240" s="2" t="n">
        <v>1</v>
      </c>
      <c r="L240" s="2" t="n">
        <v>3</v>
      </c>
      <c r="M240" s="2" t="n">
        <v>2</v>
      </c>
      <c r="N240" s="2" t="n">
        <v>1</v>
      </c>
      <c r="O240" s="2" t="n">
        <v>0</v>
      </c>
      <c r="P240" s="2" t="n">
        <v>0</v>
      </c>
      <c r="Q240" s="2" t="n">
        <v>1</v>
      </c>
      <c r="R240" s="2" t="n">
        <v>0</v>
      </c>
      <c r="S240" t="n">
        <v>2</v>
      </c>
      <c r="T240" t="n">
        <v>0</v>
      </c>
      <c r="U240" t="n">
        <v>1</v>
      </c>
      <c r="V240" t="n">
        <v>1</v>
      </c>
      <c r="W240" t="n">
        <v>4</v>
      </c>
      <c r="X240" t="n">
        <v>0</v>
      </c>
      <c r="Y240" t="n">
        <v>1</v>
      </c>
      <c r="Z240" t="n">
        <v>0</v>
      </c>
      <c r="AA240" t="n">
        <v>1</v>
      </c>
      <c r="AB240" t="n">
        <v>70</v>
      </c>
      <c r="AC240" t="inlineStr">
        <is>
          <t>Hello World!</t>
        </is>
      </c>
    </row>
    <row r="241" ht="16" customHeight="1">
      <c r="A241" s="1" t="inlineStr">
        <is>
          <t>40.Red 3</t>
        </is>
      </c>
      <c r="B241" s="2" t="inlineStr">
        <is>
          <t>Colby Jackson</t>
        </is>
      </c>
      <c r="C241" s="2" t="n">
        <v>40</v>
      </c>
      <c r="D241" s="2" t="inlineStr">
        <is>
          <t>r3</t>
        </is>
      </c>
      <c r="E241" s="2" t="n">
        <v>9016</v>
      </c>
      <c r="F241" s="2" t="n">
        <v>0</v>
      </c>
      <c r="G241" s="2" t="n">
        <v>1</v>
      </c>
      <c r="H241" s="2" t="n">
        <v>1</v>
      </c>
      <c r="I241" s="2" t="n">
        <v>0</v>
      </c>
      <c r="J241" s="2" t="n">
        <v>2</v>
      </c>
      <c r="K241" s="2" t="n">
        <v>3</v>
      </c>
      <c r="L241" s="2" t="n">
        <v>2</v>
      </c>
      <c r="M241" s="2" t="n">
        <v>4</v>
      </c>
      <c r="N241" s="2" t="n">
        <v>1</v>
      </c>
      <c r="O241" s="2" t="n">
        <v>0</v>
      </c>
      <c r="P241" s="2" t="n">
        <v>0</v>
      </c>
      <c r="Q241" s="2" t="n">
        <v>0</v>
      </c>
      <c r="R241" s="2" t="n">
        <v>1</v>
      </c>
      <c r="S241" t="n">
        <v>-1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243</v>
      </c>
      <c r="AC241" t="inlineStr">
        <is>
          <t>Hello World!</t>
        </is>
      </c>
    </row>
    <row r="242" ht="16" customHeight="1">
      <c r="A242" s="1" t="inlineStr">
        <is>
          <t>41.Blue 1</t>
        </is>
      </c>
      <c r="B242" s="2" t="inlineStr">
        <is>
          <t>Amanah Obaji</t>
        </is>
      </c>
      <c r="C242" s="2" t="n">
        <v>41</v>
      </c>
      <c r="D242" s="2" t="inlineStr">
        <is>
          <t>b1</t>
        </is>
      </c>
      <c r="E242" s="2" t="n">
        <v>2228</v>
      </c>
      <c r="F242" s="2" t="n">
        <v>1</v>
      </c>
      <c r="G242" s="2" t="n">
        <v>1</v>
      </c>
      <c r="H242" s="2" t="n">
        <v>1</v>
      </c>
      <c r="I242" s="2" t="n">
        <v>-1</v>
      </c>
      <c r="J242" s="2" t="n">
        <v>5</v>
      </c>
      <c r="K242" s="2" t="n">
        <v>1</v>
      </c>
      <c r="L242" s="2" t="n">
        <v>2</v>
      </c>
      <c r="M242" s="2" t="n">
        <v>4</v>
      </c>
      <c r="N242" s="2" t="n">
        <v>1</v>
      </c>
      <c r="O242" s="2" t="n">
        <v>0</v>
      </c>
      <c r="P242" s="2" t="n">
        <v>0</v>
      </c>
      <c r="Q242" s="2" t="n">
        <v>0</v>
      </c>
      <c r="R242" s="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2</v>
      </c>
      <c r="X242" t="n">
        <v>-1</v>
      </c>
      <c r="Y242" t="n">
        <v>0</v>
      </c>
      <c r="Z242" t="n">
        <v>0</v>
      </c>
      <c r="AA242" t="n">
        <v>0</v>
      </c>
      <c r="AB242" t="n">
        <v>283</v>
      </c>
      <c r="AC242" t="inlineStr">
        <is>
          <t>Hello World!</t>
        </is>
      </c>
    </row>
    <row r="243" ht="16" customHeight="1">
      <c r="A243" s="1" t="inlineStr">
        <is>
          <t>41.Blue 2</t>
        </is>
      </c>
      <c r="B243" s="2" t="inlineStr">
        <is>
          <t>Nathan DeVito</t>
        </is>
      </c>
      <c r="C243" s="2" t="n">
        <v>41</v>
      </c>
      <c r="D243" s="2" t="inlineStr">
        <is>
          <t>b2</t>
        </is>
      </c>
      <c r="E243" s="2" t="n">
        <v>9767</v>
      </c>
      <c r="F243" s="2" t="n">
        <v>0</v>
      </c>
      <c r="G243" s="2" t="n">
        <v>0</v>
      </c>
      <c r="H243" s="2" t="n">
        <v>1</v>
      </c>
      <c r="I243" s="2" t="n">
        <v>-1</v>
      </c>
      <c r="J243" s="2" t="n">
        <v>3</v>
      </c>
      <c r="K243" s="2" t="n">
        <v>3</v>
      </c>
      <c r="L243" s="2" t="n">
        <v>3</v>
      </c>
      <c r="M243" s="2" t="n">
        <v>5</v>
      </c>
      <c r="N243" s="2" t="n">
        <v>0</v>
      </c>
      <c r="O243" s="2" t="n">
        <v>1</v>
      </c>
      <c r="P243" s="2" t="n">
        <v>1</v>
      </c>
      <c r="Q243" s="2" t="n">
        <v>0</v>
      </c>
      <c r="R243" s="2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-1</v>
      </c>
      <c r="Y243" t="n">
        <v>0</v>
      </c>
      <c r="Z243" t="n">
        <v>0</v>
      </c>
      <c r="AA243" t="n">
        <v>0</v>
      </c>
      <c r="AB243" t="n">
        <v>57</v>
      </c>
      <c r="AC243" t="inlineStr">
        <is>
          <t>Hello World!</t>
        </is>
      </c>
    </row>
    <row r="244" ht="16" customHeight="1">
      <c r="A244" s="1" t="inlineStr">
        <is>
          <t>41.Blue 3</t>
        </is>
      </c>
      <c r="B244" s="2" t="inlineStr">
        <is>
          <t>Amanah Obaji</t>
        </is>
      </c>
      <c r="C244" s="2" t="n">
        <v>41</v>
      </c>
      <c r="D244" s="2" t="inlineStr">
        <is>
          <t>b3</t>
        </is>
      </c>
      <c r="E244" s="2" t="n">
        <v>48</v>
      </c>
      <c r="F244" s="2" t="n">
        <v>0</v>
      </c>
      <c r="G244" s="2" t="n">
        <v>1</v>
      </c>
      <c r="H244" s="2" t="n">
        <v>1</v>
      </c>
      <c r="I244" s="2" t="n">
        <v>-1</v>
      </c>
      <c r="J244" s="2" t="n">
        <v>3</v>
      </c>
      <c r="K244" s="2" t="n">
        <v>3</v>
      </c>
      <c r="L244" s="2" t="n">
        <v>1</v>
      </c>
      <c r="M244" s="2" t="n">
        <v>1</v>
      </c>
      <c r="N244" s="2" t="n">
        <v>1</v>
      </c>
      <c r="O244" s="2" t="n">
        <v>1</v>
      </c>
      <c r="P244" s="2" t="n">
        <v>0</v>
      </c>
      <c r="Q244" s="2" t="n">
        <v>1</v>
      </c>
      <c r="R244" s="2" t="n">
        <v>0</v>
      </c>
      <c r="S244" t="n">
        <v>2</v>
      </c>
      <c r="T244" t="n">
        <v>1</v>
      </c>
      <c r="U244" t="n">
        <v>0</v>
      </c>
      <c r="V244" t="n">
        <v>1</v>
      </c>
      <c r="W244" t="n">
        <v>5</v>
      </c>
      <c r="X244" t="n">
        <v>-1</v>
      </c>
      <c r="Y244" t="n">
        <v>0</v>
      </c>
      <c r="Z244" t="n">
        <v>1</v>
      </c>
      <c r="AA244" t="n">
        <v>0</v>
      </c>
      <c r="AB244" t="n">
        <v>28</v>
      </c>
      <c r="AC244" t="inlineStr">
        <is>
          <t>Hello World!</t>
        </is>
      </c>
    </row>
    <row r="245" ht="16" customHeight="1">
      <c r="A245" s="1" t="inlineStr">
        <is>
          <t>41.Red 1</t>
        </is>
      </c>
      <c r="B245" s="2" t="inlineStr">
        <is>
          <t>Domenic Giammusso</t>
        </is>
      </c>
      <c r="C245" s="2" t="n">
        <v>41</v>
      </c>
      <c r="D245" s="2" t="inlineStr">
        <is>
          <t>r1</t>
        </is>
      </c>
      <c r="E245" s="2" t="n">
        <v>3838</v>
      </c>
      <c r="F245" s="2" t="n">
        <v>1</v>
      </c>
      <c r="G245" s="2" t="n">
        <v>1</v>
      </c>
      <c r="H245" s="2" t="n">
        <v>0</v>
      </c>
      <c r="I245" s="2" t="n">
        <v>-1</v>
      </c>
      <c r="J245" s="2" t="n">
        <v>1</v>
      </c>
      <c r="K245" s="2" t="n">
        <v>2</v>
      </c>
      <c r="L245" s="2" t="n">
        <v>1</v>
      </c>
      <c r="M245" s="2" t="n">
        <v>1</v>
      </c>
      <c r="N245" s="2" t="n">
        <v>0</v>
      </c>
      <c r="O245" s="2" t="n">
        <v>1</v>
      </c>
      <c r="P245" s="2" t="n">
        <v>1</v>
      </c>
      <c r="Q245" s="2" t="n">
        <v>1</v>
      </c>
      <c r="R245" s="2" t="n">
        <v>0</v>
      </c>
      <c r="S245" t="n">
        <v>3</v>
      </c>
      <c r="T245" t="n">
        <v>1</v>
      </c>
      <c r="U245" t="n">
        <v>0</v>
      </c>
      <c r="V245" t="n">
        <v>1</v>
      </c>
      <c r="W245" t="n">
        <v>5</v>
      </c>
      <c r="X245" t="n">
        <v>1</v>
      </c>
      <c r="Y245" t="n">
        <v>0</v>
      </c>
      <c r="Z245" t="n">
        <v>1</v>
      </c>
      <c r="AA245" t="n">
        <v>1</v>
      </c>
      <c r="AB245" t="n">
        <v>272</v>
      </c>
      <c r="AC245" t="inlineStr">
        <is>
          <t>Hello World!</t>
        </is>
      </c>
    </row>
    <row r="246" ht="16" customHeight="1">
      <c r="A246" s="1" t="inlineStr">
        <is>
          <t>41.Red 2</t>
        </is>
      </c>
      <c r="B246" s="2" t="inlineStr">
        <is>
          <t xml:space="preserve">Tyler Hignett </t>
        </is>
      </c>
      <c r="C246" s="2" t="n">
        <v>41</v>
      </c>
      <c r="D246" s="2" t="inlineStr">
        <is>
          <t>r2</t>
        </is>
      </c>
      <c r="E246" s="2" t="n">
        <v>1468</v>
      </c>
      <c r="F246" s="2" t="n">
        <v>1</v>
      </c>
      <c r="G246" s="2" t="n">
        <v>1</v>
      </c>
      <c r="H246" s="2" t="n">
        <v>1</v>
      </c>
      <c r="I246" s="2" t="n">
        <v>0</v>
      </c>
      <c r="J246" s="2" t="n">
        <v>4</v>
      </c>
      <c r="K246" s="2" t="n">
        <v>3</v>
      </c>
      <c r="L246" s="2" t="n">
        <v>2</v>
      </c>
      <c r="M246" s="2" t="n">
        <v>3</v>
      </c>
      <c r="N246" s="2" t="n">
        <v>1</v>
      </c>
      <c r="O246" s="2" t="n">
        <v>0</v>
      </c>
      <c r="P246" s="2" t="n">
        <v>0</v>
      </c>
      <c r="Q246" s="2" t="n">
        <v>0</v>
      </c>
      <c r="R246" s="2" t="n">
        <v>0</v>
      </c>
      <c r="S246" t="n">
        <v>3</v>
      </c>
      <c r="T246" t="n">
        <v>0</v>
      </c>
      <c r="U246" t="n">
        <v>0</v>
      </c>
      <c r="V246" t="n">
        <v>0</v>
      </c>
      <c r="W246" t="n">
        <v>5</v>
      </c>
      <c r="X246" t="n">
        <v>0</v>
      </c>
      <c r="Y246" t="n">
        <v>1</v>
      </c>
      <c r="Z246" t="n">
        <v>1</v>
      </c>
      <c r="AA246" t="n">
        <v>1</v>
      </c>
      <c r="AB246" t="n">
        <v>42</v>
      </c>
      <c r="AC246" t="inlineStr">
        <is>
          <t>Hello World!</t>
        </is>
      </c>
    </row>
    <row r="247" ht="16" customHeight="1">
      <c r="A247" s="1" t="inlineStr">
        <is>
          <t>41.Red 3</t>
        </is>
      </c>
      <c r="B247" s="2" t="inlineStr">
        <is>
          <t>Matthew Mazzota</t>
        </is>
      </c>
      <c r="C247" s="2" t="n">
        <v>41</v>
      </c>
      <c r="D247" s="2" t="inlineStr">
        <is>
          <t>r3</t>
        </is>
      </c>
      <c r="E247" s="2" t="n">
        <v>5590</v>
      </c>
      <c r="F247" s="2" t="n">
        <v>1</v>
      </c>
      <c r="G247" s="2" t="n">
        <v>1</v>
      </c>
      <c r="H247" s="2" t="n">
        <v>1</v>
      </c>
      <c r="I247" s="2" t="n">
        <v>-1</v>
      </c>
      <c r="J247" s="2" t="n">
        <v>1</v>
      </c>
      <c r="K247" s="2" t="n">
        <v>1</v>
      </c>
      <c r="L247" s="2" t="n">
        <v>3</v>
      </c>
      <c r="M247" s="2" t="n">
        <v>5</v>
      </c>
      <c r="N247" s="2" t="n">
        <v>0</v>
      </c>
      <c r="O247" s="2" t="n">
        <v>1</v>
      </c>
      <c r="P247" s="2" t="n">
        <v>1</v>
      </c>
      <c r="Q247" s="2" t="n">
        <v>0</v>
      </c>
      <c r="R247" s="2" t="n">
        <v>0</v>
      </c>
      <c r="S247" t="n">
        <v>-1</v>
      </c>
      <c r="T247" t="n">
        <v>0</v>
      </c>
      <c r="U247" t="n">
        <v>0</v>
      </c>
      <c r="V247" t="n">
        <v>0</v>
      </c>
      <c r="W247" t="n">
        <v>3</v>
      </c>
      <c r="X247" t="n">
        <v>-1</v>
      </c>
      <c r="Y247" t="n">
        <v>1</v>
      </c>
      <c r="Z247" t="n">
        <v>0</v>
      </c>
      <c r="AA247" t="n">
        <v>1</v>
      </c>
      <c r="AB247" t="n">
        <v>149</v>
      </c>
      <c r="AC247" t="inlineStr">
        <is>
          <t>Hello World!</t>
        </is>
      </c>
    </row>
    <row r="248" ht="16" customHeight="1">
      <c r="A248" s="1" t="inlineStr">
        <is>
          <t>42.Blue 1</t>
        </is>
      </c>
      <c r="B248" s="2" t="inlineStr">
        <is>
          <t>Ethan Stiffler</t>
        </is>
      </c>
      <c r="C248" s="2" t="n">
        <v>42</v>
      </c>
      <c r="D248" s="2" t="inlineStr">
        <is>
          <t>b1</t>
        </is>
      </c>
      <c r="E248" s="2" t="n">
        <v>424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1</v>
      </c>
      <c r="K248" s="2" t="n">
        <v>1</v>
      </c>
      <c r="L248" s="2" t="n">
        <v>3</v>
      </c>
      <c r="M248" s="2" t="n">
        <v>4</v>
      </c>
      <c r="N248" s="2" t="n">
        <v>1</v>
      </c>
      <c r="O248" s="2" t="n">
        <v>1</v>
      </c>
      <c r="P248" s="2" t="n">
        <v>0</v>
      </c>
      <c r="Q248" s="2" t="n">
        <v>1</v>
      </c>
      <c r="R248" s="2" t="n">
        <v>1</v>
      </c>
      <c r="S248" t="n">
        <v>2</v>
      </c>
      <c r="T248" t="n">
        <v>1</v>
      </c>
      <c r="U248" t="n">
        <v>0</v>
      </c>
      <c r="V248" t="n">
        <v>1</v>
      </c>
      <c r="W248" t="n">
        <v>2</v>
      </c>
      <c r="X248" t="n">
        <v>1</v>
      </c>
      <c r="Y248" t="n">
        <v>1</v>
      </c>
      <c r="Z248" t="n">
        <v>1</v>
      </c>
      <c r="AA248" t="n">
        <v>0</v>
      </c>
      <c r="AB248" t="n">
        <v>127</v>
      </c>
      <c r="AC248" t="inlineStr">
        <is>
          <t>Hello World!</t>
        </is>
      </c>
    </row>
    <row r="249" ht="16" customHeight="1">
      <c r="A249" s="1" t="inlineStr">
        <is>
          <t>42.Blue 2</t>
        </is>
      </c>
      <c r="B249" s="2" t="inlineStr">
        <is>
          <t>Jonah WoikaKai Wilbur</t>
        </is>
      </c>
      <c r="C249" s="2" t="n">
        <v>42</v>
      </c>
      <c r="D249" s="2" t="inlineStr">
        <is>
          <t>b2</t>
        </is>
      </c>
      <c r="E249" s="2" t="n">
        <v>340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1</v>
      </c>
      <c r="K249" s="2" t="n">
        <v>2</v>
      </c>
      <c r="L249" s="2" t="n">
        <v>1</v>
      </c>
      <c r="M249" s="2" t="n">
        <v>3</v>
      </c>
      <c r="N249" s="2" t="n">
        <v>0</v>
      </c>
      <c r="O249" s="2" t="n">
        <v>1</v>
      </c>
      <c r="P249" s="2" t="n">
        <v>1</v>
      </c>
      <c r="Q249" s="2" t="n">
        <v>1</v>
      </c>
      <c r="R249" s="2" t="n">
        <v>0</v>
      </c>
      <c r="S249" t="n">
        <v>2</v>
      </c>
      <c r="T249" t="n">
        <v>1</v>
      </c>
      <c r="U249" t="n">
        <v>0</v>
      </c>
      <c r="V249" t="n">
        <v>0</v>
      </c>
      <c r="W249" t="n">
        <v>4</v>
      </c>
      <c r="X249" t="n">
        <v>0</v>
      </c>
      <c r="Y249" t="n">
        <v>0</v>
      </c>
      <c r="Z249" t="n">
        <v>0</v>
      </c>
      <c r="AA249" t="n">
        <v>1</v>
      </c>
      <c r="AB249" t="n">
        <v>126</v>
      </c>
      <c r="AC249" t="inlineStr">
        <is>
          <t>Hello World!</t>
        </is>
      </c>
    </row>
    <row r="250" ht="16" customHeight="1">
      <c r="A250" s="1" t="inlineStr">
        <is>
          <t>42.Blue 3</t>
        </is>
      </c>
      <c r="B250" s="2" t="inlineStr">
        <is>
          <t>Ethan Stiffler</t>
        </is>
      </c>
      <c r="C250" s="2" t="n">
        <v>42</v>
      </c>
      <c r="D250" s="2" t="inlineStr">
        <is>
          <t>b3</t>
        </is>
      </c>
      <c r="E250" s="2" t="n">
        <v>4458</v>
      </c>
      <c r="F250" s="2" t="n">
        <v>1</v>
      </c>
      <c r="G250" s="2" t="n">
        <v>0</v>
      </c>
      <c r="H250" s="2" t="n">
        <v>0</v>
      </c>
      <c r="I250" s="2" t="n">
        <v>1</v>
      </c>
      <c r="J250" s="2" t="n">
        <v>2</v>
      </c>
      <c r="K250" s="2" t="n">
        <v>3</v>
      </c>
      <c r="L250" s="2" t="n">
        <v>2</v>
      </c>
      <c r="M250" s="2" t="n">
        <v>2</v>
      </c>
      <c r="N250" s="2" t="n">
        <v>1</v>
      </c>
      <c r="O250" s="2" t="n">
        <v>0</v>
      </c>
      <c r="P250" s="2" t="n">
        <v>0</v>
      </c>
      <c r="Q250" s="2" t="n">
        <v>1</v>
      </c>
      <c r="R250" s="2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-1</v>
      </c>
      <c r="Y250" t="n">
        <v>1</v>
      </c>
      <c r="Z250" t="n">
        <v>1</v>
      </c>
      <c r="AA250" t="n">
        <v>0</v>
      </c>
      <c r="AB250" t="n">
        <v>77</v>
      </c>
      <c r="AC250" t="inlineStr">
        <is>
          <t>Hello World!</t>
        </is>
      </c>
    </row>
    <row r="251" ht="16" customHeight="1">
      <c r="A251" s="1" t="inlineStr">
        <is>
          <t>42.Red 1</t>
        </is>
      </c>
      <c r="B251" s="2" t="inlineStr">
        <is>
          <t>Colby Jackson</t>
        </is>
      </c>
      <c r="C251" s="2" t="n">
        <v>42</v>
      </c>
      <c r="D251" s="2" t="inlineStr">
        <is>
          <t>r1</t>
        </is>
      </c>
      <c r="E251" s="2" t="n">
        <v>1450</v>
      </c>
      <c r="F251" s="2" t="n">
        <v>1</v>
      </c>
      <c r="G251" s="2" t="n">
        <v>0</v>
      </c>
      <c r="H251" s="2" t="n">
        <v>0</v>
      </c>
      <c r="I251" s="2" t="n">
        <v>-1</v>
      </c>
      <c r="J251" s="2" t="n">
        <v>1</v>
      </c>
      <c r="K251" s="2" t="n">
        <v>1</v>
      </c>
      <c r="L251" s="2" t="n">
        <v>1</v>
      </c>
      <c r="M251" s="2" t="n">
        <v>4</v>
      </c>
      <c r="N251" s="2" t="n">
        <v>1</v>
      </c>
      <c r="O251" s="2" t="n">
        <v>0</v>
      </c>
      <c r="P251" s="2" t="n">
        <v>1</v>
      </c>
      <c r="Q251" s="2" t="n">
        <v>0</v>
      </c>
      <c r="R251" s="2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4</v>
      </c>
      <c r="X251" t="n">
        <v>1</v>
      </c>
      <c r="Y251" t="n">
        <v>1</v>
      </c>
      <c r="Z251" t="n">
        <v>0</v>
      </c>
      <c r="AA251" t="n">
        <v>1</v>
      </c>
      <c r="AB251" t="n">
        <v>212</v>
      </c>
      <c r="AC251" t="inlineStr">
        <is>
          <t>Hello World!</t>
        </is>
      </c>
    </row>
    <row r="252" ht="16" customHeight="1">
      <c r="A252" s="1" t="inlineStr">
        <is>
          <t>42.Red 2</t>
        </is>
      </c>
      <c r="B252" s="2" t="inlineStr">
        <is>
          <t>Amanah Obaji</t>
        </is>
      </c>
      <c r="C252" s="2" t="n">
        <v>42</v>
      </c>
      <c r="D252" s="2" t="inlineStr">
        <is>
          <t>r2</t>
        </is>
      </c>
      <c r="E252" s="2" t="n">
        <v>564</v>
      </c>
      <c r="F252" s="2" t="n">
        <v>0</v>
      </c>
      <c r="G252" s="2" t="n">
        <v>1</v>
      </c>
      <c r="H252" s="2" t="n">
        <v>1</v>
      </c>
      <c r="I252" s="2" t="n">
        <v>0</v>
      </c>
      <c r="J252" s="2" t="n">
        <v>5</v>
      </c>
      <c r="K252" s="2" t="n">
        <v>3</v>
      </c>
      <c r="L252" s="2" t="n">
        <v>2</v>
      </c>
      <c r="M252" s="2" t="n">
        <v>1</v>
      </c>
      <c r="N252" s="2" t="n">
        <v>1</v>
      </c>
      <c r="O252" s="2" t="n">
        <v>0</v>
      </c>
      <c r="P252" s="2" t="n">
        <v>0</v>
      </c>
      <c r="Q252" s="2" t="n">
        <v>1</v>
      </c>
      <c r="R252" s="2" t="n">
        <v>1</v>
      </c>
      <c r="S252" t="n">
        <v>-1</v>
      </c>
      <c r="T252" t="n">
        <v>1</v>
      </c>
      <c r="U252" t="n">
        <v>1</v>
      </c>
      <c r="V252" t="n">
        <v>0</v>
      </c>
      <c r="W252" t="n">
        <v>1</v>
      </c>
      <c r="X252" t="n">
        <v>-1</v>
      </c>
      <c r="Y252" t="n">
        <v>1</v>
      </c>
      <c r="Z252" t="n">
        <v>1</v>
      </c>
      <c r="AA252" t="n">
        <v>0</v>
      </c>
      <c r="AB252" t="n">
        <v>67</v>
      </c>
      <c r="AC252" t="inlineStr">
        <is>
          <t>Hello World!</t>
        </is>
      </c>
    </row>
    <row r="253" ht="16" customHeight="1">
      <c r="A253" s="1" t="inlineStr">
        <is>
          <t>42.Red 3</t>
        </is>
      </c>
      <c r="B253" s="2" t="inlineStr">
        <is>
          <t>Domenic Giammusso</t>
        </is>
      </c>
      <c r="C253" s="2" t="n">
        <v>42</v>
      </c>
      <c r="D253" s="2" t="inlineStr">
        <is>
          <t>r3</t>
        </is>
      </c>
      <c r="E253" s="2" t="n">
        <v>1056</v>
      </c>
      <c r="F253" s="2" t="n">
        <v>1</v>
      </c>
      <c r="G253" s="2" t="n">
        <v>1</v>
      </c>
      <c r="H253" s="2" t="n">
        <v>1</v>
      </c>
      <c r="I253" s="2" t="n">
        <v>-1</v>
      </c>
      <c r="J253" s="2" t="n">
        <v>4</v>
      </c>
      <c r="K253" s="2" t="n">
        <v>3</v>
      </c>
      <c r="L253" s="2" t="n">
        <v>2</v>
      </c>
      <c r="M253" s="2" t="n">
        <v>5</v>
      </c>
      <c r="N253" s="2" t="n">
        <v>1</v>
      </c>
      <c r="O253" s="2" t="n">
        <v>0</v>
      </c>
      <c r="P253" s="2" t="n">
        <v>1</v>
      </c>
      <c r="Q253" s="2" t="n">
        <v>0</v>
      </c>
      <c r="R253" s="2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-1</v>
      </c>
      <c r="Y253" t="n">
        <v>0</v>
      </c>
      <c r="Z253" t="n">
        <v>1</v>
      </c>
      <c r="AA253" t="n">
        <v>0</v>
      </c>
      <c r="AB253" t="n">
        <v>36</v>
      </c>
      <c r="AC253" t="inlineStr">
        <is>
          <t>Hello World!</t>
        </is>
      </c>
    </row>
    <row r="254" ht="16" customHeight="1">
      <c r="A254" s="1" t="inlineStr">
        <is>
          <t>43.Blue 1</t>
        </is>
      </c>
      <c r="B254" s="2" t="inlineStr">
        <is>
          <t>Celton Norter</t>
        </is>
      </c>
      <c r="C254" s="2" t="n">
        <v>43</v>
      </c>
      <c r="D254" s="2" t="inlineStr">
        <is>
          <t>b1</t>
        </is>
      </c>
      <c r="E254" s="2" t="n">
        <v>378</v>
      </c>
      <c r="F254" s="2" t="n">
        <v>0</v>
      </c>
      <c r="G254" s="2" t="n">
        <v>0</v>
      </c>
      <c r="H254" s="2" t="n">
        <v>1</v>
      </c>
      <c r="I254" s="2" t="n">
        <v>-1</v>
      </c>
      <c r="J254" s="2" t="n">
        <v>3</v>
      </c>
      <c r="K254" s="2" t="n">
        <v>3</v>
      </c>
      <c r="L254" s="2" t="n">
        <v>1</v>
      </c>
      <c r="M254" s="2" t="n">
        <v>5</v>
      </c>
      <c r="N254" s="2" t="n">
        <v>0</v>
      </c>
      <c r="O254" s="2" t="n">
        <v>0</v>
      </c>
      <c r="P254" s="2" t="n">
        <v>1</v>
      </c>
      <c r="Q254" s="2" t="n">
        <v>0</v>
      </c>
      <c r="R254" s="2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4</v>
      </c>
      <c r="X254" t="n">
        <v>-1</v>
      </c>
      <c r="Y254" t="n">
        <v>1</v>
      </c>
      <c r="Z254" t="n">
        <v>1</v>
      </c>
      <c r="AA254" t="n">
        <v>1</v>
      </c>
      <c r="AB254" t="n">
        <v>124</v>
      </c>
      <c r="AC254" t="inlineStr">
        <is>
          <t>Hello World!</t>
        </is>
      </c>
    </row>
    <row r="255" ht="16" customHeight="1">
      <c r="A255" s="1" t="inlineStr">
        <is>
          <t>43.Blue 2</t>
        </is>
      </c>
      <c r="B255" s="2" t="inlineStr">
        <is>
          <t xml:space="preserve">Tetra Ukav </t>
        </is>
      </c>
      <c r="C255" s="2" t="n">
        <v>43</v>
      </c>
      <c r="D255" s="2" t="inlineStr">
        <is>
          <t>b2</t>
        </is>
      </c>
      <c r="E255" s="2" t="n">
        <v>1507</v>
      </c>
      <c r="F255" s="2" t="n">
        <v>0</v>
      </c>
      <c r="G255" s="2" t="n">
        <v>1</v>
      </c>
      <c r="H255" s="2" t="n">
        <v>0</v>
      </c>
      <c r="I255" s="2" t="n">
        <v>0</v>
      </c>
      <c r="J255" s="2" t="n">
        <v>4</v>
      </c>
      <c r="K255" s="2" t="n">
        <v>1</v>
      </c>
      <c r="L255" s="2" t="n">
        <v>3</v>
      </c>
      <c r="M255" s="2" t="n">
        <v>2</v>
      </c>
      <c r="N255" s="2" t="n">
        <v>1</v>
      </c>
      <c r="O255" s="2" t="n">
        <v>0</v>
      </c>
      <c r="P255" s="2" t="n">
        <v>1</v>
      </c>
      <c r="Q255" s="2" t="n">
        <v>1</v>
      </c>
      <c r="R255" s="2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-1</v>
      </c>
      <c r="Y255" t="n">
        <v>0</v>
      </c>
      <c r="Z255" t="n">
        <v>1</v>
      </c>
      <c r="AA255" t="n">
        <v>1</v>
      </c>
      <c r="AB255" t="n">
        <v>195</v>
      </c>
      <c r="AC255" t="inlineStr">
        <is>
          <t>Hello World!</t>
        </is>
      </c>
    </row>
    <row r="256" ht="16" customHeight="1">
      <c r="A256" s="1" t="inlineStr">
        <is>
          <t>43.Blue 3</t>
        </is>
      </c>
      <c r="B256" s="2" t="inlineStr">
        <is>
          <t>Arthur Sayre</t>
        </is>
      </c>
      <c r="C256" s="2" t="n">
        <v>43</v>
      </c>
      <c r="D256" s="2" t="inlineStr">
        <is>
          <t>b3</t>
        </is>
      </c>
      <c r="E256" s="2" t="n">
        <v>10223</v>
      </c>
      <c r="F256" s="2" t="n">
        <v>0</v>
      </c>
      <c r="G256" s="2" t="n">
        <v>1</v>
      </c>
      <c r="H256" s="2" t="n">
        <v>0</v>
      </c>
      <c r="I256" s="2" t="n">
        <v>-1</v>
      </c>
      <c r="J256" s="2" t="n">
        <v>5</v>
      </c>
      <c r="K256" s="2" t="n">
        <v>2</v>
      </c>
      <c r="L256" s="2" t="n">
        <v>1</v>
      </c>
      <c r="M256" s="2" t="n">
        <v>2</v>
      </c>
      <c r="N256" s="2" t="n">
        <v>0</v>
      </c>
      <c r="O256" s="2" t="n">
        <v>1</v>
      </c>
      <c r="P256" s="2" t="n">
        <v>0</v>
      </c>
      <c r="Q256" s="2" t="n">
        <v>1</v>
      </c>
      <c r="R256" s="2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5</v>
      </c>
      <c r="X256" t="n">
        <v>-1</v>
      </c>
      <c r="Y256" t="n">
        <v>1</v>
      </c>
      <c r="Z256" t="n">
        <v>1</v>
      </c>
      <c r="AA256" t="n">
        <v>1</v>
      </c>
      <c r="AB256" t="n">
        <v>215</v>
      </c>
      <c r="AC256" t="inlineStr">
        <is>
          <t>Hello World!</t>
        </is>
      </c>
    </row>
    <row r="257" ht="16" customHeight="1">
      <c r="A257" s="1" t="inlineStr">
        <is>
          <t>43.Red 1</t>
        </is>
      </c>
      <c r="B257" s="2" t="inlineStr">
        <is>
          <t>Andrew Crawford</t>
        </is>
      </c>
      <c r="C257" s="2" t="n">
        <v>43</v>
      </c>
      <c r="D257" s="2" t="inlineStr">
        <is>
          <t>r1</t>
        </is>
      </c>
      <c r="E257" s="2" t="n">
        <v>6868</v>
      </c>
      <c r="F257" s="2" t="n">
        <v>1</v>
      </c>
      <c r="G257" s="2" t="n">
        <v>1</v>
      </c>
      <c r="H257" s="2" t="n">
        <v>0</v>
      </c>
      <c r="I257" s="2" t="n">
        <v>-1</v>
      </c>
      <c r="J257" s="2" t="n">
        <v>4</v>
      </c>
      <c r="K257" s="2" t="n">
        <v>1</v>
      </c>
      <c r="L257" s="2" t="n">
        <v>2</v>
      </c>
      <c r="M257" s="2" t="n">
        <v>2</v>
      </c>
      <c r="N257" s="2" t="n">
        <v>0</v>
      </c>
      <c r="O257" s="2" t="n">
        <v>1</v>
      </c>
      <c r="P257" s="2" t="n">
        <v>1</v>
      </c>
      <c r="Q257" s="2" t="n">
        <v>1</v>
      </c>
      <c r="R257" s="2" t="n">
        <v>0</v>
      </c>
      <c r="S257" t="n">
        <v>-1</v>
      </c>
      <c r="T257" t="n">
        <v>0</v>
      </c>
      <c r="U257" t="n">
        <v>0</v>
      </c>
      <c r="V257" t="n">
        <v>1</v>
      </c>
      <c r="W257" t="n">
        <v>5</v>
      </c>
      <c r="X257" t="n">
        <v>0</v>
      </c>
      <c r="Y257" t="n">
        <v>1</v>
      </c>
      <c r="Z257" t="n">
        <v>0</v>
      </c>
      <c r="AA257" t="n">
        <v>1</v>
      </c>
      <c r="AB257" t="n">
        <v>62</v>
      </c>
      <c r="AC257" t="inlineStr">
        <is>
          <t>Hello World!</t>
        </is>
      </c>
    </row>
    <row r="258" ht="16" customHeight="1">
      <c r="A258" s="1" t="inlineStr">
        <is>
          <t>43.Red 2</t>
        </is>
      </c>
      <c r="B258" s="2" t="inlineStr">
        <is>
          <t>Ethan Stiffler</t>
        </is>
      </c>
      <c r="C258" s="2" t="n">
        <v>43</v>
      </c>
      <c r="D258" s="2" t="inlineStr">
        <is>
          <t>r2</t>
        </is>
      </c>
      <c r="E258" s="2" t="n">
        <v>5528</v>
      </c>
      <c r="F258" s="2" t="n">
        <v>0</v>
      </c>
      <c r="G258" s="2" t="n">
        <v>1</v>
      </c>
      <c r="H258" s="2" t="n">
        <v>0</v>
      </c>
      <c r="I258" s="2" t="n">
        <v>1</v>
      </c>
      <c r="J258" s="2" t="n">
        <v>3</v>
      </c>
      <c r="K258" s="2" t="n">
        <v>3</v>
      </c>
      <c r="L258" s="2" t="n">
        <v>3</v>
      </c>
      <c r="M258" s="2" t="n">
        <v>1</v>
      </c>
      <c r="N258" s="2" t="n">
        <v>1</v>
      </c>
      <c r="O258" s="2" t="n">
        <v>0</v>
      </c>
      <c r="P258" s="2" t="n">
        <v>0</v>
      </c>
      <c r="Q258" s="2" t="n">
        <v>1</v>
      </c>
      <c r="R258" s="2" t="n">
        <v>1</v>
      </c>
      <c r="S258" t="n">
        <v>1</v>
      </c>
      <c r="T258" t="n">
        <v>1</v>
      </c>
      <c r="U258" t="n">
        <v>0</v>
      </c>
      <c r="V258" t="n">
        <v>0</v>
      </c>
      <c r="W258" t="n">
        <v>4</v>
      </c>
      <c r="X258" t="n">
        <v>0</v>
      </c>
      <c r="Y258" t="n">
        <v>1</v>
      </c>
      <c r="Z258" t="n">
        <v>1</v>
      </c>
      <c r="AA258" t="n">
        <v>0</v>
      </c>
      <c r="AB258" t="n">
        <v>61</v>
      </c>
      <c r="AC258" t="inlineStr">
        <is>
          <t>Hello World!</t>
        </is>
      </c>
    </row>
    <row r="259" ht="16" customHeight="1">
      <c r="A259" s="1" t="inlineStr">
        <is>
          <t>43.Red 3</t>
        </is>
      </c>
      <c r="B259" s="2" t="inlineStr">
        <is>
          <t>Autumn Schoenfeld</t>
        </is>
      </c>
      <c r="C259" s="2" t="n">
        <v>43</v>
      </c>
      <c r="D259" s="2" t="inlineStr">
        <is>
          <t>r3</t>
        </is>
      </c>
      <c r="E259" s="2" t="n">
        <v>432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3</v>
      </c>
      <c r="K259" s="2" t="n">
        <v>3</v>
      </c>
      <c r="L259" s="2" t="n">
        <v>3</v>
      </c>
      <c r="M259" s="2" t="n">
        <v>2</v>
      </c>
      <c r="N259" s="2" t="n">
        <v>0</v>
      </c>
      <c r="O259" s="2" t="n">
        <v>1</v>
      </c>
      <c r="P259" s="2" t="n">
        <v>1</v>
      </c>
      <c r="Q259" s="2" t="n">
        <v>1</v>
      </c>
      <c r="R259" s="2" t="n">
        <v>1</v>
      </c>
      <c r="S259" t="n">
        <v>2</v>
      </c>
      <c r="T259" t="n">
        <v>0</v>
      </c>
      <c r="U259" t="n">
        <v>1</v>
      </c>
      <c r="V259" t="n">
        <v>1</v>
      </c>
      <c r="W259" t="n">
        <v>5</v>
      </c>
      <c r="X259" t="n">
        <v>1</v>
      </c>
      <c r="Y259" t="n">
        <v>0</v>
      </c>
      <c r="Z259" t="n">
        <v>0</v>
      </c>
      <c r="AA259" t="n">
        <v>1</v>
      </c>
      <c r="AB259" t="n">
        <v>186</v>
      </c>
      <c r="AC259" t="inlineStr">
        <is>
          <t>Hello World!</t>
        </is>
      </c>
    </row>
    <row r="260" ht="16" customHeight="1">
      <c r="A260" s="1" t="inlineStr">
        <is>
          <t>44.Blue 1</t>
        </is>
      </c>
      <c r="B260" s="2" t="inlineStr">
        <is>
          <t>Ethan Stiffler</t>
        </is>
      </c>
      <c r="C260" s="2" t="n">
        <v>44</v>
      </c>
      <c r="D260" s="2" t="inlineStr">
        <is>
          <t>b1</t>
        </is>
      </c>
      <c r="E260" s="2" t="n">
        <v>3173</v>
      </c>
      <c r="F260" s="2" t="n">
        <v>0</v>
      </c>
      <c r="G260" s="2" t="n">
        <v>1</v>
      </c>
      <c r="H260" s="2" t="n">
        <v>1</v>
      </c>
      <c r="I260" s="2" t="n">
        <v>1</v>
      </c>
      <c r="J260" s="2" t="n">
        <v>4</v>
      </c>
      <c r="K260" s="2" t="n">
        <v>1</v>
      </c>
      <c r="L260" s="2" t="n">
        <v>2</v>
      </c>
      <c r="M260" s="2" t="n">
        <v>3</v>
      </c>
      <c r="N260" s="2" t="n">
        <v>1</v>
      </c>
      <c r="O260" s="2" t="n">
        <v>0</v>
      </c>
      <c r="P260" s="2" t="n">
        <v>0</v>
      </c>
      <c r="Q260" s="2" t="n">
        <v>0</v>
      </c>
      <c r="R260" s="2" t="n">
        <v>1</v>
      </c>
      <c r="S260" t="n">
        <v>2</v>
      </c>
      <c r="T260" t="n">
        <v>0</v>
      </c>
      <c r="U260" t="n">
        <v>1</v>
      </c>
      <c r="V260" t="n">
        <v>0</v>
      </c>
      <c r="W260" t="n">
        <v>5</v>
      </c>
      <c r="X260" t="n">
        <v>-1</v>
      </c>
      <c r="Y260" t="n">
        <v>0</v>
      </c>
      <c r="Z260" t="n">
        <v>1</v>
      </c>
      <c r="AA260" t="n">
        <v>0</v>
      </c>
      <c r="AB260" t="n">
        <v>280</v>
      </c>
      <c r="AC260" t="inlineStr">
        <is>
          <t>Hello World!</t>
        </is>
      </c>
    </row>
    <row r="261" ht="16" customHeight="1">
      <c r="A261" s="1" t="inlineStr">
        <is>
          <t>44.Blue 2</t>
        </is>
      </c>
      <c r="B261" s="2" t="inlineStr">
        <is>
          <t>Eli Harrison</t>
        </is>
      </c>
      <c r="C261" s="2" t="n">
        <v>44</v>
      </c>
      <c r="D261" s="2" t="inlineStr">
        <is>
          <t>b2</t>
        </is>
      </c>
      <c r="E261" s="2" t="n">
        <v>3181</v>
      </c>
      <c r="F261" s="2" t="n">
        <v>0</v>
      </c>
      <c r="G261" s="2" t="n">
        <v>0</v>
      </c>
      <c r="H261" s="2" t="n">
        <v>0</v>
      </c>
      <c r="I261" s="2" t="n">
        <v>-1</v>
      </c>
      <c r="J261" s="2" t="n">
        <v>5</v>
      </c>
      <c r="K261" s="2" t="n">
        <v>3</v>
      </c>
      <c r="L261" s="2" t="n">
        <v>2</v>
      </c>
      <c r="M261" s="2" t="n">
        <v>4</v>
      </c>
      <c r="N261" s="2" t="n">
        <v>0</v>
      </c>
      <c r="O261" s="2" t="n">
        <v>1</v>
      </c>
      <c r="P261" s="2" t="n">
        <v>0</v>
      </c>
      <c r="Q261" s="2" t="n">
        <v>0</v>
      </c>
      <c r="R261" s="2" t="n">
        <v>1</v>
      </c>
      <c r="S261" t="n">
        <v>3</v>
      </c>
      <c r="T261" t="n">
        <v>1</v>
      </c>
      <c r="U261" t="n">
        <v>1</v>
      </c>
      <c r="V261" t="n">
        <v>1</v>
      </c>
      <c r="W261" t="n">
        <v>2</v>
      </c>
      <c r="X261" t="n">
        <v>0</v>
      </c>
      <c r="Y261" t="n">
        <v>0</v>
      </c>
      <c r="Z261" t="n">
        <v>0</v>
      </c>
      <c r="AA261" t="n">
        <v>1</v>
      </c>
      <c r="AB261" t="n">
        <v>108</v>
      </c>
      <c r="AC261" t="inlineStr">
        <is>
          <t>Hello World!</t>
        </is>
      </c>
    </row>
    <row r="262" ht="16" customHeight="1">
      <c r="A262" s="1" t="inlineStr">
        <is>
          <t>44.Blue 3</t>
        </is>
      </c>
      <c r="B262" s="2" t="inlineStr">
        <is>
          <t>Matthew Mazzota</t>
        </is>
      </c>
      <c r="C262" s="2" t="n">
        <v>44</v>
      </c>
      <c r="D262" s="2" t="inlineStr">
        <is>
          <t>b3</t>
        </is>
      </c>
      <c r="E262" s="2" t="n">
        <v>325</v>
      </c>
      <c r="F262" s="2" t="n">
        <v>1</v>
      </c>
      <c r="G262" s="2" t="n">
        <v>1</v>
      </c>
      <c r="H262" s="2" t="n">
        <v>1</v>
      </c>
      <c r="I262" s="2" t="n">
        <v>1</v>
      </c>
      <c r="J262" s="2" t="n">
        <v>2</v>
      </c>
      <c r="K262" s="2" t="n">
        <v>2</v>
      </c>
      <c r="L262" s="2" t="n">
        <v>2</v>
      </c>
      <c r="M262" s="2" t="n">
        <v>5</v>
      </c>
      <c r="N262" s="2" t="n">
        <v>1</v>
      </c>
      <c r="O262" s="2" t="n">
        <v>0</v>
      </c>
      <c r="P262" s="2" t="n">
        <v>1</v>
      </c>
      <c r="Q262" s="2" t="n">
        <v>1</v>
      </c>
      <c r="R262" s="2" t="n">
        <v>1</v>
      </c>
      <c r="S262" t="n">
        <v>2</v>
      </c>
      <c r="T262" t="n">
        <v>1</v>
      </c>
      <c r="U262" t="n">
        <v>0</v>
      </c>
      <c r="V262" t="n">
        <v>1</v>
      </c>
      <c r="W262" t="n">
        <v>4</v>
      </c>
      <c r="X262" t="n">
        <v>-1</v>
      </c>
      <c r="Y262" t="n">
        <v>0</v>
      </c>
      <c r="Z262" t="n">
        <v>0</v>
      </c>
      <c r="AA262" t="n">
        <v>0</v>
      </c>
      <c r="AB262" t="n">
        <v>102</v>
      </c>
      <c r="AC262" t="inlineStr">
        <is>
          <t>Hello World!</t>
        </is>
      </c>
    </row>
    <row r="263" ht="16" customHeight="1">
      <c r="A263" s="1" t="inlineStr">
        <is>
          <t>44.Red 1</t>
        </is>
      </c>
      <c r="B263" s="2" t="inlineStr">
        <is>
          <t>Dean Blanchard</t>
        </is>
      </c>
      <c r="C263" s="2" t="n">
        <v>44</v>
      </c>
      <c r="D263" s="2" t="inlineStr">
        <is>
          <t>r1</t>
        </is>
      </c>
      <c r="E263" s="2" t="n">
        <v>1518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1</v>
      </c>
      <c r="K263" s="2" t="n">
        <v>1</v>
      </c>
      <c r="L263" s="2" t="n">
        <v>1</v>
      </c>
      <c r="M263" s="2" t="n">
        <v>5</v>
      </c>
      <c r="N263" s="2" t="n">
        <v>1</v>
      </c>
      <c r="O263" s="2" t="n">
        <v>0</v>
      </c>
      <c r="P263" s="2" t="n">
        <v>1</v>
      </c>
      <c r="Q263" s="2" t="n">
        <v>1</v>
      </c>
      <c r="R263" s="2" t="n">
        <v>1</v>
      </c>
      <c r="S263" t="n">
        <v>3</v>
      </c>
      <c r="T263" t="n">
        <v>1</v>
      </c>
      <c r="U263" t="n">
        <v>0</v>
      </c>
      <c r="V263" t="n">
        <v>1</v>
      </c>
      <c r="W263" t="n">
        <v>5</v>
      </c>
      <c r="X263" t="n">
        <v>-1</v>
      </c>
      <c r="Y263" t="n">
        <v>1</v>
      </c>
      <c r="Z263" t="n">
        <v>0</v>
      </c>
      <c r="AA263" t="n">
        <v>1</v>
      </c>
      <c r="AB263" t="n">
        <v>52</v>
      </c>
      <c r="AC263" t="inlineStr">
        <is>
          <t>Hello World!</t>
        </is>
      </c>
    </row>
    <row r="264" ht="16" customHeight="1">
      <c r="A264" s="1" t="inlineStr">
        <is>
          <t>44.Red 2</t>
        </is>
      </c>
      <c r="B264" s="2" t="inlineStr">
        <is>
          <t>Madison DeCicca</t>
        </is>
      </c>
      <c r="C264" s="2" t="n">
        <v>44</v>
      </c>
      <c r="D264" s="2" t="inlineStr">
        <is>
          <t>r2</t>
        </is>
      </c>
      <c r="E264" s="2" t="n">
        <v>6947</v>
      </c>
      <c r="F264" s="2" t="n">
        <v>0</v>
      </c>
      <c r="G264" s="2" t="n">
        <v>0</v>
      </c>
      <c r="H264" s="2" t="n">
        <v>1</v>
      </c>
      <c r="I264" s="2" t="n">
        <v>1</v>
      </c>
      <c r="J264" s="2" t="n">
        <v>4</v>
      </c>
      <c r="K264" s="2" t="n">
        <v>3</v>
      </c>
      <c r="L264" s="2" t="n">
        <v>3</v>
      </c>
      <c r="M264" s="2" t="n">
        <v>3</v>
      </c>
      <c r="N264" s="2" t="n">
        <v>0</v>
      </c>
      <c r="O264" s="2" t="n">
        <v>1</v>
      </c>
      <c r="P264" s="2" t="n">
        <v>1</v>
      </c>
      <c r="Q264" s="2" t="n">
        <v>0</v>
      </c>
      <c r="R264" s="2" t="n">
        <v>0</v>
      </c>
      <c r="S264" t="n">
        <v>3</v>
      </c>
      <c r="T264" t="n">
        <v>0</v>
      </c>
      <c r="U264" t="n">
        <v>1</v>
      </c>
      <c r="V264" t="n">
        <v>0</v>
      </c>
      <c r="W264" t="n">
        <v>4</v>
      </c>
      <c r="X264" t="n">
        <v>1</v>
      </c>
      <c r="Y264" t="n">
        <v>1</v>
      </c>
      <c r="Z264" t="n">
        <v>0</v>
      </c>
      <c r="AA264" t="n">
        <v>0</v>
      </c>
      <c r="AB264" t="n">
        <v>292</v>
      </c>
      <c r="AC264" t="inlineStr">
        <is>
          <t>Hello World!</t>
        </is>
      </c>
    </row>
    <row r="265" ht="16" customHeight="1">
      <c r="A265" s="1" t="inlineStr">
        <is>
          <t>44.Red 3</t>
        </is>
      </c>
      <c r="B265" s="2" t="inlineStr">
        <is>
          <t>Jonah WoikaKai Wilbur</t>
        </is>
      </c>
      <c r="C265" s="2" t="n">
        <v>44</v>
      </c>
      <c r="D265" s="2" t="inlineStr">
        <is>
          <t>r3</t>
        </is>
      </c>
      <c r="E265" s="2" t="n">
        <v>694</v>
      </c>
      <c r="F265" s="2" t="n">
        <v>0</v>
      </c>
      <c r="G265" s="2" t="n">
        <v>1</v>
      </c>
      <c r="H265" s="2" t="n">
        <v>0</v>
      </c>
      <c r="I265" s="2" t="n">
        <v>1</v>
      </c>
      <c r="J265" s="2" t="n">
        <v>4</v>
      </c>
      <c r="K265" s="2" t="n">
        <v>1</v>
      </c>
      <c r="L265" s="2" t="n">
        <v>2</v>
      </c>
      <c r="M265" s="2" t="n">
        <v>3</v>
      </c>
      <c r="N265" s="2" t="n">
        <v>1</v>
      </c>
      <c r="O265" s="2" t="n">
        <v>1</v>
      </c>
      <c r="P265" s="2" t="n">
        <v>1</v>
      </c>
      <c r="Q265" s="2" t="n">
        <v>0</v>
      </c>
      <c r="R265" s="2" t="n">
        <v>0</v>
      </c>
      <c r="S265" t="n">
        <v>2</v>
      </c>
      <c r="T265" t="n">
        <v>0</v>
      </c>
      <c r="U265" t="n">
        <v>0</v>
      </c>
      <c r="V265" t="n">
        <v>1</v>
      </c>
      <c r="W265" t="n">
        <v>3</v>
      </c>
      <c r="X265" t="n">
        <v>-1</v>
      </c>
      <c r="Y265" t="n">
        <v>0</v>
      </c>
      <c r="Z265" t="n">
        <v>1</v>
      </c>
      <c r="AA265" t="n">
        <v>0</v>
      </c>
      <c r="AB265" t="n">
        <v>115</v>
      </c>
      <c r="AC265" t="inlineStr">
        <is>
          <t>Hello World!</t>
        </is>
      </c>
    </row>
    <row r="266" ht="16" customHeight="1">
      <c r="A266" s="1" t="inlineStr">
        <is>
          <t>45.Blue 1</t>
        </is>
      </c>
      <c r="B266" s="2" t="inlineStr">
        <is>
          <t xml:space="preserve">Tyler Hignett </t>
        </is>
      </c>
      <c r="C266" s="2" t="n">
        <v>45</v>
      </c>
      <c r="D266" s="2" t="inlineStr">
        <is>
          <t>b1</t>
        </is>
      </c>
      <c r="E266" s="2" t="n">
        <v>4930</v>
      </c>
      <c r="F266" s="2" t="n">
        <v>0</v>
      </c>
      <c r="G266" s="2" t="n">
        <v>1</v>
      </c>
      <c r="H266" s="2" t="n">
        <v>1</v>
      </c>
      <c r="I266" s="2" t="n">
        <v>0</v>
      </c>
      <c r="J266" s="2" t="n">
        <v>3</v>
      </c>
      <c r="K266" s="2" t="n">
        <v>3</v>
      </c>
      <c r="L266" s="2" t="n">
        <v>2</v>
      </c>
      <c r="M266" s="2" t="n">
        <v>3</v>
      </c>
      <c r="N266" s="2" t="n">
        <v>1</v>
      </c>
      <c r="O266" s="2" t="n">
        <v>0</v>
      </c>
      <c r="P266" s="2" t="n">
        <v>1</v>
      </c>
      <c r="Q266" s="2" t="n">
        <v>0</v>
      </c>
      <c r="R266" s="2" t="n">
        <v>1</v>
      </c>
      <c r="S266" t="n">
        <v>3</v>
      </c>
      <c r="T266" t="n">
        <v>1</v>
      </c>
      <c r="U266" t="n">
        <v>0</v>
      </c>
      <c r="V266" t="n">
        <v>1</v>
      </c>
      <c r="W266" t="n">
        <v>5</v>
      </c>
      <c r="X266" t="n">
        <v>0</v>
      </c>
      <c r="Y266" t="n">
        <v>0</v>
      </c>
      <c r="Z266" t="n">
        <v>0</v>
      </c>
      <c r="AA266" t="n">
        <v>1</v>
      </c>
      <c r="AB266" t="n">
        <v>86</v>
      </c>
      <c r="AC266" t="inlineStr">
        <is>
          <t>Hello World!</t>
        </is>
      </c>
    </row>
    <row r="267" ht="16" customHeight="1">
      <c r="A267" s="1" t="inlineStr">
        <is>
          <t>45.Blue 2</t>
        </is>
      </c>
      <c r="B267" s="2" t="inlineStr">
        <is>
          <t>Dean Blanchard</t>
        </is>
      </c>
      <c r="C267" s="2" t="n">
        <v>45</v>
      </c>
      <c r="D267" s="2" t="inlineStr">
        <is>
          <t>b2</t>
        </is>
      </c>
      <c r="E267" s="2" t="n">
        <v>1591</v>
      </c>
      <c r="F267" s="2" t="n">
        <v>1</v>
      </c>
      <c r="G267" s="2" t="n">
        <v>1</v>
      </c>
      <c r="H267" s="2" t="n">
        <v>0</v>
      </c>
      <c r="I267" s="2" t="n">
        <v>-1</v>
      </c>
      <c r="J267" s="2" t="n">
        <v>3</v>
      </c>
      <c r="K267" s="2" t="n">
        <v>3</v>
      </c>
      <c r="L267" s="2" t="n">
        <v>3</v>
      </c>
      <c r="M267" s="2" t="n">
        <v>4</v>
      </c>
      <c r="N267" s="2" t="n">
        <v>1</v>
      </c>
      <c r="O267" s="2" t="n">
        <v>1</v>
      </c>
      <c r="P267" s="2" t="n">
        <v>0</v>
      </c>
      <c r="Q267" s="2" t="n">
        <v>0</v>
      </c>
      <c r="R267" s="2" t="n">
        <v>1</v>
      </c>
      <c r="S267" t="n">
        <v>3</v>
      </c>
      <c r="T267" t="n">
        <v>0</v>
      </c>
      <c r="U267" t="n">
        <v>0</v>
      </c>
      <c r="V267" t="n">
        <v>0</v>
      </c>
      <c r="W267" t="n">
        <v>2</v>
      </c>
      <c r="X267" t="n">
        <v>1</v>
      </c>
      <c r="Y267" t="n">
        <v>0</v>
      </c>
      <c r="Z267" t="n">
        <v>1</v>
      </c>
      <c r="AA267" t="n">
        <v>0</v>
      </c>
      <c r="AB267" t="n">
        <v>255</v>
      </c>
      <c r="AC267" t="inlineStr">
        <is>
          <t>Hello World!</t>
        </is>
      </c>
    </row>
    <row r="268" ht="16" customHeight="1">
      <c r="A268" s="1" t="inlineStr">
        <is>
          <t>45.Blue 3</t>
        </is>
      </c>
      <c r="B268" s="2" t="inlineStr">
        <is>
          <t>Carter Silva</t>
        </is>
      </c>
      <c r="C268" s="2" t="n">
        <v>45</v>
      </c>
      <c r="D268" s="2" t="inlineStr">
        <is>
          <t>b3</t>
        </is>
      </c>
      <c r="E268" s="2" t="n">
        <v>7903</v>
      </c>
      <c r="F268" s="2" t="n">
        <v>1</v>
      </c>
      <c r="G268" s="2" t="n">
        <v>0</v>
      </c>
      <c r="H268" s="2" t="n">
        <v>0</v>
      </c>
      <c r="I268" s="2" t="n">
        <v>-1</v>
      </c>
      <c r="J268" s="2" t="n">
        <v>4</v>
      </c>
      <c r="K268" s="2" t="n">
        <v>2</v>
      </c>
      <c r="L268" s="2" t="n">
        <v>3</v>
      </c>
      <c r="M268" s="2" t="n">
        <v>3</v>
      </c>
      <c r="N268" s="2" t="n">
        <v>1</v>
      </c>
      <c r="O268" s="2" t="n">
        <v>1</v>
      </c>
      <c r="P268" s="2" t="n">
        <v>0</v>
      </c>
      <c r="Q268" s="2" t="n">
        <v>0</v>
      </c>
      <c r="R268" s="2" t="n">
        <v>0</v>
      </c>
      <c r="S268" t="n">
        <v>3</v>
      </c>
      <c r="T268" t="n">
        <v>0</v>
      </c>
      <c r="U268" t="n">
        <v>1</v>
      </c>
      <c r="V268" t="n">
        <v>0</v>
      </c>
      <c r="W268" t="n">
        <v>2</v>
      </c>
      <c r="X268" t="n">
        <v>0</v>
      </c>
      <c r="Y268" t="n">
        <v>1</v>
      </c>
      <c r="Z268" t="n">
        <v>1</v>
      </c>
      <c r="AA268" t="n">
        <v>1</v>
      </c>
      <c r="AB268" t="n">
        <v>14</v>
      </c>
      <c r="AC268" t="inlineStr">
        <is>
          <t>Hello World!</t>
        </is>
      </c>
    </row>
    <row r="269" ht="16" customHeight="1">
      <c r="A269" s="1" t="inlineStr">
        <is>
          <t>45.Red 1</t>
        </is>
      </c>
      <c r="B269" s="2" t="inlineStr">
        <is>
          <t>Ethan Stiffler</t>
        </is>
      </c>
      <c r="C269" s="2" t="n">
        <v>45</v>
      </c>
      <c r="D269" s="2" t="inlineStr">
        <is>
          <t>r1</t>
        </is>
      </c>
      <c r="E269" s="2" t="n">
        <v>1126</v>
      </c>
      <c r="F269" s="2" t="n">
        <v>0</v>
      </c>
      <c r="G269" s="2" t="n">
        <v>0</v>
      </c>
      <c r="H269" s="2" t="n">
        <v>0</v>
      </c>
      <c r="I269" s="2" t="n">
        <v>-1</v>
      </c>
      <c r="J269" s="2" t="n">
        <v>4</v>
      </c>
      <c r="K269" s="2" t="n">
        <v>2</v>
      </c>
      <c r="L269" s="2" t="n">
        <v>1</v>
      </c>
      <c r="M269" s="2" t="n">
        <v>5</v>
      </c>
      <c r="N269" s="2" t="n">
        <v>0</v>
      </c>
      <c r="O269" s="2" t="n">
        <v>1</v>
      </c>
      <c r="P269" s="2" t="n">
        <v>1</v>
      </c>
      <c r="Q269" s="2" t="n">
        <v>1</v>
      </c>
      <c r="R269" s="2" t="n">
        <v>1</v>
      </c>
      <c r="S269" t="n">
        <v>3</v>
      </c>
      <c r="T269" t="n">
        <v>1</v>
      </c>
      <c r="U269" t="n">
        <v>1</v>
      </c>
      <c r="V269" t="n">
        <v>0</v>
      </c>
      <c r="W269" t="n">
        <v>5</v>
      </c>
      <c r="X269" t="n">
        <v>0</v>
      </c>
      <c r="Y269" t="n">
        <v>1</v>
      </c>
      <c r="Z269" t="n">
        <v>1</v>
      </c>
      <c r="AA269" t="n">
        <v>0</v>
      </c>
      <c r="AB269" t="n">
        <v>26</v>
      </c>
      <c r="AC269" t="inlineStr">
        <is>
          <t>Hello World!</t>
        </is>
      </c>
    </row>
    <row r="270" ht="16" customHeight="1">
      <c r="A270" s="1" t="inlineStr">
        <is>
          <t>45.Red 2</t>
        </is>
      </c>
      <c r="B270" s="2" t="inlineStr">
        <is>
          <t>Celton Norter</t>
        </is>
      </c>
      <c r="C270" s="2" t="n">
        <v>45</v>
      </c>
      <c r="D270" s="2" t="inlineStr">
        <is>
          <t>r2</t>
        </is>
      </c>
      <c r="E270" s="2" t="n">
        <v>3799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2</v>
      </c>
      <c r="K270" s="2" t="n">
        <v>1</v>
      </c>
      <c r="L270" s="2" t="n">
        <v>3</v>
      </c>
      <c r="M270" s="2" t="n">
        <v>3</v>
      </c>
      <c r="N270" s="2" t="n">
        <v>1</v>
      </c>
      <c r="O270" s="2" t="n">
        <v>0</v>
      </c>
      <c r="P270" s="2" t="n">
        <v>0</v>
      </c>
      <c r="Q270" s="2" t="n">
        <v>1</v>
      </c>
      <c r="R270" s="2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3</v>
      </c>
      <c r="X270" t="n">
        <v>1</v>
      </c>
      <c r="Y270" t="n">
        <v>1</v>
      </c>
      <c r="Z270" t="n">
        <v>1</v>
      </c>
      <c r="AA270" t="n">
        <v>0</v>
      </c>
      <c r="AB270" t="n">
        <v>213</v>
      </c>
      <c r="AC270" t="inlineStr">
        <is>
          <t>Hello World!</t>
        </is>
      </c>
    </row>
    <row r="271" ht="16" customHeight="1">
      <c r="A271" s="1" t="inlineStr">
        <is>
          <t>45.Red 3</t>
        </is>
      </c>
      <c r="B271" s="2" t="inlineStr">
        <is>
          <t>Jonah WoikaKai Wilbur</t>
        </is>
      </c>
      <c r="C271" s="2" t="n">
        <v>45</v>
      </c>
      <c r="D271" s="2" t="inlineStr">
        <is>
          <t>r3</t>
        </is>
      </c>
      <c r="E271" s="2" t="n">
        <v>810</v>
      </c>
      <c r="F271" s="2" t="n">
        <v>0</v>
      </c>
      <c r="G271" s="2" t="n">
        <v>0</v>
      </c>
      <c r="H271" s="2" t="n">
        <v>1</v>
      </c>
      <c r="I271" s="2" t="n">
        <v>1</v>
      </c>
      <c r="J271" s="2" t="n">
        <v>4</v>
      </c>
      <c r="K271" s="2" t="n">
        <v>1</v>
      </c>
      <c r="L271" s="2" t="n">
        <v>3</v>
      </c>
      <c r="M271" s="2" t="n">
        <v>4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1</v>
      </c>
      <c r="S271" t="n">
        <v>2</v>
      </c>
      <c r="T271" t="n">
        <v>0</v>
      </c>
      <c r="U271" t="n">
        <v>0</v>
      </c>
      <c r="V271" t="n">
        <v>1</v>
      </c>
      <c r="W271" t="n">
        <v>4</v>
      </c>
      <c r="X271" t="n">
        <v>-1</v>
      </c>
      <c r="Y271" t="n">
        <v>0</v>
      </c>
      <c r="Z271" t="n">
        <v>0</v>
      </c>
      <c r="AA271" t="n">
        <v>0</v>
      </c>
      <c r="AB271" t="n">
        <v>50</v>
      </c>
      <c r="AC271" t="inlineStr">
        <is>
          <t>Hello World!</t>
        </is>
      </c>
    </row>
    <row r="272" ht="16" customHeight="1">
      <c r="A272" s="1" t="inlineStr">
        <is>
          <t>46.Blue 1</t>
        </is>
      </c>
      <c r="B272" s="2" t="inlineStr">
        <is>
          <t>Celton Norter</t>
        </is>
      </c>
      <c r="C272" s="2" t="n">
        <v>46</v>
      </c>
      <c r="D272" s="2" t="inlineStr">
        <is>
          <t>b1</t>
        </is>
      </c>
      <c r="E272" s="2" t="n">
        <v>639</v>
      </c>
      <c r="F272" s="2" t="n">
        <v>1</v>
      </c>
      <c r="G272" s="2" t="n">
        <v>1</v>
      </c>
      <c r="H272" s="2" t="n">
        <v>0</v>
      </c>
      <c r="I272" s="2" t="n">
        <v>-1</v>
      </c>
      <c r="J272" s="2" t="n">
        <v>4</v>
      </c>
      <c r="K272" s="2" t="n">
        <v>3</v>
      </c>
      <c r="L272" s="2" t="n">
        <v>2</v>
      </c>
      <c r="M272" s="2" t="n">
        <v>1</v>
      </c>
      <c r="N272" s="2" t="n">
        <v>0</v>
      </c>
      <c r="O272" s="2" t="n">
        <v>1</v>
      </c>
      <c r="P272" s="2" t="n">
        <v>0</v>
      </c>
      <c r="Q272" s="2" t="n">
        <v>1</v>
      </c>
      <c r="R272" s="2" t="n">
        <v>0</v>
      </c>
      <c r="S272" t="n">
        <v>3</v>
      </c>
      <c r="T272" t="n">
        <v>0</v>
      </c>
      <c r="U272" t="n">
        <v>1</v>
      </c>
      <c r="V272" t="n">
        <v>1</v>
      </c>
      <c r="W272" t="n">
        <v>2</v>
      </c>
      <c r="X272" t="n">
        <v>0</v>
      </c>
      <c r="Y272" t="n">
        <v>1</v>
      </c>
      <c r="Z272" t="n">
        <v>0</v>
      </c>
      <c r="AA272" t="n">
        <v>0</v>
      </c>
      <c r="AB272" t="n">
        <v>145</v>
      </c>
      <c r="AC272" t="inlineStr">
        <is>
          <t>Hello World!</t>
        </is>
      </c>
    </row>
    <row r="273" ht="16" customHeight="1">
      <c r="A273" s="1" t="inlineStr">
        <is>
          <t>46.Blue 2</t>
        </is>
      </c>
      <c r="B273" s="2" t="inlineStr">
        <is>
          <t xml:space="preserve">Tyler Hignett </t>
        </is>
      </c>
      <c r="C273" s="2" t="n">
        <v>46</v>
      </c>
      <c r="D273" s="2" t="inlineStr">
        <is>
          <t>b2</t>
        </is>
      </c>
      <c r="E273" s="2" t="n">
        <v>353</v>
      </c>
      <c r="F273" s="2" t="n">
        <v>1</v>
      </c>
      <c r="G273" s="2" t="n">
        <v>0</v>
      </c>
      <c r="H273" s="2" t="n">
        <v>1</v>
      </c>
      <c r="I273" s="2" t="n">
        <v>0</v>
      </c>
      <c r="J273" s="2" t="n">
        <v>5</v>
      </c>
      <c r="K273" s="2" t="n">
        <v>3</v>
      </c>
      <c r="L273" s="2" t="n">
        <v>3</v>
      </c>
      <c r="M273" s="2" t="n">
        <v>2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3</v>
      </c>
      <c r="X273" t="n">
        <v>0</v>
      </c>
      <c r="Y273" t="n">
        <v>1</v>
      </c>
      <c r="Z273" t="n">
        <v>1</v>
      </c>
      <c r="AA273" t="n">
        <v>1</v>
      </c>
      <c r="AB273" t="n">
        <v>18</v>
      </c>
      <c r="AC273" t="inlineStr">
        <is>
          <t>Hello World!</t>
        </is>
      </c>
    </row>
    <row r="274" ht="16" customHeight="1">
      <c r="A274" s="1" t="inlineStr">
        <is>
          <t>46.Blue 3</t>
        </is>
      </c>
      <c r="B274" s="2" t="inlineStr">
        <is>
          <t>Colby Jackson</t>
        </is>
      </c>
      <c r="C274" s="2" t="n">
        <v>46</v>
      </c>
      <c r="D274" s="2" t="inlineStr">
        <is>
          <t>b3</t>
        </is>
      </c>
      <c r="E274" s="2" t="n">
        <v>3003</v>
      </c>
      <c r="F274" s="2" t="n">
        <v>0</v>
      </c>
      <c r="G274" s="2" t="n">
        <v>0</v>
      </c>
      <c r="H274" s="2" t="n">
        <v>0</v>
      </c>
      <c r="I274" s="2" t="n">
        <v>-1</v>
      </c>
      <c r="J274" s="2" t="n">
        <v>1</v>
      </c>
      <c r="K274" s="2" t="n">
        <v>1</v>
      </c>
      <c r="L274" s="2" t="n">
        <v>3</v>
      </c>
      <c r="M274" s="2" t="n">
        <v>4</v>
      </c>
      <c r="N274" s="2" t="n">
        <v>1</v>
      </c>
      <c r="O274" s="2" t="n">
        <v>1</v>
      </c>
      <c r="P274" s="2" t="n">
        <v>1</v>
      </c>
      <c r="Q274" s="2" t="n">
        <v>1</v>
      </c>
      <c r="R274" s="2" t="n">
        <v>0</v>
      </c>
      <c r="S274" t="n">
        <v>3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0</v>
      </c>
      <c r="AB274" t="n">
        <v>252</v>
      </c>
      <c r="AC274" t="inlineStr">
        <is>
          <t>Hello World!</t>
        </is>
      </c>
    </row>
    <row r="275" ht="16" customHeight="1">
      <c r="A275" s="1" t="inlineStr">
        <is>
          <t>46.Red 1</t>
        </is>
      </c>
      <c r="B275" s="2" t="inlineStr">
        <is>
          <t>Dean Blanchard</t>
        </is>
      </c>
      <c r="C275" s="2" t="n">
        <v>46</v>
      </c>
      <c r="D275" s="2" t="inlineStr">
        <is>
          <t>r1</t>
        </is>
      </c>
      <c r="E275" s="2" t="n">
        <v>1405</v>
      </c>
      <c r="F275" s="2" t="n">
        <v>0</v>
      </c>
      <c r="G275" s="2" t="n">
        <v>0</v>
      </c>
      <c r="H275" s="2" t="n">
        <v>1</v>
      </c>
      <c r="I275" s="2" t="n">
        <v>0</v>
      </c>
      <c r="J275" s="2" t="n">
        <v>4</v>
      </c>
      <c r="K275" s="2" t="n">
        <v>3</v>
      </c>
      <c r="L275" s="2" t="n">
        <v>3</v>
      </c>
      <c r="M275" s="2" t="n">
        <v>4</v>
      </c>
      <c r="N275" s="2" t="n">
        <v>1</v>
      </c>
      <c r="O275" s="2" t="n">
        <v>0</v>
      </c>
      <c r="P275" s="2" t="n">
        <v>1</v>
      </c>
      <c r="Q275" s="2" t="n">
        <v>1</v>
      </c>
      <c r="R275" s="2" t="n">
        <v>0</v>
      </c>
      <c r="S275" t="n">
        <v>2</v>
      </c>
      <c r="T275" t="n">
        <v>0</v>
      </c>
      <c r="U275" t="n">
        <v>1</v>
      </c>
      <c r="V275" t="n">
        <v>0</v>
      </c>
      <c r="W275" t="n">
        <v>2</v>
      </c>
      <c r="X275" t="n">
        <v>1</v>
      </c>
      <c r="Y275" t="n">
        <v>1</v>
      </c>
      <c r="Z275" t="n">
        <v>1</v>
      </c>
      <c r="AA275" t="n">
        <v>0</v>
      </c>
      <c r="AB275" t="n">
        <v>112</v>
      </c>
      <c r="AC275" t="inlineStr">
        <is>
          <t>Hello World!</t>
        </is>
      </c>
    </row>
    <row r="276" ht="16" customHeight="1">
      <c r="A276" s="1" t="inlineStr">
        <is>
          <t>46.Red 2</t>
        </is>
      </c>
      <c r="B276" s="2" t="inlineStr">
        <is>
          <t>Arthur Sayre</t>
        </is>
      </c>
      <c r="C276" s="2" t="n">
        <v>46</v>
      </c>
      <c r="D276" s="2" t="inlineStr">
        <is>
          <t>r2</t>
        </is>
      </c>
      <c r="E276" s="2" t="n">
        <v>8503</v>
      </c>
      <c r="F276" s="2" t="n">
        <v>1</v>
      </c>
      <c r="G276" s="2" t="n">
        <v>1</v>
      </c>
      <c r="H276" s="2" t="n">
        <v>0</v>
      </c>
      <c r="I276" s="2" t="n">
        <v>0</v>
      </c>
      <c r="J276" s="2" t="n">
        <v>5</v>
      </c>
      <c r="K276" s="2" t="n">
        <v>1</v>
      </c>
      <c r="L276" s="2" t="n">
        <v>2</v>
      </c>
      <c r="M276" s="2" t="n">
        <v>3</v>
      </c>
      <c r="N276" s="2" t="n">
        <v>0</v>
      </c>
      <c r="O276" s="2" t="n">
        <v>1</v>
      </c>
      <c r="P276" s="2" t="n">
        <v>0</v>
      </c>
      <c r="Q276" s="2" t="n">
        <v>0</v>
      </c>
      <c r="R276" s="2" t="n">
        <v>1</v>
      </c>
      <c r="S276" t="n">
        <v>0</v>
      </c>
      <c r="T276" t="n">
        <v>1</v>
      </c>
      <c r="U276" t="n">
        <v>1</v>
      </c>
      <c r="V276" t="n">
        <v>1</v>
      </c>
      <c r="W276" t="n">
        <v>5</v>
      </c>
      <c r="X276" t="n">
        <v>-1</v>
      </c>
      <c r="Y276" t="n">
        <v>1</v>
      </c>
      <c r="Z276" t="n">
        <v>1</v>
      </c>
      <c r="AA276" t="n">
        <v>0</v>
      </c>
      <c r="AB276" t="n">
        <v>298</v>
      </c>
      <c r="AC276" t="inlineStr">
        <is>
          <t>Hello World!</t>
        </is>
      </c>
    </row>
    <row r="277" ht="16" customHeight="1">
      <c r="A277" s="1" t="inlineStr">
        <is>
          <t>46.Red 3</t>
        </is>
      </c>
      <c r="B277" s="2" t="inlineStr">
        <is>
          <t>Amanah Obaji</t>
        </is>
      </c>
      <c r="C277" s="2" t="n">
        <v>46</v>
      </c>
      <c r="D277" s="2" t="inlineStr">
        <is>
          <t>r3</t>
        </is>
      </c>
      <c r="E277" s="2" t="n">
        <v>6423</v>
      </c>
      <c r="F277" s="2" t="n">
        <v>1</v>
      </c>
      <c r="G277" s="2" t="n">
        <v>1</v>
      </c>
      <c r="H277" s="2" t="n">
        <v>1</v>
      </c>
      <c r="I277" s="2" t="n">
        <v>0</v>
      </c>
      <c r="J277" s="2" t="n">
        <v>4</v>
      </c>
      <c r="K277" s="2" t="n">
        <v>2</v>
      </c>
      <c r="L277" s="2" t="n">
        <v>2</v>
      </c>
      <c r="M277" s="2" t="n">
        <v>5</v>
      </c>
      <c r="N277" s="2" t="n">
        <v>0</v>
      </c>
      <c r="O277" s="2" t="n">
        <v>1</v>
      </c>
      <c r="P277" s="2" t="n">
        <v>0</v>
      </c>
      <c r="Q277" s="2" t="n">
        <v>1</v>
      </c>
      <c r="R277" s="2" t="n">
        <v>1</v>
      </c>
      <c r="S277" t="n">
        <v>1</v>
      </c>
      <c r="T277" t="n">
        <v>1</v>
      </c>
      <c r="U277" t="n">
        <v>0</v>
      </c>
      <c r="V277" t="n">
        <v>1</v>
      </c>
      <c r="W277" t="n">
        <v>4</v>
      </c>
      <c r="X277" t="n">
        <v>1</v>
      </c>
      <c r="Y277" t="n">
        <v>1</v>
      </c>
      <c r="Z277" t="n">
        <v>1</v>
      </c>
      <c r="AA277" t="n">
        <v>1</v>
      </c>
      <c r="AB277" t="n">
        <v>69</v>
      </c>
      <c r="AC277" t="inlineStr">
        <is>
          <t>Hello World!</t>
        </is>
      </c>
    </row>
    <row r="278" ht="16" customHeight="1">
      <c r="A278" s="1" t="inlineStr">
        <is>
          <t>47.Blue 1</t>
        </is>
      </c>
      <c r="B278" s="2" t="inlineStr">
        <is>
          <t>Gianmarco D'Angelo</t>
        </is>
      </c>
      <c r="C278" s="2" t="n">
        <v>47</v>
      </c>
      <c r="D278" s="2" t="inlineStr">
        <is>
          <t>b1</t>
        </is>
      </c>
      <c r="E278" s="2" t="n">
        <v>191</v>
      </c>
      <c r="F278" s="2" t="n">
        <v>1</v>
      </c>
      <c r="G278" s="2" t="n">
        <v>0</v>
      </c>
      <c r="H278" s="2" t="n">
        <v>1</v>
      </c>
      <c r="I278" s="2" t="n">
        <v>-1</v>
      </c>
      <c r="J278" s="2" t="n">
        <v>2</v>
      </c>
      <c r="K278" s="2" t="n">
        <v>2</v>
      </c>
      <c r="L278" s="2" t="n">
        <v>1</v>
      </c>
      <c r="M278" s="2" t="n">
        <v>4</v>
      </c>
      <c r="N278" s="2" t="n">
        <v>1</v>
      </c>
      <c r="O278" s="2" t="n">
        <v>1</v>
      </c>
      <c r="P278" s="2" t="n">
        <v>0</v>
      </c>
      <c r="Q278" s="2" t="n">
        <v>0</v>
      </c>
      <c r="R278" s="2" t="n">
        <v>0</v>
      </c>
      <c r="S278" t="n">
        <v>3</v>
      </c>
      <c r="T278" t="n">
        <v>1</v>
      </c>
      <c r="U278" t="n">
        <v>1</v>
      </c>
      <c r="V278" t="n">
        <v>1</v>
      </c>
      <c r="W278" t="n">
        <v>3</v>
      </c>
      <c r="X278" t="n">
        <v>0</v>
      </c>
      <c r="Y278" t="n">
        <v>0</v>
      </c>
      <c r="Z278" t="n">
        <v>0</v>
      </c>
      <c r="AA278" t="n">
        <v>1</v>
      </c>
      <c r="AB278" t="n">
        <v>114</v>
      </c>
      <c r="AC278" t="inlineStr">
        <is>
          <t>Hello World!</t>
        </is>
      </c>
    </row>
    <row r="279" ht="16" customHeight="1">
      <c r="A279" s="1" t="inlineStr">
        <is>
          <t>47.Blue 2</t>
        </is>
      </c>
      <c r="B279" s="2" t="inlineStr">
        <is>
          <t>Eli Harrison</t>
        </is>
      </c>
      <c r="C279" s="2" t="n">
        <v>47</v>
      </c>
      <c r="D279" s="2" t="inlineStr">
        <is>
          <t>b2</t>
        </is>
      </c>
      <c r="E279" s="2" t="n">
        <v>1585</v>
      </c>
      <c r="F279" s="2" t="n">
        <v>0</v>
      </c>
      <c r="G279" s="2" t="n">
        <v>1</v>
      </c>
      <c r="H279" s="2" t="n">
        <v>1</v>
      </c>
      <c r="I279" s="2" t="n">
        <v>-1</v>
      </c>
      <c r="J279" s="2" t="n">
        <v>1</v>
      </c>
      <c r="K279" s="2" t="n">
        <v>1</v>
      </c>
      <c r="L279" s="2" t="n">
        <v>1</v>
      </c>
      <c r="M279" s="2" t="n">
        <v>2</v>
      </c>
      <c r="N279" s="2" t="n">
        <v>0</v>
      </c>
      <c r="O279" s="2" t="n">
        <v>1</v>
      </c>
      <c r="P279" s="2" t="n">
        <v>1</v>
      </c>
      <c r="Q279" s="2" t="n">
        <v>0</v>
      </c>
      <c r="R279" s="2" t="n">
        <v>1</v>
      </c>
      <c r="S279" t="n">
        <v>2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1</v>
      </c>
      <c r="Z279" t="n">
        <v>0</v>
      </c>
      <c r="AA279" t="n">
        <v>1</v>
      </c>
      <c r="AB279" t="n">
        <v>111</v>
      </c>
      <c r="AC279" t="inlineStr">
        <is>
          <t>Hello World!</t>
        </is>
      </c>
    </row>
    <row r="280" ht="16" customHeight="1">
      <c r="A280" s="1" t="inlineStr">
        <is>
          <t>47.Blue 3</t>
        </is>
      </c>
      <c r="B280" s="2" t="inlineStr">
        <is>
          <t>Ethan Stiffler</t>
        </is>
      </c>
      <c r="C280" s="2" t="n">
        <v>47</v>
      </c>
      <c r="D280" s="2" t="inlineStr">
        <is>
          <t>b3</t>
        </is>
      </c>
      <c r="E280" s="2" t="n">
        <v>3838</v>
      </c>
      <c r="F280" s="2" t="n">
        <v>0</v>
      </c>
      <c r="G280" s="2" t="n">
        <v>1</v>
      </c>
      <c r="H280" s="2" t="n">
        <v>1</v>
      </c>
      <c r="I280" s="2" t="n">
        <v>0</v>
      </c>
      <c r="J280" s="2" t="n">
        <v>1</v>
      </c>
      <c r="K280" s="2" t="n">
        <v>2</v>
      </c>
      <c r="L280" s="2" t="n">
        <v>3</v>
      </c>
      <c r="M280" s="2" t="n">
        <v>1</v>
      </c>
      <c r="N280" s="2" t="n">
        <v>1</v>
      </c>
      <c r="O280" s="2" t="n">
        <v>0</v>
      </c>
      <c r="P280" s="2" t="n">
        <v>1</v>
      </c>
      <c r="Q280" s="2" t="n">
        <v>1</v>
      </c>
      <c r="R280" s="2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5</v>
      </c>
      <c r="X280" t="n">
        <v>1</v>
      </c>
      <c r="Y280" t="n">
        <v>0</v>
      </c>
      <c r="Z280" t="n">
        <v>0</v>
      </c>
      <c r="AA280" t="n">
        <v>0</v>
      </c>
      <c r="AB280" t="n">
        <v>150</v>
      </c>
      <c r="AC280" t="inlineStr">
        <is>
          <t>Hello World!</t>
        </is>
      </c>
    </row>
    <row r="281" ht="16" customHeight="1">
      <c r="A281" s="1" t="inlineStr">
        <is>
          <t>47.Red 1</t>
        </is>
      </c>
      <c r="B281" s="2" t="inlineStr">
        <is>
          <t>Nathan DeVito</t>
        </is>
      </c>
      <c r="C281" s="2" t="n">
        <v>47</v>
      </c>
      <c r="D281" s="2" t="inlineStr">
        <is>
          <t>r1</t>
        </is>
      </c>
      <c r="E281" s="2" t="n">
        <v>4253</v>
      </c>
      <c r="F281" s="2" t="n">
        <v>0</v>
      </c>
      <c r="G281" s="2" t="n">
        <v>0</v>
      </c>
      <c r="H281" s="2" t="n">
        <v>0</v>
      </c>
      <c r="I281" s="2" t="n">
        <v>-1</v>
      </c>
      <c r="J281" s="2" t="n">
        <v>1</v>
      </c>
      <c r="K281" s="2" t="n">
        <v>1</v>
      </c>
      <c r="L281" s="2" t="n">
        <v>3</v>
      </c>
      <c r="M281" s="2" t="n">
        <v>2</v>
      </c>
      <c r="N281" s="2" t="n">
        <v>0</v>
      </c>
      <c r="O281" s="2" t="n">
        <v>1</v>
      </c>
      <c r="P281" s="2" t="n">
        <v>0</v>
      </c>
      <c r="Q281" s="2" t="n">
        <v>0</v>
      </c>
      <c r="R281" s="2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219</v>
      </c>
      <c r="AC281" t="inlineStr">
        <is>
          <t>Hello World!</t>
        </is>
      </c>
    </row>
    <row r="282" ht="16" customHeight="1">
      <c r="A282" s="1" t="inlineStr">
        <is>
          <t>47.Red 2</t>
        </is>
      </c>
      <c r="B282" s="2" t="inlineStr">
        <is>
          <t>Andrew Crawford</t>
        </is>
      </c>
      <c r="C282" s="2" t="n">
        <v>47</v>
      </c>
      <c r="D282" s="2" t="inlineStr">
        <is>
          <t>r2</t>
        </is>
      </c>
      <c r="E282" s="2" t="n">
        <v>4093</v>
      </c>
      <c r="F282" s="2" t="n">
        <v>1</v>
      </c>
      <c r="G282" s="2" t="n">
        <v>0</v>
      </c>
      <c r="H282" s="2" t="n">
        <v>0</v>
      </c>
      <c r="I282" s="2" t="n">
        <v>1</v>
      </c>
      <c r="J282" s="2" t="n">
        <v>5</v>
      </c>
      <c r="K282" s="2" t="n">
        <v>3</v>
      </c>
      <c r="L282" s="2" t="n">
        <v>2</v>
      </c>
      <c r="M282" s="2" t="n">
        <v>4</v>
      </c>
      <c r="N282" s="2" t="n">
        <v>0</v>
      </c>
      <c r="O282" s="2" t="n">
        <v>1</v>
      </c>
      <c r="P282" s="2" t="n">
        <v>0</v>
      </c>
      <c r="Q282" s="2" t="n">
        <v>0</v>
      </c>
      <c r="R282" s="2" t="n">
        <v>0</v>
      </c>
      <c r="S282" t="n">
        <v>2</v>
      </c>
      <c r="T282" t="n">
        <v>0</v>
      </c>
      <c r="U282" t="n">
        <v>1</v>
      </c>
      <c r="V282" t="n">
        <v>0</v>
      </c>
      <c r="W282" t="n">
        <v>2</v>
      </c>
      <c r="X282" t="n">
        <v>1</v>
      </c>
      <c r="Y282" t="n">
        <v>1</v>
      </c>
      <c r="Z282" t="n">
        <v>1</v>
      </c>
      <c r="AA282" t="n">
        <v>1</v>
      </c>
      <c r="AB282" t="n">
        <v>206</v>
      </c>
      <c r="AC282" t="inlineStr">
        <is>
          <t>Hello World!</t>
        </is>
      </c>
    </row>
    <row r="283" ht="16" customHeight="1">
      <c r="A283" s="1" t="inlineStr">
        <is>
          <t>47.Red 3</t>
        </is>
      </c>
      <c r="B283" s="2" t="inlineStr">
        <is>
          <t>Autumn Schoenfeld</t>
        </is>
      </c>
      <c r="C283" s="2" t="n">
        <v>47</v>
      </c>
      <c r="D283" s="2" t="inlineStr">
        <is>
          <t>r3</t>
        </is>
      </c>
      <c r="E283" s="2" t="n">
        <v>7030</v>
      </c>
      <c r="F283" s="2" t="n">
        <v>1</v>
      </c>
      <c r="G283" s="2" t="n">
        <v>1</v>
      </c>
      <c r="H283" s="2" t="n">
        <v>1</v>
      </c>
      <c r="I283" s="2" t="n">
        <v>1</v>
      </c>
      <c r="J283" s="2" t="n">
        <v>1</v>
      </c>
      <c r="K283" s="2" t="n">
        <v>2</v>
      </c>
      <c r="L283" s="2" t="n">
        <v>1</v>
      </c>
      <c r="M283" s="2" t="n">
        <v>1</v>
      </c>
      <c r="N283" s="2" t="n">
        <v>0</v>
      </c>
      <c r="O283" s="2" t="n">
        <v>1</v>
      </c>
      <c r="P283" s="2" t="n">
        <v>1</v>
      </c>
      <c r="Q283" s="2" t="n">
        <v>1</v>
      </c>
      <c r="R283" s="2" t="n">
        <v>1</v>
      </c>
      <c r="S283" t="n">
        <v>2</v>
      </c>
      <c r="T283" t="n">
        <v>0</v>
      </c>
      <c r="U283" t="n">
        <v>1</v>
      </c>
      <c r="V283" t="n">
        <v>0</v>
      </c>
      <c r="W283" t="n">
        <v>1</v>
      </c>
      <c r="X283" t="n">
        <v>-1</v>
      </c>
      <c r="Y283" t="n">
        <v>1</v>
      </c>
      <c r="Z283" t="n">
        <v>1</v>
      </c>
      <c r="AA283" t="n">
        <v>1</v>
      </c>
      <c r="AB283" t="n">
        <v>134</v>
      </c>
      <c r="AC283" t="inlineStr">
        <is>
          <t>Hello World!</t>
        </is>
      </c>
    </row>
    <row r="284" ht="16" customHeight="1">
      <c r="A284" s="1" t="inlineStr">
        <is>
          <t>48.Blue 1</t>
        </is>
      </c>
      <c r="B284" s="2" t="inlineStr">
        <is>
          <t>Domenic Giammusso</t>
        </is>
      </c>
      <c r="C284" s="2" t="n">
        <v>48</v>
      </c>
      <c r="D284" s="2" t="inlineStr">
        <is>
          <t>b1</t>
        </is>
      </c>
      <c r="E284" s="2" t="n">
        <v>1787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5</v>
      </c>
      <c r="K284" s="2" t="n">
        <v>3</v>
      </c>
      <c r="L284" s="2" t="n">
        <v>3</v>
      </c>
      <c r="M284" s="2" t="n">
        <v>2</v>
      </c>
      <c r="N284" s="2" t="n">
        <v>0</v>
      </c>
      <c r="O284" s="2" t="n">
        <v>1</v>
      </c>
      <c r="P284" s="2" t="n">
        <v>0</v>
      </c>
      <c r="Q284" s="2" t="n">
        <v>0</v>
      </c>
      <c r="R284" s="2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5</v>
      </c>
      <c r="X284" t="n">
        <v>-1</v>
      </c>
      <c r="Y284" t="n">
        <v>1</v>
      </c>
      <c r="Z284" t="n">
        <v>1</v>
      </c>
      <c r="AA284" t="n">
        <v>1</v>
      </c>
      <c r="AB284" t="n">
        <v>263</v>
      </c>
      <c r="AC284" t="inlineStr">
        <is>
          <t>Hello World!</t>
        </is>
      </c>
    </row>
    <row r="285" ht="16" customHeight="1">
      <c r="A285" s="1" t="inlineStr">
        <is>
          <t>48.Blue 2</t>
        </is>
      </c>
      <c r="B285" s="2" t="inlineStr">
        <is>
          <t>Autumn Schoenfeld</t>
        </is>
      </c>
      <c r="C285" s="2" t="n">
        <v>48</v>
      </c>
      <c r="D285" s="2" t="inlineStr">
        <is>
          <t>b2</t>
        </is>
      </c>
      <c r="E285" s="2" t="n">
        <v>10922</v>
      </c>
      <c r="F285" s="2" t="n">
        <v>1</v>
      </c>
      <c r="G285" s="2" t="n">
        <v>1</v>
      </c>
      <c r="H285" s="2" t="n">
        <v>0</v>
      </c>
      <c r="I285" s="2" t="n">
        <v>0</v>
      </c>
      <c r="J285" s="2" t="n">
        <v>1</v>
      </c>
      <c r="K285" s="2" t="n">
        <v>2</v>
      </c>
      <c r="L285" s="2" t="n">
        <v>1</v>
      </c>
      <c r="M285" s="2" t="n">
        <v>1</v>
      </c>
      <c r="N285" s="2" t="n">
        <v>0</v>
      </c>
      <c r="O285" s="2" t="n">
        <v>1</v>
      </c>
      <c r="P285" s="2" t="n">
        <v>1</v>
      </c>
      <c r="Q285" s="2" t="n">
        <v>1</v>
      </c>
      <c r="R285" s="2" t="n">
        <v>1</v>
      </c>
      <c r="S285" t="n">
        <v>-1</v>
      </c>
      <c r="T285" t="n">
        <v>1</v>
      </c>
      <c r="U285" t="n">
        <v>1</v>
      </c>
      <c r="V285" t="n">
        <v>1</v>
      </c>
      <c r="W285" t="n">
        <v>2</v>
      </c>
      <c r="X285" t="n">
        <v>1</v>
      </c>
      <c r="Y285" t="n">
        <v>0</v>
      </c>
      <c r="Z285" t="n">
        <v>1</v>
      </c>
      <c r="AA285" t="n">
        <v>1</v>
      </c>
      <c r="AB285" t="n">
        <v>210</v>
      </c>
      <c r="AC285" t="inlineStr">
        <is>
          <t>Hello World!</t>
        </is>
      </c>
    </row>
    <row r="286" ht="16" customHeight="1">
      <c r="A286" s="1" t="inlineStr">
        <is>
          <t>48.Blue 3</t>
        </is>
      </c>
      <c r="B286" s="2" t="inlineStr">
        <is>
          <t>Autumn Schoenfeld</t>
        </is>
      </c>
      <c r="C286" s="2" t="n">
        <v>48</v>
      </c>
      <c r="D286" s="2" t="inlineStr">
        <is>
          <t>b3</t>
        </is>
      </c>
      <c r="E286" s="2" t="n">
        <v>48</v>
      </c>
      <c r="F286" s="2" t="n">
        <v>0</v>
      </c>
      <c r="G286" s="2" t="n">
        <v>1</v>
      </c>
      <c r="H286" s="2" t="n">
        <v>1</v>
      </c>
      <c r="I286" s="2" t="n">
        <v>1</v>
      </c>
      <c r="J286" s="2" t="n">
        <v>3</v>
      </c>
      <c r="K286" s="2" t="n">
        <v>2</v>
      </c>
      <c r="L286" s="2" t="n">
        <v>1</v>
      </c>
      <c r="M286" s="2" t="n">
        <v>3</v>
      </c>
      <c r="N286" s="2" t="n">
        <v>1</v>
      </c>
      <c r="O286" s="2" t="n">
        <v>0</v>
      </c>
      <c r="P286" s="2" t="n">
        <v>1</v>
      </c>
      <c r="Q286" s="2" t="n">
        <v>0</v>
      </c>
      <c r="R286" s="2" t="n">
        <v>1</v>
      </c>
      <c r="S286" t="n">
        <v>2</v>
      </c>
      <c r="T286" t="n">
        <v>1</v>
      </c>
      <c r="U286" t="n">
        <v>0</v>
      </c>
      <c r="V286" t="n">
        <v>1</v>
      </c>
      <c r="W286" t="n">
        <v>4</v>
      </c>
      <c r="X286" t="n">
        <v>1</v>
      </c>
      <c r="Y286" t="n">
        <v>1</v>
      </c>
      <c r="Z286" t="n">
        <v>0</v>
      </c>
      <c r="AA286" t="n">
        <v>0</v>
      </c>
      <c r="AB286" t="n">
        <v>273</v>
      </c>
      <c r="AC286" t="inlineStr">
        <is>
          <t>Hello World!</t>
        </is>
      </c>
    </row>
    <row r="287" ht="16" customHeight="1">
      <c r="A287" s="1" t="inlineStr">
        <is>
          <t>48.Red 1</t>
        </is>
      </c>
      <c r="B287" s="2" t="inlineStr">
        <is>
          <t>Jonah WoikaKai Wilbur</t>
        </is>
      </c>
      <c r="C287" s="2" t="n">
        <v>48</v>
      </c>
      <c r="D287" s="2" t="inlineStr">
        <is>
          <t>r1</t>
        </is>
      </c>
      <c r="E287" s="2" t="n">
        <v>144</v>
      </c>
      <c r="F287" s="2" t="n">
        <v>1</v>
      </c>
      <c r="G287" s="2" t="n">
        <v>1</v>
      </c>
      <c r="H287" s="2" t="n">
        <v>0</v>
      </c>
      <c r="I287" s="2" t="n">
        <v>-1</v>
      </c>
      <c r="J287" s="2" t="n">
        <v>3</v>
      </c>
      <c r="K287" s="2" t="n">
        <v>2</v>
      </c>
      <c r="L287" s="2" t="n">
        <v>2</v>
      </c>
      <c r="M287" s="2" t="n">
        <v>3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1</v>
      </c>
      <c r="S287" t="n">
        <v>-1</v>
      </c>
      <c r="T287" t="n">
        <v>1</v>
      </c>
      <c r="U287" t="n">
        <v>1</v>
      </c>
      <c r="V287" t="n">
        <v>1</v>
      </c>
      <c r="W287" t="n">
        <v>5</v>
      </c>
      <c r="X287" t="n">
        <v>0</v>
      </c>
      <c r="Y287" t="n">
        <v>1</v>
      </c>
      <c r="Z287" t="n">
        <v>1</v>
      </c>
      <c r="AA287" t="n">
        <v>0</v>
      </c>
      <c r="AB287" t="n">
        <v>56</v>
      </c>
      <c r="AC287" t="inlineStr">
        <is>
          <t>Hello World!</t>
        </is>
      </c>
    </row>
    <row r="288" ht="16" customHeight="1">
      <c r="A288" s="1" t="inlineStr">
        <is>
          <t>48.Red 2</t>
        </is>
      </c>
      <c r="B288" s="2" t="inlineStr">
        <is>
          <t>Eli Harrison</t>
        </is>
      </c>
      <c r="C288" s="2" t="n">
        <v>48</v>
      </c>
      <c r="D288" s="2" t="inlineStr">
        <is>
          <t>r2</t>
        </is>
      </c>
      <c r="E288" s="2" t="n">
        <v>20</v>
      </c>
      <c r="F288" s="2" t="n">
        <v>0</v>
      </c>
      <c r="G288" s="2" t="n">
        <v>0</v>
      </c>
      <c r="H288" s="2" t="n">
        <v>1</v>
      </c>
      <c r="I288" s="2" t="n">
        <v>-1</v>
      </c>
      <c r="J288" s="2" t="n">
        <v>4</v>
      </c>
      <c r="K288" s="2" t="n">
        <v>3</v>
      </c>
      <c r="L288" s="2" t="n">
        <v>3</v>
      </c>
      <c r="M288" s="2" t="n">
        <v>4</v>
      </c>
      <c r="N288" s="2" t="n">
        <v>1</v>
      </c>
      <c r="O288" s="2" t="n">
        <v>0</v>
      </c>
      <c r="P288" s="2" t="n">
        <v>1</v>
      </c>
      <c r="Q288" s="2" t="n">
        <v>1</v>
      </c>
      <c r="R288" s="2" t="n">
        <v>1</v>
      </c>
      <c r="S288" t="n">
        <v>-1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0</v>
      </c>
      <c r="AA288" t="n">
        <v>1</v>
      </c>
      <c r="AB288" t="n">
        <v>54</v>
      </c>
      <c r="AC288" t="inlineStr">
        <is>
          <t>Hello World!</t>
        </is>
      </c>
    </row>
    <row r="289" ht="16" customHeight="1">
      <c r="A289" s="1" t="inlineStr">
        <is>
          <t>48.Red 3</t>
        </is>
      </c>
      <c r="B289" s="2" t="inlineStr">
        <is>
          <t xml:space="preserve">Tetra Ukav </t>
        </is>
      </c>
      <c r="C289" s="2" t="n">
        <v>48</v>
      </c>
      <c r="D289" s="2" t="inlineStr">
        <is>
          <t>r3</t>
        </is>
      </c>
      <c r="E289" s="2" t="n">
        <v>3044</v>
      </c>
      <c r="F289" s="2" t="n">
        <v>0</v>
      </c>
      <c r="G289" s="2" t="n">
        <v>0</v>
      </c>
      <c r="H289" s="2" t="n">
        <v>1</v>
      </c>
      <c r="I289" s="2" t="n">
        <v>-1</v>
      </c>
      <c r="J289" s="2" t="n">
        <v>1</v>
      </c>
      <c r="K289" s="2" t="n">
        <v>2</v>
      </c>
      <c r="L289" s="2" t="n">
        <v>1</v>
      </c>
      <c r="M289" s="2" t="n">
        <v>2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1</v>
      </c>
      <c r="S289" t="n">
        <v>2</v>
      </c>
      <c r="T289" t="n">
        <v>0</v>
      </c>
      <c r="U289" t="n">
        <v>0</v>
      </c>
      <c r="V289" t="n">
        <v>0</v>
      </c>
      <c r="W289" t="n">
        <v>5</v>
      </c>
      <c r="X289" t="n">
        <v>1</v>
      </c>
      <c r="Y289" t="n">
        <v>0</v>
      </c>
      <c r="Z289" t="n">
        <v>1</v>
      </c>
      <c r="AA289" t="n">
        <v>1</v>
      </c>
      <c r="AB289" t="n">
        <v>212</v>
      </c>
      <c r="AC289" t="inlineStr">
        <is>
          <t>Hello World!</t>
        </is>
      </c>
    </row>
    <row r="290" ht="16" customHeight="1">
      <c r="A290" s="1" t="inlineStr">
        <is>
          <t>49.Blue 1</t>
        </is>
      </c>
      <c r="B290" s="2" t="inlineStr">
        <is>
          <t>Ethan Stiffler</t>
        </is>
      </c>
      <c r="C290" s="2" t="n">
        <v>49</v>
      </c>
      <c r="D290" s="2" t="inlineStr">
        <is>
          <t>b1</t>
        </is>
      </c>
      <c r="E290" s="2" t="n">
        <v>4458</v>
      </c>
      <c r="F290" s="2" t="n">
        <v>1</v>
      </c>
      <c r="G290" s="2" t="n">
        <v>1</v>
      </c>
      <c r="H290" s="2" t="n">
        <v>0</v>
      </c>
      <c r="I290" s="2" t="n">
        <v>-1</v>
      </c>
      <c r="J290" s="2" t="n">
        <v>3</v>
      </c>
      <c r="K290" s="2" t="n">
        <v>2</v>
      </c>
      <c r="L290" s="2" t="n">
        <v>1</v>
      </c>
      <c r="M290" s="2" t="n">
        <v>1</v>
      </c>
      <c r="N290" s="2" t="n">
        <v>1</v>
      </c>
      <c r="O290" s="2" t="n">
        <v>1</v>
      </c>
      <c r="P290" s="2" t="n">
        <v>0</v>
      </c>
      <c r="Q290" s="2" t="n">
        <v>0</v>
      </c>
      <c r="R290" s="2" t="n">
        <v>1</v>
      </c>
      <c r="S290" t="n">
        <v>3</v>
      </c>
      <c r="T290" t="n">
        <v>0</v>
      </c>
      <c r="U290" t="n">
        <v>1</v>
      </c>
      <c r="V290" t="n">
        <v>1</v>
      </c>
      <c r="W290" t="n">
        <v>1</v>
      </c>
      <c r="X290" t="n">
        <v>-1</v>
      </c>
      <c r="Y290" t="n">
        <v>0</v>
      </c>
      <c r="Z290" t="n">
        <v>1</v>
      </c>
      <c r="AA290" t="n">
        <v>1</v>
      </c>
      <c r="AB290" t="n">
        <v>61</v>
      </c>
      <c r="AC290" t="inlineStr">
        <is>
          <t>Hello World!</t>
        </is>
      </c>
    </row>
    <row r="291" ht="16" customHeight="1">
      <c r="A291" s="1" t="inlineStr">
        <is>
          <t>49.Blue 2</t>
        </is>
      </c>
      <c r="B291" s="2" t="inlineStr">
        <is>
          <t>Colby Jackson</t>
        </is>
      </c>
      <c r="C291" s="2" t="n">
        <v>49</v>
      </c>
      <c r="D291" s="2" t="inlineStr">
        <is>
          <t>b2</t>
        </is>
      </c>
      <c r="E291" s="2" t="n">
        <v>5528</v>
      </c>
      <c r="F291" s="2" t="n">
        <v>0</v>
      </c>
      <c r="G291" s="2" t="n">
        <v>0</v>
      </c>
      <c r="H291" s="2" t="n">
        <v>0</v>
      </c>
      <c r="I291" s="2" t="n">
        <v>-1</v>
      </c>
      <c r="J291" s="2" t="n">
        <v>1</v>
      </c>
      <c r="K291" s="2" t="n">
        <v>3</v>
      </c>
      <c r="L291" s="2" t="n">
        <v>1</v>
      </c>
      <c r="M291" s="2" t="n">
        <v>3</v>
      </c>
      <c r="N291" s="2" t="n">
        <v>1</v>
      </c>
      <c r="O291" s="2" t="n">
        <v>0</v>
      </c>
      <c r="P291" s="2" t="n">
        <v>0</v>
      </c>
      <c r="Q291" s="2" t="n">
        <v>1</v>
      </c>
      <c r="R291" s="2" t="n">
        <v>0</v>
      </c>
      <c r="S291" t="n">
        <v>2</v>
      </c>
      <c r="T291" t="n">
        <v>0</v>
      </c>
      <c r="U291" t="n">
        <v>0</v>
      </c>
      <c r="V291" t="n">
        <v>1</v>
      </c>
      <c r="W291" t="n">
        <v>3</v>
      </c>
      <c r="X291" t="n">
        <v>0</v>
      </c>
      <c r="Y291" t="n">
        <v>0</v>
      </c>
      <c r="Z291" t="n">
        <v>0</v>
      </c>
      <c r="AA291" t="n">
        <v>1</v>
      </c>
      <c r="AB291" t="n">
        <v>225</v>
      </c>
      <c r="AC291" t="inlineStr">
        <is>
          <t>Hello World!</t>
        </is>
      </c>
    </row>
    <row r="292" ht="16" customHeight="1">
      <c r="A292" s="1" t="inlineStr">
        <is>
          <t>49.Blue 3</t>
        </is>
      </c>
      <c r="B292" s="2" t="inlineStr">
        <is>
          <t>Eli Harrison</t>
        </is>
      </c>
      <c r="C292" s="2" t="n">
        <v>49</v>
      </c>
      <c r="D292" s="2" t="inlineStr">
        <is>
          <t>b3</t>
        </is>
      </c>
      <c r="E292" s="2" t="n">
        <v>1781</v>
      </c>
      <c r="F292" s="2" t="n">
        <v>1</v>
      </c>
      <c r="G292" s="2" t="n">
        <v>1</v>
      </c>
      <c r="H292" s="2" t="n">
        <v>0</v>
      </c>
      <c r="I292" s="2" t="n">
        <v>0</v>
      </c>
      <c r="J292" s="2" t="n">
        <v>3</v>
      </c>
      <c r="K292" s="2" t="n">
        <v>3</v>
      </c>
      <c r="L292" s="2" t="n">
        <v>2</v>
      </c>
      <c r="M292" s="2" t="n">
        <v>1</v>
      </c>
      <c r="N292" s="2" t="n">
        <v>0</v>
      </c>
      <c r="O292" s="2" t="n">
        <v>0</v>
      </c>
      <c r="P292" s="2" t="n">
        <v>1</v>
      </c>
      <c r="Q292" s="2" t="n">
        <v>0</v>
      </c>
      <c r="R292" s="2" t="n">
        <v>0</v>
      </c>
      <c r="S292" t="n">
        <v>3</v>
      </c>
      <c r="T292" t="n">
        <v>0</v>
      </c>
      <c r="U292" t="n">
        <v>0</v>
      </c>
      <c r="V292" t="n">
        <v>0</v>
      </c>
      <c r="W292" t="n">
        <v>3</v>
      </c>
      <c r="X292" t="n">
        <v>-1</v>
      </c>
      <c r="Y292" t="n">
        <v>1</v>
      </c>
      <c r="Z292" t="n">
        <v>0</v>
      </c>
      <c r="AA292" t="n">
        <v>1</v>
      </c>
      <c r="AB292" t="n">
        <v>87</v>
      </c>
      <c r="AC292" t="inlineStr">
        <is>
          <t>Hello World!</t>
        </is>
      </c>
    </row>
    <row r="293" ht="16" customHeight="1">
      <c r="A293" s="1" t="inlineStr">
        <is>
          <t>49.Red 1</t>
        </is>
      </c>
      <c r="B293" s="2" t="inlineStr">
        <is>
          <t>Colby Jackson</t>
        </is>
      </c>
      <c r="C293" s="2" t="n">
        <v>49</v>
      </c>
      <c r="D293" s="2" t="inlineStr">
        <is>
          <t>r1</t>
        </is>
      </c>
      <c r="E293" s="2" t="n">
        <v>5590</v>
      </c>
      <c r="F293" s="2" t="n">
        <v>0</v>
      </c>
      <c r="G293" s="2" t="n">
        <v>0</v>
      </c>
      <c r="H293" s="2" t="n">
        <v>1</v>
      </c>
      <c r="I293" s="2" t="n">
        <v>-1</v>
      </c>
      <c r="J293" s="2" t="n">
        <v>2</v>
      </c>
      <c r="K293" s="2" t="n">
        <v>1</v>
      </c>
      <c r="L293" s="2" t="n">
        <v>3</v>
      </c>
      <c r="M293" s="2" t="n">
        <v>3</v>
      </c>
      <c r="N293" s="2" t="n">
        <v>0</v>
      </c>
      <c r="O293" s="2" t="n">
        <v>1</v>
      </c>
      <c r="P293" s="2" t="n">
        <v>0</v>
      </c>
      <c r="Q293" s="2" t="n">
        <v>0</v>
      </c>
      <c r="R293" s="2" t="n">
        <v>1</v>
      </c>
      <c r="S293" t="n">
        <v>2</v>
      </c>
      <c r="T293" t="n">
        <v>0</v>
      </c>
      <c r="U293" t="n">
        <v>0</v>
      </c>
      <c r="V293" t="n">
        <v>1</v>
      </c>
      <c r="W293" t="n">
        <v>3</v>
      </c>
      <c r="X293" t="n">
        <v>-1</v>
      </c>
      <c r="Y293" t="n">
        <v>1</v>
      </c>
      <c r="Z293" t="n">
        <v>1</v>
      </c>
      <c r="AA293" t="n">
        <v>1</v>
      </c>
      <c r="AB293" t="n">
        <v>60</v>
      </c>
      <c r="AC293" t="inlineStr">
        <is>
          <t>Hello World!</t>
        </is>
      </c>
    </row>
    <row r="294" ht="16" customHeight="1">
      <c r="A294" s="1" t="inlineStr">
        <is>
          <t>49.Red 2</t>
        </is>
      </c>
      <c r="B294" s="2" t="inlineStr">
        <is>
          <t>Matthew Mazzota</t>
        </is>
      </c>
      <c r="C294" s="2" t="n">
        <v>49</v>
      </c>
      <c r="D294" s="2" t="inlineStr">
        <is>
          <t>r2</t>
        </is>
      </c>
      <c r="E294" s="2" t="n">
        <v>6868</v>
      </c>
      <c r="F294" s="2" t="n">
        <v>0</v>
      </c>
      <c r="G294" s="2" t="n">
        <v>1</v>
      </c>
      <c r="H294" s="2" t="n">
        <v>1</v>
      </c>
      <c r="I294" s="2" t="n">
        <v>0</v>
      </c>
      <c r="J294" s="2" t="n">
        <v>1</v>
      </c>
      <c r="K294" s="2" t="n">
        <v>1</v>
      </c>
      <c r="L294" s="2" t="n">
        <v>1</v>
      </c>
      <c r="M294" s="2" t="n">
        <v>1</v>
      </c>
      <c r="N294" s="2" t="n">
        <v>1</v>
      </c>
      <c r="O294" s="2" t="n">
        <v>1</v>
      </c>
      <c r="P294" s="2" t="n">
        <v>1</v>
      </c>
      <c r="Q294" s="2" t="n">
        <v>1</v>
      </c>
      <c r="R294" s="2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-1</v>
      </c>
      <c r="Y294" t="n">
        <v>1</v>
      </c>
      <c r="Z294" t="n">
        <v>0</v>
      </c>
      <c r="AA294" t="n">
        <v>1</v>
      </c>
      <c r="AB294" t="n">
        <v>110</v>
      </c>
      <c r="AC294" t="inlineStr">
        <is>
          <t>Hello World!</t>
        </is>
      </c>
    </row>
    <row r="295" ht="16" customHeight="1">
      <c r="A295" s="1" t="inlineStr">
        <is>
          <t>49.Red 3</t>
        </is>
      </c>
      <c r="B295" s="2" t="inlineStr">
        <is>
          <t>Celton Norter</t>
        </is>
      </c>
      <c r="C295" s="2" t="n">
        <v>49</v>
      </c>
      <c r="D295" s="2" t="inlineStr">
        <is>
          <t>r3</t>
        </is>
      </c>
      <c r="E295" s="2" t="n">
        <v>9767</v>
      </c>
      <c r="F295" s="2" t="n">
        <v>0</v>
      </c>
      <c r="G295" s="2" t="n">
        <v>1</v>
      </c>
      <c r="H295" s="2" t="n">
        <v>1</v>
      </c>
      <c r="I295" s="2" t="n">
        <v>-1</v>
      </c>
      <c r="J295" s="2" t="n">
        <v>4</v>
      </c>
      <c r="K295" s="2" t="n">
        <v>2</v>
      </c>
      <c r="L295" s="2" t="n">
        <v>3</v>
      </c>
      <c r="M295" s="2" t="n">
        <v>3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t="n">
        <v>3</v>
      </c>
      <c r="T295" t="n">
        <v>1</v>
      </c>
      <c r="U295" t="n">
        <v>1</v>
      </c>
      <c r="V295" t="n">
        <v>0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33</v>
      </c>
      <c r="AC295" t="inlineStr">
        <is>
          <t>Hello World!</t>
        </is>
      </c>
    </row>
    <row r="296" ht="16" customHeight="1">
      <c r="A296" s="1" t="inlineStr">
        <is>
          <t>50.Blue 1</t>
        </is>
      </c>
      <c r="B296" s="2" t="inlineStr">
        <is>
          <t>Ethan Stiffler</t>
        </is>
      </c>
      <c r="C296" s="2" t="n">
        <v>50</v>
      </c>
      <c r="D296" s="2" t="inlineStr">
        <is>
          <t>b1</t>
        </is>
      </c>
      <c r="E296" s="2" t="n">
        <v>10223</v>
      </c>
      <c r="F296" s="2" t="n">
        <v>0</v>
      </c>
      <c r="G296" s="2" t="n">
        <v>0</v>
      </c>
      <c r="H296" s="2" t="n">
        <v>1</v>
      </c>
      <c r="I296" s="2" t="n">
        <v>-1</v>
      </c>
      <c r="J296" s="2" t="n">
        <v>5</v>
      </c>
      <c r="K296" s="2" t="n">
        <v>3</v>
      </c>
      <c r="L296" s="2" t="n">
        <v>2</v>
      </c>
      <c r="M296" s="2" t="n">
        <v>1</v>
      </c>
      <c r="N296" s="2" t="n">
        <v>0</v>
      </c>
      <c r="O296" s="2" t="n">
        <v>0</v>
      </c>
      <c r="P296" s="2" t="n">
        <v>0</v>
      </c>
      <c r="Q296" s="2" t="n">
        <v>1</v>
      </c>
      <c r="R296" s="2" t="n">
        <v>0</v>
      </c>
      <c r="S296" t="n">
        <v>2</v>
      </c>
      <c r="T296" t="n">
        <v>0</v>
      </c>
      <c r="U296" t="n">
        <v>1</v>
      </c>
      <c r="V296" t="n">
        <v>0</v>
      </c>
      <c r="W296" t="n">
        <v>1</v>
      </c>
      <c r="X296" t="n">
        <v>-1</v>
      </c>
      <c r="Y296" t="n">
        <v>0</v>
      </c>
      <c r="Z296" t="n">
        <v>0</v>
      </c>
      <c r="AA296" t="n">
        <v>1</v>
      </c>
      <c r="AB296" t="n">
        <v>228</v>
      </c>
      <c r="AC296" t="inlineStr">
        <is>
          <t>Hello World!</t>
        </is>
      </c>
    </row>
    <row r="297" ht="16" customHeight="1">
      <c r="A297" s="1" t="inlineStr">
        <is>
          <t>50.Blue 2</t>
        </is>
      </c>
      <c r="B297" s="2" t="inlineStr">
        <is>
          <t xml:space="preserve">Tetra Ukav </t>
        </is>
      </c>
      <c r="C297" s="2" t="n">
        <v>50</v>
      </c>
      <c r="D297" s="2" t="inlineStr">
        <is>
          <t>b2</t>
        </is>
      </c>
      <c r="E297" s="2" t="n">
        <v>1518</v>
      </c>
      <c r="F297" s="2" t="n">
        <v>0</v>
      </c>
      <c r="G297" s="2" t="n">
        <v>0</v>
      </c>
      <c r="H297" s="2" t="n">
        <v>1</v>
      </c>
      <c r="I297" s="2" t="n">
        <v>-1</v>
      </c>
      <c r="J297" s="2" t="n">
        <v>3</v>
      </c>
      <c r="K297" s="2" t="n">
        <v>3</v>
      </c>
      <c r="L297" s="2" t="n">
        <v>3</v>
      </c>
      <c r="M297" s="2" t="n">
        <v>5</v>
      </c>
      <c r="N297" s="2" t="n">
        <v>1</v>
      </c>
      <c r="O297" s="2" t="n">
        <v>1</v>
      </c>
      <c r="P297" s="2" t="n">
        <v>0</v>
      </c>
      <c r="Q297" s="2" t="n">
        <v>1</v>
      </c>
      <c r="R297" s="2" t="n">
        <v>0</v>
      </c>
      <c r="S297" t="n">
        <v>-1</v>
      </c>
      <c r="T297" t="n">
        <v>0</v>
      </c>
      <c r="U297" t="n">
        <v>1</v>
      </c>
      <c r="V297" t="n">
        <v>1</v>
      </c>
      <c r="W297" t="n">
        <v>5</v>
      </c>
      <c r="X297" t="n">
        <v>-1</v>
      </c>
      <c r="Y297" t="n">
        <v>1</v>
      </c>
      <c r="Z297" t="n">
        <v>0</v>
      </c>
      <c r="AA297" t="n">
        <v>1</v>
      </c>
      <c r="AB297" t="n">
        <v>89</v>
      </c>
      <c r="AC297" t="inlineStr">
        <is>
          <t>Hello World!</t>
        </is>
      </c>
    </row>
    <row r="298" ht="16" customHeight="1">
      <c r="A298" s="1" t="inlineStr">
        <is>
          <t>50.Blue 3</t>
        </is>
      </c>
      <c r="B298" s="2" t="inlineStr">
        <is>
          <t>Andrew Crawford</t>
        </is>
      </c>
      <c r="C298" s="2" t="n">
        <v>50</v>
      </c>
      <c r="D298" s="2" t="inlineStr">
        <is>
          <t>b3</t>
        </is>
      </c>
      <c r="E298" s="2" t="n">
        <v>1450</v>
      </c>
      <c r="F298" s="2" t="n">
        <v>0</v>
      </c>
      <c r="G298" s="2" t="n">
        <v>1</v>
      </c>
      <c r="H298" s="2" t="n">
        <v>1</v>
      </c>
      <c r="I298" s="2" t="n">
        <v>1</v>
      </c>
      <c r="J298" s="2" t="n">
        <v>2</v>
      </c>
      <c r="K298" s="2" t="n">
        <v>1</v>
      </c>
      <c r="L298" s="2" t="n">
        <v>1</v>
      </c>
      <c r="M298" s="2" t="n">
        <v>1</v>
      </c>
      <c r="N298" s="2" t="n">
        <v>1</v>
      </c>
      <c r="O298" s="2" t="n">
        <v>1</v>
      </c>
      <c r="P298" s="2" t="n">
        <v>1</v>
      </c>
      <c r="Q298" s="2" t="n">
        <v>0</v>
      </c>
      <c r="R298" s="2" t="n">
        <v>1</v>
      </c>
      <c r="S298" t="n">
        <v>-1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66</v>
      </c>
      <c r="AC298" t="inlineStr">
        <is>
          <t>Hello World!</t>
        </is>
      </c>
    </row>
    <row r="299" ht="16" customHeight="1">
      <c r="A299" s="1" t="inlineStr">
        <is>
          <t>50.Red 1</t>
        </is>
      </c>
      <c r="B299" s="2" t="inlineStr">
        <is>
          <t>Celton Norter</t>
        </is>
      </c>
      <c r="C299" s="2" t="n">
        <v>50</v>
      </c>
      <c r="D299" s="2" t="inlineStr">
        <is>
          <t>r1</t>
        </is>
      </c>
      <c r="E299" s="2" t="n">
        <v>6947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2</v>
      </c>
      <c r="K299" s="2" t="n">
        <v>1</v>
      </c>
      <c r="L299" s="2" t="n">
        <v>2</v>
      </c>
      <c r="M299" s="2" t="n">
        <v>2</v>
      </c>
      <c r="N299" s="2" t="n">
        <v>0</v>
      </c>
      <c r="O299" s="2" t="n">
        <v>0</v>
      </c>
      <c r="P299" s="2" t="n">
        <v>1</v>
      </c>
      <c r="Q299" s="2" t="n">
        <v>0</v>
      </c>
      <c r="R299" s="2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2</v>
      </c>
      <c r="X299" t="n">
        <v>-1</v>
      </c>
      <c r="Y299" t="n">
        <v>0</v>
      </c>
      <c r="Z299" t="n">
        <v>1</v>
      </c>
      <c r="AA299" t="n">
        <v>1</v>
      </c>
      <c r="AB299" t="n">
        <v>28</v>
      </c>
      <c r="AC299" t="inlineStr">
        <is>
          <t>Hello World!</t>
        </is>
      </c>
    </row>
    <row r="300" ht="16" customHeight="1">
      <c r="A300" s="1" t="inlineStr">
        <is>
          <t>50.Red 2</t>
        </is>
      </c>
      <c r="B300" s="2" t="inlineStr">
        <is>
          <t>Connor Rapp</t>
        </is>
      </c>
      <c r="C300" s="2" t="n">
        <v>50</v>
      </c>
      <c r="D300" s="2" t="inlineStr">
        <is>
          <t>r2</t>
        </is>
      </c>
      <c r="E300" s="2" t="n">
        <v>2228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2</v>
      </c>
      <c r="K300" s="2" t="n">
        <v>1</v>
      </c>
      <c r="L300" s="2" t="n">
        <v>2</v>
      </c>
      <c r="M300" s="2" t="n">
        <v>1</v>
      </c>
      <c r="N300" s="2" t="n">
        <v>1</v>
      </c>
      <c r="O300" s="2" t="n">
        <v>1</v>
      </c>
      <c r="P300" s="2" t="n">
        <v>0</v>
      </c>
      <c r="Q300" s="2" t="n">
        <v>1</v>
      </c>
      <c r="R300" s="2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B300" t="n">
        <v>233</v>
      </c>
      <c r="AC300" t="inlineStr">
        <is>
          <t>Hello World!</t>
        </is>
      </c>
    </row>
    <row r="301" ht="16" customHeight="1">
      <c r="A301" s="1" t="inlineStr">
        <is>
          <t>50.Red 3</t>
        </is>
      </c>
      <c r="B301" s="2" t="inlineStr">
        <is>
          <t>Jonah WoikaKai Wilbur</t>
        </is>
      </c>
      <c r="C301" s="2" t="n">
        <v>50</v>
      </c>
      <c r="D301" s="2" t="inlineStr">
        <is>
          <t>r3</t>
        </is>
      </c>
      <c r="E301" s="2" t="n">
        <v>1559</v>
      </c>
      <c r="F301" s="2" t="n">
        <v>0</v>
      </c>
      <c r="G301" s="2" t="n">
        <v>1</v>
      </c>
      <c r="H301" s="2" t="n">
        <v>0</v>
      </c>
      <c r="I301" s="2" t="n">
        <v>1</v>
      </c>
      <c r="J301" s="2" t="n">
        <v>3</v>
      </c>
      <c r="K301" s="2" t="n">
        <v>1</v>
      </c>
      <c r="L301" s="2" t="n">
        <v>2</v>
      </c>
      <c r="M301" s="2" t="n">
        <v>5</v>
      </c>
      <c r="N301" s="2" t="n">
        <v>1</v>
      </c>
      <c r="O301" s="2" t="n">
        <v>0</v>
      </c>
      <c r="P301" s="2" t="n">
        <v>1</v>
      </c>
      <c r="Q301" s="2" t="n">
        <v>0</v>
      </c>
      <c r="R301" s="2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5</v>
      </c>
      <c r="X301" t="n">
        <v>-1</v>
      </c>
      <c r="Y301" t="n">
        <v>1</v>
      </c>
      <c r="Z301" t="n">
        <v>0</v>
      </c>
      <c r="AA301" t="n">
        <v>0</v>
      </c>
      <c r="AB301" t="n">
        <v>17</v>
      </c>
      <c r="AC301" t="inlineStr">
        <is>
          <t>Hello World!</t>
        </is>
      </c>
    </row>
    <row r="302" ht="16" customHeight="1">
      <c r="A302" s="1" t="inlineStr">
        <is>
          <t>51.Blue 1</t>
        </is>
      </c>
      <c r="B302" s="2" t="inlineStr">
        <is>
          <t>Domenic Giammusso</t>
        </is>
      </c>
      <c r="C302" s="2" t="n">
        <v>51</v>
      </c>
      <c r="D302" s="2" t="inlineStr">
        <is>
          <t>b1</t>
        </is>
      </c>
      <c r="E302" s="2" t="n">
        <v>1126</v>
      </c>
      <c r="F302" s="2" t="n">
        <v>1</v>
      </c>
      <c r="G302" s="2" t="n">
        <v>0</v>
      </c>
      <c r="H302" s="2" t="n">
        <v>0</v>
      </c>
      <c r="I302" s="2" t="n">
        <v>0</v>
      </c>
      <c r="J302" s="2" t="n">
        <v>3</v>
      </c>
      <c r="K302" s="2" t="n">
        <v>3</v>
      </c>
      <c r="L302" s="2" t="n">
        <v>2</v>
      </c>
      <c r="M302" s="2" t="n">
        <v>4</v>
      </c>
      <c r="N302" s="2" t="n">
        <v>0</v>
      </c>
      <c r="O302" s="2" t="n">
        <v>1</v>
      </c>
      <c r="P302" s="2" t="n">
        <v>1</v>
      </c>
      <c r="Q302" s="2" t="n">
        <v>1</v>
      </c>
      <c r="R302" s="2" t="n">
        <v>1</v>
      </c>
      <c r="S302" t="n">
        <v>0</v>
      </c>
      <c r="T302" t="n">
        <v>1</v>
      </c>
      <c r="U302" t="n">
        <v>1</v>
      </c>
      <c r="V302" t="n">
        <v>1</v>
      </c>
      <c r="W302" t="n">
        <v>5</v>
      </c>
      <c r="X302" t="n">
        <v>1</v>
      </c>
      <c r="Y302" t="n">
        <v>1</v>
      </c>
      <c r="Z302" t="n">
        <v>1</v>
      </c>
      <c r="AA302" t="n">
        <v>0</v>
      </c>
      <c r="AB302" t="n">
        <v>211</v>
      </c>
      <c r="AC302" t="inlineStr">
        <is>
          <t>Hello World!</t>
        </is>
      </c>
    </row>
    <row r="303" ht="16" customHeight="1">
      <c r="A303" s="1" t="inlineStr">
        <is>
          <t>51.Blue 2</t>
        </is>
      </c>
      <c r="B303" s="2" t="inlineStr">
        <is>
          <t>Domenic Giammusso</t>
        </is>
      </c>
      <c r="C303" s="2" t="n">
        <v>51</v>
      </c>
      <c r="D303" s="2" t="inlineStr">
        <is>
          <t>b2</t>
        </is>
      </c>
      <c r="E303" s="2" t="n">
        <v>1056</v>
      </c>
      <c r="F303" s="2" t="n">
        <v>1</v>
      </c>
      <c r="G303" s="2" t="n">
        <v>1</v>
      </c>
      <c r="H303" s="2" t="n">
        <v>0</v>
      </c>
      <c r="I303" s="2" t="n">
        <v>0</v>
      </c>
      <c r="J303" s="2" t="n">
        <v>4</v>
      </c>
      <c r="K303" s="2" t="n">
        <v>2</v>
      </c>
      <c r="L303" s="2" t="n">
        <v>2</v>
      </c>
      <c r="M303" s="2" t="n">
        <v>4</v>
      </c>
      <c r="N303" s="2" t="n">
        <v>1</v>
      </c>
      <c r="O303" s="2" t="n">
        <v>0</v>
      </c>
      <c r="P303" s="2" t="n">
        <v>1</v>
      </c>
      <c r="Q303" s="2" t="n">
        <v>0</v>
      </c>
      <c r="R303" s="2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3</v>
      </c>
      <c r="X303" t="n">
        <v>0</v>
      </c>
      <c r="Y303" t="n">
        <v>1</v>
      </c>
      <c r="Z303" t="n">
        <v>0</v>
      </c>
      <c r="AA303" t="n">
        <v>0</v>
      </c>
      <c r="AB303" t="n">
        <v>76</v>
      </c>
      <c r="AC303" t="inlineStr">
        <is>
          <t>Hello World!</t>
        </is>
      </c>
    </row>
    <row r="304" ht="16" customHeight="1">
      <c r="A304" s="1" t="inlineStr">
        <is>
          <t>51.Blue 3</t>
        </is>
      </c>
      <c r="B304" s="2" t="inlineStr">
        <is>
          <t>Andrew Crawford</t>
        </is>
      </c>
      <c r="C304" s="2" t="n">
        <v>51</v>
      </c>
      <c r="D304" s="2" t="inlineStr">
        <is>
          <t>b3</t>
        </is>
      </c>
      <c r="E304" s="2" t="n">
        <v>271</v>
      </c>
      <c r="F304" s="2" t="n">
        <v>0</v>
      </c>
      <c r="G304" s="2" t="n">
        <v>1</v>
      </c>
      <c r="H304" s="2" t="n">
        <v>1</v>
      </c>
      <c r="I304" s="2" t="n">
        <v>-1</v>
      </c>
      <c r="J304" s="2" t="n">
        <v>3</v>
      </c>
      <c r="K304" s="2" t="n">
        <v>1</v>
      </c>
      <c r="L304" s="2" t="n">
        <v>3</v>
      </c>
      <c r="M304" s="2" t="n">
        <v>4</v>
      </c>
      <c r="N304" s="2" t="n">
        <v>0</v>
      </c>
      <c r="O304" s="2" t="n">
        <v>1</v>
      </c>
      <c r="P304" s="2" t="n">
        <v>0</v>
      </c>
      <c r="Q304" s="2" t="n">
        <v>0</v>
      </c>
      <c r="R304" s="2" t="n">
        <v>0</v>
      </c>
      <c r="S304" t="n">
        <v>3</v>
      </c>
      <c r="T304" t="n">
        <v>1</v>
      </c>
      <c r="U304" t="n">
        <v>1</v>
      </c>
      <c r="V304" t="n">
        <v>1</v>
      </c>
      <c r="W304" t="n">
        <v>3</v>
      </c>
      <c r="X304" t="n">
        <v>-1</v>
      </c>
      <c r="Y304" t="n">
        <v>1</v>
      </c>
      <c r="Z304" t="n">
        <v>1</v>
      </c>
      <c r="AA304" t="n">
        <v>0</v>
      </c>
      <c r="AB304" t="n">
        <v>4</v>
      </c>
      <c r="AC304" t="inlineStr">
        <is>
          <t>Hello World!</t>
        </is>
      </c>
    </row>
    <row r="305" ht="16" customHeight="1">
      <c r="A305" s="1" t="inlineStr">
        <is>
          <t>51.Red 1</t>
        </is>
      </c>
      <c r="B305" s="2" t="inlineStr">
        <is>
          <t>Nicholas Munier</t>
        </is>
      </c>
      <c r="C305" s="2" t="n">
        <v>51</v>
      </c>
      <c r="D305" s="2" t="inlineStr">
        <is>
          <t>r1</t>
        </is>
      </c>
      <c r="E305" s="2" t="n">
        <v>3015</v>
      </c>
      <c r="F305" s="2" t="n">
        <v>1</v>
      </c>
      <c r="G305" s="2" t="n">
        <v>0</v>
      </c>
      <c r="H305" s="2" t="n">
        <v>0</v>
      </c>
      <c r="I305" s="2" t="n">
        <v>0</v>
      </c>
      <c r="J305" s="2" t="n">
        <v>4</v>
      </c>
      <c r="K305" s="2" t="n">
        <v>3</v>
      </c>
      <c r="L305" s="2" t="n">
        <v>1</v>
      </c>
      <c r="M305" s="2" t="n">
        <v>4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t="n">
        <v>3</v>
      </c>
      <c r="T305" t="n">
        <v>1</v>
      </c>
      <c r="U305" t="n">
        <v>1</v>
      </c>
      <c r="V305" t="n">
        <v>1</v>
      </c>
      <c r="W305" t="n">
        <v>4</v>
      </c>
      <c r="X305" t="n">
        <v>0</v>
      </c>
      <c r="Y305" t="n">
        <v>0</v>
      </c>
      <c r="Z305" t="n">
        <v>0</v>
      </c>
      <c r="AA305" t="n">
        <v>0</v>
      </c>
      <c r="AB305" t="n">
        <v>271</v>
      </c>
      <c r="AC305" t="inlineStr">
        <is>
          <t>Hello World!</t>
        </is>
      </c>
    </row>
    <row r="306" ht="16" customHeight="1">
      <c r="A306" s="1" t="inlineStr">
        <is>
          <t>51.Red 2</t>
        </is>
      </c>
      <c r="B306" s="2" t="inlineStr">
        <is>
          <t>Nathan DeVito</t>
        </is>
      </c>
      <c r="C306" s="2" t="n">
        <v>51</v>
      </c>
      <c r="D306" s="2" t="inlineStr">
        <is>
          <t>r2</t>
        </is>
      </c>
      <c r="E306" s="2" t="n">
        <v>3181</v>
      </c>
      <c r="F306" s="2" t="n">
        <v>1</v>
      </c>
      <c r="G306" s="2" t="n">
        <v>1</v>
      </c>
      <c r="H306" s="2" t="n">
        <v>1</v>
      </c>
      <c r="I306" s="2" t="n">
        <v>0</v>
      </c>
      <c r="J306" s="2" t="n">
        <v>1</v>
      </c>
      <c r="K306" s="2" t="n">
        <v>1</v>
      </c>
      <c r="L306" s="2" t="n">
        <v>2</v>
      </c>
      <c r="M306" s="2" t="n">
        <v>3</v>
      </c>
      <c r="N306" s="2" t="n">
        <v>0</v>
      </c>
      <c r="O306" s="2" t="n">
        <v>0</v>
      </c>
      <c r="P306" s="2" t="n">
        <v>0</v>
      </c>
      <c r="Q306" s="2" t="n">
        <v>1</v>
      </c>
      <c r="R306" s="2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5</v>
      </c>
      <c r="X306" t="n">
        <v>1</v>
      </c>
      <c r="Y306" t="n">
        <v>1</v>
      </c>
      <c r="Z306" t="n">
        <v>0</v>
      </c>
      <c r="AA306" t="n">
        <v>0</v>
      </c>
      <c r="AB306" t="n">
        <v>299</v>
      </c>
      <c r="AC306" t="inlineStr">
        <is>
          <t>Hello World!</t>
        </is>
      </c>
    </row>
    <row r="307" ht="16" customHeight="1">
      <c r="A307" s="1" t="inlineStr">
        <is>
          <t>51.Red 3</t>
        </is>
      </c>
      <c r="B307" s="2" t="inlineStr">
        <is>
          <t>Gianmarco D'Angelo</t>
        </is>
      </c>
      <c r="C307" s="2" t="n">
        <v>51</v>
      </c>
      <c r="D307" s="2" t="inlineStr">
        <is>
          <t>r3</t>
        </is>
      </c>
      <c r="E307" s="2" t="n">
        <v>1507</v>
      </c>
      <c r="F307" s="2" t="n">
        <v>1</v>
      </c>
      <c r="G307" s="2" t="n">
        <v>1</v>
      </c>
      <c r="H307" s="2" t="n">
        <v>1</v>
      </c>
      <c r="I307" s="2" t="n">
        <v>-1</v>
      </c>
      <c r="J307" s="2" t="n">
        <v>5</v>
      </c>
      <c r="K307" s="2" t="n">
        <v>2</v>
      </c>
      <c r="L307" s="2" t="n">
        <v>3</v>
      </c>
      <c r="M307" s="2" t="n">
        <v>4</v>
      </c>
      <c r="N307" s="2" t="n">
        <v>0</v>
      </c>
      <c r="O307" s="2" t="n">
        <v>0</v>
      </c>
      <c r="P307" s="2" t="n">
        <v>0</v>
      </c>
      <c r="Q307" s="2" t="n">
        <v>1</v>
      </c>
      <c r="R307" s="2" t="n">
        <v>0</v>
      </c>
      <c r="S307" t="n">
        <v>2</v>
      </c>
      <c r="T307" t="n">
        <v>1</v>
      </c>
      <c r="U307" t="n">
        <v>0</v>
      </c>
      <c r="V307" t="n">
        <v>0</v>
      </c>
      <c r="W307" t="n">
        <v>3</v>
      </c>
      <c r="X307" t="n">
        <v>1</v>
      </c>
      <c r="Y307" t="n">
        <v>1</v>
      </c>
      <c r="Z307" t="n">
        <v>0</v>
      </c>
      <c r="AA307" t="n">
        <v>0</v>
      </c>
      <c r="AB307" t="n">
        <v>295</v>
      </c>
      <c r="AC307" t="inlineStr">
        <is>
          <t>Hello World!</t>
        </is>
      </c>
    </row>
    <row r="308" ht="16" customHeight="1">
      <c r="A308" s="1" t="inlineStr">
        <is>
          <t>52.Blue 1</t>
        </is>
      </c>
      <c r="B308" s="2" t="inlineStr">
        <is>
          <t xml:space="preserve">Ruth Christensen </t>
        </is>
      </c>
      <c r="C308" s="2" t="n">
        <v>52</v>
      </c>
      <c r="D308" s="2" t="inlineStr">
        <is>
          <t>b1</t>
        </is>
      </c>
      <c r="E308" s="2" t="n">
        <v>1468</v>
      </c>
      <c r="F308" s="2" t="n">
        <v>1</v>
      </c>
      <c r="G308" s="2" t="n">
        <v>1</v>
      </c>
      <c r="H308" s="2" t="n">
        <v>1</v>
      </c>
      <c r="I308" s="2" t="n">
        <v>0</v>
      </c>
      <c r="J308" s="2" t="n">
        <v>5</v>
      </c>
      <c r="K308" s="2" t="n">
        <v>1</v>
      </c>
      <c r="L308" s="2" t="n">
        <v>1</v>
      </c>
      <c r="M308" s="2" t="n">
        <v>5</v>
      </c>
      <c r="N308" s="2" t="n">
        <v>1</v>
      </c>
      <c r="O308" s="2" t="n">
        <v>0</v>
      </c>
      <c r="P308" s="2" t="n">
        <v>1</v>
      </c>
      <c r="Q308" s="2" t="n">
        <v>1</v>
      </c>
      <c r="R308" s="2" t="n">
        <v>0</v>
      </c>
      <c r="S308" t="n">
        <v>2</v>
      </c>
      <c r="T308" t="n">
        <v>1</v>
      </c>
      <c r="U308" t="n">
        <v>0</v>
      </c>
      <c r="V308" t="n">
        <v>1</v>
      </c>
      <c r="W308" t="n">
        <v>3</v>
      </c>
      <c r="X308" t="n">
        <v>0</v>
      </c>
      <c r="Y308" t="n">
        <v>1</v>
      </c>
      <c r="Z308" t="n">
        <v>1</v>
      </c>
      <c r="AA308" t="n">
        <v>0</v>
      </c>
      <c r="AB308" t="n">
        <v>39</v>
      </c>
      <c r="AC308" t="inlineStr">
        <is>
          <t>Hello World!</t>
        </is>
      </c>
    </row>
    <row r="309" ht="16" customHeight="1">
      <c r="A309" s="1" t="inlineStr">
        <is>
          <t>52.Blue 2</t>
        </is>
      </c>
      <c r="B309" s="2" t="inlineStr">
        <is>
          <t>Autumn Schoenfeld</t>
        </is>
      </c>
      <c r="C309" s="2" t="n">
        <v>52</v>
      </c>
      <c r="D309" s="2" t="inlineStr">
        <is>
          <t>b2</t>
        </is>
      </c>
      <c r="E309" s="2" t="n">
        <v>9016</v>
      </c>
      <c r="F309" s="2" t="n">
        <v>0</v>
      </c>
      <c r="G309" s="2" t="n">
        <v>1</v>
      </c>
      <c r="H309" s="2" t="n">
        <v>1</v>
      </c>
      <c r="I309" s="2" t="n">
        <v>-1</v>
      </c>
      <c r="J309" s="2" t="n">
        <v>1</v>
      </c>
      <c r="K309" s="2" t="n">
        <v>1</v>
      </c>
      <c r="L309" s="2" t="n">
        <v>3</v>
      </c>
      <c r="M309" s="2" t="n">
        <v>5</v>
      </c>
      <c r="N309" s="2" t="n">
        <v>0</v>
      </c>
      <c r="O309" s="2" t="n">
        <v>1</v>
      </c>
      <c r="P309" s="2" t="n">
        <v>0</v>
      </c>
      <c r="Q309" s="2" t="n">
        <v>1</v>
      </c>
      <c r="R309" s="2" t="n">
        <v>1</v>
      </c>
      <c r="S309" t="n">
        <v>1</v>
      </c>
      <c r="T309" t="n">
        <v>0</v>
      </c>
      <c r="U309" t="n">
        <v>1</v>
      </c>
      <c r="V309" t="n">
        <v>0</v>
      </c>
      <c r="W309" t="n">
        <v>3</v>
      </c>
      <c r="X309" t="n">
        <v>0</v>
      </c>
      <c r="Y309" t="n">
        <v>0</v>
      </c>
      <c r="Z309" t="n">
        <v>0</v>
      </c>
      <c r="AA309" t="n">
        <v>0</v>
      </c>
      <c r="AB309" t="n">
        <v>161</v>
      </c>
      <c r="AC309" t="inlineStr">
        <is>
          <t>Hello World!</t>
        </is>
      </c>
    </row>
    <row r="310" ht="16" customHeight="1">
      <c r="A310" s="1" t="inlineStr">
        <is>
          <t>52.Blue 3</t>
        </is>
      </c>
      <c r="B310" s="2" t="inlineStr">
        <is>
          <t xml:space="preserve">Tetra Ukav </t>
        </is>
      </c>
      <c r="C310" s="2" t="n">
        <v>52</v>
      </c>
      <c r="D310" s="2" t="inlineStr">
        <is>
          <t>b3</t>
        </is>
      </c>
      <c r="E310" s="2" t="n">
        <v>1405</v>
      </c>
      <c r="F310" s="2" t="n">
        <v>1</v>
      </c>
      <c r="G310" s="2" t="n">
        <v>0</v>
      </c>
      <c r="H310" s="2" t="n">
        <v>1</v>
      </c>
      <c r="I310" s="2" t="n">
        <v>-1</v>
      </c>
      <c r="J310" s="2" t="n">
        <v>4</v>
      </c>
      <c r="K310" s="2" t="n">
        <v>1</v>
      </c>
      <c r="L310" s="2" t="n">
        <v>3</v>
      </c>
      <c r="M310" s="2" t="n">
        <v>4</v>
      </c>
      <c r="N310" s="2" t="n">
        <v>0</v>
      </c>
      <c r="O310" s="2" t="n">
        <v>0</v>
      </c>
      <c r="P310" s="2" t="n">
        <v>1</v>
      </c>
      <c r="Q310" s="2" t="n">
        <v>1</v>
      </c>
      <c r="R310" s="2" t="n">
        <v>1</v>
      </c>
      <c r="S310" t="n">
        <v>1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222</v>
      </c>
      <c r="AC310" t="inlineStr">
        <is>
          <t>Hello World!</t>
        </is>
      </c>
    </row>
    <row r="311" ht="16" customHeight="1">
      <c r="A311" s="1" t="inlineStr">
        <is>
          <t>52.Red 1</t>
        </is>
      </c>
      <c r="B311" s="2" t="inlineStr">
        <is>
          <t>Caitlin Munier</t>
        </is>
      </c>
      <c r="C311" s="2" t="n">
        <v>52</v>
      </c>
      <c r="D311" s="2" t="inlineStr">
        <is>
          <t>r1</t>
        </is>
      </c>
      <c r="E311" s="2" t="n">
        <v>4930</v>
      </c>
      <c r="F311" s="2" t="n">
        <v>1</v>
      </c>
      <c r="G311" s="2" t="n">
        <v>1</v>
      </c>
      <c r="H311" s="2" t="n">
        <v>0</v>
      </c>
      <c r="I311" s="2" t="n">
        <v>1</v>
      </c>
      <c r="J311" s="2" t="n">
        <v>3</v>
      </c>
      <c r="K311" s="2" t="n">
        <v>2</v>
      </c>
      <c r="L311" s="2" t="n">
        <v>2</v>
      </c>
      <c r="M311" s="2" t="n">
        <v>2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t="n">
        <v>-1</v>
      </c>
      <c r="T311" t="n">
        <v>0</v>
      </c>
      <c r="U311" t="n">
        <v>1</v>
      </c>
      <c r="V311" t="n">
        <v>0</v>
      </c>
      <c r="W311" t="n">
        <v>4</v>
      </c>
      <c r="X311" t="n">
        <v>1</v>
      </c>
      <c r="Y311" t="n">
        <v>0</v>
      </c>
      <c r="Z311" t="n">
        <v>0</v>
      </c>
      <c r="AA311" t="n">
        <v>1</v>
      </c>
      <c r="AB311" t="n">
        <v>69</v>
      </c>
      <c r="AC311" t="inlineStr">
        <is>
          <t>Hello World!</t>
        </is>
      </c>
    </row>
    <row r="312" ht="16" customHeight="1">
      <c r="A312" s="1" t="inlineStr">
        <is>
          <t>52.Red 2</t>
        </is>
      </c>
      <c r="B312" s="2" t="inlineStr">
        <is>
          <t xml:space="preserve">Tetra Ukav </t>
        </is>
      </c>
      <c r="C312" s="2" t="n">
        <v>52</v>
      </c>
      <c r="D312" s="2" t="inlineStr">
        <is>
          <t>r2</t>
        </is>
      </c>
      <c r="E312" s="2" t="n">
        <v>694</v>
      </c>
      <c r="F312" s="2" t="n">
        <v>1</v>
      </c>
      <c r="G312" s="2" t="n">
        <v>1</v>
      </c>
      <c r="H312" s="2" t="n">
        <v>0</v>
      </c>
      <c r="I312" s="2" t="n">
        <v>1</v>
      </c>
      <c r="J312" s="2" t="n">
        <v>2</v>
      </c>
      <c r="K312" s="2" t="n">
        <v>3</v>
      </c>
      <c r="L312" s="2" t="n">
        <v>2</v>
      </c>
      <c r="M312" s="2" t="n">
        <v>5</v>
      </c>
      <c r="N312" s="2" t="n">
        <v>0</v>
      </c>
      <c r="O312" s="2" t="n">
        <v>0</v>
      </c>
      <c r="P312" s="2" t="n">
        <v>0</v>
      </c>
      <c r="Q312" s="2" t="n">
        <v>1</v>
      </c>
      <c r="R312" s="2" t="n">
        <v>0</v>
      </c>
      <c r="S312" t="n">
        <v>2</v>
      </c>
      <c r="T312" t="n">
        <v>1</v>
      </c>
      <c r="U312" t="n">
        <v>0</v>
      </c>
      <c r="V312" t="n">
        <v>1</v>
      </c>
      <c r="W312" t="n">
        <v>5</v>
      </c>
      <c r="X312" t="n">
        <v>1</v>
      </c>
      <c r="Y312" t="n">
        <v>0</v>
      </c>
      <c r="Z312" t="n">
        <v>1</v>
      </c>
      <c r="AA312" t="n">
        <v>0</v>
      </c>
      <c r="AB312" t="n">
        <v>244</v>
      </c>
      <c r="AC312" t="inlineStr">
        <is>
          <t>Hello World!</t>
        </is>
      </c>
    </row>
    <row r="313" ht="16" customHeight="1">
      <c r="A313" s="1" t="inlineStr">
        <is>
          <t>52.Red 3</t>
        </is>
      </c>
      <c r="B313" s="2" t="inlineStr">
        <is>
          <t>Connor Rapp</t>
        </is>
      </c>
      <c r="C313" s="2" t="n">
        <v>52</v>
      </c>
      <c r="D313" s="2" t="inlineStr">
        <is>
          <t>r3</t>
        </is>
      </c>
      <c r="E313" s="2" t="n">
        <v>1511</v>
      </c>
      <c r="F313" s="2" t="n">
        <v>0</v>
      </c>
      <c r="G313" s="2" t="n">
        <v>0</v>
      </c>
      <c r="H313" s="2" t="n">
        <v>0</v>
      </c>
      <c r="I313" s="2" t="n">
        <v>-1</v>
      </c>
      <c r="J313" s="2" t="n">
        <v>4</v>
      </c>
      <c r="K313" s="2" t="n">
        <v>2</v>
      </c>
      <c r="L313" s="2" t="n">
        <v>1</v>
      </c>
      <c r="M313" s="2" t="n">
        <v>5</v>
      </c>
      <c r="N313" s="2" t="n">
        <v>1</v>
      </c>
      <c r="O313" s="2" t="n">
        <v>0</v>
      </c>
      <c r="P313" s="2" t="n">
        <v>0</v>
      </c>
      <c r="Q313" s="2" t="n">
        <v>0</v>
      </c>
      <c r="R313" s="2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5</v>
      </c>
      <c r="X313" t="n">
        <v>-1</v>
      </c>
      <c r="Y313" t="n">
        <v>0</v>
      </c>
      <c r="Z313" t="n">
        <v>1</v>
      </c>
      <c r="AA313" t="n">
        <v>1</v>
      </c>
      <c r="AB313" t="n">
        <v>151</v>
      </c>
      <c r="AC313" t="inlineStr">
        <is>
          <t>Hello World!</t>
        </is>
      </c>
    </row>
    <row r="314" ht="16" customHeight="1">
      <c r="A314" s="1" t="inlineStr">
        <is>
          <t>53.Blue 1</t>
        </is>
      </c>
      <c r="B314" s="2" t="inlineStr">
        <is>
          <t>Jonah WoikaKai Wilbur</t>
        </is>
      </c>
      <c r="C314" s="2" t="n">
        <v>53</v>
      </c>
      <c r="D314" s="2" t="inlineStr">
        <is>
          <t>b1</t>
        </is>
      </c>
      <c r="E314" s="2" t="n">
        <v>1591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n">
        <v>2</v>
      </c>
      <c r="L314" s="2" t="n">
        <v>1</v>
      </c>
      <c r="M314" s="2" t="n">
        <v>5</v>
      </c>
      <c r="N314" s="2" t="n">
        <v>0</v>
      </c>
      <c r="O314" s="2" t="n">
        <v>0</v>
      </c>
      <c r="P314" s="2" t="n">
        <v>1</v>
      </c>
      <c r="Q314" s="2" t="n">
        <v>1</v>
      </c>
      <c r="R314" s="2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4</v>
      </c>
      <c r="X314" t="n">
        <v>1</v>
      </c>
      <c r="Y314" t="n">
        <v>1</v>
      </c>
      <c r="Z314" t="n">
        <v>0</v>
      </c>
      <c r="AA314" t="n">
        <v>0</v>
      </c>
      <c r="AB314" t="n">
        <v>287</v>
      </c>
      <c r="AC314" t="inlineStr">
        <is>
          <t>Hello World!</t>
        </is>
      </c>
    </row>
    <row r="315" ht="16" customHeight="1">
      <c r="A315" s="1" t="inlineStr">
        <is>
          <t>53.Blue 2</t>
        </is>
      </c>
      <c r="B315" s="2" t="inlineStr">
        <is>
          <t>Nicholas Munier</t>
        </is>
      </c>
      <c r="C315" s="2" t="n">
        <v>53</v>
      </c>
      <c r="D315" s="2" t="inlineStr">
        <is>
          <t>b2</t>
        </is>
      </c>
      <c r="E315" s="2" t="n">
        <v>2340</v>
      </c>
      <c r="F315" s="2" t="n">
        <v>1</v>
      </c>
      <c r="G315" s="2" t="n">
        <v>1</v>
      </c>
      <c r="H315" s="2" t="n">
        <v>0</v>
      </c>
      <c r="I315" s="2" t="n">
        <v>1</v>
      </c>
      <c r="J315" s="2" t="n">
        <v>5</v>
      </c>
      <c r="K315" s="2" t="n">
        <v>1</v>
      </c>
      <c r="L315" s="2" t="n">
        <v>1</v>
      </c>
      <c r="M315" s="2" t="n">
        <v>5</v>
      </c>
      <c r="N315" s="2" t="n">
        <v>1</v>
      </c>
      <c r="O315" s="2" t="n">
        <v>0</v>
      </c>
      <c r="P315" s="2" t="n">
        <v>0</v>
      </c>
      <c r="Q315" s="2" t="n">
        <v>0</v>
      </c>
      <c r="R315" s="2" t="n">
        <v>0</v>
      </c>
      <c r="S315" t="n">
        <v>2</v>
      </c>
      <c r="T315" t="n">
        <v>0</v>
      </c>
      <c r="U315" t="n">
        <v>1</v>
      </c>
      <c r="V315" t="n">
        <v>1</v>
      </c>
      <c r="W315" t="n">
        <v>5</v>
      </c>
      <c r="X315" t="n">
        <v>-1</v>
      </c>
      <c r="Y315" t="n">
        <v>1</v>
      </c>
      <c r="Z315" t="n">
        <v>0</v>
      </c>
      <c r="AA315" t="n">
        <v>1</v>
      </c>
      <c r="AB315" t="n">
        <v>211</v>
      </c>
      <c r="AC315" t="inlineStr">
        <is>
          <t>Hello World!</t>
        </is>
      </c>
    </row>
    <row r="316" ht="16" customHeight="1">
      <c r="A316" s="1" t="inlineStr">
        <is>
          <t>53.Blue 3</t>
        </is>
      </c>
      <c r="B316" s="2" t="inlineStr">
        <is>
          <t>Eli Harrison</t>
        </is>
      </c>
      <c r="C316" s="2" t="n">
        <v>53</v>
      </c>
      <c r="D316" s="2" t="inlineStr">
        <is>
          <t>b3</t>
        </is>
      </c>
      <c r="E316" s="2" t="n">
        <v>353</v>
      </c>
      <c r="F316" s="2" t="n">
        <v>1</v>
      </c>
      <c r="G316" s="2" t="n">
        <v>0</v>
      </c>
      <c r="H316" s="2" t="n">
        <v>1</v>
      </c>
      <c r="I316" s="2" t="n">
        <v>-1</v>
      </c>
      <c r="J316" s="2" t="n">
        <v>4</v>
      </c>
      <c r="K316" s="2" t="n">
        <v>2</v>
      </c>
      <c r="L316" s="2" t="n">
        <v>1</v>
      </c>
      <c r="M316" s="2" t="n">
        <v>2</v>
      </c>
      <c r="N316" s="2" t="n">
        <v>0</v>
      </c>
      <c r="O316" s="2" t="n">
        <v>1</v>
      </c>
      <c r="P316" s="2" t="n">
        <v>1</v>
      </c>
      <c r="Q316" s="2" t="n">
        <v>0</v>
      </c>
      <c r="R316" s="2" t="n">
        <v>0</v>
      </c>
      <c r="S316" t="n">
        <v>3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162</v>
      </c>
      <c r="AC316" t="inlineStr">
        <is>
          <t>Hello World!</t>
        </is>
      </c>
    </row>
    <row r="317" ht="16" customHeight="1">
      <c r="A317" s="1" t="inlineStr">
        <is>
          <t>53.Red 1</t>
        </is>
      </c>
      <c r="B317" s="2" t="inlineStr">
        <is>
          <t xml:space="preserve">Ruth Christensen </t>
        </is>
      </c>
      <c r="C317" s="2" t="n">
        <v>53</v>
      </c>
      <c r="D317" s="2" t="inlineStr">
        <is>
          <t>r1</t>
        </is>
      </c>
      <c r="E317" s="2" t="n">
        <v>7903</v>
      </c>
      <c r="F317" s="2" t="n">
        <v>0</v>
      </c>
      <c r="G317" s="2" t="n">
        <v>1</v>
      </c>
      <c r="H317" s="2" t="n">
        <v>1</v>
      </c>
      <c r="I317" s="2" t="n">
        <v>-1</v>
      </c>
      <c r="J317" s="2" t="n">
        <v>1</v>
      </c>
      <c r="K317" s="2" t="n">
        <v>1</v>
      </c>
      <c r="L317" s="2" t="n">
        <v>3</v>
      </c>
      <c r="M317" s="2" t="n">
        <v>4</v>
      </c>
      <c r="N317" s="2" t="n">
        <v>0</v>
      </c>
      <c r="O317" s="2" t="n">
        <v>0</v>
      </c>
      <c r="P317" s="2" t="n">
        <v>0</v>
      </c>
      <c r="Q317" s="2" t="n">
        <v>1</v>
      </c>
      <c r="R317" s="2" t="n">
        <v>1</v>
      </c>
      <c r="S317" t="n">
        <v>-1</v>
      </c>
      <c r="T317" t="n">
        <v>1</v>
      </c>
      <c r="U317" t="n">
        <v>0</v>
      </c>
      <c r="V317" t="n">
        <v>0</v>
      </c>
      <c r="W317" t="n">
        <v>3</v>
      </c>
      <c r="X317" t="n">
        <v>-1</v>
      </c>
      <c r="Y317" t="n">
        <v>0</v>
      </c>
      <c r="Z317" t="n">
        <v>1</v>
      </c>
      <c r="AA317" t="n">
        <v>0</v>
      </c>
      <c r="AB317" t="n">
        <v>281</v>
      </c>
      <c r="AC317" t="inlineStr">
        <is>
          <t>Hello World!</t>
        </is>
      </c>
    </row>
    <row r="318" ht="16" customHeight="1">
      <c r="A318" s="1" t="inlineStr">
        <is>
          <t>53.Red 2</t>
        </is>
      </c>
      <c r="B318" s="2" t="inlineStr">
        <is>
          <t xml:space="preserve">Ruth Christensen </t>
        </is>
      </c>
      <c r="C318" s="2" t="n">
        <v>53</v>
      </c>
      <c r="D318" s="2" t="inlineStr">
        <is>
          <t>r2</t>
        </is>
      </c>
      <c r="E318" s="2" t="n">
        <v>564</v>
      </c>
      <c r="F318" s="2" t="n">
        <v>1</v>
      </c>
      <c r="G318" s="2" t="n">
        <v>0</v>
      </c>
      <c r="H318" s="2" t="n">
        <v>1</v>
      </c>
      <c r="I318" s="2" t="n">
        <v>1</v>
      </c>
      <c r="J318" s="2" t="n">
        <v>4</v>
      </c>
      <c r="K318" s="2" t="n">
        <v>1</v>
      </c>
      <c r="L318" s="2" t="n">
        <v>2</v>
      </c>
      <c r="M318" s="2" t="n">
        <v>1</v>
      </c>
      <c r="N318" s="2" t="n">
        <v>1</v>
      </c>
      <c r="O318" s="2" t="n">
        <v>0</v>
      </c>
      <c r="P318" s="2" t="n">
        <v>0</v>
      </c>
      <c r="Q318" s="2" t="n">
        <v>0</v>
      </c>
      <c r="R318" s="2" t="n">
        <v>1</v>
      </c>
      <c r="S318" t="n">
        <v>2</v>
      </c>
      <c r="T318" t="n">
        <v>1</v>
      </c>
      <c r="U318" t="n">
        <v>0</v>
      </c>
      <c r="V318" t="n">
        <v>1</v>
      </c>
      <c r="W318" t="n">
        <v>4</v>
      </c>
      <c r="X318" t="n">
        <v>0</v>
      </c>
      <c r="Y318" t="n">
        <v>1</v>
      </c>
      <c r="Z318" t="n">
        <v>1</v>
      </c>
      <c r="AA318" t="n">
        <v>1</v>
      </c>
      <c r="AB318" t="n">
        <v>293</v>
      </c>
      <c r="AC318" t="inlineStr">
        <is>
          <t>Hello World!</t>
        </is>
      </c>
    </row>
    <row r="319" ht="16" customHeight="1">
      <c r="A319" s="1" t="inlineStr">
        <is>
          <t>53.Red 3</t>
        </is>
      </c>
      <c r="B319" s="2" t="inlineStr">
        <is>
          <t>Runa Hunt</t>
        </is>
      </c>
      <c r="C319" s="2" t="n">
        <v>53</v>
      </c>
      <c r="D319" s="2" t="inlineStr">
        <is>
          <t>r3</t>
        </is>
      </c>
      <c r="E319" s="2" t="n">
        <v>3951</v>
      </c>
      <c r="F319" s="2" t="n">
        <v>0</v>
      </c>
      <c r="G319" s="2" t="n">
        <v>0</v>
      </c>
      <c r="H319" s="2" t="n">
        <v>1</v>
      </c>
      <c r="I319" s="2" t="n">
        <v>-1</v>
      </c>
      <c r="J319" s="2" t="n">
        <v>5</v>
      </c>
      <c r="K319" s="2" t="n">
        <v>2</v>
      </c>
      <c r="L319" s="2" t="n">
        <v>3</v>
      </c>
      <c r="M319" s="2" t="n">
        <v>4</v>
      </c>
      <c r="N319" s="2" t="n">
        <v>0</v>
      </c>
      <c r="O319" s="2" t="n">
        <v>0</v>
      </c>
      <c r="P319" s="2" t="n">
        <v>1</v>
      </c>
      <c r="Q319" s="2" t="n">
        <v>0</v>
      </c>
      <c r="R319" s="2" t="n">
        <v>0</v>
      </c>
      <c r="S319" t="n">
        <v>3</v>
      </c>
      <c r="T319" t="n">
        <v>1</v>
      </c>
      <c r="U319" t="n">
        <v>0</v>
      </c>
      <c r="V319" t="n">
        <v>0</v>
      </c>
      <c r="W319" t="n">
        <v>1</v>
      </c>
      <c r="X319" t="n">
        <v>-1</v>
      </c>
      <c r="Y319" t="n">
        <v>1</v>
      </c>
      <c r="Z319" t="n">
        <v>1</v>
      </c>
      <c r="AA319" t="n">
        <v>0</v>
      </c>
      <c r="AB319" t="n">
        <v>59</v>
      </c>
      <c r="AC319" t="inlineStr">
        <is>
          <t>Hello World!</t>
        </is>
      </c>
    </row>
    <row r="320" ht="16" customHeight="1">
      <c r="A320" s="1" t="inlineStr">
        <is>
          <t>54.Blue 1</t>
        </is>
      </c>
      <c r="B320" s="2" t="inlineStr">
        <is>
          <t>Dean Blanchard</t>
        </is>
      </c>
      <c r="C320" s="2" t="n">
        <v>54</v>
      </c>
      <c r="D320" s="2" t="inlineStr">
        <is>
          <t>b1</t>
        </is>
      </c>
      <c r="E320" s="2" t="n">
        <v>8503</v>
      </c>
      <c r="F320" s="2" t="n">
        <v>1</v>
      </c>
      <c r="G320" s="2" t="n">
        <v>0</v>
      </c>
      <c r="H320" s="2" t="n">
        <v>1</v>
      </c>
      <c r="I320" s="2" t="n">
        <v>0</v>
      </c>
      <c r="J320" s="2" t="n">
        <v>3</v>
      </c>
      <c r="K320" s="2" t="n">
        <v>1</v>
      </c>
      <c r="L320" s="2" t="n">
        <v>3</v>
      </c>
      <c r="M320" s="2" t="n">
        <v>2</v>
      </c>
      <c r="N320" s="2" t="n">
        <v>1</v>
      </c>
      <c r="O320" s="2" t="n">
        <v>1</v>
      </c>
      <c r="P320" s="2" t="n">
        <v>1</v>
      </c>
      <c r="Q320" s="2" t="n">
        <v>1</v>
      </c>
      <c r="R320" s="2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2</v>
      </c>
      <c r="X320" t="n">
        <v>0</v>
      </c>
      <c r="Y320" t="n">
        <v>1</v>
      </c>
      <c r="Z320" t="n">
        <v>0</v>
      </c>
      <c r="AA320" t="n">
        <v>0</v>
      </c>
      <c r="AB320" t="n">
        <v>226</v>
      </c>
      <c r="AC320" t="inlineStr">
        <is>
          <t>Hello World!</t>
        </is>
      </c>
    </row>
    <row r="321" ht="16" customHeight="1">
      <c r="A321" s="1" t="inlineStr">
        <is>
          <t>54.Blue 2</t>
        </is>
      </c>
      <c r="B321" s="2" t="inlineStr">
        <is>
          <t>Gianmarco D'Angelo</t>
        </is>
      </c>
      <c r="C321" s="2" t="n">
        <v>54</v>
      </c>
      <c r="D321" s="2" t="inlineStr">
        <is>
          <t>b2</t>
        </is>
      </c>
      <c r="E321" s="2" t="n">
        <v>810</v>
      </c>
      <c r="F321" s="2" t="n">
        <v>0</v>
      </c>
      <c r="G321" s="2" t="n">
        <v>0</v>
      </c>
      <c r="H321" s="2" t="n">
        <v>1</v>
      </c>
      <c r="I321" s="2" t="n">
        <v>0</v>
      </c>
      <c r="J321" s="2" t="n">
        <v>5</v>
      </c>
      <c r="K321" s="2" t="n">
        <v>1</v>
      </c>
      <c r="L321" s="2" t="n">
        <v>2</v>
      </c>
      <c r="M321" s="2" t="n">
        <v>5</v>
      </c>
      <c r="N321" s="2" t="n">
        <v>0</v>
      </c>
      <c r="O321" s="2" t="n">
        <v>1</v>
      </c>
      <c r="P321" s="2" t="n">
        <v>1</v>
      </c>
      <c r="Q321" s="2" t="n">
        <v>0</v>
      </c>
      <c r="R321" s="2" t="n">
        <v>1</v>
      </c>
      <c r="S321" t="n">
        <v>-1</v>
      </c>
      <c r="T321" t="n">
        <v>1</v>
      </c>
      <c r="U321" t="n">
        <v>0</v>
      </c>
      <c r="V321" t="n">
        <v>1</v>
      </c>
      <c r="W321" t="n">
        <v>5</v>
      </c>
      <c r="X321" t="n">
        <v>1</v>
      </c>
      <c r="Y321" t="n">
        <v>1</v>
      </c>
      <c r="Z321" t="n">
        <v>1</v>
      </c>
      <c r="AA321" t="n">
        <v>1</v>
      </c>
      <c r="AB321" t="n">
        <v>18</v>
      </c>
      <c r="AC321" t="inlineStr">
        <is>
          <t>Hello World!</t>
        </is>
      </c>
    </row>
    <row r="322" ht="16" customHeight="1">
      <c r="A322" s="1" t="inlineStr">
        <is>
          <t>54.Blue 3</t>
        </is>
      </c>
      <c r="B322" s="2" t="inlineStr">
        <is>
          <t>Runa Hunt</t>
        </is>
      </c>
      <c r="C322" s="2" t="n">
        <v>54</v>
      </c>
      <c r="D322" s="2" t="inlineStr">
        <is>
          <t>b3</t>
        </is>
      </c>
      <c r="E322" s="2" t="n">
        <v>3173</v>
      </c>
      <c r="F322" s="2" t="n">
        <v>1</v>
      </c>
      <c r="G322" s="2" t="n">
        <v>0</v>
      </c>
      <c r="H322" s="2" t="n">
        <v>0</v>
      </c>
      <c r="I322" s="2" t="n">
        <v>0</v>
      </c>
      <c r="J322" s="2" t="n">
        <v>5</v>
      </c>
      <c r="K322" s="2" t="n">
        <v>3</v>
      </c>
      <c r="L322" s="2" t="n">
        <v>1</v>
      </c>
      <c r="M322" s="2" t="n">
        <v>3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n">
        <v>1</v>
      </c>
      <c r="Z322" t="n">
        <v>0</v>
      </c>
      <c r="AA322" t="n">
        <v>1</v>
      </c>
      <c r="AB322" t="n">
        <v>292</v>
      </c>
      <c r="AC322" t="inlineStr">
        <is>
          <t>Hello World!</t>
        </is>
      </c>
    </row>
    <row r="323" ht="16" customHeight="1">
      <c r="A323" s="1" t="inlineStr">
        <is>
          <t>54.Red 1</t>
        </is>
      </c>
      <c r="B323" s="2" t="inlineStr">
        <is>
          <t>Dean Blanchard</t>
        </is>
      </c>
      <c r="C323" s="2" t="n">
        <v>54</v>
      </c>
      <c r="D323" s="2" t="inlineStr">
        <is>
          <t>r1</t>
        </is>
      </c>
      <c r="E323" s="2" t="n">
        <v>6423</v>
      </c>
      <c r="F323" s="2" t="n">
        <v>0</v>
      </c>
      <c r="G323" s="2" t="n">
        <v>0</v>
      </c>
      <c r="H323" s="2" t="n">
        <v>1</v>
      </c>
      <c r="I323" s="2" t="n">
        <v>0</v>
      </c>
      <c r="J323" s="2" t="n">
        <v>2</v>
      </c>
      <c r="K323" s="2" t="n">
        <v>2</v>
      </c>
      <c r="L323" s="2" t="n">
        <v>3</v>
      </c>
      <c r="M323" s="2" t="n">
        <v>4</v>
      </c>
      <c r="N323" s="2" t="n">
        <v>1</v>
      </c>
      <c r="O323" s="2" t="n">
        <v>1</v>
      </c>
      <c r="P323" s="2" t="n">
        <v>1</v>
      </c>
      <c r="Q323" s="2" t="n">
        <v>0</v>
      </c>
      <c r="R323" s="2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4</v>
      </c>
      <c r="X323" t="n">
        <v>1</v>
      </c>
      <c r="Y323" t="n">
        <v>1</v>
      </c>
      <c r="Z323" t="n">
        <v>0</v>
      </c>
      <c r="AA323" t="n">
        <v>0</v>
      </c>
      <c r="AB323" t="n">
        <v>55</v>
      </c>
      <c r="AC323" t="inlineStr">
        <is>
          <t>Hello World!</t>
        </is>
      </c>
    </row>
    <row r="324" ht="16" customHeight="1">
      <c r="A324" s="1" t="inlineStr">
        <is>
          <t>54.Red 2</t>
        </is>
      </c>
      <c r="B324" s="2" t="inlineStr">
        <is>
          <t>Ethan Stiffler</t>
        </is>
      </c>
      <c r="C324" s="2" t="n">
        <v>54</v>
      </c>
      <c r="D324" s="2" t="inlineStr">
        <is>
          <t>r2</t>
        </is>
      </c>
      <c r="E324" s="2" t="n">
        <v>340</v>
      </c>
      <c r="F324" s="2" t="n">
        <v>1</v>
      </c>
      <c r="G324" s="2" t="n">
        <v>1</v>
      </c>
      <c r="H324" s="2" t="n">
        <v>1</v>
      </c>
      <c r="I324" s="2" t="n">
        <v>-1</v>
      </c>
      <c r="J324" s="2" t="n">
        <v>4</v>
      </c>
      <c r="K324" s="2" t="n">
        <v>1</v>
      </c>
      <c r="L324" s="2" t="n">
        <v>1</v>
      </c>
      <c r="M324" s="2" t="n">
        <v>2</v>
      </c>
      <c r="N324" s="2" t="n">
        <v>0</v>
      </c>
      <c r="O324" s="2" t="n">
        <v>0</v>
      </c>
      <c r="P324" s="2" t="n">
        <v>0</v>
      </c>
      <c r="Q324" s="2" t="n">
        <v>1</v>
      </c>
      <c r="R324" s="2" t="n">
        <v>0</v>
      </c>
      <c r="S324" t="n">
        <v>1</v>
      </c>
      <c r="T324" t="n">
        <v>1</v>
      </c>
      <c r="U324" t="n">
        <v>0</v>
      </c>
      <c r="V324" t="n">
        <v>1</v>
      </c>
      <c r="W324" t="n">
        <v>2</v>
      </c>
      <c r="X324" t="n">
        <v>0</v>
      </c>
      <c r="Y324" t="n">
        <v>1</v>
      </c>
      <c r="Z324" t="n">
        <v>0</v>
      </c>
      <c r="AA324" t="n">
        <v>0</v>
      </c>
      <c r="AB324" t="n">
        <v>133</v>
      </c>
      <c r="AC324" t="inlineStr">
        <is>
          <t>Hello World!</t>
        </is>
      </c>
    </row>
    <row r="325" ht="16" customHeight="1">
      <c r="A325" s="1" t="inlineStr">
        <is>
          <t>54.Red 3</t>
        </is>
      </c>
      <c r="B325" s="2" t="inlineStr">
        <is>
          <t>Domenic Giammusso</t>
        </is>
      </c>
      <c r="C325" s="2" t="n">
        <v>54</v>
      </c>
      <c r="D325" s="2" t="inlineStr">
        <is>
          <t>r3</t>
        </is>
      </c>
      <c r="E325" s="2" t="n">
        <v>432</v>
      </c>
      <c r="F325" s="2" t="n">
        <v>0</v>
      </c>
      <c r="G325" s="2" t="n">
        <v>1</v>
      </c>
      <c r="H325" s="2" t="n">
        <v>1</v>
      </c>
      <c r="I325" s="2" t="n">
        <v>1</v>
      </c>
      <c r="J325" s="2" t="n">
        <v>1</v>
      </c>
      <c r="K325" s="2" t="n">
        <v>1</v>
      </c>
      <c r="L325" s="2" t="n">
        <v>1</v>
      </c>
      <c r="M325" s="2" t="n">
        <v>5</v>
      </c>
      <c r="N325" s="2" t="n">
        <v>1</v>
      </c>
      <c r="O325" s="2" t="n">
        <v>1</v>
      </c>
      <c r="P325" s="2" t="n">
        <v>0</v>
      </c>
      <c r="Q325" s="2" t="n">
        <v>1</v>
      </c>
      <c r="R325" s="2" t="n">
        <v>1</v>
      </c>
      <c r="S325" t="n">
        <v>2</v>
      </c>
      <c r="T325" t="n">
        <v>0</v>
      </c>
      <c r="U325" t="n">
        <v>1</v>
      </c>
      <c r="V325" t="n">
        <v>1</v>
      </c>
      <c r="W325" t="n">
        <v>2</v>
      </c>
      <c r="X325" t="n">
        <v>0</v>
      </c>
      <c r="Y325" t="n">
        <v>0</v>
      </c>
      <c r="Z325" t="n">
        <v>1</v>
      </c>
      <c r="AA325" t="n">
        <v>0</v>
      </c>
      <c r="AB325" t="n">
        <v>9</v>
      </c>
      <c r="AC325" t="inlineStr">
        <is>
          <t>Hello World!</t>
        </is>
      </c>
    </row>
    <row r="326" ht="16" customHeight="1">
      <c r="A326" s="1" t="inlineStr">
        <is>
          <t>55.Blue 1</t>
        </is>
      </c>
      <c r="B326" s="2" t="inlineStr">
        <is>
          <t xml:space="preserve">Ruth Christensen </t>
        </is>
      </c>
      <c r="C326" s="2" t="n">
        <v>55</v>
      </c>
      <c r="D326" s="2" t="inlineStr">
        <is>
          <t>b1</t>
        </is>
      </c>
      <c r="E326" s="2" t="n">
        <v>578</v>
      </c>
      <c r="F326" s="2" t="n">
        <v>0</v>
      </c>
      <c r="G326" s="2" t="n">
        <v>1</v>
      </c>
      <c r="H326" s="2" t="n">
        <v>1</v>
      </c>
      <c r="I326" s="2" t="n">
        <v>1</v>
      </c>
      <c r="J326" s="2" t="n">
        <v>5</v>
      </c>
      <c r="K326" s="2" t="n">
        <v>1</v>
      </c>
      <c r="L326" s="2" t="n">
        <v>3</v>
      </c>
      <c r="M326" s="2" t="n">
        <v>1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t="n">
        <v>2</v>
      </c>
      <c r="T326" t="n">
        <v>0</v>
      </c>
      <c r="U326" t="n">
        <v>0</v>
      </c>
      <c r="V326" t="n">
        <v>1</v>
      </c>
      <c r="W326" t="n">
        <v>5</v>
      </c>
      <c r="X326" t="n">
        <v>0</v>
      </c>
      <c r="Y326" t="n">
        <v>0</v>
      </c>
      <c r="Z326" t="n">
        <v>0</v>
      </c>
      <c r="AA326" t="n">
        <v>0</v>
      </c>
      <c r="AB326" t="n">
        <v>76</v>
      </c>
      <c r="AC326" t="inlineStr">
        <is>
          <t>Hello World!</t>
        </is>
      </c>
    </row>
    <row r="327" ht="16" customHeight="1">
      <c r="A327" s="1" t="inlineStr">
        <is>
          <t>55.Blue 2</t>
        </is>
      </c>
      <c r="B327" s="2" t="inlineStr">
        <is>
          <t xml:space="preserve">Tetra Ukav </t>
        </is>
      </c>
      <c r="C327" s="2" t="n">
        <v>55</v>
      </c>
      <c r="D327" s="2" t="inlineStr">
        <is>
          <t>b2</t>
        </is>
      </c>
      <c r="E327" s="2" t="n">
        <v>378</v>
      </c>
      <c r="F327" s="2" t="n">
        <v>1</v>
      </c>
      <c r="G327" s="2" t="n">
        <v>1</v>
      </c>
      <c r="H327" s="2" t="n">
        <v>1</v>
      </c>
      <c r="I327" s="2" t="n">
        <v>1</v>
      </c>
      <c r="J327" s="2" t="n">
        <v>3</v>
      </c>
      <c r="K327" s="2" t="n">
        <v>2</v>
      </c>
      <c r="L327" s="2" t="n">
        <v>1</v>
      </c>
      <c r="M327" s="2" t="n">
        <v>4</v>
      </c>
      <c r="N327" s="2" t="n">
        <v>1</v>
      </c>
      <c r="O327" s="2" t="n">
        <v>0</v>
      </c>
      <c r="P327" s="2" t="n">
        <v>0</v>
      </c>
      <c r="Q327" s="2" t="n">
        <v>0</v>
      </c>
      <c r="R327" s="2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3</v>
      </c>
      <c r="X327" t="n">
        <v>1</v>
      </c>
      <c r="Y327" t="n">
        <v>0</v>
      </c>
      <c r="Z327" t="n">
        <v>1</v>
      </c>
      <c r="AA327" t="n">
        <v>1</v>
      </c>
      <c r="AB327" t="n">
        <v>211</v>
      </c>
      <c r="AC327" t="inlineStr">
        <is>
          <t>Hello World!</t>
        </is>
      </c>
    </row>
    <row r="328" ht="16" customHeight="1">
      <c r="A328" s="1" t="inlineStr">
        <is>
          <t>55.Blue 3</t>
        </is>
      </c>
      <c r="B328" s="2" t="inlineStr">
        <is>
          <t>Dean Blanchard</t>
        </is>
      </c>
      <c r="C328" s="2" t="n">
        <v>55</v>
      </c>
      <c r="D328" s="2" t="inlineStr">
        <is>
          <t>b3</t>
        </is>
      </c>
      <c r="E328" s="2" t="n">
        <v>639</v>
      </c>
      <c r="F328" s="2" t="n">
        <v>1</v>
      </c>
      <c r="G328" s="2" t="n">
        <v>1</v>
      </c>
      <c r="H328" s="2" t="n">
        <v>1</v>
      </c>
      <c r="I328" s="2" t="n">
        <v>1</v>
      </c>
      <c r="J328" s="2" t="n">
        <v>5</v>
      </c>
      <c r="K328" s="2" t="n">
        <v>3</v>
      </c>
      <c r="L328" s="2" t="n">
        <v>1</v>
      </c>
      <c r="M328" s="2" t="n">
        <v>3</v>
      </c>
      <c r="N328" s="2" t="n">
        <v>0</v>
      </c>
      <c r="O328" s="2" t="n">
        <v>1</v>
      </c>
      <c r="P328" s="2" t="n">
        <v>1</v>
      </c>
      <c r="Q328" s="2" t="n">
        <v>0</v>
      </c>
      <c r="R328" s="2" t="n">
        <v>0</v>
      </c>
      <c r="S328" t="n">
        <v>3</v>
      </c>
      <c r="T328" t="n">
        <v>1</v>
      </c>
      <c r="U328" t="n">
        <v>0</v>
      </c>
      <c r="V328" t="n">
        <v>1</v>
      </c>
      <c r="W328" t="n">
        <v>2</v>
      </c>
      <c r="X328" t="n">
        <v>-1</v>
      </c>
      <c r="Y328" t="n">
        <v>1</v>
      </c>
      <c r="Z328" t="n">
        <v>1</v>
      </c>
      <c r="AA328" t="n">
        <v>1</v>
      </c>
      <c r="AB328" t="n">
        <v>269</v>
      </c>
      <c r="AC328" t="inlineStr">
        <is>
          <t>Hello World!</t>
        </is>
      </c>
    </row>
    <row r="329" ht="16" customHeight="1">
      <c r="A329" s="1" t="inlineStr">
        <is>
          <t>55.Red 1</t>
        </is>
      </c>
      <c r="B329" s="2" t="inlineStr">
        <is>
          <t>Celton Norter</t>
        </is>
      </c>
      <c r="C329" s="2" t="n">
        <v>55</v>
      </c>
      <c r="D329" s="2" t="inlineStr">
        <is>
          <t>r1</t>
        </is>
      </c>
      <c r="E329" s="2" t="n">
        <v>325</v>
      </c>
      <c r="F329" s="2" t="n">
        <v>1</v>
      </c>
      <c r="G329" s="2" t="n">
        <v>1</v>
      </c>
      <c r="H329" s="2" t="n">
        <v>0</v>
      </c>
      <c r="I329" s="2" t="n">
        <v>0</v>
      </c>
      <c r="J329" s="2" t="n">
        <v>2</v>
      </c>
      <c r="K329" s="2" t="n">
        <v>1</v>
      </c>
      <c r="L329" s="2" t="n">
        <v>1</v>
      </c>
      <c r="M329" s="2" t="n">
        <v>2</v>
      </c>
      <c r="N329" s="2" t="n">
        <v>1</v>
      </c>
      <c r="O329" s="2" t="n">
        <v>0</v>
      </c>
      <c r="P329" s="2" t="n">
        <v>1</v>
      </c>
      <c r="Q329" s="2" t="n">
        <v>1</v>
      </c>
      <c r="R329" s="2" t="n">
        <v>0</v>
      </c>
      <c r="S329" t="n">
        <v>3</v>
      </c>
      <c r="T329" t="n">
        <v>0</v>
      </c>
      <c r="U329" t="n">
        <v>0</v>
      </c>
      <c r="V329" t="n">
        <v>0</v>
      </c>
      <c r="W329" t="n">
        <v>4</v>
      </c>
      <c r="X329" t="n">
        <v>1</v>
      </c>
      <c r="Y329" t="n">
        <v>1</v>
      </c>
      <c r="Z329" t="n">
        <v>0</v>
      </c>
      <c r="AA329" t="n">
        <v>1</v>
      </c>
      <c r="AB329" t="n">
        <v>34</v>
      </c>
      <c r="AC329" t="inlineStr">
        <is>
          <t>Hello World!</t>
        </is>
      </c>
    </row>
    <row r="330" ht="16" customHeight="1">
      <c r="A330" s="1" t="inlineStr">
        <is>
          <t>55.Red 2</t>
        </is>
      </c>
      <c r="B330" s="2" t="inlineStr">
        <is>
          <t xml:space="preserve">Ruth Christensen </t>
        </is>
      </c>
      <c r="C330" s="2" t="n">
        <v>55</v>
      </c>
      <c r="D330" s="2" t="inlineStr">
        <is>
          <t>r2</t>
        </is>
      </c>
      <c r="E330" s="2" t="n">
        <v>424</v>
      </c>
      <c r="F330" s="2" t="n">
        <v>0</v>
      </c>
      <c r="G330" s="2" t="n">
        <v>0</v>
      </c>
      <c r="H330" s="2" t="n">
        <v>1</v>
      </c>
      <c r="I330" s="2" t="n">
        <v>-1</v>
      </c>
      <c r="J330" s="2" t="n">
        <v>4</v>
      </c>
      <c r="K330" s="2" t="n">
        <v>2</v>
      </c>
      <c r="L330" s="2" t="n">
        <v>3</v>
      </c>
      <c r="M330" s="2" t="n">
        <v>1</v>
      </c>
      <c r="N330" s="2" t="n">
        <v>1</v>
      </c>
      <c r="O330" s="2" t="n">
        <v>1</v>
      </c>
      <c r="P330" s="2" t="n">
        <v>0</v>
      </c>
      <c r="Q330" s="2" t="n">
        <v>1</v>
      </c>
      <c r="R330" s="2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1</v>
      </c>
      <c r="AB330" t="n">
        <v>245</v>
      </c>
      <c r="AC330" t="inlineStr">
        <is>
          <t>Hello World!</t>
        </is>
      </c>
    </row>
    <row r="331" ht="16" customHeight="1">
      <c r="A331" s="1" t="inlineStr">
        <is>
          <t>55.Red 3</t>
        </is>
      </c>
      <c r="B331" s="2" t="inlineStr">
        <is>
          <t>Arthur Sayre</t>
        </is>
      </c>
      <c r="C331" s="2" t="n">
        <v>55</v>
      </c>
      <c r="D331" s="2" t="inlineStr">
        <is>
          <t>r3</t>
        </is>
      </c>
      <c r="E331" s="2" t="n">
        <v>3799</v>
      </c>
      <c r="F331" s="2" t="n">
        <v>1</v>
      </c>
      <c r="G331" s="2" t="n">
        <v>0</v>
      </c>
      <c r="H331" s="2" t="n">
        <v>0</v>
      </c>
      <c r="I331" s="2" t="n">
        <v>1</v>
      </c>
      <c r="J331" s="2" t="n">
        <v>5</v>
      </c>
      <c r="K331" s="2" t="n">
        <v>2</v>
      </c>
      <c r="L331" s="2" t="n">
        <v>2</v>
      </c>
      <c r="M331" s="2" t="n">
        <v>2</v>
      </c>
      <c r="N331" s="2" t="n">
        <v>1</v>
      </c>
      <c r="O331" s="2" t="n">
        <v>0</v>
      </c>
      <c r="P331" s="2" t="n">
        <v>0</v>
      </c>
      <c r="Q331" s="2" t="n">
        <v>1</v>
      </c>
      <c r="R331" s="2" t="n">
        <v>0</v>
      </c>
      <c r="S331" t="n">
        <v>2</v>
      </c>
      <c r="T331" t="n">
        <v>1</v>
      </c>
      <c r="U331" t="n">
        <v>0</v>
      </c>
      <c r="V331" t="n">
        <v>0</v>
      </c>
      <c r="W331" t="n">
        <v>2</v>
      </c>
      <c r="X331" t="n">
        <v>-1</v>
      </c>
      <c r="Y331" t="n">
        <v>1</v>
      </c>
      <c r="Z331" t="n">
        <v>0</v>
      </c>
      <c r="AA331" t="n">
        <v>0</v>
      </c>
      <c r="AB331" t="n">
        <v>84</v>
      </c>
      <c r="AC331" t="inlineStr">
        <is>
          <t>Hello World!</t>
        </is>
      </c>
    </row>
    <row r="332" ht="16" customHeight="1">
      <c r="A332" s="1" t="inlineStr">
        <is>
          <t>56.Blue 1</t>
        </is>
      </c>
      <c r="B332" s="2" t="inlineStr">
        <is>
          <t>Eli Harrison</t>
        </is>
      </c>
      <c r="C332" s="2" t="n">
        <v>56</v>
      </c>
      <c r="D332" s="2" t="inlineStr">
        <is>
          <t>b1</t>
        </is>
      </c>
      <c r="E332" s="2" t="n">
        <v>5528</v>
      </c>
      <c r="F332" s="2" t="n">
        <v>0</v>
      </c>
      <c r="G332" s="2" t="n">
        <v>0</v>
      </c>
      <c r="H332" s="2" t="n">
        <v>1</v>
      </c>
      <c r="I332" s="2" t="n">
        <v>1</v>
      </c>
      <c r="J332" s="2" t="n">
        <v>3</v>
      </c>
      <c r="K332" s="2" t="n">
        <v>2</v>
      </c>
      <c r="L332" s="2" t="n">
        <v>2</v>
      </c>
      <c r="M332" s="2" t="n">
        <v>1</v>
      </c>
      <c r="N332" s="2" t="n">
        <v>1</v>
      </c>
      <c r="O332" s="2" t="n">
        <v>1</v>
      </c>
      <c r="P332" s="2" t="n">
        <v>1</v>
      </c>
      <c r="Q332" s="2" t="n">
        <v>1</v>
      </c>
      <c r="R332" s="2" t="n">
        <v>1</v>
      </c>
      <c r="S332" t="n">
        <v>-1</v>
      </c>
      <c r="T332" t="n">
        <v>0</v>
      </c>
      <c r="U332" t="n">
        <v>0</v>
      </c>
      <c r="V332" t="n">
        <v>0</v>
      </c>
      <c r="W332" t="n">
        <v>4</v>
      </c>
      <c r="X332" t="n">
        <v>0</v>
      </c>
      <c r="Y332" t="n">
        <v>1</v>
      </c>
      <c r="Z332" t="n">
        <v>0</v>
      </c>
      <c r="AA332" t="n">
        <v>0</v>
      </c>
      <c r="AB332" t="n">
        <v>81</v>
      </c>
      <c r="AC332" t="inlineStr">
        <is>
          <t>Hello World!</t>
        </is>
      </c>
    </row>
    <row r="333" ht="16" customHeight="1">
      <c r="A333" s="1" t="inlineStr">
        <is>
          <t>56.Blue 2</t>
        </is>
      </c>
      <c r="B333" s="2" t="inlineStr">
        <is>
          <t>Caitlin Munier</t>
        </is>
      </c>
      <c r="C333" s="2" t="n">
        <v>56</v>
      </c>
      <c r="D333" s="2" t="inlineStr">
        <is>
          <t>b2</t>
        </is>
      </c>
      <c r="E333" s="2" t="n">
        <v>1518</v>
      </c>
      <c r="F333" s="2" t="n">
        <v>0</v>
      </c>
      <c r="G333" s="2" t="n">
        <v>1</v>
      </c>
      <c r="H333" s="2" t="n">
        <v>1</v>
      </c>
      <c r="I333" s="2" t="n">
        <v>-1</v>
      </c>
      <c r="J333" s="2" t="n">
        <v>1</v>
      </c>
      <c r="K333" s="2" t="n">
        <v>3</v>
      </c>
      <c r="L333" s="2" t="n">
        <v>1</v>
      </c>
      <c r="M333" s="2" t="n">
        <v>2</v>
      </c>
      <c r="N333" s="2" t="n">
        <v>1</v>
      </c>
      <c r="O333" s="2" t="n">
        <v>1</v>
      </c>
      <c r="P333" s="2" t="n">
        <v>0</v>
      </c>
      <c r="Q333" s="2" t="n">
        <v>1</v>
      </c>
      <c r="R333" s="2" t="n">
        <v>1</v>
      </c>
      <c r="S333" t="n">
        <v>-1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1</v>
      </c>
      <c r="Z333" t="n">
        <v>0</v>
      </c>
      <c r="AA333" t="n">
        <v>1</v>
      </c>
      <c r="AB333" t="n">
        <v>140</v>
      </c>
      <c r="AC333" t="inlineStr">
        <is>
          <t>Hello World!</t>
        </is>
      </c>
    </row>
    <row r="334" ht="16" customHeight="1">
      <c r="A334" s="1" t="inlineStr">
        <is>
          <t>56.Blue 3</t>
        </is>
      </c>
      <c r="B334" s="2" t="inlineStr">
        <is>
          <t>Madison DeCicca</t>
        </is>
      </c>
      <c r="C334" s="2" t="n">
        <v>56</v>
      </c>
      <c r="D334" s="2" t="inlineStr">
        <is>
          <t>b3</t>
        </is>
      </c>
      <c r="E334" s="2" t="n">
        <v>1559</v>
      </c>
      <c r="F334" s="2" t="n">
        <v>0</v>
      </c>
      <c r="G334" s="2" t="n">
        <v>0</v>
      </c>
      <c r="H334" s="2" t="n">
        <v>0</v>
      </c>
      <c r="I334" s="2" t="n">
        <v>1</v>
      </c>
      <c r="J334" s="2" t="n">
        <v>1</v>
      </c>
      <c r="K334" s="2" t="n">
        <v>2</v>
      </c>
      <c r="L334" s="2" t="n">
        <v>3</v>
      </c>
      <c r="M334" s="2" t="n">
        <v>4</v>
      </c>
      <c r="N334" s="2" t="n">
        <v>1</v>
      </c>
      <c r="O334" s="2" t="n">
        <v>0</v>
      </c>
      <c r="P334" s="2" t="n">
        <v>0</v>
      </c>
      <c r="Q334" s="2" t="n">
        <v>1</v>
      </c>
      <c r="R334" s="2" t="n">
        <v>0</v>
      </c>
      <c r="S334" t="n">
        <v>3</v>
      </c>
      <c r="T334" t="n">
        <v>0</v>
      </c>
      <c r="U334" t="n">
        <v>1</v>
      </c>
      <c r="V334" t="n">
        <v>0</v>
      </c>
      <c r="W334" t="n">
        <v>4</v>
      </c>
      <c r="X334" t="n">
        <v>0</v>
      </c>
      <c r="Y334" t="n">
        <v>0</v>
      </c>
      <c r="Z334" t="n">
        <v>0</v>
      </c>
      <c r="AA334" t="n">
        <v>1</v>
      </c>
      <c r="AB334" t="n">
        <v>114</v>
      </c>
      <c r="AC334" t="inlineStr">
        <is>
          <t>Hello World!</t>
        </is>
      </c>
    </row>
    <row r="335" ht="16" customHeight="1">
      <c r="A335" s="1" t="inlineStr">
        <is>
          <t>56.Red 1</t>
        </is>
      </c>
      <c r="B335" s="2" t="inlineStr">
        <is>
          <t>Dean Blanchard</t>
        </is>
      </c>
      <c r="C335" s="2" t="n">
        <v>56</v>
      </c>
      <c r="D335" s="2" t="inlineStr">
        <is>
          <t>r1</t>
        </is>
      </c>
      <c r="E335" s="2" t="n">
        <v>2228</v>
      </c>
      <c r="F335" s="2" t="n">
        <v>0</v>
      </c>
      <c r="G335" s="2" t="n">
        <v>0</v>
      </c>
      <c r="H335" s="2" t="n">
        <v>0</v>
      </c>
      <c r="I335" s="2" t="n">
        <v>1</v>
      </c>
      <c r="J335" s="2" t="n">
        <v>1</v>
      </c>
      <c r="K335" s="2" t="n">
        <v>1</v>
      </c>
      <c r="L335" s="2" t="n">
        <v>1</v>
      </c>
      <c r="M335" s="2" t="n">
        <v>4</v>
      </c>
      <c r="N335" s="2" t="n">
        <v>1</v>
      </c>
      <c r="O335" s="2" t="n">
        <v>1</v>
      </c>
      <c r="P335" s="2" t="n">
        <v>0</v>
      </c>
      <c r="Q335" s="2" t="n">
        <v>0</v>
      </c>
      <c r="R335" s="2" t="n">
        <v>0</v>
      </c>
      <c r="S335" t="n">
        <v>3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4</v>
      </c>
      <c r="AC335" t="inlineStr">
        <is>
          <t>Hello World!</t>
        </is>
      </c>
    </row>
    <row r="336" ht="16" customHeight="1">
      <c r="A336" s="1" t="inlineStr">
        <is>
          <t>56.Red 2</t>
        </is>
      </c>
      <c r="B336" s="2" t="inlineStr">
        <is>
          <t>Andrew Crawford</t>
        </is>
      </c>
      <c r="C336" s="2" t="n">
        <v>56</v>
      </c>
      <c r="D336" s="2" t="inlineStr">
        <is>
          <t>r2</t>
        </is>
      </c>
      <c r="E336" s="2" t="n">
        <v>3838</v>
      </c>
      <c r="F336" s="2" t="n">
        <v>0</v>
      </c>
      <c r="G336" s="2" t="n">
        <v>0</v>
      </c>
      <c r="H336" s="2" t="n">
        <v>0</v>
      </c>
      <c r="I336" s="2" t="n">
        <v>1</v>
      </c>
      <c r="J336" s="2" t="n">
        <v>2</v>
      </c>
      <c r="K336" s="2" t="n">
        <v>3</v>
      </c>
      <c r="L336" s="2" t="n">
        <v>2</v>
      </c>
      <c r="M336" s="2" t="n">
        <v>3</v>
      </c>
      <c r="N336" s="2" t="n">
        <v>1</v>
      </c>
      <c r="O336" s="2" t="n">
        <v>1</v>
      </c>
      <c r="P336" s="2" t="n">
        <v>0</v>
      </c>
      <c r="Q336" s="2" t="n">
        <v>0</v>
      </c>
      <c r="R336" s="2" t="n">
        <v>1</v>
      </c>
      <c r="S336" t="n">
        <v>3</v>
      </c>
      <c r="T336" t="n">
        <v>1</v>
      </c>
      <c r="U336" t="n">
        <v>0</v>
      </c>
      <c r="V336" t="n">
        <v>0</v>
      </c>
      <c r="W336" t="n">
        <v>3</v>
      </c>
      <c r="X336" t="n">
        <v>0</v>
      </c>
      <c r="Y336" t="n">
        <v>0</v>
      </c>
      <c r="Z336" t="n">
        <v>0</v>
      </c>
      <c r="AA336" t="n">
        <v>1</v>
      </c>
      <c r="AB336" t="n">
        <v>11</v>
      </c>
      <c r="AC336" t="inlineStr">
        <is>
          <t>Hello World!</t>
        </is>
      </c>
    </row>
    <row r="337" ht="16" customHeight="1">
      <c r="A337" s="1" t="inlineStr">
        <is>
          <t>56.Red 3</t>
        </is>
      </c>
      <c r="B337" s="2" t="inlineStr">
        <is>
          <t>Runa Hunt</t>
        </is>
      </c>
      <c r="C337" s="2" t="n">
        <v>56</v>
      </c>
      <c r="D337" s="2" t="inlineStr">
        <is>
          <t>r3</t>
        </is>
      </c>
      <c r="E337" s="2" t="n">
        <v>3003</v>
      </c>
      <c r="F337" s="2" t="n">
        <v>1</v>
      </c>
      <c r="G337" s="2" t="n">
        <v>0</v>
      </c>
      <c r="H337" s="2" t="n">
        <v>0</v>
      </c>
      <c r="I337" s="2" t="n">
        <v>1</v>
      </c>
      <c r="J337" s="2" t="n">
        <v>4</v>
      </c>
      <c r="K337" s="2" t="n">
        <v>2</v>
      </c>
      <c r="L337" s="2" t="n">
        <v>3</v>
      </c>
      <c r="M337" s="2" t="n">
        <v>1</v>
      </c>
      <c r="N337" s="2" t="n">
        <v>1</v>
      </c>
      <c r="O337" s="2" t="n">
        <v>0</v>
      </c>
      <c r="P337" s="2" t="n">
        <v>1</v>
      </c>
      <c r="Q337" s="2" t="n">
        <v>1</v>
      </c>
      <c r="R337" s="2" t="n">
        <v>1</v>
      </c>
      <c r="S337" t="n">
        <v>3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177</v>
      </c>
      <c r="AC337" t="inlineStr">
        <is>
          <t>Hello World!</t>
        </is>
      </c>
    </row>
    <row r="338" ht="16" customHeight="1">
      <c r="A338" s="1" t="inlineStr">
        <is>
          <t>57.Blue 1</t>
        </is>
      </c>
      <c r="B338" s="2" t="inlineStr">
        <is>
          <t>Autumn Schoenfeld</t>
        </is>
      </c>
      <c r="C338" s="2" t="n">
        <v>57</v>
      </c>
      <c r="D338" s="2" t="inlineStr">
        <is>
          <t>b1</t>
        </is>
      </c>
      <c r="E338" s="2" t="n">
        <v>7030</v>
      </c>
      <c r="F338" s="2" t="n">
        <v>1</v>
      </c>
      <c r="G338" s="2" t="n">
        <v>0</v>
      </c>
      <c r="H338" s="2" t="n">
        <v>1</v>
      </c>
      <c r="I338" s="2" t="n">
        <v>1</v>
      </c>
      <c r="J338" s="2" t="n">
        <v>4</v>
      </c>
      <c r="K338" s="2" t="n">
        <v>2</v>
      </c>
      <c r="L338" s="2" t="n">
        <v>2</v>
      </c>
      <c r="M338" s="2" t="n">
        <v>1</v>
      </c>
      <c r="N338" s="2" t="n">
        <v>0</v>
      </c>
      <c r="O338" s="2" t="n">
        <v>0</v>
      </c>
      <c r="P338" s="2" t="n">
        <v>1</v>
      </c>
      <c r="Q338" s="2" t="n">
        <v>1</v>
      </c>
      <c r="R338" s="2" t="n">
        <v>1</v>
      </c>
      <c r="S338" t="n">
        <v>-1</v>
      </c>
      <c r="T338" t="n">
        <v>0</v>
      </c>
      <c r="U338" t="n">
        <v>1</v>
      </c>
      <c r="V338" t="n">
        <v>0</v>
      </c>
      <c r="W338" t="n">
        <v>5</v>
      </c>
      <c r="X338" t="n">
        <v>-1</v>
      </c>
      <c r="Y338" t="n">
        <v>0</v>
      </c>
      <c r="Z338" t="n">
        <v>1</v>
      </c>
      <c r="AA338" t="n">
        <v>1</v>
      </c>
      <c r="AB338" t="n">
        <v>43</v>
      </c>
      <c r="AC338" t="inlineStr">
        <is>
          <t>Hello World!</t>
        </is>
      </c>
    </row>
    <row r="339" ht="16" customHeight="1">
      <c r="A339" s="1" t="inlineStr">
        <is>
          <t>57.Blue 2</t>
        </is>
      </c>
      <c r="B339" s="2" t="inlineStr">
        <is>
          <t>Celton Norter</t>
        </is>
      </c>
      <c r="C339" s="2" t="n">
        <v>57</v>
      </c>
      <c r="D339" s="2" t="inlineStr">
        <is>
          <t>b2</t>
        </is>
      </c>
      <c r="E339" s="2" t="n">
        <v>271</v>
      </c>
      <c r="F339" s="2" t="n">
        <v>0</v>
      </c>
      <c r="G339" s="2" t="n">
        <v>0</v>
      </c>
      <c r="H339" s="2" t="n">
        <v>0</v>
      </c>
      <c r="I339" s="2" t="n">
        <v>-1</v>
      </c>
      <c r="J339" s="2" t="n">
        <v>4</v>
      </c>
      <c r="K339" s="2" t="n">
        <v>3</v>
      </c>
      <c r="L339" s="2" t="n">
        <v>3</v>
      </c>
      <c r="M339" s="2" t="n">
        <v>1</v>
      </c>
      <c r="N339" s="2" t="n">
        <v>1</v>
      </c>
      <c r="O339" s="2" t="n">
        <v>1</v>
      </c>
      <c r="P339" s="2" t="n">
        <v>1</v>
      </c>
      <c r="Q339" s="2" t="n">
        <v>0</v>
      </c>
      <c r="R339" s="2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-1</v>
      </c>
      <c r="Y339" t="n">
        <v>1</v>
      </c>
      <c r="Z339" t="n">
        <v>1</v>
      </c>
      <c r="AA339" t="n">
        <v>0</v>
      </c>
      <c r="AB339" t="n">
        <v>160</v>
      </c>
      <c r="AC339" t="inlineStr">
        <is>
          <t>Hello World!</t>
        </is>
      </c>
    </row>
    <row r="340" ht="16" customHeight="1">
      <c r="A340" s="1" t="inlineStr">
        <is>
          <t>57.Blue 3</t>
        </is>
      </c>
      <c r="B340" s="2" t="inlineStr">
        <is>
          <t>Domenic Giammusso</t>
        </is>
      </c>
      <c r="C340" s="2" t="n">
        <v>57</v>
      </c>
      <c r="D340" s="2" t="inlineStr">
        <is>
          <t>b3</t>
        </is>
      </c>
      <c r="E340" s="2" t="n">
        <v>1450</v>
      </c>
      <c r="F340" s="2" t="n">
        <v>0</v>
      </c>
      <c r="G340" s="2" t="n">
        <v>1</v>
      </c>
      <c r="H340" s="2" t="n">
        <v>0</v>
      </c>
      <c r="I340" s="2" t="n">
        <v>-1</v>
      </c>
      <c r="J340" s="2" t="n">
        <v>3</v>
      </c>
      <c r="K340" s="2" t="n">
        <v>1</v>
      </c>
      <c r="L340" s="2" t="n">
        <v>3</v>
      </c>
      <c r="M340" s="2" t="n">
        <v>2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t="n">
        <v>2</v>
      </c>
      <c r="T340" t="n">
        <v>1</v>
      </c>
      <c r="U340" t="n">
        <v>1</v>
      </c>
      <c r="V340" t="n">
        <v>1</v>
      </c>
      <c r="W340" t="n">
        <v>3</v>
      </c>
      <c r="X340" t="n">
        <v>0</v>
      </c>
      <c r="Y340" t="n">
        <v>1</v>
      </c>
      <c r="Z340" t="n">
        <v>1</v>
      </c>
      <c r="AA340" t="n">
        <v>1</v>
      </c>
      <c r="AB340" t="n">
        <v>283</v>
      </c>
      <c r="AC340" t="inlineStr">
        <is>
          <t>Hello World!</t>
        </is>
      </c>
    </row>
    <row r="341" ht="16" customHeight="1">
      <c r="A341" s="1" t="inlineStr">
        <is>
          <t>57.Red 1</t>
        </is>
      </c>
      <c r="B341" s="2" t="inlineStr">
        <is>
          <t>Caitlin Munier</t>
        </is>
      </c>
      <c r="C341" s="2" t="n">
        <v>57</v>
      </c>
      <c r="D341" s="2" t="inlineStr">
        <is>
          <t>r1</t>
        </is>
      </c>
      <c r="E341" s="2" t="n">
        <v>10223</v>
      </c>
      <c r="F341" s="2" t="n">
        <v>1</v>
      </c>
      <c r="G341" s="2" t="n">
        <v>1</v>
      </c>
      <c r="H341" s="2" t="n">
        <v>1</v>
      </c>
      <c r="I341" s="2" t="n">
        <v>1</v>
      </c>
      <c r="J341" s="2" t="n">
        <v>4</v>
      </c>
      <c r="K341" s="2" t="n">
        <v>2</v>
      </c>
      <c r="L341" s="2" t="n">
        <v>3</v>
      </c>
      <c r="M341" s="2" t="n">
        <v>2</v>
      </c>
      <c r="N341" s="2" t="n">
        <v>0</v>
      </c>
      <c r="O341" s="2" t="n">
        <v>1</v>
      </c>
      <c r="P341" s="2" t="n">
        <v>0</v>
      </c>
      <c r="Q341" s="2" t="n">
        <v>0</v>
      </c>
      <c r="R341" s="2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5</v>
      </c>
      <c r="X341" t="n">
        <v>-1</v>
      </c>
      <c r="Y341" t="n">
        <v>0</v>
      </c>
      <c r="Z341" t="n">
        <v>0</v>
      </c>
      <c r="AA341" t="n">
        <v>1</v>
      </c>
      <c r="AB341" t="n">
        <v>94</v>
      </c>
      <c r="AC341" t="inlineStr">
        <is>
          <t>Hello World!</t>
        </is>
      </c>
    </row>
    <row r="342" ht="16" customHeight="1">
      <c r="A342" s="1" t="inlineStr">
        <is>
          <t>57.Red 2</t>
        </is>
      </c>
      <c r="B342" s="2" t="inlineStr">
        <is>
          <t>Carter Silva</t>
        </is>
      </c>
      <c r="C342" s="2" t="n">
        <v>57</v>
      </c>
      <c r="D342" s="2" t="inlineStr">
        <is>
          <t>r2</t>
        </is>
      </c>
      <c r="E342" s="2" t="n">
        <v>5590</v>
      </c>
      <c r="F342" s="2" t="n">
        <v>0</v>
      </c>
      <c r="G342" s="2" t="n">
        <v>0</v>
      </c>
      <c r="H342" s="2" t="n">
        <v>0</v>
      </c>
      <c r="I342" s="2" t="n">
        <v>1</v>
      </c>
      <c r="J342" s="2" t="n">
        <v>1</v>
      </c>
      <c r="K342" s="2" t="n">
        <v>1</v>
      </c>
      <c r="L342" s="2" t="n">
        <v>1</v>
      </c>
      <c r="M342" s="2" t="n">
        <v>1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5</v>
      </c>
      <c r="X342" t="n">
        <v>0</v>
      </c>
      <c r="Y342" t="n">
        <v>1</v>
      </c>
      <c r="Z342" t="n">
        <v>1</v>
      </c>
      <c r="AA342" t="n">
        <v>0</v>
      </c>
      <c r="AB342" t="n">
        <v>234</v>
      </c>
      <c r="AC342" t="inlineStr">
        <is>
          <t>Hello World!</t>
        </is>
      </c>
    </row>
    <row r="343" ht="16" customHeight="1">
      <c r="A343" s="1" t="inlineStr">
        <is>
          <t>57.Red 3</t>
        </is>
      </c>
      <c r="B343" s="2" t="inlineStr">
        <is>
          <t>Matthew Mazzota</t>
        </is>
      </c>
      <c r="C343" s="2" t="n">
        <v>57</v>
      </c>
      <c r="D343" s="2" t="inlineStr">
        <is>
          <t>r3</t>
        </is>
      </c>
      <c r="E343" s="2" t="n">
        <v>1787</v>
      </c>
      <c r="F343" s="2" t="n">
        <v>1</v>
      </c>
      <c r="G343" s="2" t="n">
        <v>1</v>
      </c>
      <c r="H343" s="2" t="n">
        <v>1</v>
      </c>
      <c r="I343" s="2" t="n">
        <v>0</v>
      </c>
      <c r="J343" s="2" t="n">
        <v>3</v>
      </c>
      <c r="K343" s="2" t="n">
        <v>1</v>
      </c>
      <c r="L343" s="2" t="n">
        <v>2</v>
      </c>
      <c r="M343" s="2" t="n">
        <v>5</v>
      </c>
      <c r="N343" s="2" t="n">
        <v>0</v>
      </c>
      <c r="O343" s="2" t="n">
        <v>1</v>
      </c>
      <c r="P343" s="2" t="n">
        <v>0</v>
      </c>
      <c r="Q343" s="2" t="n">
        <v>0</v>
      </c>
      <c r="R343" s="2" t="n">
        <v>0</v>
      </c>
      <c r="S343" t="n">
        <v>3</v>
      </c>
      <c r="T343" t="n">
        <v>0</v>
      </c>
      <c r="U343" t="n">
        <v>0</v>
      </c>
      <c r="V343" t="n">
        <v>0</v>
      </c>
      <c r="W343" t="n">
        <v>4</v>
      </c>
      <c r="X343" t="n">
        <v>-1</v>
      </c>
      <c r="Y343" t="n">
        <v>0</v>
      </c>
      <c r="Z343" t="n">
        <v>1</v>
      </c>
      <c r="AA343" t="n">
        <v>1</v>
      </c>
      <c r="AB343" t="n">
        <v>29</v>
      </c>
      <c r="AC343" t="inlineStr">
        <is>
          <t>Hello World!</t>
        </is>
      </c>
    </row>
    <row r="344" ht="16" customHeight="1">
      <c r="A344" s="1" t="inlineStr">
        <is>
          <t>58.Blue 1</t>
        </is>
      </c>
      <c r="B344" s="2" t="inlineStr">
        <is>
          <t>Gianmarco D'Angelo</t>
        </is>
      </c>
      <c r="C344" s="2" t="n">
        <v>58</v>
      </c>
      <c r="D344" s="2" t="inlineStr">
        <is>
          <t>b1</t>
        </is>
      </c>
      <c r="E344" s="2" t="n">
        <v>10922</v>
      </c>
      <c r="F344" s="2" t="n">
        <v>1</v>
      </c>
      <c r="G344" s="2" t="n">
        <v>0</v>
      </c>
      <c r="H344" s="2" t="n">
        <v>0</v>
      </c>
      <c r="I344" s="2" t="n">
        <v>-1</v>
      </c>
      <c r="J344" s="2" t="n">
        <v>3</v>
      </c>
      <c r="K344" s="2" t="n">
        <v>3</v>
      </c>
      <c r="L344" s="2" t="n">
        <v>1</v>
      </c>
      <c r="M344" s="2" t="n">
        <v>5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t="n">
        <v>0</v>
      </c>
      <c r="T344" t="n">
        <v>1</v>
      </c>
      <c r="U344" t="n">
        <v>1</v>
      </c>
      <c r="V344" t="n">
        <v>1</v>
      </c>
      <c r="W344" t="n">
        <v>2</v>
      </c>
      <c r="X344" t="n">
        <v>0</v>
      </c>
      <c r="Y344" t="n">
        <v>0</v>
      </c>
      <c r="Z344" t="n">
        <v>1</v>
      </c>
      <c r="AA344" t="n">
        <v>1</v>
      </c>
      <c r="AB344" t="n">
        <v>146</v>
      </c>
      <c r="AC344" t="inlineStr">
        <is>
          <t>Hello World!</t>
        </is>
      </c>
    </row>
    <row r="345" ht="16" customHeight="1">
      <c r="A345" s="1" t="inlineStr">
        <is>
          <t>58.Blue 2</t>
        </is>
      </c>
      <c r="B345" s="2" t="inlineStr">
        <is>
          <t>Domenic Giammusso</t>
        </is>
      </c>
      <c r="C345" s="2" t="n">
        <v>58</v>
      </c>
      <c r="D345" s="2" t="inlineStr">
        <is>
          <t>b2</t>
        </is>
      </c>
      <c r="E345" s="2" t="n">
        <v>4458</v>
      </c>
      <c r="F345" s="2" t="n">
        <v>0</v>
      </c>
      <c r="G345" s="2" t="n">
        <v>1</v>
      </c>
      <c r="H345" s="2" t="n">
        <v>0</v>
      </c>
      <c r="I345" s="2" t="n">
        <v>1</v>
      </c>
      <c r="J345" s="2" t="n">
        <v>4</v>
      </c>
      <c r="K345" s="2" t="n">
        <v>2</v>
      </c>
      <c r="L345" s="2" t="n">
        <v>3</v>
      </c>
      <c r="M345" s="2" t="n">
        <v>4</v>
      </c>
      <c r="N345" s="2" t="n">
        <v>1</v>
      </c>
      <c r="O345" s="2" t="n">
        <v>1</v>
      </c>
      <c r="P345" s="2" t="n">
        <v>1</v>
      </c>
      <c r="Q345" s="2" t="n">
        <v>1</v>
      </c>
      <c r="R345" s="2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3</v>
      </c>
      <c r="X345" t="n">
        <v>1</v>
      </c>
      <c r="Y345" t="n">
        <v>1</v>
      </c>
      <c r="Z345" t="n">
        <v>1</v>
      </c>
      <c r="AA345" t="n">
        <v>1</v>
      </c>
      <c r="AB345" t="n">
        <v>116</v>
      </c>
      <c r="AC345" t="inlineStr">
        <is>
          <t>Hello World!</t>
        </is>
      </c>
    </row>
    <row r="346" ht="16" customHeight="1">
      <c r="A346" s="1" t="inlineStr">
        <is>
          <t>58.Blue 3</t>
        </is>
      </c>
      <c r="B346" s="2" t="inlineStr">
        <is>
          <t>Autumn Schoenfeld</t>
        </is>
      </c>
      <c r="C346" s="2" t="n">
        <v>58</v>
      </c>
      <c r="D346" s="2" t="inlineStr">
        <is>
          <t>b3</t>
        </is>
      </c>
      <c r="E346" s="2" t="n">
        <v>6947</v>
      </c>
      <c r="F346" s="2" t="n">
        <v>1</v>
      </c>
      <c r="G346" s="2" t="n">
        <v>1</v>
      </c>
      <c r="H346" s="2" t="n">
        <v>1</v>
      </c>
      <c r="I346" s="2" t="n">
        <v>1</v>
      </c>
      <c r="J346" s="2" t="n">
        <v>1</v>
      </c>
      <c r="K346" s="2" t="n">
        <v>1</v>
      </c>
      <c r="L346" s="2" t="n">
        <v>1</v>
      </c>
      <c r="M346" s="2" t="n">
        <v>4</v>
      </c>
      <c r="N346" s="2" t="n">
        <v>0</v>
      </c>
      <c r="O346" s="2" t="n">
        <v>1</v>
      </c>
      <c r="P346" s="2" t="n">
        <v>1</v>
      </c>
      <c r="Q346" s="2" t="n">
        <v>0</v>
      </c>
      <c r="R346" s="2" t="n">
        <v>1</v>
      </c>
      <c r="S346" t="n">
        <v>-1</v>
      </c>
      <c r="T346" t="n">
        <v>0</v>
      </c>
      <c r="U346" t="n">
        <v>0</v>
      </c>
      <c r="V346" t="n">
        <v>0</v>
      </c>
      <c r="W346" t="n">
        <v>4</v>
      </c>
      <c r="X346" t="n">
        <v>0</v>
      </c>
      <c r="Y346" t="n">
        <v>1</v>
      </c>
      <c r="Z346" t="n">
        <v>1</v>
      </c>
      <c r="AA346" t="n">
        <v>0</v>
      </c>
      <c r="AB346" t="n">
        <v>295</v>
      </c>
      <c r="AC346" t="inlineStr">
        <is>
          <t>Hello World!</t>
        </is>
      </c>
    </row>
    <row r="347" ht="16" customHeight="1">
      <c r="A347" s="1" t="inlineStr">
        <is>
          <t>58.Red 1</t>
        </is>
      </c>
      <c r="B347" s="2" t="inlineStr">
        <is>
          <t>Dean Blanchard</t>
        </is>
      </c>
      <c r="C347" s="2" t="n">
        <v>58</v>
      </c>
      <c r="D347" s="2" t="inlineStr">
        <is>
          <t>r1</t>
        </is>
      </c>
      <c r="E347" s="2" t="n">
        <v>694</v>
      </c>
      <c r="F347" s="2" t="n">
        <v>0</v>
      </c>
      <c r="G347" s="2" t="n">
        <v>0</v>
      </c>
      <c r="H347" s="2" t="n">
        <v>1</v>
      </c>
      <c r="I347" s="2" t="n">
        <v>0</v>
      </c>
      <c r="J347" s="2" t="n">
        <v>4</v>
      </c>
      <c r="K347" s="2" t="n">
        <v>3</v>
      </c>
      <c r="L347" s="2" t="n">
        <v>1</v>
      </c>
      <c r="M347" s="2" t="n">
        <v>5</v>
      </c>
      <c r="N347" s="2" t="n">
        <v>1</v>
      </c>
      <c r="O347" s="2" t="n">
        <v>1</v>
      </c>
      <c r="P347" s="2" t="n">
        <v>0</v>
      </c>
      <c r="Q347" s="2" t="n">
        <v>0</v>
      </c>
      <c r="R347" s="2" t="n">
        <v>1</v>
      </c>
      <c r="S347" t="n">
        <v>3</v>
      </c>
      <c r="T347" t="n">
        <v>1</v>
      </c>
      <c r="U347" t="n">
        <v>0</v>
      </c>
      <c r="V347" t="n">
        <v>0</v>
      </c>
      <c r="W347" t="n">
        <v>5</v>
      </c>
      <c r="X347" t="n">
        <v>1</v>
      </c>
      <c r="Y347" t="n">
        <v>0</v>
      </c>
      <c r="Z347" t="n">
        <v>0</v>
      </c>
      <c r="AA347" t="n">
        <v>1</v>
      </c>
      <c r="AB347" t="n">
        <v>231</v>
      </c>
      <c r="AC347" t="inlineStr">
        <is>
          <t>Hello World!</t>
        </is>
      </c>
    </row>
    <row r="348" ht="16" customHeight="1">
      <c r="A348" s="1" t="inlineStr">
        <is>
          <t>58.Red 2</t>
        </is>
      </c>
      <c r="B348" s="2" t="inlineStr">
        <is>
          <t xml:space="preserve">Ruth Christensen </t>
        </is>
      </c>
      <c r="C348" s="2" t="n">
        <v>58</v>
      </c>
      <c r="D348" s="2" t="inlineStr">
        <is>
          <t>r2</t>
        </is>
      </c>
      <c r="E348" s="2" t="n">
        <v>191</v>
      </c>
      <c r="F348" s="2" t="n">
        <v>0</v>
      </c>
      <c r="G348" s="2" t="n">
        <v>0</v>
      </c>
      <c r="H348" s="2" t="n">
        <v>1</v>
      </c>
      <c r="I348" s="2" t="n">
        <v>1</v>
      </c>
      <c r="J348" s="2" t="n">
        <v>2</v>
      </c>
      <c r="K348" s="2" t="n">
        <v>3</v>
      </c>
      <c r="L348" s="2" t="n">
        <v>2</v>
      </c>
      <c r="M348" s="2" t="n">
        <v>5</v>
      </c>
      <c r="N348" s="2" t="n">
        <v>0</v>
      </c>
      <c r="O348" s="2" t="n">
        <v>1</v>
      </c>
      <c r="P348" s="2" t="n">
        <v>1</v>
      </c>
      <c r="Q348" s="2" t="n">
        <v>0</v>
      </c>
      <c r="R348" s="2" t="n">
        <v>1</v>
      </c>
      <c r="S348" t="n">
        <v>3</v>
      </c>
      <c r="T348" t="n">
        <v>1</v>
      </c>
      <c r="U348" t="n">
        <v>1</v>
      </c>
      <c r="V348" t="n">
        <v>0</v>
      </c>
      <c r="W348" t="n">
        <v>5</v>
      </c>
      <c r="X348" t="n">
        <v>-1</v>
      </c>
      <c r="Y348" t="n">
        <v>0</v>
      </c>
      <c r="Z348" t="n">
        <v>1</v>
      </c>
      <c r="AA348" t="n">
        <v>0</v>
      </c>
      <c r="AB348" t="n">
        <v>84</v>
      </c>
      <c r="AC348" t="inlineStr">
        <is>
          <t>Hello World!</t>
        </is>
      </c>
    </row>
    <row r="349" ht="16" customHeight="1">
      <c r="A349" s="1" t="inlineStr">
        <is>
          <t>58.Red 3</t>
        </is>
      </c>
      <c r="B349" s="2" t="inlineStr">
        <is>
          <t>Eli Harrison</t>
        </is>
      </c>
      <c r="C349" s="2" t="n">
        <v>58</v>
      </c>
      <c r="D349" s="2" t="inlineStr">
        <is>
          <t>r3</t>
        </is>
      </c>
      <c r="E349" s="2" t="n">
        <v>1126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5</v>
      </c>
      <c r="K349" s="2" t="n">
        <v>3</v>
      </c>
      <c r="L349" s="2" t="n">
        <v>1</v>
      </c>
      <c r="M349" s="2" t="n">
        <v>5</v>
      </c>
      <c r="N349" s="2" t="n">
        <v>1</v>
      </c>
      <c r="O349" s="2" t="n">
        <v>0</v>
      </c>
      <c r="P349" s="2" t="n">
        <v>1</v>
      </c>
      <c r="Q349" s="2" t="n">
        <v>1</v>
      </c>
      <c r="R349" s="2" t="n">
        <v>0</v>
      </c>
      <c r="S349" t="n">
        <v>1</v>
      </c>
      <c r="T349" t="n">
        <v>0</v>
      </c>
      <c r="U349" t="n">
        <v>1</v>
      </c>
      <c r="V349" t="n">
        <v>1</v>
      </c>
      <c r="W349" t="n">
        <v>5</v>
      </c>
      <c r="X349" t="n">
        <v>-1</v>
      </c>
      <c r="Y349" t="n">
        <v>1</v>
      </c>
      <c r="Z349" t="n">
        <v>0</v>
      </c>
      <c r="AA349" t="n">
        <v>1</v>
      </c>
      <c r="AB349" t="n">
        <v>148</v>
      </c>
      <c r="AC349" t="inlineStr">
        <is>
          <t>Hello World!</t>
        </is>
      </c>
    </row>
    <row r="350" ht="16" customHeight="1">
      <c r="A350" s="1" t="inlineStr">
        <is>
          <t>59.Blue 1</t>
        </is>
      </c>
      <c r="B350" s="2" t="inlineStr">
        <is>
          <t>Jonah WoikaKai Wilbur</t>
        </is>
      </c>
      <c r="C350" s="2" t="n">
        <v>59</v>
      </c>
      <c r="D350" s="2" t="inlineStr">
        <is>
          <t>b1</t>
        </is>
      </c>
      <c r="E350" s="2" t="n">
        <v>20</v>
      </c>
      <c r="F350" s="2" t="n">
        <v>1</v>
      </c>
      <c r="G350" s="2" t="n">
        <v>1</v>
      </c>
      <c r="H350" s="2" t="n">
        <v>1</v>
      </c>
      <c r="I350" s="2" t="n">
        <v>-1</v>
      </c>
      <c r="J350" s="2" t="n">
        <v>5</v>
      </c>
      <c r="K350" s="2" t="n">
        <v>1</v>
      </c>
      <c r="L350" s="2" t="n">
        <v>1</v>
      </c>
      <c r="M350" s="2" t="n">
        <v>4</v>
      </c>
      <c r="N350" s="2" t="n">
        <v>0</v>
      </c>
      <c r="O350" s="2" t="n">
        <v>1</v>
      </c>
      <c r="P350" s="2" t="n">
        <v>1</v>
      </c>
      <c r="Q350" s="2" t="n">
        <v>1</v>
      </c>
      <c r="R350" s="2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2</v>
      </c>
      <c r="X350" t="n">
        <v>-1</v>
      </c>
      <c r="Y350" t="n">
        <v>1</v>
      </c>
      <c r="Z350" t="n">
        <v>1</v>
      </c>
      <c r="AA350" t="n">
        <v>1</v>
      </c>
      <c r="AB350" t="n">
        <v>221</v>
      </c>
      <c r="AC350" t="inlineStr">
        <is>
          <t>Hello World!</t>
        </is>
      </c>
    </row>
    <row r="351" ht="16" customHeight="1">
      <c r="A351" s="1" t="inlineStr">
        <is>
          <t>59.Blue 2</t>
        </is>
      </c>
      <c r="B351" s="2" t="inlineStr">
        <is>
          <t>Amanah Obaji</t>
        </is>
      </c>
      <c r="C351" s="2" t="n">
        <v>59</v>
      </c>
      <c r="D351" s="2" t="inlineStr">
        <is>
          <t>b2</t>
        </is>
      </c>
      <c r="E351" s="2" t="n">
        <v>7903</v>
      </c>
      <c r="F351" s="2" t="n">
        <v>0</v>
      </c>
      <c r="G351" s="2" t="n">
        <v>1</v>
      </c>
      <c r="H351" s="2" t="n">
        <v>0</v>
      </c>
      <c r="I351" s="2" t="n">
        <v>1</v>
      </c>
      <c r="J351" s="2" t="n">
        <v>1</v>
      </c>
      <c r="K351" s="2" t="n">
        <v>1</v>
      </c>
      <c r="L351" s="2" t="n">
        <v>3</v>
      </c>
      <c r="M351" s="2" t="n">
        <v>2</v>
      </c>
      <c r="N351" s="2" t="n">
        <v>1</v>
      </c>
      <c r="O351" s="2" t="n">
        <v>0</v>
      </c>
      <c r="P351" s="2" t="n">
        <v>1</v>
      </c>
      <c r="Q351" s="2" t="n">
        <v>0</v>
      </c>
      <c r="R351" s="2" t="n">
        <v>1</v>
      </c>
      <c r="S351" t="n">
        <v>2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n">
        <v>136</v>
      </c>
      <c r="AC351" t="inlineStr">
        <is>
          <t>Hello World!</t>
        </is>
      </c>
    </row>
    <row r="352" ht="16" customHeight="1">
      <c r="A352" s="1" t="inlineStr">
        <is>
          <t>59.Blue 3</t>
        </is>
      </c>
      <c r="B352" s="2" t="inlineStr">
        <is>
          <t>Nathan DeVito</t>
        </is>
      </c>
      <c r="C352" s="2" t="n">
        <v>59</v>
      </c>
      <c r="D352" s="2" t="inlineStr">
        <is>
          <t>b3</t>
        </is>
      </c>
      <c r="E352" s="2" t="n">
        <v>1511</v>
      </c>
      <c r="F352" s="2" t="n">
        <v>1</v>
      </c>
      <c r="G352" s="2" t="n">
        <v>1</v>
      </c>
      <c r="H352" s="2" t="n">
        <v>1</v>
      </c>
      <c r="I352" s="2" t="n">
        <v>0</v>
      </c>
      <c r="J352" s="2" t="n">
        <v>4</v>
      </c>
      <c r="K352" s="2" t="n">
        <v>2</v>
      </c>
      <c r="L352" s="2" t="n">
        <v>3</v>
      </c>
      <c r="M352" s="2" t="n">
        <v>2</v>
      </c>
      <c r="N352" s="2" t="n">
        <v>0</v>
      </c>
      <c r="O352" s="2" t="n">
        <v>1</v>
      </c>
      <c r="P352" s="2" t="n">
        <v>1</v>
      </c>
      <c r="Q352" s="2" t="n">
        <v>0</v>
      </c>
      <c r="R352" s="2" t="n">
        <v>0</v>
      </c>
      <c r="S352" t="n">
        <v>-1</v>
      </c>
      <c r="T352" t="n">
        <v>1</v>
      </c>
      <c r="U352" t="n">
        <v>0</v>
      </c>
      <c r="V352" t="n">
        <v>1</v>
      </c>
      <c r="W352" t="n">
        <v>5</v>
      </c>
      <c r="X352" t="n">
        <v>0</v>
      </c>
      <c r="Y352" t="n">
        <v>0</v>
      </c>
      <c r="Z352" t="n">
        <v>1</v>
      </c>
      <c r="AA352" t="n">
        <v>0</v>
      </c>
      <c r="AB352" t="n">
        <v>60</v>
      </c>
      <c r="AC352" t="inlineStr">
        <is>
          <t>Hello World!</t>
        </is>
      </c>
    </row>
    <row r="353" ht="16" customHeight="1">
      <c r="A353" s="1" t="inlineStr">
        <is>
          <t>59.Red 1</t>
        </is>
      </c>
      <c r="B353" s="2" t="inlineStr">
        <is>
          <t>Arthur Sayre</t>
        </is>
      </c>
      <c r="C353" s="2" t="n">
        <v>59</v>
      </c>
      <c r="D353" s="2" t="inlineStr">
        <is>
          <t>r1</t>
        </is>
      </c>
      <c r="E353" s="2" t="n">
        <v>1507</v>
      </c>
      <c r="F353" s="2" t="n">
        <v>0</v>
      </c>
      <c r="G353" s="2" t="n">
        <v>0</v>
      </c>
      <c r="H353" s="2" t="n">
        <v>1</v>
      </c>
      <c r="I353" s="2" t="n">
        <v>0</v>
      </c>
      <c r="J353" s="2" t="n">
        <v>1</v>
      </c>
      <c r="K353" s="2" t="n">
        <v>2</v>
      </c>
      <c r="L353" s="2" t="n">
        <v>1</v>
      </c>
      <c r="M353" s="2" t="n">
        <v>1</v>
      </c>
      <c r="N353" s="2" t="n">
        <v>0</v>
      </c>
      <c r="O353" s="2" t="n">
        <v>1</v>
      </c>
      <c r="P353" s="2" t="n">
        <v>0</v>
      </c>
      <c r="Q353" s="2" t="n">
        <v>0</v>
      </c>
      <c r="R353" s="2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3</v>
      </c>
      <c r="X353" t="n">
        <v>-1</v>
      </c>
      <c r="Y353" t="n">
        <v>0</v>
      </c>
      <c r="Z353" t="n">
        <v>1</v>
      </c>
      <c r="AA353" t="n">
        <v>0</v>
      </c>
      <c r="AB353" t="n">
        <v>167</v>
      </c>
      <c r="AC353" t="inlineStr">
        <is>
          <t>Hello World!</t>
        </is>
      </c>
    </row>
    <row r="354" ht="16" customHeight="1">
      <c r="A354" s="1" t="inlineStr">
        <is>
          <t>59.Red 2</t>
        </is>
      </c>
      <c r="B354" s="2" t="inlineStr">
        <is>
          <t>Runa Hunt</t>
        </is>
      </c>
      <c r="C354" s="2" t="n">
        <v>59</v>
      </c>
      <c r="D354" s="2" t="inlineStr">
        <is>
          <t>r2</t>
        </is>
      </c>
      <c r="E354" s="2" t="n">
        <v>1591</v>
      </c>
      <c r="F354" s="2" t="n">
        <v>1</v>
      </c>
      <c r="G354" s="2" t="n">
        <v>1</v>
      </c>
      <c r="H354" s="2" t="n">
        <v>1</v>
      </c>
      <c r="I354" s="2" t="n">
        <v>1</v>
      </c>
      <c r="J354" s="2" t="n">
        <v>4</v>
      </c>
      <c r="K354" s="2" t="n">
        <v>1</v>
      </c>
      <c r="L354" s="2" t="n">
        <v>3</v>
      </c>
      <c r="M354" s="2" t="n">
        <v>5</v>
      </c>
      <c r="N354" s="2" t="n">
        <v>1</v>
      </c>
      <c r="O354" s="2" t="n">
        <v>0</v>
      </c>
      <c r="P354" s="2" t="n">
        <v>1</v>
      </c>
      <c r="Q354" s="2" t="n">
        <v>0</v>
      </c>
      <c r="R354" s="2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5</v>
      </c>
      <c r="X354" t="n">
        <v>1</v>
      </c>
      <c r="Y354" t="n">
        <v>1</v>
      </c>
      <c r="Z354" t="n">
        <v>0</v>
      </c>
      <c r="AA354" t="n">
        <v>1</v>
      </c>
      <c r="AB354" t="n">
        <v>108</v>
      </c>
      <c r="AC354" t="inlineStr">
        <is>
          <t>Hello World!</t>
        </is>
      </c>
    </row>
    <row r="355" ht="16" customHeight="1">
      <c r="A355" s="1" t="inlineStr">
        <is>
          <t>59.Red 3</t>
        </is>
      </c>
      <c r="B355" s="2" t="inlineStr">
        <is>
          <t>Caitlin Munier</t>
        </is>
      </c>
      <c r="C355" s="2" t="n">
        <v>59</v>
      </c>
      <c r="D355" s="2" t="inlineStr">
        <is>
          <t>r3</t>
        </is>
      </c>
      <c r="E355" s="2" t="n">
        <v>1585</v>
      </c>
      <c r="F355" s="2" t="n">
        <v>0</v>
      </c>
      <c r="G355" s="2" t="n">
        <v>1</v>
      </c>
      <c r="H355" s="2" t="n">
        <v>1</v>
      </c>
      <c r="I355" s="2" t="n">
        <v>1</v>
      </c>
      <c r="J355" s="2" t="n">
        <v>1</v>
      </c>
      <c r="K355" s="2" t="n">
        <v>1</v>
      </c>
      <c r="L355" s="2" t="n">
        <v>1</v>
      </c>
      <c r="M355" s="2" t="n">
        <v>5</v>
      </c>
      <c r="N355" s="2" t="n">
        <v>0</v>
      </c>
      <c r="O355" s="2" t="n">
        <v>1</v>
      </c>
      <c r="P355" s="2" t="n">
        <v>1</v>
      </c>
      <c r="Q355" s="2" t="n">
        <v>1</v>
      </c>
      <c r="R355" s="2" t="n">
        <v>1</v>
      </c>
      <c r="S355" t="n">
        <v>2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n">
        <v>62</v>
      </c>
      <c r="AC355" t="inlineStr">
        <is>
          <t>Hello World!</t>
        </is>
      </c>
    </row>
    <row r="356" ht="16" customHeight="1">
      <c r="A356" s="1" t="inlineStr">
        <is>
          <t>60.Blue 1</t>
        </is>
      </c>
      <c r="B356" s="2" t="inlineStr">
        <is>
          <t xml:space="preserve">Tetra Ukav </t>
        </is>
      </c>
      <c r="C356" s="2" t="n">
        <v>60</v>
      </c>
      <c r="D356" s="2" t="inlineStr">
        <is>
          <t>b1</t>
        </is>
      </c>
      <c r="E356" s="2" t="n">
        <v>340</v>
      </c>
      <c r="F356" s="2" t="n">
        <v>0</v>
      </c>
      <c r="G356" s="2" t="n">
        <v>0</v>
      </c>
      <c r="H356" s="2" t="n">
        <v>1</v>
      </c>
      <c r="I356" s="2" t="n">
        <v>1</v>
      </c>
      <c r="J356" s="2" t="n">
        <v>3</v>
      </c>
      <c r="K356" s="2" t="n">
        <v>3</v>
      </c>
      <c r="L356" s="2" t="n">
        <v>3</v>
      </c>
      <c r="M356" s="2" t="n">
        <v>3</v>
      </c>
      <c r="N356" s="2" t="n">
        <v>0</v>
      </c>
      <c r="O356" s="2" t="n">
        <v>1</v>
      </c>
      <c r="P356" s="2" t="n">
        <v>0</v>
      </c>
      <c r="Q356" s="2" t="n">
        <v>1</v>
      </c>
      <c r="R356" s="2" t="n">
        <v>1</v>
      </c>
      <c r="S356" t="n">
        <v>-1</v>
      </c>
      <c r="T356" t="n">
        <v>1</v>
      </c>
      <c r="U356" t="n">
        <v>0</v>
      </c>
      <c r="V356" t="n">
        <v>1</v>
      </c>
      <c r="W356" t="n">
        <v>1</v>
      </c>
      <c r="X356" t="n">
        <v>-1</v>
      </c>
      <c r="Y356" t="n">
        <v>0</v>
      </c>
      <c r="Z356" t="n">
        <v>1</v>
      </c>
      <c r="AA356" t="n">
        <v>0</v>
      </c>
      <c r="AB356" t="n">
        <v>4</v>
      </c>
      <c r="AC356" t="inlineStr">
        <is>
          <t>Hello World!</t>
        </is>
      </c>
    </row>
    <row r="357" ht="16" customHeight="1">
      <c r="A357" s="1" t="inlineStr">
        <is>
          <t>60.Blue 2</t>
        </is>
      </c>
      <c r="B357" s="2" t="inlineStr">
        <is>
          <t xml:space="preserve">Ruth Christensen </t>
        </is>
      </c>
      <c r="C357" s="2" t="n">
        <v>60</v>
      </c>
      <c r="D357" s="2" t="inlineStr">
        <is>
          <t>b2</t>
        </is>
      </c>
      <c r="E357" s="2" t="n">
        <v>9767</v>
      </c>
      <c r="F357" s="2" t="n">
        <v>1</v>
      </c>
      <c r="G357" s="2" t="n">
        <v>1</v>
      </c>
      <c r="H357" s="2" t="n">
        <v>0</v>
      </c>
      <c r="I357" s="2" t="n">
        <v>0</v>
      </c>
      <c r="J357" s="2" t="n">
        <v>2</v>
      </c>
      <c r="K357" s="2" t="n">
        <v>2</v>
      </c>
      <c r="L357" s="2" t="n">
        <v>1</v>
      </c>
      <c r="M357" s="2" t="n">
        <v>1</v>
      </c>
      <c r="N357" s="2" t="n">
        <v>1</v>
      </c>
      <c r="O357" s="2" t="n">
        <v>1</v>
      </c>
      <c r="P357" s="2" t="n">
        <v>0</v>
      </c>
      <c r="Q357" s="2" t="n">
        <v>0</v>
      </c>
      <c r="R357" s="2" t="n">
        <v>1</v>
      </c>
      <c r="S357" t="n">
        <v>-1</v>
      </c>
      <c r="T357" t="n">
        <v>0</v>
      </c>
      <c r="U357" t="n">
        <v>1</v>
      </c>
      <c r="V357" t="n">
        <v>0</v>
      </c>
      <c r="W357" t="n">
        <v>2</v>
      </c>
      <c r="X357" t="n">
        <v>0</v>
      </c>
      <c r="Y357" t="n">
        <v>1</v>
      </c>
      <c r="Z357" t="n">
        <v>0</v>
      </c>
      <c r="AA357" t="n">
        <v>1</v>
      </c>
      <c r="AB357" t="n">
        <v>139</v>
      </c>
      <c r="AC357" t="inlineStr">
        <is>
          <t>Hello World!</t>
        </is>
      </c>
    </row>
    <row r="358" ht="16" customHeight="1">
      <c r="A358" s="1" t="inlineStr">
        <is>
          <t>60.Blue 3</t>
        </is>
      </c>
      <c r="B358" s="2" t="inlineStr">
        <is>
          <t>Nathan DeVito</t>
        </is>
      </c>
      <c r="C358" s="2" t="n">
        <v>60</v>
      </c>
      <c r="D358" s="2" t="inlineStr">
        <is>
          <t>b3</t>
        </is>
      </c>
      <c r="E358" s="2" t="n">
        <v>4930</v>
      </c>
      <c r="F358" s="2" t="n">
        <v>1</v>
      </c>
      <c r="G358" s="2" t="n">
        <v>1</v>
      </c>
      <c r="H358" s="2" t="n">
        <v>0</v>
      </c>
      <c r="I358" s="2" t="n">
        <v>0</v>
      </c>
      <c r="J358" s="2" t="n">
        <v>2</v>
      </c>
      <c r="K358" s="2" t="n">
        <v>1</v>
      </c>
      <c r="L358" s="2" t="n">
        <v>3</v>
      </c>
      <c r="M358" s="2" t="n">
        <v>4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260</v>
      </c>
      <c r="AC358" t="inlineStr">
        <is>
          <t>Hello World!</t>
        </is>
      </c>
    </row>
    <row r="359" ht="16" customHeight="1">
      <c r="A359" s="1" t="inlineStr">
        <is>
          <t>60.Red 1</t>
        </is>
      </c>
      <c r="B359" s="2" t="inlineStr">
        <is>
          <t>Dean Blanchard</t>
        </is>
      </c>
      <c r="C359" s="2" t="n">
        <v>60</v>
      </c>
      <c r="D359" s="2" t="inlineStr">
        <is>
          <t>r1</t>
        </is>
      </c>
      <c r="E359" s="2" t="n">
        <v>3015</v>
      </c>
      <c r="F359" s="2" t="n">
        <v>1</v>
      </c>
      <c r="G359" s="2" t="n">
        <v>0</v>
      </c>
      <c r="H359" s="2" t="n">
        <v>1</v>
      </c>
      <c r="I359" s="2" t="n">
        <v>0</v>
      </c>
      <c r="J359" s="2" t="n">
        <v>3</v>
      </c>
      <c r="K359" s="2" t="n">
        <v>2</v>
      </c>
      <c r="L359" s="2" t="n">
        <v>1</v>
      </c>
      <c r="M359" s="2" t="n">
        <v>3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-1</v>
      </c>
      <c r="Y359" t="n">
        <v>0</v>
      </c>
      <c r="Z359" t="n">
        <v>1</v>
      </c>
      <c r="AA359" t="n">
        <v>0</v>
      </c>
      <c r="AB359" t="n">
        <v>287</v>
      </c>
      <c r="AC359" t="inlineStr">
        <is>
          <t>Hello World!</t>
        </is>
      </c>
    </row>
    <row r="360" ht="16" customHeight="1">
      <c r="A360" s="1" t="inlineStr">
        <is>
          <t>60.Red 2</t>
        </is>
      </c>
      <c r="B360" s="2" t="inlineStr">
        <is>
          <t xml:space="preserve">Tetra Ukav </t>
        </is>
      </c>
      <c r="C360" s="2" t="n">
        <v>60</v>
      </c>
      <c r="D360" s="2" t="inlineStr">
        <is>
          <t>r2</t>
        </is>
      </c>
      <c r="E360" s="2" t="n">
        <v>48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4</v>
      </c>
      <c r="K360" s="2" t="n">
        <v>1</v>
      </c>
      <c r="L360" s="2" t="n">
        <v>3</v>
      </c>
      <c r="M360" s="2" t="n">
        <v>5</v>
      </c>
      <c r="N360" s="2" t="n">
        <v>0</v>
      </c>
      <c r="O360" s="2" t="n">
        <v>1</v>
      </c>
      <c r="P360" s="2" t="n">
        <v>0</v>
      </c>
      <c r="Q360" s="2" t="n">
        <v>1</v>
      </c>
      <c r="R360" s="2" t="n">
        <v>1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-1</v>
      </c>
      <c r="Y360" t="n">
        <v>0</v>
      </c>
      <c r="Z360" t="n">
        <v>1</v>
      </c>
      <c r="AA360" t="n">
        <v>0</v>
      </c>
      <c r="AB360" t="n">
        <v>59</v>
      </c>
      <c r="AC360" t="inlineStr">
        <is>
          <t>Hello World!</t>
        </is>
      </c>
    </row>
    <row r="361" ht="16" customHeight="1">
      <c r="A361" s="1" t="inlineStr">
        <is>
          <t>60.Red 3</t>
        </is>
      </c>
      <c r="B361" s="2" t="inlineStr">
        <is>
          <t>Amanah Obaji</t>
        </is>
      </c>
      <c r="C361" s="2" t="n">
        <v>60</v>
      </c>
      <c r="D361" s="2" t="inlineStr">
        <is>
          <t>r3</t>
        </is>
      </c>
      <c r="E361" s="2" t="n">
        <v>4253</v>
      </c>
      <c r="F361" s="2" t="n">
        <v>0</v>
      </c>
      <c r="G361" s="2" t="n">
        <v>0</v>
      </c>
      <c r="H361" s="2" t="n">
        <v>1</v>
      </c>
      <c r="I361" s="2" t="n">
        <v>0</v>
      </c>
      <c r="J361" s="2" t="n">
        <v>1</v>
      </c>
      <c r="K361" s="2" t="n">
        <v>2</v>
      </c>
      <c r="L361" s="2" t="n">
        <v>3</v>
      </c>
      <c r="M361" s="2" t="n">
        <v>1</v>
      </c>
      <c r="N361" s="2" t="n">
        <v>0</v>
      </c>
      <c r="O361" s="2" t="n">
        <v>1</v>
      </c>
      <c r="P361" s="2" t="n">
        <v>0</v>
      </c>
      <c r="Q361" s="2" t="n">
        <v>0</v>
      </c>
      <c r="R361" s="2" t="n">
        <v>1</v>
      </c>
      <c r="S361" t="n">
        <v>-1</v>
      </c>
      <c r="T361" t="n">
        <v>1</v>
      </c>
      <c r="U361" t="n">
        <v>1</v>
      </c>
      <c r="V361" t="n">
        <v>0</v>
      </c>
      <c r="W361" t="n">
        <v>3</v>
      </c>
      <c r="X361" t="n">
        <v>1</v>
      </c>
      <c r="Y361" t="n">
        <v>0</v>
      </c>
      <c r="Z361" t="n">
        <v>0</v>
      </c>
      <c r="AA361" t="n">
        <v>1</v>
      </c>
      <c r="AB361" t="n">
        <v>77</v>
      </c>
      <c r="AC361" t="inlineStr">
        <is>
          <t>Hello World!</t>
        </is>
      </c>
    </row>
    <row r="362" ht="16" customHeight="1">
      <c r="A362" s="1" t="inlineStr">
        <is>
          <t>61.Blue 1</t>
        </is>
      </c>
      <c r="B362" s="2" t="inlineStr">
        <is>
          <t>Connor Rapp</t>
        </is>
      </c>
      <c r="C362" s="2" t="n">
        <v>61</v>
      </c>
      <c r="D362" s="2" t="inlineStr">
        <is>
          <t>b1</t>
        </is>
      </c>
      <c r="E362" s="2" t="n">
        <v>3799</v>
      </c>
      <c r="F362" s="2" t="n">
        <v>0</v>
      </c>
      <c r="G362" s="2" t="n">
        <v>0</v>
      </c>
      <c r="H362" s="2" t="n">
        <v>0</v>
      </c>
      <c r="I362" s="2" t="n">
        <v>-1</v>
      </c>
      <c r="J362" s="2" t="n">
        <v>3</v>
      </c>
      <c r="K362" s="2" t="n">
        <v>3</v>
      </c>
      <c r="L362" s="2" t="n">
        <v>2</v>
      </c>
      <c r="M362" s="2" t="n">
        <v>2</v>
      </c>
      <c r="N362" s="2" t="n">
        <v>1</v>
      </c>
      <c r="O362" s="2" t="n">
        <v>1</v>
      </c>
      <c r="P362" s="2" t="n">
        <v>0</v>
      </c>
      <c r="Q362" s="2" t="n">
        <v>1</v>
      </c>
      <c r="R362" s="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4</v>
      </c>
      <c r="X362" t="n">
        <v>1</v>
      </c>
      <c r="Y362" t="n">
        <v>0</v>
      </c>
      <c r="Z362" t="n">
        <v>1</v>
      </c>
      <c r="AA362" t="n">
        <v>0</v>
      </c>
      <c r="AB362" t="n">
        <v>166</v>
      </c>
      <c r="AC362" t="inlineStr">
        <is>
          <t>Hello World!</t>
        </is>
      </c>
    </row>
    <row r="363" ht="16" customHeight="1">
      <c r="A363" s="1" t="inlineStr">
        <is>
          <t>61.Blue 2</t>
        </is>
      </c>
      <c r="B363" s="2" t="inlineStr">
        <is>
          <t xml:space="preserve">Ruth Christensen </t>
        </is>
      </c>
      <c r="C363" s="2" t="n">
        <v>61</v>
      </c>
      <c r="D363" s="2" t="inlineStr">
        <is>
          <t>b2</t>
        </is>
      </c>
      <c r="E363" s="2" t="n">
        <v>432</v>
      </c>
      <c r="F363" s="2" t="n">
        <v>0</v>
      </c>
      <c r="G363" s="2" t="n">
        <v>0</v>
      </c>
      <c r="H363" s="2" t="n">
        <v>1</v>
      </c>
      <c r="I363" s="2" t="n">
        <v>0</v>
      </c>
      <c r="J363" s="2" t="n">
        <v>4</v>
      </c>
      <c r="K363" s="2" t="n">
        <v>1</v>
      </c>
      <c r="L363" s="2" t="n">
        <v>3</v>
      </c>
      <c r="M363" s="2" t="n">
        <v>4</v>
      </c>
      <c r="N363" s="2" t="n">
        <v>0</v>
      </c>
      <c r="O363" s="2" t="n">
        <v>1</v>
      </c>
      <c r="P363" s="2" t="n">
        <v>0</v>
      </c>
      <c r="Q363" s="2" t="n">
        <v>1</v>
      </c>
      <c r="R363" s="2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4</v>
      </c>
      <c r="X363" t="n">
        <v>-1</v>
      </c>
      <c r="Y363" t="n">
        <v>0</v>
      </c>
      <c r="Z363" t="n">
        <v>1</v>
      </c>
      <c r="AA363" t="n">
        <v>1</v>
      </c>
      <c r="AB363" t="n">
        <v>132</v>
      </c>
      <c r="AC363" t="inlineStr">
        <is>
          <t>Hello World!</t>
        </is>
      </c>
    </row>
    <row r="364" ht="16" customHeight="1">
      <c r="A364" s="1" t="inlineStr">
        <is>
          <t>61.Blue 3</t>
        </is>
      </c>
      <c r="B364" s="2" t="inlineStr">
        <is>
          <t>Runa Hunt</t>
        </is>
      </c>
      <c r="C364" s="2" t="n">
        <v>61</v>
      </c>
      <c r="D364" s="2" t="inlineStr">
        <is>
          <t>b3</t>
        </is>
      </c>
      <c r="E364" s="2" t="n">
        <v>3951</v>
      </c>
      <c r="F364" s="2" t="n">
        <v>1</v>
      </c>
      <c r="G364" s="2" t="n">
        <v>1</v>
      </c>
      <c r="H364" s="2" t="n">
        <v>0</v>
      </c>
      <c r="I364" s="2" t="n">
        <v>0</v>
      </c>
      <c r="J364" s="2" t="n">
        <v>1</v>
      </c>
      <c r="K364" s="2" t="n">
        <v>1</v>
      </c>
      <c r="L364" s="2" t="n">
        <v>3</v>
      </c>
      <c r="M364" s="2" t="n">
        <v>5</v>
      </c>
      <c r="N364" s="2" t="n">
        <v>1</v>
      </c>
      <c r="O364" s="2" t="n">
        <v>1</v>
      </c>
      <c r="P364" s="2" t="n">
        <v>0</v>
      </c>
      <c r="Q364" s="2" t="n">
        <v>1</v>
      </c>
      <c r="R364" s="2" t="n">
        <v>1</v>
      </c>
      <c r="S364" t="n">
        <v>-1</v>
      </c>
      <c r="T364" t="n">
        <v>0</v>
      </c>
      <c r="U364" t="n">
        <v>0</v>
      </c>
      <c r="V364" t="n">
        <v>1</v>
      </c>
      <c r="W364" t="n">
        <v>5</v>
      </c>
      <c r="X364" t="n">
        <v>-1</v>
      </c>
      <c r="Y364" t="n">
        <v>0</v>
      </c>
      <c r="Z364" t="n">
        <v>1</v>
      </c>
      <c r="AA364" t="n">
        <v>1</v>
      </c>
      <c r="AB364" t="n">
        <v>187</v>
      </c>
      <c r="AC364" t="inlineStr">
        <is>
          <t>Hello World!</t>
        </is>
      </c>
    </row>
    <row r="365" ht="16" customHeight="1">
      <c r="A365" s="1" t="inlineStr">
        <is>
          <t>61.Red 1</t>
        </is>
      </c>
      <c r="B365" s="2" t="inlineStr">
        <is>
          <t>Domenic Giammusso</t>
        </is>
      </c>
      <c r="C365" s="2" t="n">
        <v>61</v>
      </c>
      <c r="D365" s="2" t="inlineStr">
        <is>
          <t>r1</t>
        </is>
      </c>
      <c r="E365" s="2" t="n">
        <v>6423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2</v>
      </c>
      <c r="K365" s="2" t="n">
        <v>1</v>
      </c>
      <c r="L365" s="2" t="n">
        <v>2</v>
      </c>
      <c r="M365" s="2" t="n">
        <v>5</v>
      </c>
      <c r="N365" s="2" t="n">
        <v>1</v>
      </c>
      <c r="O365" s="2" t="n">
        <v>0</v>
      </c>
      <c r="P365" s="2" t="n">
        <v>1</v>
      </c>
      <c r="Q365" s="2" t="n">
        <v>1</v>
      </c>
      <c r="R365" s="2" t="n">
        <v>0</v>
      </c>
      <c r="S365" t="n">
        <v>-1</v>
      </c>
      <c r="T365" t="n">
        <v>0</v>
      </c>
      <c r="U365" t="n">
        <v>1</v>
      </c>
      <c r="V365" t="n">
        <v>0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271</v>
      </c>
      <c r="AC365" t="inlineStr">
        <is>
          <t>Hello World!</t>
        </is>
      </c>
    </row>
    <row r="366" ht="16" customHeight="1">
      <c r="A366" s="1" t="inlineStr">
        <is>
          <t>61.Red 2</t>
        </is>
      </c>
      <c r="B366" s="2" t="inlineStr">
        <is>
          <t xml:space="preserve">Ruth Christensen </t>
        </is>
      </c>
      <c r="C366" s="2" t="n">
        <v>61</v>
      </c>
      <c r="D366" s="2" t="inlineStr">
        <is>
          <t>r2</t>
        </is>
      </c>
      <c r="E366" s="2" t="n">
        <v>1781</v>
      </c>
      <c r="F366" s="2" t="n">
        <v>1</v>
      </c>
      <c r="G366" s="2" t="n">
        <v>0</v>
      </c>
      <c r="H366" s="2" t="n">
        <v>0</v>
      </c>
      <c r="I366" s="2" t="n">
        <v>1</v>
      </c>
      <c r="J366" s="2" t="n">
        <v>2</v>
      </c>
      <c r="K366" s="2" t="n">
        <v>1</v>
      </c>
      <c r="L366" s="2" t="n">
        <v>3</v>
      </c>
      <c r="M366" s="2" t="n">
        <v>2</v>
      </c>
      <c r="N366" s="2" t="n">
        <v>0</v>
      </c>
      <c r="O366" s="2" t="n">
        <v>0</v>
      </c>
      <c r="P366" s="2" t="n">
        <v>1</v>
      </c>
      <c r="Q366" s="2" t="n">
        <v>1</v>
      </c>
      <c r="R366" s="2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n">
        <v>251</v>
      </c>
      <c r="AC366" t="inlineStr">
        <is>
          <t>Hello World!</t>
        </is>
      </c>
    </row>
    <row r="367" ht="16" customHeight="1">
      <c r="A367" s="1" t="inlineStr">
        <is>
          <t>61.Red 3</t>
        </is>
      </c>
      <c r="B367" s="2" t="inlineStr">
        <is>
          <t>Eli Harrison</t>
        </is>
      </c>
      <c r="C367" s="2" t="n">
        <v>61</v>
      </c>
      <c r="D367" s="2" t="inlineStr">
        <is>
          <t>r3</t>
        </is>
      </c>
      <c r="E367" s="2" t="n">
        <v>424</v>
      </c>
      <c r="F367" s="2" t="n">
        <v>1</v>
      </c>
      <c r="G367" s="2" t="n">
        <v>0</v>
      </c>
      <c r="H367" s="2" t="n">
        <v>1</v>
      </c>
      <c r="I367" s="2" t="n">
        <v>1</v>
      </c>
      <c r="J367" s="2" t="n">
        <v>5</v>
      </c>
      <c r="K367" s="2" t="n">
        <v>2</v>
      </c>
      <c r="L367" s="2" t="n">
        <v>2</v>
      </c>
      <c r="M367" s="2" t="n">
        <v>1</v>
      </c>
      <c r="N367" s="2" t="n">
        <v>0</v>
      </c>
      <c r="O367" s="2" t="n">
        <v>0</v>
      </c>
      <c r="P367" s="2" t="n">
        <v>1</v>
      </c>
      <c r="Q367" s="2" t="n">
        <v>1</v>
      </c>
      <c r="R367" s="2" t="n">
        <v>1</v>
      </c>
      <c r="S367" t="n">
        <v>-1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1</v>
      </c>
      <c r="AB367" t="n">
        <v>58</v>
      </c>
      <c r="AC367" t="inlineStr">
        <is>
          <t>Hello World!</t>
        </is>
      </c>
    </row>
    <row r="368" ht="16" customHeight="1">
      <c r="A368" s="1" t="inlineStr">
        <is>
          <t>62.Blue 1</t>
        </is>
      </c>
      <c r="B368" s="2" t="inlineStr">
        <is>
          <t>Arthur Sayre</t>
        </is>
      </c>
      <c r="C368" s="2" t="n">
        <v>62</v>
      </c>
      <c r="D368" s="2" t="inlineStr">
        <is>
          <t>b1</t>
        </is>
      </c>
      <c r="E368" s="2" t="n">
        <v>353</v>
      </c>
      <c r="F368" s="2" t="n">
        <v>0</v>
      </c>
      <c r="G368" s="2" t="n">
        <v>1</v>
      </c>
      <c r="H368" s="2" t="n">
        <v>1</v>
      </c>
      <c r="I368" s="2" t="n">
        <v>-1</v>
      </c>
      <c r="J368" s="2" t="n">
        <v>4</v>
      </c>
      <c r="K368" s="2" t="n">
        <v>2</v>
      </c>
      <c r="L368" s="2" t="n">
        <v>1</v>
      </c>
      <c r="M368" s="2" t="n">
        <v>4</v>
      </c>
      <c r="N368" s="2" t="n">
        <v>1</v>
      </c>
      <c r="O368" s="2" t="n">
        <v>1</v>
      </c>
      <c r="P368" s="2" t="n">
        <v>0</v>
      </c>
      <c r="Q368" s="2" t="n">
        <v>1</v>
      </c>
      <c r="R368" s="2" t="n">
        <v>0</v>
      </c>
      <c r="S368" t="n">
        <v>2</v>
      </c>
      <c r="T368" t="n">
        <v>0</v>
      </c>
      <c r="U368" t="n">
        <v>1</v>
      </c>
      <c r="V368" t="n">
        <v>1</v>
      </c>
      <c r="W368" t="n">
        <v>3</v>
      </c>
      <c r="X368" t="n">
        <v>1</v>
      </c>
      <c r="Y368" t="n">
        <v>0</v>
      </c>
      <c r="Z368" t="n">
        <v>1</v>
      </c>
      <c r="AA368" t="n">
        <v>0</v>
      </c>
      <c r="AB368" t="n">
        <v>273</v>
      </c>
      <c r="AC368" t="inlineStr">
        <is>
          <t>Hello World!</t>
        </is>
      </c>
    </row>
    <row r="369" ht="16" customHeight="1">
      <c r="A369" s="1" t="inlineStr">
        <is>
          <t>62.Blue 2</t>
        </is>
      </c>
      <c r="B369" s="2" t="inlineStr">
        <is>
          <t>Dean Blanchard</t>
        </is>
      </c>
      <c r="C369" s="2" t="n">
        <v>62</v>
      </c>
      <c r="D369" s="2" t="inlineStr">
        <is>
          <t>b2</t>
        </is>
      </c>
      <c r="E369" s="2" t="n">
        <v>9016</v>
      </c>
      <c r="F369" s="2" t="n">
        <v>1</v>
      </c>
      <c r="G369" s="2" t="n">
        <v>0</v>
      </c>
      <c r="H369" s="2" t="n">
        <v>1</v>
      </c>
      <c r="I369" s="2" t="n">
        <v>0</v>
      </c>
      <c r="J369" s="2" t="n">
        <v>2</v>
      </c>
      <c r="K369" s="2" t="n">
        <v>2</v>
      </c>
      <c r="L369" s="2" t="n">
        <v>1</v>
      </c>
      <c r="M369" s="2" t="n">
        <v>1</v>
      </c>
      <c r="N369" s="2" t="n">
        <v>0</v>
      </c>
      <c r="O369" s="2" t="n">
        <v>1</v>
      </c>
      <c r="P369" s="2" t="n">
        <v>1</v>
      </c>
      <c r="Q369" s="2" t="n">
        <v>0</v>
      </c>
      <c r="R369" s="2" t="n">
        <v>1</v>
      </c>
      <c r="S369" t="n">
        <v>0</v>
      </c>
      <c r="T369" t="n">
        <v>0</v>
      </c>
      <c r="U369" t="n">
        <v>0</v>
      </c>
      <c r="V369" t="n">
        <v>1</v>
      </c>
      <c r="W369" t="n">
        <v>4</v>
      </c>
      <c r="X369" t="n">
        <v>-1</v>
      </c>
      <c r="Y369" t="n">
        <v>0</v>
      </c>
      <c r="Z369" t="n">
        <v>1</v>
      </c>
      <c r="AA369" t="n">
        <v>0</v>
      </c>
      <c r="AB369" t="n">
        <v>64</v>
      </c>
      <c r="AC369" t="inlineStr">
        <is>
          <t>Hello World!</t>
        </is>
      </c>
    </row>
    <row r="370" ht="16" customHeight="1">
      <c r="A370" s="1" t="inlineStr">
        <is>
          <t>62.Blue 3</t>
        </is>
      </c>
      <c r="B370" s="2" t="inlineStr">
        <is>
          <t>Colby Jackson</t>
        </is>
      </c>
      <c r="C370" s="2" t="n">
        <v>62</v>
      </c>
      <c r="D370" s="2" t="inlineStr">
        <is>
          <t>b3</t>
        </is>
      </c>
      <c r="E370" s="2" t="n">
        <v>564</v>
      </c>
      <c r="F370" s="2" t="n">
        <v>0</v>
      </c>
      <c r="G370" s="2" t="n">
        <v>1</v>
      </c>
      <c r="H370" s="2" t="n">
        <v>1</v>
      </c>
      <c r="I370" s="2" t="n">
        <v>1</v>
      </c>
      <c r="J370" s="2" t="n">
        <v>3</v>
      </c>
      <c r="K370" s="2" t="n">
        <v>3</v>
      </c>
      <c r="L370" s="2" t="n">
        <v>1</v>
      </c>
      <c r="M370" s="2" t="n">
        <v>2</v>
      </c>
      <c r="N370" s="2" t="n">
        <v>1</v>
      </c>
      <c r="O370" s="2" t="n">
        <v>0</v>
      </c>
      <c r="P370" s="2" t="n">
        <v>1</v>
      </c>
      <c r="Q370" s="2" t="n">
        <v>0</v>
      </c>
      <c r="R370" s="2" t="n">
        <v>0</v>
      </c>
      <c r="S370" t="n">
        <v>3</v>
      </c>
      <c r="T370" t="n">
        <v>1</v>
      </c>
      <c r="U370" t="n">
        <v>1</v>
      </c>
      <c r="V370" t="n">
        <v>1</v>
      </c>
      <c r="W370" t="n">
        <v>2</v>
      </c>
      <c r="X370" t="n">
        <v>-1</v>
      </c>
      <c r="Y370" t="n">
        <v>0</v>
      </c>
      <c r="Z370" t="n">
        <v>0</v>
      </c>
      <c r="AA370" t="n">
        <v>0</v>
      </c>
      <c r="AB370" t="n">
        <v>281</v>
      </c>
      <c r="AC370" t="inlineStr">
        <is>
          <t>Hello World!</t>
        </is>
      </c>
    </row>
    <row r="371" ht="16" customHeight="1">
      <c r="A371" s="1" t="inlineStr">
        <is>
          <t>62.Red 1</t>
        </is>
      </c>
      <c r="B371" s="2" t="inlineStr">
        <is>
          <t xml:space="preserve">Tetra Ukav </t>
        </is>
      </c>
      <c r="C371" s="2" t="n">
        <v>62</v>
      </c>
      <c r="D371" s="2" t="inlineStr">
        <is>
          <t>r1</t>
        </is>
      </c>
      <c r="E371" s="2" t="n">
        <v>3181</v>
      </c>
      <c r="F371" s="2" t="n">
        <v>0</v>
      </c>
      <c r="G371" s="2" t="n">
        <v>1</v>
      </c>
      <c r="H371" s="2" t="n">
        <v>0</v>
      </c>
      <c r="I371" s="2" t="n">
        <v>-1</v>
      </c>
      <c r="J371" s="2" t="n">
        <v>4</v>
      </c>
      <c r="K371" s="2" t="n">
        <v>1</v>
      </c>
      <c r="L371" s="2" t="n">
        <v>1</v>
      </c>
      <c r="M371" s="2" t="n">
        <v>4</v>
      </c>
      <c r="N371" s="2" t="n">
        <v>1</v>
      </c>
      <c r="O371" s="2" t="n">
        <v>0</v>
      </c>
      <c r="P371" s="2" t="n">
        <v>1</v>
      </c>
      <c r="Q371" s="2" t="n">
        <v>0</v>
      </c>
      <c r="R371" s="2" t="n">
        <v>1</v>
      </c>
      <c r="S371" t="n">
        <v>0</v>
      </c>
      <c r="T371" t="n">
        <v>1</v>
      </c>
      <c r="U371" t="n">
        <v>1</v>
      </c>
      <c r="V371" t="n">
        <v>0</v>
      </c>
      <c r="W371" t="n">
        <v>2</v>
      </c>
      <c r="X371" t="n">
        <v>-1</v>
      </c>
      <c r="Y371" t="n">
        <v>0</v>
      </c>
      <c r="Z371" t="n">
        <v>0</v>
      </c>
      <c r="AA371" t="n">
        <v>0</v>
      </c>
      <c r="AB371" t="n">
        <v>152</v>
      </c>
      <c r="AC371" t="inlineStr">
        <is>
          <t>Hello World!</t>
        </is>
      </c>
    </row>
    <row r="372" ht="16" customHeight="1">
      <c r="A372" s="1" t="inlineStr">
        <is>
          <t>62.Red 2</t>
        </is>
      </c>
      <c r="B372" s="2" t="inlineStr">
        <is>
          <t>Celton Norter</t>
        </is>
      </c>
      <c r="C372" s="2" t="n">
        <v>62</v>
      </c>
      <c r="D372" s="2" t="inlineStr">
        <is>
          <t>r2</t>
        </is>
      </c>
      <c r="E372" s="2" t="n">
        <v>6868</v>
      </c>
      <c r="F372" s="2" t="n">
        <v>1</v>
      </c>
      <c r="G372" s="2" t="n">
        <v>1</v>
      </c>
      <c r="H372" s="2" t="n">
        <v>0</v>
      </c>
      <c r="I372" s="2" t="n">
        <v>0</v>
      </c>
      <c r="J372" s="2" t="n">
        <v>4</v>
      </c>
      <c r="K372" s="2" t="n">
        <v>1</v>
      </c>
      <c r="L372" s="2" t="n">
        <v>1</v>
      </c>
      <c r="M372" s="2" t="n">
        <v>5</v>
      </c>
      <c r="N372" s="2" t="n">
        <v>0</v>
      </c>
      <c r="O372" s="2" t="n">
        <v>1</v>
      </c>
      <c r="P372" s="2" t="n">
        <v>1</v>
      </c>
      <c r="Q372" s="2" t="n">
        <v>1</v>
      </c>
      <c r="R372" s="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2</v>
      </c>
      <c r="X372" t="n">
        <v>-1</v>
      </c>
      <c r="Y372" t="n">
        <v>0</v>
      </c>
      <c r="Z372" t="n">
        <v>0</v>
      </c>
      <c r="AA372" t="n">
        <v>0</v>
      </c>
      <c r="AB372" t="n">
        <v>56</v>
      </c>
      <c r="AC372" t="inlineStr">
        <is>
          <t>Hello World!</t>
        </is>
      </c>
    </row>
    <row r="373" ht="16" customHeight="1">
      <c r="A373" s="1" t="inlineStr">
        <is>
          <t>62.Red 3</t>
        </is>
      </c>
      <c r="B373" s="2" t="inlineStr">
        <is>
          <t>Dean Blanchard</t>
        </is>
      </c>
      <c r="C373" s="2" t="n">
        <v>62</v>
      </c>
      <c r="D373" s="2" t="inlineStr">
        <is>
          <t>r3</t>
        </is>
      </c>
      <c r="E373" s="2" t="n">
        <v>578</v>
      </c>
      <c r="F373" s="2" t="n">
        <v>1</v>
      </c>
      <c r="G373" s="2" t="n">
        <v>1</v>
      </c>
      <c r="H373" s="2" t="n">
        <v>1</v>
      </c>
      <c r="I373" s="2" t="n">
        <v>1</v>
      </c>
      <c r="J373" s="2" t="n">
        <v>5</v>
      </c>
      <c r="K373" s="2" t="n">
        <v>3</v>
      </c>
      <c r="L373" s="2" t="n">
        <v>3</v>
      </c>
      <c r="M373" s="2" t="n">
        <v>1</v>
      </c>
      <c r="N373" s="2" t="n">
        <v>1</v>
      </c>
      <c r="O373" s="2" t="n">
        <v>0</v>
      </c>
      <c r="P373" s="2" t="n">
        <v>1</v>
      </c>
      <c r="Q373" s="2" t="n">
        <v>1</v>
      </c>
      <c r="R373" s="2" t="n">
        <v>1</v>
      </c>
      <c r="S373" t="n">
        <v>2</v>
      </c>
      <c r="T373" t="n">
        <v>0</v>
      </c>
      <c r="U373" t="n">
        <v>1</v>
      </c>
      <c r="V373" t="n">
        <v>0</v>
      </c>
      <c r="W373" t="n">
        <v>2</v>
      </c>
      <c r="X373" t="n">
        <v>-1</v>
      </c>
      <c r="Y373" t="n">
        <v>0</v>
      </c>
      <c r="Z373" t="n">
        <v>1</v>
      </c>
      <c r="AA373" t="n">
        <v>0</v>
      </c>
      <c r="AB373" t="n">
        <v>156</v>
      </c>
      <c r="AC373" t="inlineStr">
        <is>
          <t>Hello World!</t>
        </is>
      </c>
    </row>
    <row r="374" ht="16" customHeight="1">
      <c r="A374" s="1" t="inlineStr">
        <is>
          <t>63.Blue 1</t>
        </is>
      </c>
      <c r="B374" s="2" t="inlineStr">
        <is>
          <t>Eli Harrison</t>
        </is>
      </c>
      <c r="C374" s="2" t="n">
        <v>63</v>
      </c>
      <c r="D374" s="2" t="inlineStr">
        <is>
          <t>b1</t>
        </is>
      </c>
      <c r="E374" s="2" t="n">
        <v>1056</v>
      </c>
      <c r="F374" s="2" t="n">
        <v>1</v>
      </c>
      <c r="G374" s="2" t="n">
        <v>0</v>
      </c>
      <c r="H374" s="2" t="n">
        <v>1</v>
      </c>
      <c r="I374" s="2" t="n">
        <v>1</v>
      </c>
      <c r="J374" s="2" t="n">
        <v>1</v>
      </c>
      <c r="K374" s="2" t="n">
        <v>3</v>
      </c>
      <c r="L374" s="2" t="n">
        <v>3</v>
      </c>
      <c r="M374" s="2" t="n">
        <v>4</v>
      </c>
      <c r="N374" s="2" t="n">
        <v>1</v>
      </c>
      <c r="O374" s="2" t="n">
        <v>1</v>
      </c>
      <c r="P374" s="2" t="n">
        <v>0</v>
      </c>
      <c r="Q374" s="2" t="n">
        <v>0</v>
      </c>
      <c r="R374" s="2" t="n">
        <v>1</v>
      </c>
      <c r="S374" t="n">
        <v>0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n">
        <v>211</v>
      </c>
      <c r="AC374" t="inlineStr">
        <is>
          <t>Hello World!</t>
        </is>
      </c>
    </row>
    <row r="375" ht="16" customHeight="1">
      <c r="A375" s="1" t="inlineStr">
        <is>
          <t>63.Blue 2</t>
        </is>
      </c>
      <c r="B375" s="2" t="inlineStr">
        <is>
          <t>Caitlin Munier</t>
        </is>
      </c>
      <c r="C375" s="2" t="n">
        <v>63</v>
      </c>
      <c r="D375" s="2" t="inlineStr">
        <is>
          <t>b2</t>
        </is>
      </c>
      <c r="E375" s="2" t="n">
        <v>325</v>
      </c>
      <c r="F375" s="2" t="n">
        <v>0</v>
      </c>
      <c r="G375" s="2" t="n">
        <v>1</v>
      </c>
      <c r="H375" s="2" t="n">
        <v>1</v>
      </c>
      <c r="I375" s="2" t="n">
        <v>0</v>
      </c>
      <c r="J375" s="2" t="n">
        <v>4</v>
      </c>
      <c r="K375" s="2" t="n">
        <v>3</v>
      </c>
      <c r="L375" s="2" t="n">
        <v>2</v>
      </c>
      <c r="M375" s="2" t="n">
        <v>5</v>
      </c>
      <c r="N375" s="2" t="n">
        <v>0</v>
      </c>
      <c r="O375" s="2" t="n">
        <v>1</v>
      </c>
      <c r="P375" s="2" t="n">
        <v>1</v>
      </c>
      <c r="Q375" s="2" t="n">
        <v>1</v>
      </c>
      <c r="R375" s="2" t="n">
        <v>0</v>
      </c>
      <c r="S375" t="n">
        <v>3</v>
      </c>
      <c r="T375" t="n">
        <v>0</v>
      </c>
      <c r="U375" t="n">
        <v>0</v>
      </c>
      <c r="V375" t="n">
        <v>1</v>
      </c>
      <c r="W375" t="n">
        <v>2</v>
      </c>
      <c r="X375" t="n">
        <v>1</v>
      </c>
      <c r="Y375" t="n">
        <v>1</v>
      </c>
      <c r="Z375" t="n">
        <v>0</v>
      </c>
      <c r="AA375" t="n">
        <v>1</v>
      </c>
      <c r="AB375" t="n">
        <v>163</v>
      </c>
      <c r="AC375" t="inlineStr">
        <is>
          <t>Hello World!</t>
        </is>
      </c>
    </row>
    <row r="376" ht="16" customHeight="1">
      <c r="A376" s="1" t="inlineStr">
        <is>
          <t>63.Blue 3</t>
        </is>
      </c>
      <c r="B376" s="2" t="inlineStr">
        <is>
          <t>Dean Blanchard</t>
        </is>
      </c>
      <c r="C376" s="2" t="n">
        <v>63</v>
      </c>
      <c r="D376" s="2" t="inlineStr">
        <is>
          <t>b3</t>
        </is>
      </c>
      <c r="E376" s="2" t="n">
        <v>144</v>
      </c>
      <c r="F376" s="2" t="n">
        <v>1</v>
      </c>
      <c r="G376" s="2" t="n">
        <v>1</v>
      </c>
      <c r="H376" s="2" t="n">
        <v>1</v>
      </c>
      <c r="I376" s="2" t="n">
        <v>0</v>
      </c>
      <c r="J376" s="2" t="n">
        <v>3</v>
      </c>
      <c r="K376" s="2" t="n">
        <v>2</v>
      </c>
      <c r="L376" s="2" t="n">
        <v>3</v>
      </c>
      <c r="M376" s="2" t="n">
        <v>4</v>
      </c>
      <c r="N376" s="2" t="n">
        <v>1</v>
      </c>
      <c r="O376" s="2" t="n">
        <v>0</v>
      </c>
      <c r="P376" s="2" t="n">
        <v>1</v>
      </c>
      <c r="Q376" s="2" t="n">
        <v>1</v>
      </c>
      <c r="R376" s="2" t="n">
        <v>1</v>
      </c>
      <c r="S376" t="n">
        <v>-1</v>
      </c>
      <c r="T376" t="n">
        <v>1</v>
      </c>
      <c r="U376" t="n">
        <v>0</v>
      </c>
      <c r="V376" t="n">
        <v>0</v>
      </c>
      <c r="W376" t="n">
        <v>5</v>
      </c>
      <c r="X376" t="n">
        <v>1</v>
      </c>
      <c r="Y376" t="n">
        <v>0</v>
      </c>
      <c r="Z376" t="n">
        <v>0</v>
      </c>
      <c r="AA376" t="n">
        <v>1</v>
      </c>
      <c r="AB376" t="n">
        <v>41</v>
      </c>
      <c r="AC376" t="inlineStr">
        <is>
          <t>Hello World!</t>
        </is>
      </c>
    </row>
    <row r="377" ht="16" customHeight="1">
      <c r="A377" s="1" t="inlineStr">
        <is>
          <t>63.Red 1</t>
        </is>
      </c>
      <c r="B377" s="2" t="inlineStr">
        <is>
          <t>Dean Blanchard</t>
        </is>
      </c>
      <c r="C377" s="2" t="n">
        <v>63</v>
      </c>
      <c r="D377" s="2" t="inlineStr">
        <is>
          <t>r1</t>
        </is>
      </c>
      <c r="E377" s="2" t="n">
        <v>1405</v>
      </c>
      <c r="F377" s="2" t="n">
        <v>1</v>
      </c>
      <c r="G377" s="2" t="n">
        <v>0</v>
      </c>
      <c r="H377" s="2" t="n">
        <v>1</v>
      </c>
      <c r="I377" s="2" t="n">
        <v>0</v>
      </c>
      <c r="J377" s="2" t="n">
        <v>3</v>
      </c>
      <c r="K377" s="2" t="n">
        <v>3</v>
      </c>
      <c r="L377" s="2" t="n">
        <v>1</v>
      </c>
      <c r="M377" s="2" t="n">
        <v>5</v>
      </c>
      <c r="N377" s="2" t="n">
        <v>1</v>
      </c>
      <c r="O377" s="2" t="n">
        <v>0</v>
      </c>
      <c r="P377" s="2" t="n">
        <v>0</v>
      </c>
      <c r="Q377" s="2" t="n">
        <v>0</v>
      </c>
      <c r="R377" s="2" t="n">
        <v>0</v>
      </c>
      <c r="S377" t="n">
        <v>3</v>
      </c>
      <c r="T377" t="n">
        <v>1</v>
      </c>
      <c r="U377" t="n">
        <v>1</v>
      </c>
      <c r="V377" t="n">
        <v>0</v>
      </c>
      <c r="W377" t="n">
        <v>5</v>
      </c>
      <c r="X377" t="n">
        <v>1</v>
      </c>
      <c r="Y377" t="n">
        <v>0</v>
      </c>
      <c r="Z377" t="n">
        <v>1</v>
      </c>
      <c r="AA377" t="n">
        <v>0</v>
      </c>
      <c r="AB377" t="n">
        <v>213</v>
      </c>
      <c r="AC377" t="inlineStr">
        <is>
          <t>Hello World!</t>
        </is>
      </c>
    </row>
    <row r="378" ht="16" customHeight="1">
      <c r="A378" s="1" t="inlineStr">
        <is>
          <t>63.Red 2</t>
        </is>
      </c>
      <c r="B378" s="2" t="inlineStr">
        <is>
          <t>Connor Rapp</t>
        </is>
      </c>
      <c r="C378" s="2" t="n">
        <v>63</v>
      </c>
      <c r="D378" s="2" t="inlineStr">
        <is>
          <t>r2</t>
        </is>
      </c>
      <c r="E378" s="2" t="n">
        <v>3173</v>
      </c>
      <c r="F378" s="2" t="n">
        <v>1</v>
      </c>
      <c r="G378" s="2" t="n">
        <v>1</v>
      </c>
      <c r="H378" s="2" t="n">
        <v>0</v>
      </c>
      <c r="I378" s="2" t="n">
        <v>-1</v>
      </c>
      <c r="J378" s="2" t="n">
        <v>5</v>
      </c>
      <c r="K378" s="2" t="n">
        <v>1</v>
      </c>
      <c r="L378" s="2" t="n">
        <v>2</v>
      </c>
      <c r="M378" s="2" t="n">
        <v>2</v>
      </c>
      <c r="N378" s="2" t="n">
        <v>1</v>
      </c>
      <c r="O378" s="2" t="n">
        <v>1</v>
      </c>
      <c r="P378" s="2" t="n">
        <v>0</v>
      </c>
      <c r="Q378" s="2" t="n">
        <v>0</v>
      </c>
      <c r="R378" s="2" t="n">
        <v>1</v>
      </c>
      <c r="S378" t="n">
        <v>2</v>
      </c>
      <c r="T378" t="n">
        <v>1</v>
      </c>
      <c r="U378" t="n">
        <v>1</v>
      </c>
      <c r="V378" t="n">
        <v>0</v>
      </c>
      <c r="W378" t="n">
        <v>2</v>
      </c>
      <c r="X378" t="n">
        <v>-1</v>
      </c>
      <c r="Y378" t="n">
        <v>0</v>
      </c>
      <c r="Z378" t="n">
        <v>0</v>
      </c>
      <c r="AA378" t="n">
        <v>1</v>
      </c>
      <c r="AB378" t="n">
        <v>280</v>
      </c>
      <c r="AC378" t="inlineStr">
        <is>
          <t>Hello World!</t>
        </is>
      </c>
    </row>
    <row r="379" ht="16" customHeight="1">
      <c r="A379" s="1" t="inlineStr">
        <is>
          <t>63.Red 3</t>
        </is>
      </c>
      <c r="B379" s="2" t="inlineStr">
        <is>
          <t>Gianmarco D'Angelo</t>
        </is>
      </c>
      <c r="C379" s="2" t="n">
        <v>63</v>
      </c>
      <c r="D379" s="2" t="inlineStr">
        <is>
          <t>r3</t>
        </is>
      </c>
      <c r="E379" s="2" t="n">
        <v>2340</v>
      </c>
      <c r="F379" s="2" t="n">
        <v>1</v>
      </c>
      <c r="G379" s="2" t="n">
        <v>0</v>
      </c>
      <c r="H379" s="2" t="n">
        <v>1</v>
      </c>
      <c r="I379" s="2" t="n">
        <v>1</v>
      </c>
      <c r="J379" s="2" t="n">
        <v>4</v>
      </c>
      <c r="K379" s="2" t="n">
        <v>2</v>
      </c>
      <c r="L379" s="2" t="n">
        <v>1</v>
      </c>
      <c r="M379" s="2" t="n">
        <v>2</v>
      </c>
      <c r="N379" s="2" t="n">
        <v>1</v>
      </c>
      <c r="O379" s="2" t="n">
        <v>1</v>
      </c>
      <c r="P379" s="2" t="n">
        <v>0</v>
      </c>
      <c r="Q379" s="2" t="n">
        <v>1</v>
      </c>
      <c r="R379" s="2" t="n">
        <v>1</v>
      </c>
      <c r="S379" t="n">
        <v>2</v>
      </c>
      <c r="T379" t="n">
        <v>0</v>
      </c>
      <c r="U379" t="n">
        <v>0</v>
      </c>
      <c r="V379" t="n">
        <v>0</v>
      </c>
      <c r="W379" t="n">
        <v>1</v>
      </c>
      <c r="X379" t="n">
        <v>-1</v>
      </c>
      <c r="Y379" t="n">
        <v>0</v>
      </c>
      <c r="Z379" t="n">
        <v>0</v>
      </c>
      <c r="AA379" t="n">
        <v>0</v>
      </c>
      <c r="AB379" t="n">
        <v>192</v>
      </c>
      <c r="AC379" t="inlineStr">
        <is>
          <t>Hello World!</t>
        </is>
      </c>
    </row>
    <row r="380" ht="16" customHeight="1">
      <c r="A380" s="1" t="inlineStr">
        <is>
          <t>64.Blue 1</t>
        </is>
      </c>
      <c r="B380" s="2" t="inlineStr">
        <is>
          <t>Autumn Schoenfeld</t>
        </is>
      </c>
      <c r="C380" s="2" t="n">
        <v>64</v>
      </c>
      <c r="D380" s="2" t="inlineStr">
        <is>
          <t>b1</t>
        </is>
      </c>
      <c r="E380" s="2" t="n">
        <v>3044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3</v>
      </c>
      <c r="K380" s="2" t="n">
        <v>3</v>
      </c>
      <c r="L380" s="2" t="n">
        <v>2</v>
      </c>
      <c r="M380" s="2" t="n">
        <v>5</v>
      </c>
      <c r="N380" s="2" t="n">
        <v>0</v>
      </c>
      <c r="O380" s="2" t="n">
        <v>1</v>
      </c>
      <c r="P380" s="2" t="n">
        <v>1</v>
      </c>
      <c r="Q380" s="2" t="n">
        <v>1</v>
      </c>
      <c r="R380" s="2" t="n">
        <v>1</v>
      </c>
      <c r="S380" t="n">
        <v>-1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40</v>
      </c>
      <c r="AC380" t="inlineStr">
        <is>
          <t>Hello World!</t>
        </is>
      </c>
    </row>
    <row r="381" ht="16" customHeight="1">
      <c r="A381" s="1" t="inlineStr">
        <is>
          <t>64.Blue 2</t>
        </is>
      </c>
      <c r="B381" s="2" t="inlineStr">
        <is>
          <t>Nicholas Munier</t>
        </is>
      </c>
      <c r="C381" s="2" t="n">
        <v>64</v>
      </c>
      <c r="D381" s="2" t="inlineStr">
        <is>
          <t>b2</t>
        </is>
      </c>
      <c r="E381" s="2" t="n">
        <v>810</v>
      </c>
      <c r="F381" s="2" t="n">
        <v>0</v>
      </c>
      <c r="G381" s="2" t="n">
        <v>1</v>
      </c>
      <c r="H381" s="2" t="n">
        <v>0</v>
      </c>
      <c r="I381" s="2" t="n">
        <v>-1</v>
      </c>
      <c r="J381" s="2" t="n">
        <v>5</v>
      </c>
      <c r="K381" s="2" t="n">
        <v>1</v>
      </c>
      <c r="L381" s="2" t="n">
        <v>3</v>
      </c>
      <c r="M381" s="2" t="n">
        <v>2</v>
      </c>
      <c r="N381" s="2" t="n">
        <v>1</v>
      </c>
      <c r="O381" s="2" t="n">
        <v>1</v>
      </c>
      <c r="P381" s="2" t="n">
        <v>1</v>
      </c>
      <c r="Q381" s="2" t="n">
        <v>1</v>
      </c>
      <c r="R381" s="2" t="n">
        <v>0</v>
      </c>
      <c r="S381" t="n">
        <v>2</v>
      </c>
      <c r="T381" t="n">
        <v>1</v>
      </c>
      <c r="U381" t="n">
        <v>1</v>
      </c>
      <c r="V381" t="n">
        <v>1</v>
      </c>
      <c r="W381" t="n">
        <v>2</v>
      </c>
      <c r="X381" t="n">
        <v>0</v>
      </c>
      <c r="Y381" t="n">
        <v>1</v>
      </c>
      <c r="Z381" t="n">
        <v>1</v>
      </c>
      <c r="AA381" t="n">
        <v>1</v>
      </c>
      <c r="AB381" t="n">
        <v>95</v>
      </c>
      <c r="AC381" t="inlineStr">
        <is>
          <t>Hello World!</t>
        </is>
      </c>
    </row>
    <row r="382" ht="16" customHeight="1">
      <c r="A382" s="1" t="inlineStr">
        <is>
          <t>64.Blue 3</t>
        </is>
      </c>
      <c r="B382" s="2" t="inlineStr">
        <is>
          <t>Madison DeCicca</t>
        </is>
      </c>
      <c r="C382" s="2" t="n">
        <v>64</v>
      </c>
      <c r="D382" s="2" t="inlineStr">
        <is>
          <t>b3</t>
        </is>
      </c>
      <c r="E382" s="2" t="n">
        <v>639</v>
      </c>
      <c r="F382" s="2" t="n">
        <v>1</v>
      </c>
      <c r="G382" s="2" t="n">
        <v>1</v>
      </c>
      <c r="H382" s="2" t="n">
        <v>0</v>
      </c>
      <c r="I382" s="2" t="n">
        <v>1</v>
      </c>
      <c r="J382" s="2" t="n">
        <v>2</v>
      </c>
      <c r="K382" s="2" t="n">
        <v>2</v>
      </c>
      <c r="L382" s="2" t="n">
        <v>3</v>
      </c>
      <c r="M382" s="2" t="n">
        <v>3</v>
      </c>
      <c r="N382" s="2" t="n">
        <v>1</v>
      </c>
      <c r="O382" s="2" t="n">
        <v>1</v>
      </c>
      <c r="P382" s="2" t="n">
        <v>1</v>
      </c>
      <c r="Q382" s="2" t="n">
        <v>1</v>
      </c>
      <c r="R382" s="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191</v>
      </c>
      <c r="AC382" t="inlineStr">
        <is>
          <t>Hello World!</t>
        </is>
      </c>
    </row>
    <row r="383" ht="16" customHeight="1">
      <c r="A383" s="1" t="inlineStr">
        <is>
          <t>64.Red 1</t>
        </is>
      </c>
      <c r="B383" s="2" t="inlineStr">
        <is>
          <t>Celton Norter</t>
        </is>
      </c>
      <c r="C383" s="2" t="n">
        <v>64</v>
      </c>
      <c r="D383" s="2" t="inlineStr">
        <is>
          <t>r1</t>
        </is>
      </c>
      <c r="E383" s="2" t="n">
        <v>4093</v>
      </c>
      <c r="F383" s="2" t="n">
        <v>0</v>
      </c>
      <c r="G383" s="2" t="n">
        <v>0</v>
      </c>
      <c r="H383" s="2" t="n">
        <v>0</v>
      </c>
      <c r="I383" s="2" t="n">
        <v>-1</v>
      </c>
      <c r="J383" s="2" t="n">
        <v>4</v>
      </c>
      <c r="K383" s="2" t="n">
        <v>2</v>
      </c>
      <c r="L383" s="2" t="n">
        <v>2</v>
      </c>
      <c r="M383" s="2" t="n">
        <v>3</v>
      </c>
      <c r="N383" s="2" t="n">
        <v>1</v>
      </c>
      <c r="O383" s="2" t="n">
        <v>0</v>
      </c>
      <c r="P383" s="2" t="n">
        <v>0</v>
      </c>
      <c r="Q383" s="2" t="n">
        <v>0</v>
      </c>
      <c r="R383" s="2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3</v>
      </c>
      <c r="X383" t="n">
        <v>-1</v>
      </c>
      <c r="Y383" t="n">
        <v>0</v>
      </c>
      <c r="Z383" t="n">
        <v>0</v>
      </c>
      <c r="AA383" t="n">
        <v>1</v>
      </c>
      <c r="AB383" t="n">
        <v>196</v>
      </c>
      <c r="AC383" t="inlineStr">
        <is>
          <t>Hello World!</t>
        </is>
      </c>
    </row>
    <row r="384" ht="16" customHeight="1">
      <c r="A384" s="1" t="inlineStr">
        <is>
          <t>64.Red 2</t>
        </is>
      </c>
      <c r="B384" s="2" t="inlineStr">
        <is>
          <t>Madison DeCicca</t>
        </is>
      </c>
      <c r="C384" s="2" t="n">
        <v>64</v>
      </c>
      <c r="D384" s="2" t="inlineStr">
        <is>
          <t>r2</t>
        </is>
      </c>
      <c r="E384" s="2" t="n">
        <v>1468</v>
      </c>
      <c r="F384" s="2" t="n">
        <v>1</v>
      </c>
      <c r="G384" s="2" t="n">
        <v>0</v>
      </c>
      <c r="H384" s="2" t="n">
        <v>0</v>
      </c>
      <c r="I384" s="2" t="n">
        <v>0</v>
      </c>
      <c r="J384" s="2" t="n">
        <v>5</v>
      </c>
      <c r="K384" s="2" t="n">
        <v>2</v>
      </c>
      <c r="L384" s="2" t="n">
        <v>3</v>
      </c>
      <c r="M384" s="2" t="n">
        <v>3</v>
      </c>
      <c r="N384" s="2" t="n">
        <v>1</v>
      </c>
      <c r="O384" s="2" t="n">
        <v>1</v>
      </c>
      <c r="P384" s="2" t="n">
        <v>0</v>
      </c>
      <c r="Q384" s="2" t="n">
        <v>0</v>
      </c>
      <c r="R384" s="2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3</v>
      </c>
      <c r="X384" t="n">
        <v>0</v>
      </c>
      <c r="Y384" t="n">
        <v>0</v>
      </c>
      <c r="Z384" t="n">
        <v>0</v>
      </c>
      <c r="AA384" t="n">
        <v>0</v>
      </c>
      <c r="AB384" t="n">
        <v>142</v>
      </c>
      <c r="AC384" t="inlineStr">
        <is>
          <t>Hello World!</t>
        </is>
      </c>
    </row>
    <row r="385" ht="16" customHeight="1">
      <c r="A385" s="1" t="inlineStr">
        <is>
          <t>64.Red 3</t>
        </is>
      </c>
      <c r="B385" s="2" t="inlineStr">
        <is>
          <t>Carter Silva</t>
        </is>
      </c>
      <c r="C385" s="2" t="n">
        <v>64</v>
      </c>
      <c r="D385" s="2" t="inlineStr">
        <is>
          <t>r3</t>
        </is>
      </c>
      <c r="E385" s="2" t="n">
        <v>378</v>
      </c>
      <c r="F385" s="2" t="n">
        <v>1</v>
      </c>
      <c r="G385" s="2" t="n">
        <v>1</v>
      </c>
      <c r="H385" s="2" t="n">
        <v>0</v>
      </c>
      <c r="I385" s="2" t="n">
        <v>-1</v>
      </c>
      <c r="J385" s="2" t="n">
        <v>5</v>
      </c>
      <c r="K385" s="2" t="n">
        <v>3</v>
      </c>
      <c r="L385" s="2" t="n">
        <v>2</v>
      </c>
      <c r="M385" s="2" t="n">
        <v>5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4</v>
      </c>
      <c r="X385" t="n">
        <v>1</v>
      </c>
      <c r="Y385" t="n">
        <v>1</v>
      </c>
      <c r="Z385" t="n">
        <v>0</v>
      </c>
      <c r="AA385" t="n">
        <v>0</v>
      </c>
      <c r="AB385" t="n">
        <v>84</v>
      </c>
      <c r="AC385" t="inlineStr">
        <is>
          <t>Hello World!</t>
        </is>
      </c>
    </row>
    <row r="386" ht="16" customHeight="1">
      <c r="A386" s="1" t="inlineStr">
        <is>
          <t>65.Blue 1</t>
        </is>
      </c>
      <c r="B386" s="2" t="inlineStr">
        <is>
          <t>Andrew Crawford</t>
        </is>
      </c>
      <c r="C386" s="2" t="n">
        <v>65</v>
      </c>
      <c r="D386" s="2" t="inlineStr">
        <is>
          <t>b1</t>
        </is>
      </c>
      <c r="E386" s="2" t="n">
        <v>7903</v>
      </c>
      <c r="F386" s="2" t="n">
        <v>0</v>
      </c>
      <c r="G386" s="2" t="n">
        <v>1</v>
      </c>
      <c r="H386" s="2" t="n">
        <v>0</v>
      </c>
      <c r="I386" s="2" t="n">
        <v>-1</v>
      </c>
      <c r="J386" s="2" t="n">
        <v>3</v>
      </c>
      <c r="K386" s="2" t="n">
        <v>2</v>
      </c>
      <c r="L386" s="2" t="n">
        <v>3</v>
      </c>
      <c r="M386" s="2" t="n">
        <v>5</v>
      </c>
      <c r="N386" s="2" t="n">
        <v>0</v>
      </c>
      <c r="O386" s="2" t="n">
        <v>1</v>
      </c>
      <c r="P386" s="2" t="n">
        <v>0</v>
      </c>
      <c r="Q386" s="2" t="n">
        <v>0</v>
      </c>
      <c r="R386" s="2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n">
        <v>179</v>
      </c>
      <c r="AC386" t="inlineStr">
        <is>
          <t>Hello World!</t>
        </is>
      </c>
    </row>
    <row r="387" ht="16" customHeight="1">
      <c r="A387" s="1" t="inlineStr">
        <is>
          <t>65.Blue 2</t>
        </is>
      </c>
      <c r="B387" s="2" t="inlineStr">
        <is>
          <t>Runa Hunt</t>
        </is>
      </c>
      <c r="C387" s="2" t="n">
        <v>65</v>
      </c>
      <c r="D387" s="2" t="inlineStr">
        <is>
          <t>b2</t>
        </is>
      </c>
      <c r="E387" s="2" t="n">
        <v>1126</v>
      </c>
      <c r="F387" s="2" t="n">
        <v>0</v>
      </c>
      <c r="G387" s="2" t="n">
        <v>0</v>
      </c>
      <c r="H387" s="2" t="n">
        <v>0</v>
      </c>
      <c r="I387" s="2" t="n">
        <v>1</v>
      </c>
      <c r="J387" s="2" t="n">
        <v>5</v>
      </c>
      <c r="K387" s="2" t="n">
        <v>3</v>
      </c>
      <c r="L387" s="2" t="n">
        <v>1</v>
      </c>
      <c r="M387" s="2" t="n">
        <v>5</v>
      </c>
      <c r="N387" s="2" t="n">
        <v>0</v>
      </c>
      <c r="O387" s="2" t="n">
        <v>1</v>
      </c>
      <c r="P387" s="2" t="n">
        <v>1</v>
      </c>
      <c r="Q387" s="2" t="n">
        <v>0</v>
      </c>
      <c r="R387" s="2" t="n">
        <v>1</v>
      </c>
      <c r="S387" t="n">
        <v>-1</v>
      </c>
      <c r="T387" t="n">
        <v>0</v>
      </c>
      <c r="U387" t="n">
        <v>0</v>
      </c>
      <c r="V387" t="n">
        <v>1</v>
      </c>
      <c r="W387" t="n">
        <v>5</v>
      </c>
      <c r="X387" t="n">
        <v>1</v>
      </c>
      <c r="Y387" t="n">
        <v>1</v>
      </c>
      <c r="Z387" t="n">
        <v>1</v>
      </c>
      <c r="AA387" t="n">
        <v>0</v>
      </c>
      <c r="AB387" t="n">
        <v>235</v>
      </c>
      <c r="AC387" t="inlineStr">
        <is>
          <t>Hello World!</t>
        </is>
      </c>
    </row>
    <row r="388" ht="16" customHeight="1">
      <c r="A388" s="1" t="inlineStr">
        <is>
          <t>65.Blue 3</t>
        </is>
      </c>
      <c r="B388" s="2" t="inlineStr">
        <is>
          <t>Matthew Mazzota</t>
        </is>
      </c>
      <c r="C388" s="2" t="n">
        <v>65</v>
      </c>
      <c r="D388" s="2" t="inlineStr">
        <is>
          <t>b3</t>
        </is>
      </c>
      <c r="E388" s="2" t="n">
        <v>1518</v>
      </c>
      <c r="F388" s="2" t="n">
        <v>1</v>
      </c>
      <c r="G388" s="2" t="n">
        <v>0</v>
      </c>
      <c r="H388" s="2" t="n">
        <v>1</v>
      </c>
      <c r="I388" s="2" t="n">
        <v>0</v>
      </c>
      <c r="J388" s="2" t="n">
        <v>1</v>
      </c>
      <c r="K388" s="2" t="n">
        <v>1</v>
      </c>
      <c r="L388" s="2" t="n">
        <v>3</v>
      </c>
      <c r="M388" s="2" t="n">
        <v>5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t="n">
        <v>-1</v>
      </c>
      <c r="T388" t="n">
        <v>1</v>
      </c>
      <c r="U388" t="n">
        <v>1</v>
      </c>
      <c r="V388" t="n">
        <v>0</v>
      </c>
      <c r="W388" t="n">
        <v>2</v>
      </c>
      <c r="X388" t="n">
        <v>1</v>
      </c>
      <c r="Y388" t="n">
        <v>1</v>
      </c>
      <c r="Z388" t="n">
        <v>1</v>
      </c>
      <c r="AA388" t="n">
        <v>0</v>
      </c>
      <c r="AB388" t="n">
        <v>163</v>
      </c>
      <c r="AC388" t="inlineStr">
        <is>
          <t>Hello World!</t>
        </is>
      </c>
    </row>
    <row r="389" ht="16" customHeight="1">
      <c r="A389" s="1" t="inlineStr">
        <is>
          <t>65.Red 1</t>
        </is>
      </c>
      <c r="B389" s="2" t="inlineStr">
        <is>
          <t>Dean Blanchard</t>
        </is>
      </c>
      <c r="C389" s="2" t="n">
        <v>65</v>
      </c>
      <c r="D389" s="2" t="inlineStr">
        <is>
          <t>r1</t>
        </is>
      </c>
      <c r="E389" s="2" t="n">
        <v>8503</v>
      </c>
      <c r="F389" s="2" t="n">
        <v>0</v>
      </c>
      <c r="G389" s="2" t="n">
        <v>1</v>
      </c>
      <c r="H389" s="2" t="n">
        <v>0</v>
      </c>
      <c r="I389" s="2" t="n">
        <v>-1</v>
      </c>
      <c r="J389" s="2" t="n">
        <v>1</v>
      </c>
      <c r="K389" s="2" t="n">
        <v>1</v>
      </c>
      <c r="L389" s="2" t="n">
        <v>2</v>
      </c>
      <c r="M389" s="2" t="n">
        <v>5</v>
      </c>
      <c r="N389" s="2" t="n">
        <v>1</v>
      </c>
      <c r="O389" s="2" t="n">
        <v>0</v>
      </c>
      <c r="P389" s="2" t="n">
        <v>0</v>
      </c>
      <c r="Q389" s="2" t="n">
        <v>1</v>
      </c>
      <c r="R389" s="2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2</v>
      </c>
      <c r="X389" t="n">
        <v>1</v>
      </c>
      <c r="Y389" t="n">
        <v>0</v>
      </c>
      <c r="Z389" t="n">
        <v>1</v>
      </c>
      <c r="AA389" t="n">
        <v>1</v>
      </c>
      <c r="AB389" t="n">
        <v>278</v>
      </c>
      <c r="AC389" t="inlineStr">
        <is>
          <t>Hello World!</t>
        </is>
      </c>
    </row>
    <row r="390" ht="16" customHeight="1">
      <c r="A390" s="1" t="inlineStr">
        <is>
          <t>65.Red 2</t>
        </is>
      </c>
      <c r="B390" s="2" t="inlineStr">
        <is>
          <t>Connor Rapp</t>
        </is>
      </c>
      <c r="C390" s="2" t="n">
        <v>65</v>
      </c>
      <c r="D390" s="2" t="inlineStr">
        <is>
          <t>r2</t>
        </is>
      </c>
      <c r="E390" s="2" t="n">
        <v>1559</v>
      </c>
      <c r="F390" s="2" t="n">
        <v>1</v>
      </c>
      <c r="G390" s="2" t="n">
        <v>0</v>
      </c>
      <c r="H390" s="2" t="n">
        <v>0</v>
      </c>
      <c r="I390" s="2" t="n">
        <v>-1</v>
      </c>
      <c r="J390" s="2" t="n">
        <v>2</v>
      </c>
      <c r="K390" s="2" t="n">
        <v>2</v>
      </c>
      <c r="L390" s="2" t="n">
        <v>3</v>
      </c>
      <c r="M390" s="2" t="n">
        <v>4</v>
      </c>
      <c r="N390" s="2" t="n">
        <v>1</v>
      </c>
      <c r="O390" s="2" t="n">
        <v>1</v>
      </c>
      <c r="P390" s="2" t="n">
        <v>1</v>
      </c>
      <c r="Q390" s="2" t="n">
        <v>1</v>
      </c>
      <c r="R390" s="2" t="n">
        <v>1</v>
      </c>
      <c r="S390" t="n">
        <v>-1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77</v>
      </c>
      <c r="AC390" t="inlineStr">
        <is>
          <t>Hello World!</t>
        </is>
      </c>
    </row>
    <row r="391" ht="16" customHeight="1">
      <c r="A391" s="1" t="inlineStr">
        <is>
          <t>65.Red 3</t>
        </is>
      </c>
      <c r="B391" s="2" t="inlineStr">
        <is>
          <t>Celton Norter</t>
        </is>
      </c>
      <c r="C391" s="2" t="n">
        <v>65</v>
      </c>
      <c r="D391" s="2" t="inlineStr">
        <is>
          <t>r3</t>
        </is>
      </c>
      <c r="E391" s="2" t="n">
        <v>7030</v>
      </c>
      <c r="F391" s="2" t="n">
        <v>0</v>
      </c>
      <c r="G391" s="2" t="n">
        <v>0</v>
      </c>
      <c r="H391" s="2" t="n">
        <v>1</v>
      </c>
      <c r="I391" s="2" t="n">
        <v>-1</v>
      </c>
      <c r="J391" s="2" t="n">
        <v>1</v>
      </c>
      <c r="K391" s="2" t="n">
        <v>2</v>
      </c>
      <c r="L391" s="2" t="n">
        <v>2</v>
      </c>
      <c r="M391" s="2" t="n">
        <v>1</v>
      </c>
      <c r="N391" s="2" t="n">
        <v>1</v>
      </c>
      <c r="O391" s="2" t="n">
        <v>1</v>
      </c>
      <c r="P391" s="2" t="n">
        <v>1</v>
      </c>
      <c r="Q391" s="2" t="n">
        <v>0</v>
      </c>
      <c r="R391" s="2" t="n">
        <v>1</v>
      </c>
      <c r="S391" t="n">
        <v>1</v>
      </c>
      <c r="T391" t="n">
        <v>1</v>
      </c>
      <c r="U391" t="n">
        <v>0</v>
      </c>
      <c r="V391" t="n">
        <v>0</v>
      </c>
      <c r="W391" t="n">
        <v>1</v>
      </c>
      <c r="X391" t="n">
        <v>-1</v>
      </c>
      <c r="Y391" t="n">
        <v>0</v>
      </c>
      <c r="Z391" t="n">
        <v>1</v>
      </c>
      <c r="AA391" t="n">
        <v>0</v>
      </c>
      <c r="AB391" t="n">
        <v>263</v>
      </c>
      <c r="AC391" t="inlineStr">
        <is>
          <t>Hello World!</t>
        </is>
      </c>
    </row>
    <row r="392" ht="16" customHeight="1">
      <c r="A392" s="1" t="inlineStr">
        <is>
          <t>66.Blue 1</t>
        </is>
      </c>
      <c r="B392" s="2" t="inlineStr">
        <is>
          <t>Dean Blanchard</t>
        </is>
      </c>
      <c r="C392" s="2" t="n">
        <v>66</v>
      </c>
      <c r="D392" s="2" t="inlineStr">
        <is>
          <t>b1</t>
        </is>
      </c>
      <c r="E392" s="2" t="n">
        <v>6947</v>
      </c>
      <c r="F392" s="2" t="n">
        <v>0</v>
      </c>
      <c r="G392" s="2" t="n">
        <v>0</v>
      </c>
      <c r="H392" s="2" t="n">
        <v>1</v>
      </c>
      <c r="I392" s="2" t="n">
        <v>-1</v>
      </c>
      <c r="J392" s="2" t="n">
        <v>1</v>
      </c>
      <c r="K392" s="2" t="n">
        <v>3</v>
      </c>
      <c r="L392" s="2" t="n">
        <v>1</v>
      </c>
      <c r="M392" s="2" t="n">
        <v>5</v>
      </c>
      <c r="N392" s="2" t="n">
        <v>0</v>
      </c>
      <c r="O392" s="2" t="n">
        <v>0</v>
      </c>
      <c r="P392" s="2" t="n">
        <v>1</v>
      </c>
      <c r="Q392" s="2" t="n">
        <v>1</v>
      </c>
      <c r="R392" s="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3</v>
      </c>
      <c r="X392" t="n">
        <v>-1</v>
      </c>
      <c r="Y392" t="n">
        <v>1</v>
      </c>
      <c r="Z392" t="n">
        <v>1</v>
      </c>
      <c r="AA392" t="n">
        <v>1</v>
      </c>
      <c r="AB392" t="n">
        <v>85</v>
      </c>
      <c r="AC392" t="inlineStr">
        <is>
          <t>Hello World!</t>
        </is>
      </c>
    </row>
    <row r="393" ht="16" customHeight="1">
      <c r="A393" s="1" t="inlineStr">
        <is>
          <t>66.Blue 2</t>
        </is>
      </c>
      <c r="B393" s="2" t="inlineStr">
        <is>
          <t>Gianmarco D'Angelo</t>
        </is>
      </c>
      <c r="C393" s="2" t="n">
        <v>66</v>
      </c>
      <c r="D393" s="2" t="inlineStr">
        <is>
          <t>b2</t>
        </is>
      </c>
      <c r="E393" s="2" t="n">
        <v>3003</v>
      </c>
      <c r="F393" s="2" t="n">
        <v>0</v>
      </c>
      <c r="G393" s="2" t="n">
        <v>0</v>
      </c>
      <c r="H393" s="2" t="n">
        <v>0</v>
      </c>
      <c r="I393" s="2" t="n">
        <v>1</v>
      </c>
      <c r="J393" s="2" t="n">
        <v>4</v>
      </c>
      <c r="K393" s="2" t="n">
        <v>2</v>
      </c>
      <c r="L393" s="2" t="n">
        <v>3</v>
      </c>
      <c r="M393" s="2" t="n">
        <v>4</v>
      </c>
      <c r="N393" s="2" t="n">
        <v>1</v>
      </c>
      <c r="O393" s="2" t="n">
        <v>0</v>
      </c>
      <c r="P393" s="2" t="n">
        <v>0</v>
      </c>
      <c r="Q393" s="2" t="n">
        <v>0</v>
      </c>
      <c r="R393" s="2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190</v>
      </c>
      <c r="AC393" t="inlineStr">
        <is>
          <t>Hello World!</t>
        </is>
      </c>
    </row>
    <row r="394" ht="16" customHeight="1">
      <c r="A394" s="1" t="inlineStr">
        <is>
          <t>66.Blue 3</t>
        </is>
      </c>
      <c r="B394" s="2" t="inlineStr">
        <is>
          <t>Carter Silva</t>
        </is>
      </c>
      <c r="C394" s="2" t="n">
        <v>66</v>
      </c>
      <c r="D394" s="2" t="inlineStr">
        <is>
          <t>b3</t>
        </is>
      </c>
      <c r="E394" s="2" t="n">
        <v>340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5</v>
      </c>
      <c r="K394" s="2" t="n">
        <v>2</v>
      </c>
      <c r="L394" s="2" t="n">
        <v>2</v>
      </c>
      <c r="M394" s="2" t="n">
        <v>1</v>
      </c>
      <c r="N394" s="2" t="n">
        <v>0</v>
      </c>
      <c r="O394" s="2" t="n">
        <v>0</v>
      </c>
      <c r="P394" s="2" t="n">
        <v>0</v>
      </c>
      <c r="Q394" s="2" t="n">
        <v>1</v>
      </c>
      <c r="R394" s="2" t="n">
        <v>0</v>
      </c>
      <c r="S394" t="n">
        <v>3</v>
      </c>
      <c r="T394" t="n">
        <v>1</v>
      </c>
      <c r="U394" t="n">
        <v>1</v>
      </c>
      <c r="V394" t="n">
        <v>1</v>
      </c>
      <c r="W394" t="n">
        <v>5</v>
      </c>
      <c r="X394" t="n">
        <v>1</v>
      </c>
      <c r="Y394" t="n">
        <v>0</v>
      </c>
      <c r="Z394" t="n">
        <v>0</v>
      </c>
      <c r="AA394" t="n">
        <v>0</v>
      </c>
      <c r="AB394" t="n">
        <v>123</v>
      </c>
      <c r="AC394" t="inlineStr">
        <is>
          <t>Hello World!</t>
        </is>
      </c>
    </row>
    <row r="395" ht="16" customHeight="1">
      <c r="A395" s="1" t="inlineStr">
        <is>
          <t>66.Red 1</t>
        </is>
      </c>
      <c r="B395" s="2" t="inlineStr">
        <is>
          <t>Amanah Obaji</t>
        </is>
      </c>
      <c r="C395" s="2" t="n">
        <v>66</v>
      </c>
      <c r="D395" s="2" t="inlineStr">
        <is>
          <t>r1</t>
        </is>
      </c>
      <c r="E395" s="2" t="n">
        <v>1591</v>
      </c>
      <c r="F395" s="2" t="n">
        <v>1</v>
      </c>
      <c r="G395" s="2" t="n">
        <v>1</v>
      </c>
      <c r="H395" s="2" t="n">
        <v>0</v>
      </c>
      <c r="I395" s="2" t="n">
        <v>-1</v>
      </c>
      <c r="J395" s="2" t="n">
        <v>5</v>
      </c>
      <c r="K395" s="2" t="n">
        <v>3</v>
      </c>
      <c r="L395" s="2" t="n">
        <v>2</v>
      </c>
      <c r="M395" s="2" t="n">
        <v>4</v>
      </c>
      <c r="N395" s="2" t="n">
        <v>0</v>
      </c>
      <c r="O395" s="2" t="n">
        <v>1</v>
      </c>
      <c r="P395" s="2" t="n">
        <v>1</v>
      </c>
      <c r="Q395" s="2" t="n">
        <v>1</v>
      </c>
      <c r="R395" s="2" t="n">
        <v>1</v>
      </c>
      <c r="S395" t="n">
        <v>0</v>
      </c>
      <c r="T395" t="n">
        <v>1</v>
      </c>
      <c r="U395" t="n">
        <v>1</v>
      </c>
      <c r="V395" t="n">
        <v>1</v>
      </c>
      <c r="W395" t="n">
        <v>2</v>
      </c>
      <c r="X395" t="n">
        <v>1</v>
      </c>
      <c r="Y395" t="n">
        <v>1</v>
      </c>
      <c r="Z395" t="n">
        <v>1</v>
      </c>
      <c r="AA395" t="n">
        <v>0</v>
      </c>
      <c r="AB395" t="n">
        <v>38</v>
      </c>
      <c r="AC395" t="inlineStr">
        <is>
          <t>Hello World!</t>
        </is>
      </c>
    </row>
    <row r="396" ht="16" customHeight="1">
      <c r="A396" s="1" t="inlineStr">
        <is>
          <t>66.Red 2</t>
        </is>
      </c>
      <c r="B396" s="2" t="inlineStr">
        <is>
          <t>Gianmarco D'Angelo</t>
        </is>
      </c>
      <c r="C396" s="2" t="n">
        <v>66</v>
      </c>
      <c r="D396" s="2" t="inlineStr">
        <is>
          <t>r2</t>
        </is>
      </c>
      <c r="E396" s="2" t="n">
        <v>20</v>
      </c>
      <c r="F396" s="2" t="n">
        <v>0</v>
      </c>
      <c r="G396" s="2" t="n">
        <v>0</v>
      </c>
      <c r="H396" s="2" t="n">
        <v>0</v>
      </c>
      <c r="I396" s="2" t="n">
        <v>1</v>
      </c>
      <c r="J396" s="2" t="n">
        <v>2</v>
      </c>
      <c r="K396" s="2" t="n">
        <v>2</v>
      </c>
      <c r="L396" s="2" t="n">
        <v>3</v>
      </c>
      <c r="M396" s="2" t="n">
        <v>3</v>
      </c>
      <c r="N396" s="2" t="n">
        <v>1</v>
      </c>
      <c r="O396" s="2" t="n">
        <v>1</v>
      </c>
      <c r="P396" s="2" t="n">
        <v>0</v>
      </c>
      <c r="Q396" s="2" t="n">
        <v>1</v>
      </c>
      <c r="R396" s="2" t="n">
        <v>1</v>
      </c>
      <c r="S396" t="n">
        <v>-1</v>
      </c>
      <c r="T396" t="n">
        <v>0</v>
      </c>
      <c r="U396" t="n">
        <v>1</v>
      </c>
      <c r="V396" t="n">
        <v>0</v>
      </c>
      <c r="W396" t="n">
        <v>4</v>
      </c>
      <c r="X396" t="n">
        <v>0</v>
      </c>
      <c r="Y396" t="n">
        <v>0</v>
      </c>
      <c r="Z396" t="n">
        <v>0</v>
      </c>
      <c r="AA396" t="n">
        <v>0</v>
      </c>
      <c r="AB396" t="n">
        <v>274</v>
      </c>
      <c r="AC396" t="inlineStr">
        <is>
          <t>Hello World!</t>
        </is>
      </c>
    </row>
    <row r="397" ht="16" customHeight="1">
      <c r="A397" s="1" t="inlineStr">
        <is>
          <t>66.Red 3</t>
        </is>
      </c>
      <c r="B397" s="2" t="inlineStr">
        <is>
          <t xml:space="preserve">Ruth Christensen </t>
        </is>
      </c>
      <c r="C397" s="2" t="n">
        <v>66</v>
      </c>
      <c r="D397" s="2" t="inlineStr">
        <is>
          <t>r3</t>
        </is>
      </c>
      <c r="E397" s="2" t="n">
        <v>2228</v>
      </c>
      <c r="F397" s="2" t="n">
        <v>0</v>
      </c>
      <c r="G397" s="2" t="n">
        <v>1</v>
      </c>
      <c r="H397" s="2" t="n">
        <v>1</v>
      </c>
      <c r="I397" s="2" t="n">
        <v>0</v>
      </c>
      <c r="J397" s="2" t="n">
        <v>2</v>
      </c>
      <c r="K397" s="2" t="n">
        <v>1</v>
      </c>
      <c r="L397" s="2" t="n">
        <v>2</v>
      </c>
      <c r="M397" s="2" t="n">
        <v>2</v>
      </c>
      <c r="N397" s="2" t="n">
        <v>0</v>
      </c>
      <c r="O397" s="2" t="n">
        <v>1</v>
      </c>
      <c r="P397" s="2" t="n">
        <v>0</v>
      </c>
      <c r="Q397" s="2" t="n">
        <v>1</v>
      </c>
      <c r="R397" s="2" t="n">
        <v>1</v>
      </c>
      <c r="S397" t="n">
        <v>3</v>
      </c>
      <c r="T397" t="n">
        <v>0</v>
      </c>
      <c r="U397" t="n">
        <v>1</v>
      </c>
      <c r="V397" t="n">
        <v>0</v>
      </c>
      <c r="W397" t="n">
        <v>3</v>
      </c>
      <c r="X397" t="n">
        <v>-1</v>
      </c>
      <c r="Y397" t="n">
        <v>0</v>
      </c>
      <c r="Z397" t="n">
        <v>1</v>
      </c>
      <c r="AA397" t="n">
        <v>1</v>
      </c>
      <c r="AB397" t="n">
        <v>134</v>
      </c>
      <c r="AC397" t="inlineStr">
        <is>
          <t>Hello World!</t>
        </is>
      </c>
    </row>
    <row r="398" ht="16" customHeight="1">
      <c r="A398" s="1" t="inlineStr">
        <is>
          <t>67.Blue 1</t>
        </is>
      </c>
      <c r="B398" s="2" t="inlineStr">
        <is>
          <t>Caitlin Munier</t>
        </is>
      </c>
      <c r="C398" s="2" t="n">
        <v>67</v>
      </c>
      <c r="D398" s="2" t="inlineStr">
        <is>
          <t>b1</t>
        </is>
      </c>
      <c r="E398" s="2" t="n">
        <v>1511</v>
      </c>
      <c r="F398" s="2" t="n">
        <v>0</v>
      </c>
      <c r="G398" s="2" t="n">
        <v>0</v>
      </c>
      <c r="H398" s="2" t="n">
        <v>1</v>
      </c>
      <c r="I398" s="2" t="n">
        <v>-1</v>
      </c>
      <c r="J398" s="2" t="n">
        <v>2</v>
      </c>
      <c r="K398" s="2" t="n">
        <v>1</v>
      </c>
      <c r="L398" s="2" t="n">
        <v>1</v>
      </c>
      <c r="M398" s="2" t="n">
        <v>1</v>
      </c>
      <c r="N398" s="2" t="n">
        <v>1</v>
      </c>
      <c r="O398" s="2" t="n">
        <v>1</v>
      </c>
      <c r="P398" s="2" t="n">
        <v>1</v>
      </c>
      <c r="Q398" s="2" t="n">
        <v>1</v>
      </c>
      <c r="R398" s="2" t="n">
        <v>0</v>
      </c>
      <c r="S398" t="n">
        <v>3</v>
      </c>
      <c r="T398" t="n">
        <v>0</v>
      </c>
      <c r="U398" t="n">
        <v>0</v>
      </c>
      <c r="V398" t="n">
        <v>0</v>
      </c>
      <c r="W398" t="n">
        <v>3</v>
      </c>
      <c r="X398" t="n">
        <v>1</v>
      </c>
      <c r="Y398" t="n">
        <v>1</v>
      </c>
      <c r="Z398" t="n">
        <v>1</v>
      </c>
      <c r="AA398" t="n">
        <v>1</v>
      </c>
      <c r="AB398" t="n">
        <v>129</v>
      </c>
      <c r="AC398" t="inlineStr">
        <is>
          <t>Hello World!</t>
        </is>
      </c>
    </row>
    <row r="399" ht="16" customHeight="1">
      <c r="A399" s="1" t="inlineStr">
        <is>
          <t>67.Blue 2</t>
        </is>
      </c>
      <c r="B399" s="2" t="inlineStr">
        <is>
          <t>Celton Norter</t>
        </is>
      </c>
      <c r="C399" s="2" t="n">
        <v>67</v>
      </c>
      <c r="D399" s="2" t="inlineStr">
        <is>
          <t>b2</t>
        </is>
      </c>
      <c r="E399" s="2" t="n">
        <v>3015</v>
      </c>
      <c r="F399" s="2" t="n">
        <v>1</v>
      </c>
      <c r="G399" s="2" t="n">
        <v>1</v>
      </c>
      <c r="H399" s="2" t="n">
        <v>0</v>
      </c>
      <c r="I399" s="2" t="n">
        <v>-1</v>
      </c>
      <c r="J399" s="2" t="n">
        <v>3</v>
      </c>
      <c r="K399" s="2" t="n">
        <v>2</v>
      </c>
      <c r="L399" s="2" t="n">
        <v>2</v>
      </c>
      <c r="M399" s="2" t="n">
        <v>4</v>
      </c>
      <c r="N399" s="2" t="n">
        <v>0</v>
      </c>
      <c r="O399" s="2" t="n">
        <v>1</v>
      </c>
      <c r="P399" s="2" t="n">
        <v>1</v>
      </c>
      <c r="Q399" s="2" t="n">
        <v>0</v>
      </c>
      <c r="R399" s="2" t="n">
        <v>1</v>
      </c>
      <c r="S399" t="n">
        <v>3</v>
      </c>
      <c r="T399" t="n">
        <v>0</v>
      </c>
      <c r="U399" t="n">
        <v>1</v>
      </c>
      <c r="V399" t="n">
        <v>0</v>
      </c>
      <c r="W399" t="n">
        <v>4</v>
      </c>
      <c r="X399" t="n">
        <v>1</v>
      </c>
      <c r="Y399" t="n">
        <v>1</v>
      </c>
      <c r="Z399" t="n">
        <v>0</v>
      </c>
      <c r="AA399" t="n">
        <v>0</v>
      </c>
      <c r="AB399" t="n">
        <v>289</v>
      </c>
      <c r="AC399" t="inlineStr">
        <is>
          <t>Hello World!</t>
        </is>
      </c>
    </row>
    <row r="400" ht="16" customHeight="1">
      <c r="A400" s="1" t="inlineStr">
        <is>
          <t>67.Blue 3</t>
        </is>
      </c>
      <c r="B400" s="2" t="inlineStr">
        <is>
          <t>Ethan Stiffler</t>
        </is>
      </c>
      <c r="C400" s="2" t="n">
        <v>67</v>
      </c>
      <c r="D400" s="2" t="inlineStr">
        <is>
          <t>b3</t>
        </is>
      </c>
      <c r="E400" s="2" t="n">
        <v>5590</v>
      </c>
      <c r="F400" s="2" t="n">
        <v>1</v>
      </c>
      <c r="G400" s="2" t="n">
        <v>1</v>
      </c>
      <c r="H400" s="2" t="n">
        <v>1</v>
      </c>
      <c r="I400" s="2" t="n">
        <v>0</v>
      </c>
      <c r="J400" s="2" t="n">
        <v>2</v>
      </c>
      <c r="K400" s="2" t="n">
        <v>2</v>
      </c>
      <c r="L400" s="2" t="n">
        <v>2</v>
      </c>
      <c r="M400" s="2" t="n">
        <v>3</v>
      </c>
      <c r="N400" s="2" t="n">
        <v>0</v>
      </c>
      <c r="O400" s="2" t="n">
        <v>0</v>
      </c>
      <c r="P400" s="2" t="n">
        <v>1</v>
      </c>
      <c r="Q400" s="2" t="n">
        <v>0</v>
      </c>
      <c r="R400" s="2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5</v>
      </c>
      <c r="X400" t="n">
        <v>0</v>
      </c>
      <c r="Y400" t="n">
        <v>0</v>
      </c>
      <c r="Z400" t="n">
        <v>1</v>
      </c>
      <c r="AA400" t="n">
        <v>0</v>
      </c>
      <c r="AB400" t="n">
        <v>294</v>
      </c>
      <c r="AC400" t="inlineStr">
        <is>
          <t>Hello World!</t>
        </is>
      </c>
    </row>
    <row r="401" ht="16" customHeight="1">
      <c r="A401" s="1" t="inlineStr">
        <is>
          <t>67.Red 1</t>
        </is>
      </c>
      <c r="B401" s="2" t="inlineStr">
        <is>
          <t>Autumn Schoenfeld</t>
        </is>
      </c>
      <c r="C401" s="2" t="n">
        <v>67</v>
      </c>
      <c r="D401" s="2" t="inlineStr">
        <is>
          <t>r1</t>
        </is>
      </c>
      <c r="E401" s="2" t="n">
        <v>432</v>
      </c>
      <c r="F401" s="2" t="n">
        <v>1</v>
      </c>
      <c r="G401" s="2" t="n">
        <v>1</v>
      </c>
      <c r="H401" s="2" t="n">
        <v>0</v>
      </c>
      <c r="I401" s="2" t="n">
        <v>-1</v>
      </c>
      <c r="J401" s="2" t="n">
        <v>1</v>
      </c>
      <c r="K401" s="2" t="n">
        <v>1</v>
      </c>
      <c r="L401" s="2" t="n">
        <v>1</v>
      </c>
      <c r="M401" s="2" t="n">
        <v>4</v>
      </c>
      <c r="N401" s="2" t="n">
        <v>0</v>
      </c>
      <c r="O401" s="2" t="n">
        <v>1</v>
      </c>
      <c r="P401" s="2" t="n">
        <v>1</v>
      </c>
      <c r="Q401" s="2" t="n">
        <v>0</v>
      </c>
      <c r="R401" s="2" t="n">
        <v>0</v>
      </c>
      <c r="S401" t="n">
        <v>-1</v>
      </c>
      <c r="T401" t="n">
        <v>0</v>
      </c>
      <c r="U401" t="n">
        <v>0</v>
      </c>
      <c r="V401" t="n">
        <v>1</v>
      </c>
      <c r="W401" t="n">
        <v>2</v>
      </c>
      <c r="X401" t="n">
        <v>0</v>
      </c>
      <c r="Y401" t="n">
        <v>0</v>
      </c>
      <c r="Z401" t="n">
        <v>1</v>
      </c>
      <c r="AA401" t="n">
        <v>0</v>
      </c>
      <c r="AB401" t="n">
        <v>4</v>
      </c>
      <c r="AC401" t="inlineStr">
        <is>
          <t>Hello World!</t>
        </is>
      </c>
    </row>
    <row r="402" ht="16" customHeight="1">
      <c r="A402" s="1" t="inlineStr">
        <is>
          <t>67.Red 2</t>
        </is>
      </c>
      <c r="B402" s="2" t="inlineStr">
        <is>
          <t>Dean Blanchard</t>
        </is>
      </c>
      <c r="C402" s="2" t="n">
        <v>67</v>
      </c>
      <c r="D402" s="2" t="inlineStr">
        <is>
          <t>r2</t>
        </is>
      </c>
      <c r="E402" s="2" t="n">
        <v>424</v>
      </c>
      <c r="F402" s="2" t="n">
        <v>0</v>
      </c>
      <c r="G402" s="2" t="n">
        <v>1</v>
      </c>
      <c r="H402" s="2" t="n">
        <v>1</v>
      </c>
      <c r="I402" s="2" t="n">
        <v>0</v>
      </c>
      <c r="J402" s="2" t="n">
        <v>2</v>
      </c>
      <c r="K402" s="2" t="n">
        <v>2</v>
      </c>
      <c r="L402" s="2" t="n">
        <v>3</v>
      </c>
      <c r="M402" s="2" t="n">
        <v>3</v>
      </c>
      <c r="N402" s="2" t="n">
        <v>1</v>
      </c>
      <c r="O402" s="2" t="n">
        <v>0</v>
      </c>
      <c r="P402" s="2" t="n">
        <v>1</v>
      </c>
      <c r="Q402" s="2" t="n">
        <v>0</v>
      </c>
      <c r="R402" s="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4</v>
      </c>
      <c r="X402" t="n">
        <v>1</v>
      </c>
      <c r="Y402" t="n">
        <v>1</v>
      </c>
      <c r="Z402" t="n">
        <v>0</v>
      </c>
      <c r="AA402" t="n">
        <v>0</v>
      </c>
      <c r="AB402" t="n">
        <v>186</v>
      </c>
      <c r="AC402" t="inlineStr">
        <is>
          <t>Hello World!</t>
        </is>
      </c>
    </row>
    <row r="403" ht="16" customHeight="1">
      <c r="A403" s="1" t="inlineStr">
        <is>
          <t>67.Red 3</t>
        </is>
      </c>
      <c r="B403" s="2" t="inlineStr">
        <is>
          <t>Celton Norter</t>
        </is>
      </c>
      <c r="C403" s="2" t="n">
        <v>67</v>
      </c>
      <c r="D403" s="2" t="inlineStr">
        <is>
          <t>r3</t>
        </is>
      </c>
      <c r="E403" s="2" t="n">
        <v>694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1</v>
      </c>
      <c r="L403" s="2" t="n">
        <v>2</v>
      </c>
      <c r="M403" s="2" t="n">
        <v>3</v>
      </c>
      <c r="N403" s="2" t="n">
        <v>0</v>
      </c>
      <c r="O403" s="2" t="n">
        <v>1</v>
      </c>
      <c r="P403" s="2" t="n">
        <v>0</v>
      </c>
      <c r="Q403" s="2" t="n">
        <v>1</v>
      </c>
      <c r="R403" s="2" t="n">
        <v>0</v>
      </c>
      <c r="S403" t="n">
        <v>3</v>
      </c>
      <c r="T403" t="n">
        <v>1</v>
      </c>
      <c r="U403" t="n">
        <v>1</v>
      </c>
      <c r="V403" t="n">
        <v>1</v>
      </c>
      <c r="W403" t="n">
        <v>5</v>
      </c>
      <c r="X403" t="n">
        <v>0</v>
      </c>
      <c r="Y403" t="n">
        <v>0</v>
      </c>
      <c r="Z403" t="n">
        <v>1</v>
      </c>
      <c r="AA403" t="n">
        <v>0</v>
      </c>
      <c r="AB403" t="n">
        <v>35</v>
      </c>
      <c r="AC403" t="inlineStr">
        <is>
          <t>Hello World!</t>
        </is>
      </c>
    </row>
    <row r="404" ht="16" customHeight="1">
      <c r="A404" s="1" t="inlineStr">
        <is>
          <t>68.Blue 1</t>
        </is>
      </c>
      <c r="B404" s="2" t="inlineStr">
        <is>
          <t>Runa Hunt</t>
        </is>
      </c>
      <c r="C404" s="2" t="n">
        <v>68</v>
      </c>
      <c r="D404" s="2" t="inlineStr">
        <is>
          <t>b1</t>
        </is>
      </c>
      <c r="E404" s="2" t="n">
        <v>3838</v>
      </c>
      <c r="F404" s="2" t="n">
        <v>0</v>
      </c>
      <c r="G404" s="2" t="n">
        <v>0</v>
      </c>
      <c r="H404" s="2" t="n">
        <v>0</v>
      </c>
      <c r="I404" s="2" t="n">
        <v>1</v>
      </c>
      <c r="J404" s="2" t="n">
        <v>2</v>
      </c>
      <c r="K404" s="2" t="n">
        <v>3</v>
      </c>
      <c r="L404" s="2" t="n">
        <v>1</v>
      </c>
      <c r="M404" s="2" t="n">
        <v>2</v>
      </c>
      <c r="N404" s="2" t="n">
        <v>0</v>
      </c>
      <c r="O404" s="2" t="n">
        <v>0</v>
      </c>
      <c r="P404" s="2" t="n">
        <v>1</v>
      </c>
      <c r="Q404" s="2" t="n">
        <v>0</v>
      </c>
      <c r="R404" s="2" t="n">
        <v>0</v>
      </c>
      <c r="S404" t="n">
        <v>-1</v>
      </c>
      <c r="T404" t="n">
        <v>1</v>
      </c>
      <c r="U404" t="n">
        <v>0</v>
      </c>
      <c r="V404" t="n">
        <v>1</v>
      </c>
      <c r="W404" t="n">
        <v>5</v>
      </c>
      <c r="X404" t="n">
        <v>0</v>
      </c>
      <c r="Y404" t="n">
        <v>1</v>
      </c>
      <c r="Z404" t="n">
        <v>0</v>
      </c>
      <c r="AA404" t="n">
        <v>1</v>
      </c>
      <c r="AB404" t="n">
        <v>118</v>
      </c>
      <c r="AC404" t="inlineStr">
        <is>
          <t>Hello World!</t>
        </is>
      </c>
    </row>
    <row r="405" ht="16" customHeight="1">
      <c r="A405" s="1" t="inlineStr">
        <is>
          <t>68.Blue 2</t>
        </is>
      </c>
      <c r="B405" s="2" t="inlineStr">
        <is>
          <t>Nicholas Munier</t>
        </is>
      </c>
      <c r="C405" s="2" t="n">
        <v>68</v>
      </c>
      <c r="D405" s="2" t="inlineStr">
        <is>
          <t>b2</t>
        </is>
      </c>
      <c r="E405" s="2" t="n">
        <v>578</v>
      </c>
      <c r="F405" s="2" t="n">
        <v>0</v>
      </c>
      <c r="G405" s="2" t="n">
        <v>1</v>
      </c>
      <c r="H405" s="2" t="n">
        <v>0</v>
      </c>
      <c r="I405" s="2" t="n">
        <v>-1</v>
      </c>
      <c r="J405" s="2" t="n">
        <v>4</v>
      </c>
      <c r="K405" s="2" t="n">
        <v>2</v>
      </c>
      <c r="L405" s="2" t="n">
        <v>2</v>
      </c>
      <c r="M405" s="2" t="n">
        <v>3</v>
      </c>
      <c r="N405" s="2" t="n">
        <v>0</v>
      </c>
      <c r="O405" s="2" t="n">
        <v>0</v>
      </c>
      <c r="P405" s="2" t="n">
        <v>0</v>
      </c>
      <c r="Q405" s="2" t="n">
        <v>1</v>
      </c>
      <c r="R405" s="2" t="n">
        <v>0</v>
      </c>
      <c r="S405" t="n">
        <v>3</v>
      </c>
      <c r="T405" t="n">
        <v>1</v>
      </c>
      <c r="U405" t="n">
        <v>1</v>
      </c>
      <c r="V405" t="n">
        <v>1</v>
      </c>
      <c r="W405" t="n">
        <v>1</v>
      </c>
      <c r="X405" t="n">
        <v>-1</v>
      </c>
      <c r="Y405" t="n">
        <v>1</v>
      </c>
      <c r="Z405" t="n">
        <v>1</v>
      </c>
      <c r="AA405" t="n">
        <v>1</v>
      </c>
      <c r="AB405" t="n">
        <v>189</v>
      </c>
      <c r="AC405" t="inlineStr">
        <is>
          <t>Hello World!</t>
        </is>
      </c>
    </row>
    <row r="406" ht="16" customHeight="1">
      <c r="A406" s="1" t="inlineStr">
        <is>
          <t>68.Blue 3</t>
        </is>
      </c>
      <c r="B406" s="2" t="inlineStr">
        <is>
          <t>Runa Hunt</t>
        </is>
      </c>
      <c r="C406" s="2" t="n">
        <v>68</v>
      </c>
      <c r="D406" s="2" t="inlineStr">
        <is>
          <t>b3</t>
        </is>
      </c>
      <c r="E406" s="2" t="n">
        <v>1507</v>
      </c>
      <c r="F406" s="2" t="n">
        <v>1</v>
      </c>
      <c r="G406" s="2" t="n">
        <v>0</v>
      </c>
      <c r="H406" s="2" t="n">
        <v>0</v>
      </c>
      <c r="I406" s="2" t="n">
        <v>-1</v>
      </c>
      <c r="J406" s="2" t="n">
        <v>5</v>
      </c>
      <c r="K406" s="2" t="n">
        <v>2</v>
      </c>
      <c r="L406" s="2" t="n">
        <v>3</v>
      </c>
      <c r="M406" s="2" t="n">
        <v>2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t="n">
        <v>2</v>
      </c>
      <c r="T406" t="n">
        <v>1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0</v>
      </c>
      <c r="AB406" t="n">
        <v>287</v>
      </c>
      <c r="AC406" t="inlineStr">
        <is>
          <t>Hello World!</t>
        </is>
      </c>
    </row>
    <row r="407" ht="16" customHeight="1">
      <c r="A407" s="1" t="inlineStr">
        <is>
          <t>68.Red 1</t>
        </is>
      </c>
      <c r="B407" s="2" t="inlineStr">
        <is>
          <t>Arthur Sayre</t>
        </is>
      </c>
      <c r="C407" s="2" t="n">
        <v>68</v>
      </c>
      <c r="D407" s="2" t="inlineStr">
        <is>
          <t>r1</t>
        </is>
      </c>
      <c r="E407" s="2" t="n">
        <v>6423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3</v>
      </c>
      <c r="K407" s="2" t="n">
        <v>3</v>
      </c>
      <c r="L407" s="2" t="n">
        <v>2</v>
      </c>
      <c r="M407" s="2" t="n">
        <v>3</v>
      </c>
      <c r="N407" s="2" t="n">
        <v>0</v>
      </c>
      <c r="O407" s="2" t="n">
        <v>1</v>
      </c>
      <c r="P407" s="2" t="n">
        <v>0</v>
      </c>
      <c r="Q407" s="2" t="n">
        <v>0</v>
      </c>
      <c r="R407" s="2" t="n">
        <v>1</v>
      </c>
      <c r="S407" t="n">
        <v>3</v>
      </c>
      <c r="T407" t="n">
        <v>0</v>
      </c>
      <c r="U407" t="n">
        <v>0</v>
      </c>
      <c r="V407" t="n">
        <v>0</v>
      </c>
      <c r="W407" t="n">
        <v>1</v>
      </c>
      <c r="X407" t="n">
        <v>-1</v>
      </c>
      <c r="Y407" t="n">
        <v>1</v>
      </c>
      <c r="Z407" t="n">
        <v>0</v>
      </c>
      <c r="AA407" t="n">
        <v>1</v>
      </c>
      <c r="AB407" t="n">
        <v>269</v>
      </c>
      <c r="AC407" t="inlineStr">
        <is>
          <t>Hello World!</t>
        </is>
      </c>
    </row>
    <row r="408" ht="16" customHeight="1">
      <c r="A408" s="1" t="inlineStr">
        <is>
          <t>68.Red 2</t>
        </is>
      </c>
      <c r="B408" s="2" t="inlineStr">
        <is>
          <t>Amanah Obaji</t>
        </is>
      </c>
      <c r="C408" s="2" t="n">
        <v>68</v>
      </c>
      <c r="D408" s="2" t="inlineStr">
        <is>
          <t>r2</t>
        </is>
      </c>
      <c r="E408" s="2" t="n">
        <v>1585</v>
      </c>
      <c r="F408" s="2" t="n">
        <v>1</v>
      </c>
      <c r="G408" s="2" t="n">
        <v>0</v>
      </c>
      <c r="H408" s="2" t="n">
        <v>0</v>
      </c>
      <c r="I408" s="2" t="n">
        <v>0</v>
      </c>
      <c r="J408" s="2" t="n">
        <v>4</v>
      </c>
      <c r="K408" s="2" t="n">
        <v>1</v>
      </c>
      <c r="L408" s="2" t="n">
        <v>3</v>
      </c>
      <c r="M408" s="2" t="n">
        <v>3</v>
      </c>
      <c r="N408" s="2" t="n">
        <v>1</v>
      </c>
      <c r="O408" s="2" t="n">
        <v>0</v>
      </c>
      <c r="P408" s="2" t="n">
        <v>0</v>
      </c>
      <c r="Q408" s="2" t="n">
        <v>1</v>
      </c>
      <c r="R408" s="2" t="n">
        <v>1</v>
      </c>
      <c r="S408" t="n">
        <v>3</v>
      </c>
      <c r="T408" t="n">
        <v>1</v>
      </c>
      <c r="U408" t="n">
        <v>0</v>
      </c>
      <c r="V408" t="n">
        <v>0</v>
      </c>
      <c r="W408" t="n">
        <v>4</v>
      </c>
      <c r="X408" t="n">
        <v>0</v>
      </c>
      <c r="Y408" t="n">
        <v>0</v>
      </c>
      <c r="Z408" t="n">
        <v>1</v>
      </c>
      <c r="AA408" t="n">
        <v>0</v>
      </c>
      <c r="AB408" t="n">
        <v>164</v>
      </c>
      <c r="AC408" t="inlineStr">
        <is>
          <t>Hello World!</t>
        </is>
      </c>
    </row>
    <row r="409" ht="16" customHeight="1">
      <c r="A409" s="1" t="inlineStr">
        <is>
          <t>68.Red 3</t>
        </is>
      </c>
      <c r="B409" s="2" t="inlineStr">
        <is>
          <t>Nicholas Munier</t>
        </is>
      </c>
      <c r="C409" s="2" t="n">
        <v>68</v>
      </c>
      <c r="D409" s="2" t="inlineStr">
        <is>
          <t>r3</t>
        </is>
      </c>
      <c r="E409" s="2" t="n">
        <v>10223</v>
      </c>
      <c r="F409" s="2" t="n">
        <v>0</v>
      </c>
      <c r="G409" s="2" t="n">
        <v>1</v>
      </c>
      <c r="H409" s="2" t="n">
        <v>1</v>
      </c>
      <c r="I409" s="2" t="n">
        <v>0</v>
      </c>
      <c r="J409" s="2" t="n">
        <v>3</v>
      </c>
      <c r="K409" s="2" t="n">
        <v>3</v>
      </c>
      <c r="L409" s="2" t="n">
        <v>2</v>
      </c>
      <c r="M409" s="2" t="n">
        <v>3</v>
      </c>
      <c r="N409" s="2" t="n">
        <v>0</v>
      </c>
      <c r="O409" s="2" t="n">
        <v>1</v>
      </c>
      <c r="P409" s="2" t="n">
        <v>1</v>
      </c>
      <c r="Q409" s="2" t="n">
        <v>0</v>
      </c>
      <c r="R409" s="2" t="n">
        <v>0</v>
      </c>
      <c r="S409" t="n">
        <v>3</v>
      </c>
      <c r="T409" t="n">
        <v>0</v>
      </c>
      <c r="U409" t="n">
        <v>1</v>
      </c>
      <c r="V409" t="n">
        <v>0</v>
      </c>
      <c r="W409" t="n">
        <v>4</v>
      </c>
      <c r="X409" t="n">
        <v>1</v>
      </c>
      <c r="Y409" t="n">
        <v>0</v>
      </c>
      <c r="Z409" t="n">
        <v>0</v>
      </c>
      <c r="AA409" t="n">
        <v>0</v>
      </c>
      <c r="AB409" t="n">
        <v>194</v>
      </c>
      <c r="AC409" t="inlineStr">
        <is>
          <t>Hello World!</t>
        </is>
      </c>
    </row>
    <row r="410" ht="16" customHeight="1">
      <c r="A410" s="1" t="inlineStr">
        <is>
          <t>69.Blue 1</t>
        </is>
      </c>
      <c r="B410" s="2" t="inlineStr">
        <is>
          <t>Jonah WoikaKai Wilbur</t>
        </is>
      </c>
      <c r="C410" s="2" t="n">
        <v>69</v>
      </c>
      <c r="D410" s="2" t="inlineStr">
        <is>
          <t>b1</t>
        </is>
      </c>
      <c r="E410" s="2" t="n">
        <v>1405</v>
      </c>
      <c r="F410" s="2" t="n">
        <v>0</v>
      </c>
      <c r="G410" s="2" t="n">
        <v>1</v>
      </c>
      <c r="H410" s="2" t="n">
        <v>0</v>
      </c>
      <c r="I410" s="2" t="n">
        <v>-1</v>
      </c>
      <c r="J410" s="2" t="n">
        <v>5</v>
      </c>
      <c r="K410" s="2" t="n">
        <v>3</v>
      </c>
      <c r="L410" s="2" t="n">
        <v>3</v>
      </c>
      <c r="M410" s="2" t="n">
        <v>2</v>
      </c>
      <c r="N410" s="2" t="n">
        <v>0</v>
      </c>
      <c r="O410" s="2" t="n">
        <v>0</v>
      </c>
      <c r="P410" s="2" t="n">
        <v>0</v>
      </c>
      <c r="Q410" s="2" t="n">
        <v>1</v>
      </c>
      <c r="R410" s="2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4</v>
      </c>
      <c r="X410" t="n">
        <v>1</v>
      </c>
      <c r="Y410" t="n">
        <v>0</v>
      </c>
      <c r="Z410" t="n">
        <v>1</v>
      </c>
      <c r="AA410" t="n">
        <v>0</v>
      </c>
      <c r="AB410" t="n">
        <v>200</v>
      </c>
      <c r="AC410" t="inlineStr">
        <is>
          <t>Hello World!</t>
        </is>
      </c>
    </row>
    <row r="411" ht="16" customHeight="1">
      <c r="A411" s="1" t="inlineStr">
        <is>
          <t>69.Blue 2</t>
        </is>
      </c>
      <c r="B411" s="2" t="inlineStr">
        <is>
          <t>Jonah WoikaKai Wilbur</t>
        </is>
      </c>
      <c r="C411" s="2" t="n">
        <v>69</v>
      </c>
      <c r="D411" s="2" t="inlineStr">
        <is>
          <t>b2</t>
        </is>
      </c>
      <c r="E411" s="2" t="n">
        <v>6868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4</v>
      </c>
      <c r="K411" s="2" t="n">
        <v>3</v>
      </c>
      <c r="L411" s="2" t="n">
        <v>3</v>
      </c>
      <c r="M411" s="2" t="n">
        <v>1</v>
      </c>
      <c r="N411" s="2" t="n">
        <v>1</v>
      </c>
      <c r="O411" s="2" t="n">
        <v>1</v>
      </c>
      <c r="P411" s="2" t="n">
        <v>0</v>
      </c>
      <c r="Q411" s="2" t="n">
        <v>1</v>
      </c>
      <c r="R411" s="2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5</v>
      </c>
      <c r="X411" t="n">
        <v>0</v>
      </c>
      <c r="Y411" t="n">
        <v>1</v>
      </c>
      <c r="Z411" t="n">
        <v>1</v>
      </c>
      <c r="AA411" t="n">
        <v>0</v>
      </c>
      <c r="AB411" t="n">
        <v>285</v>
      </c>
      <c r="AC411" t="inlineStr">
        <is>
          <t>Hello World!</t>
        </is>
      </c>
    </row>
    <row r="412" ht="16" customHeight="1">
      <c r="A412" s="1" t="inlineStr">
        <is>
          <t>69.Blue 3</t>
        </is>
      </c>
      <c r="B412" s="2" t="inlineStr">
        <is>
          <t xml:space="preserve">Ruth Christensen </t>
        </is>
      </c>
      <c r="C412" s="2" t="n">
        <v>69</v>
      </c>
      <c r="D412" s="2" t="inlineStr">
        <is>
          <t>b3</t>
        </is>
      </c>
      <c r="E412" s="2" t="n">
        <v>10922</v>
      </c>
      <c r="F412" s="2" t="n">
        <v>1</v>
      </c>
      <c r="G412" s="2" t="n">
        <v>0</v>
      </c>
      <c r="H412" s="2" t="n">
        <v>0</v>
      </c>
      <c r="I412" s="2" t="n">
        <v>-1</v>
      </c>
      <c r="J412" s="2" t="n">
        <v>4</v>
      </c>
      <c r="K412" s="2" t="n">
        <v>2</v>
      </c>
      <c r="L412" s="2" t="n">
        <v>1</v>
      </c>
      <c r="M412" s="2" t="n">
        <v>3</v>
      </c>
      <c r="N412" s="2" t="n">
        <v>1</v>
      </c>
      <c r="O412" s="2" t="n">
        <v>0</v>
      </c>
      <c r="P412" s="2" t="n">
        <v>0</v>
      </c>
      <c r="Q412" s="2" t="n">
        <v>1</v>
      </c>
      <c r="R412" s="2" t="n">
        <v>1</v>
      </c>
      <c r="S412" t="n">
        <v>2</v>
      </c>
      <c r="T412" t="n">
        <v>1</v>
      </c>
      <c r="U412" t="n">
        <v>1</v>
      </c>
      <c r="V412" t="n">
        <v>0</v>
      </c>
      <c r="W412" t="n">
        <v>4</v>
      </c>
      <c r="X412" t="n">
        <v>-1</v>
      </c>
      <c r="Y412" t="n">
        <v>0</v>
      </c>
      <c r="Z412" t="n">
        <v>1</v>
      </c>
      <c r="AA412" t="n">
        <v>0</v>
      </c>
      <c r="AB412" t="n">
        <v>152</v>
      </c>
      <c r="AC412" t="inlineStr">
        <is>
          <t>Hello World!</t>
        </is>
      </c>
    </row>
    <row r="413" ht="16" customHeight="1">
      <c r="A413" s="1" t="inlineStr">
        <is>
          <t>69.Red 1</t>
        </is>
      </c>
      <c r="B413" s="2" t="inlineStr">
        <is>
          <t>Arthur Sayre</t>
        </is>
      </c>
      <c r="C413" s="2" t="n">
        <v>69</v>
      </c>
      <c r="D413" s="2" t="inlineStr">
        <is>
          <t>r1</t>
        </is>
      </c>
      <c r="E413" s="2" t="n">
        <v>3799</v>
      </c>
      <c r="F413" s="2" t="n">
        <v>1</v>
      </c>
      <c r="G413" s="2" t="n">
        <v>0</v>
      </c>
      <c r="H413" s="2" t="n">
        <v>0</v>
      </c>
      <c r="I413" s="2" t="n">
        <v>-1</v>
      </c>
      <c r="J413" s="2" t="n">
        <v>1</v>
      </c>
      <c r="K413" s="2" t="n">
        <v>3</v>
      </c>
      <c r="L413" s="2" t="n">
        <v>2</v>
      </c>
      <c r="M413" s="2" t="n">
        <v>1</v>
      </c>
      <c r="N413" s="2" t="n">
        <v>1</v>
      </c>
      <c r="O413" s="2" t="n">
        <v>1</v>
      </c>
      <c r="P413" s="2" t="n">
        <v>1</v>
      </c>
      <c r="Q413" s="2" t="n">
        <v>1</v>
      </c>
      <c r="R413" s="2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4</v>
      </c>
      <c r="X413" t="n">
        <v>1</v>
      </c>
      <c r="Y413" t="n">
        <v>1</v>
      </c>
      <c r="Z413" t="n">
        <v>1</v>
      </c>
      <c r="AA413" t="n">
        <v>0</v>
      </c>
      <c r="AB413" t="n">
        <v>19</v>
      </c>
      <c r="AC413" t="inlineStr">
        <is>
          <t>Hello World!</t>
        </is>
      </c>
    </row>
    <row r="414" ht="16" customHeight="1">
      <c r="A414" s="1" t="inlineStr">
        <is>
          <t>69.Red 2</t>
        </is>
      </c>
      <c r="B414" s="2" t="inlineStr">
        <is>
          <t>Nathan DeVito</t>
        </is>
      </c>
      <c r="C414" s="2" t="n">
        <v>69</v>
      </c>
      <c r="D414" s="2" t="inlineStr">
        <is>
          <t>r2</t>
        </is>
      </c>
      <c r="E414" s="2" t="n">
        <v>2340</v>
      </c>
      <c r="F414" s="2" t="n">
        <v>1</v>
      </c>
      <c r="G414" s="2" t="n">
        <v>0</v>
      </c>
      <c r="H414" s="2" t="n">
        <v>0</v>
      </c>
      <c r="I414" s="2" t="n">
        <v>0</v>
      </c>
      <c r="J414" s="2" t="n">
        <v>2</v>
      </c>
      <c r="K414" s="2" t="n">
        <v>1</v>
      </c>
      <c r="L414" s="2" t="n">
        <v>1</v>
      </c>
      <c r="M414" s="2" t="n">
        <v>4</v>
      </c>
      <c r="N414" s="2" t="n">
        <v>0</v>
      </c>
      <c r="O414" s="2" t="n">
        <v>0</v>
      </c>
      <c r="P414" s="2" t="n">
        <v>0</v>
      </c>
      <c r="Q414" s="2" t="n">
        <v>1</v>
      </c>
      <c r="R414" s="2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4</v>
      </c>
      <c r="X414" t="n">
        <v>-1</v>
      </c>
      <c r="Y414" t="n">
        <v>1</v>
      </c>
      <c r="Z414" t="n">
        <v>0</v>
      </c>
      <c r="AA414" t="n">
        <v>1</v>
      </c>
      <c r="AB414" t="n">
        <v>95</v>
      </c>
      <c r="AC414" t="inlineStr">
        <is>
          <t>Hello World!</t>
        </is>
      </c>
    </row>
    <row r="415" ht="16" customHeight="1">
      <c r="A415" s="1" t="inlineStr">
        <is>
          <t>69.Red 3</t>
        </is>
      </c>
      <c r="B415" s="2" t="inlineStr">
        <is>
          <t>Madison DeCicca</t>
        </is>
      </c>
      <c r="C415" s="2" t="n">
        <v>69</v>
      </c>
      <c r="D415" s="2" t="inlineStr">
        <is>
          <t>r3</t>
        </is>
      </c>
      <c r="E415" s="2" t="n">
        <v>1450</v>
      </c>
      <c r="F415" s="2" t="n">
        <v>1</v>
      </c>
      <c r="G415" s="2" t="n">
        <v>0</v>
      </c>
      <c r="H415" s="2" t="n">
        <v>0</v>
      </c>
      <c r="I415" s="2" t="n">
        <v>0</v>
      </c>
      <c r="J415" s="2" t="n">
        <v>5</v>
      </c>
      <c r="K415" s="2" t="n">
        <v>1</v>
      </c>
      <c r="L415" s="2" t="n">
        <v>3</v>
      </c>
      <c r="M415" s="2" t="n">
        <v>2</v>
      </c>
      <c r="N415" s="2" t="n">
        <v>1</v>
      </c>
      <c r="O415" s="2" t="n">
        <v>1</v>
      </c>
      <c r="P415" s="2" t="n">
        <v>1</v>
      </c>
      <c r="Q415" s="2" t="n">
        <v>1</v>
      </c>
      <c r="R415" s="2" t="n">
        <v>1</v>
      </c>
      <c r="S415" t="n">
        <v>1</v>
      </c>
      <c r="T415" t="n">
        <v>0</v>
      </c>
      <c r="U415" t="n">
        <v>1</v>
      </c>
      <c r="V415" t="n">
        <v>0</v>
      </c>
      <c r="W415" t="n">
        <v>3</v>
      </c>
      <c r="X415" t="n">
        <v>-1</v>
      </c>
      <c r="Y415" t="n">
        <v>0</v>
      </c>
      <c r="Z415" t="n">
        <v>0</v>
      </c>
      <c r="AA415" t="n">
        <v>0</v>
      </c>
      <c r="AB415" t="n">
        <v>253</v>
      </c>
      <c r="AC415" t="inlineStr">
        <is>
          <t>Hello World!</t>
        </is>
      </c>
    </row>
    <row r="416" ht="16" customHeight="1">
      <c r="A416" s="1" t="inlineStr">
        <is>
          <t>70.Blue 1</t>
        </is>
      </c>
      <c r="B416" s="2" t="inlineStr">
        <is>
          <t>Runa Hunt</t>
        </is>
      </c>
      <c r="C416" s="2" t="n">
        <v>70</v>
      </c>
      <c r="D416" s="2" t="inlineStr">
        <is>
          <t>b1</t>
        </is>
      </c>
      <c r="E416" s="2" t="n">
        <v>810</v>
      </c>
      <c r="F416" s="2" t="n">
        <v>0</v>
      </c>
      <c r="G416" s="2" t="n">
        <v>1</v>
      </c>
      <c r="H416" s="2" t="n">
        <v>0</v>
      </c>
      <c r="I416" s="2" t="n">
        <v>0</v>
      </c>
      <c r="J416" s="2" t="n">
        <v>5</v>
      </c>
      <c r="K416" s="2" t="n">
        <v>2</v>
      </c>
      <c r="L416" s="2" t="n">
        <v>1</v>
      </c>
      <c r="M416" s="2" t="n">
        <v>1</v>
      </c>
      <c r="N416" s="2" t="n">
        <v>1</v>
      </c>
      <c r="O416" s="2" t="n">
        <v>0</v>
      </c>
      <c r="P416" s="2" t="n">
        <v>1</v>
      </c>
      <c r="Q416" s="2" t="n">
        <v>1</v>
      </c>
      <c r="R416" s="2" t="n">
        <v>1</v>
      </c>
      <c r="S416" t="n">
        <v>3</v>
      </c>
      <c r="T416" t="n">
        <v>0</v>
      </c>
      <c r="U416" t="n">
        <v>0</v>
      </c>
      <c r="V416" t="n">
        <v>1</v>
      </c>
      <c r="W416" t="n">
        <v>3</v>
      </c>
      <c r="X416" t="n">
        <v>-1</v>
      </c>
      <c r="Y416" t="n">
        <v>0</v>
      </c>
      <c r="Z416" t="n">
        <v>1</v>
      </c>
      <c r="AA416" t="n">
        <v>1</v>
      </c>
      <c r="AB416" t="n">
        <v>184</v>
      </c>
      <c r="AC416" t="inlineStr">
        <is>
          <t>Hello World!</t>
        </is>
      </c>
    </row>
    <row r="417" ht="16" customHeight="1">
      <c r="A417" s="1" t="inlineStr">
        <is>
          <t>70.Blue 2</t>
        </is>
      </c>
      <c r="B417" s="2" t="inlineStr">
        <is>
          <t>Ethan Stiffler</t>
        </is>
      </c>
      <c r="C417" s="2" t="n">
        <v>70</v>
      </c>
      <c r="D417" s="2" t="inlineStr">
        <is>
          <t>b2</t>
        </is>
      </c>
      <c r="E417" s="2" t="n">
        <v>9767</v>
      </c>
      <c r="F417" s="2" t="n">
        <v>1</v>
      </c>
      <c r="G417" s="2" t="n">
        <v>1</v>
      </c>
      <c r="H417" s="2" t="n">
        <v>0</v>
      </c>
      <c r="I417" s="2" t="n">
        <v>-1</v>
      </c>
      <c r="J417" s="2" t="n">
        <v>3</v>
      </c>
      <c r="K417" s="2" t="n">
        <v>2</v>
      </c>
      <c r="L417" s="2" t="n">
        <v>2</v>
      </c>
      <c r="M417" s="2" t="n">
        <v>5</v>
      </c>
      <c r="N417" s="2" t="n">
        <v>0</v>
      </c>
      <c r="O417" s="2" t="n">
        <v>0</v>
      </c>
      <c r="P417" s="2" t="n">
        <v>1</v>
      </c>
      <c r="Q417" s="2" t="n">
        <v>0</v>
      </c>
      <c r="R417" s="2" t="n">
        <v>0</v>
      </c>
      <c r="S417" t="n">
        <v>2</v>
      </c>
      <c r="T417" t="n">
        <v>1</v>
      </c>
      <c r="U417" t="n">
        <v>0</v>
      </c>
      <c r="V417" t="n">
        <v>1</v>
      </c>
      <c r="W417" t="n">
        <v>3</v>
      </c>
      <c r="X417" t="n">
        <v>1</v>
      </c>
      <c r="Y417" t="n">
        <v>0</v>
      </c>
      <c r="Z417" t="n">
        <v>1</v>
      </c>
      <c r="AA417" t="n">
        <v>1</v>
      </c>
      <c r="AB417" t="n">
        <v>55</v>
      </c>
      <c r="AC417" t="inlineStr">
        <is>
          <t>Hello World!</t>
        </is>
      </c>
    </row>
    <row r="418" ht="16" customHeight="1">
      <c r="A418" s="1" t="inlineStr">
        <is>
          <t>70.Blue 3</t>
        </is>
      </c>
      <c r="B418" s="2" t="inlineStr">
        <is>
          <t>Andrew Crawford</t>
        </is>
      </c>
      <c r="C418" s="2" t="n">
        <v>70</v>
      </c>
      <c r="D418" s="2" t="inlineStr">
        <is>
          <t>b3</t>
        </is>
      </c>
      <c r="E418" s="2" t="n">
        <v>378</v>
      </c>
      <c r="F418" s="2" t="n">
        <v>0</v>
      </c>
      <c r="G418" s="2" t="n">
        <v>1</v>
      </c>
      <c r="H418" s="2" t="n">
        <v>1</v>
      </c>
      <c r="I418" s="2" t="n">
        <v>0</v>
      </c>
      <c r="J418" s="2" t="n">
        <v>1</v>
      </c>
      <c r="K418" s="2" t="n">
        <v>1</v>
      </c>
      <c r="L418" s="2" t="n">
        <v>1</v>
      </c>
      <c r="M418" s="2" t="n">
        <v>3</v>
      </c>
      <c r="N418" s="2" t="n">
        <v>0</v>
      </c>
      <c r="O418" s="2" t="n">
        <v>0</v>
      </c>
      <c r="P418" s="2" t="n">
        <v>1</v>
      </c>
      <c r="Q418" s="2" t="n">
        <v>0</v>
      </c>
      <c r="R418" s="2" t="n">
        <v>0</v>
      </c>
      <c r="S418" t="n">
        <v>3</v>
      </c>
      <c r="T418" t="n">
        <v>1</v>
      </c>
      <c r="U418" t="n">
        <v>1</v>
      </c>
      <c r="V418" t="n">
        <v>1</v>
      </c>
      <c r="W418" t="n">
        <v>4</v>
      </c>
      <c r="X418" t="n">
        <v>1</v>
      </c>
      <c r="Y418" t="n">
        <v>1</v>
      </c>
      <c r="Z418" t="n">
        <v>0</v>
      </c>
      <c r="AA418" t="n">
        <v>0</v>
      </c>
      <c r="AB418" t="n">
        <v>281</v>
      </c>
      <c r="AC418" t="inlineStr">
        <is>
          <t>Hello World!</t>
        </is>
      </c>
    </row>
    <row r="419" ht="16" customHeight="1">
      <c r="A419" s="1" t="inlineStr">
        <is>
          <t>70.Red 1</t>
        </is>
      </c>
      <c r="B419" s="2" t="inlineStr">
        <is>
          <t>Nicholas Munier</t>
        </is>
      </c>
      <c r="C419" s="2" t="n">
        <v>70</v>
      </c>
      <c r="D419" s="2" t="inlineStr">
        <is>
          <t>r1</t>
        </is>
      </c>
      <c r="E419" s="2" t="n">
        <v>9016</v>
      </c>
      <c r="F419" s="2" t="n">
        <v>0</v>
      </c>
      <c r="G419" s="2" t="n">
        <v>1</v>
      </c>
      <c r="H419" s="2" t="n">
        <v>0</v>
      </c>
      <c r="I419" s="2" t="n">
        <v>-1</v>
      </c>
      <c r="J419" s="2" t="n">
        <v>4</v>
      </c>
      <c r="K419" s="2" t="n">
        <v>2</v>
      </c>
      <c r="L419" s="2" t="n">
        <v>3</v>
      </c>
      <c r="M419" s="2" t="n">
        <v>1</v>
      </c>
      <c r="N419" s="2" t="n">
        <v>1</v>
      </c>
      <c r="O419" s="2" t="n">
        <v>1</v>
      </c>
      <c r="P419" s="2" t="n">
        <v>0</v>
      </c>
      <c r="Q419" s="2" t="n">
        <v>1</v>
      </c>
      <c r="R419" s="2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3</v>
      </c>
      <c r="X419" t="n">
        <v>0</v>
      </c>
      <c r="Y419" t="n">
        <v>0</v>
      </c>
      <c r="Z419" t="n">
        <v>0</v>
      </c>
      <c r="AA419" t="n">
        <v>0</v>
      </c>
      <c r="AB419" t="n">
        <v>277</v>
      </c>
      <c r="AC419" t="inlineStr">
        <is>
          <t>Hello World!</t>
        </is>
      </c>
    </row>
    <row r="420" ht="16" customHeight="1">
      <c r="A420" s="1" t="inlineStr">
        <is>
          <t>70.Red 2</t>
        </is>
      </c>
      <c r="B420" s="2" t="inlineStr">
        <is>
          <t>Caitlin Munier</t>
        </is>
      </c>
      <c r="C420" s="2" t="n">
        <v>70</v>
      </c>
      <c r="D420" s="2" t="inlineStr">
        <is>
          <t>r2</t>
        </is>
      </c>
      <c r="E420" s="2" t="n">
        <v>271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3</v>
      </c>
      <c r="K420" s="2" t="n">
        <v>1</v>
      </c>
      <c r="L420" s="2" t="n">
        <v>1</v>
      </c>
      <c r="M420" s="2" t="n">
        <v>2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t="n">
        <v>3</v>
      </c>
      <c r="T420" t="n">
        <v>1</v>
      </c>
      <c r="U420" t="n">
        <v>1</v>
      </c>
      <c r="V420" t="n">
        <v>1</v>
      </c>
      <c r="W420" t="n">
        <v>2</v>
      </c>
      <c r="X420" t="n">
        <v>0</v>
      </c>
      <c r="Y420" t="n">
        <v>1</v>
      </c>
      <c r="Z420" t="n">
        <v>0</v>
      </c>
      <c r="AA420" t="n">
        <v>1</v>
      </c>
      <c r="AB420" t="n">
        <v>101</v>
      </c>
      <c r="AC420" t="inlineStr">
        <is>
          <t>Hello World!</t>
        </is>
      </c>
    </row>
    <row r="421" ht="16" customHeight="1">
      <c r="A421" s="1" t="inlineStr">
        <is>
          <t>70.Red 3</t>
        </is>
      </c>
      <c r="B421" s="2" t="inlineStr">
        <is>
          <t>Nicholas Munier</t>
        </is>
      </c>
      <c r="C421" s="2" t="n">
        <v>70</v>
      </c>
      <c r="D421" s="2" t="inlineStr">
        <is>
          <t>r3</t>
        </is>
      </c>
      <c r="E421" s="2" t="n">
        <v>3173</v>
      </c>
      <c r="F421" s="2" t="n">
        <v>0</v>
      </c>
      <c r="G421" s="2" t="n">
        <v>1</v>
      </c>
      <c r="H421" s="2" t="n">
        <v>0</v>
      </c>
      <c r="I421" s="2" t="n">
        <v>1</v>
      </c>
      <c r="J421" s="2" t="n">
        <v>2</v>
      </c>
      <c r="K421" s="2" t="n">
        <v>1</v>
      </c>
      <c r="L421" s="2" t="n">
        <v>3</v>
      </c>
      <c r="M421" s="2" t="n">
        <v>1</v>
      </c>
      <c r="N421" s="2" t="n">
        <v>1</v>
      </c>
      <c r="O421" s="2" t="n">
        <v>0</v>
      </c>
      <c r="P421" s="2" t="n">
        <v>0</v>
      </c>
      <c r="Q421" s="2" t="n">
        <v>1</v>
      </c>
      <c r="R421" s="2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4</v>
      </c>
      <c r="X421" t="n">
        <v>1</v>
      </c>
      <c r="Y421" t="n">
        <v>0</v>
      </c>
      <c r="Z421" t="n">
        <v>0</v>
      </c>
      <c r="AA421" t="n">
        <v>0</v>
      </c>
      <c r="AB421" t="n">
        <v>21</v>
      </c>
      <c r="AC421" t="inlineStr">
        <is>
          <t>Hello World!</t>
        </is>
      </c>
    </row>
    <row r="422" ht="16" customHeight="1">
      <c r="A422" s="1" t="inlineStr">
        <is>
          <t>71.Blue 1</t>
        </is>
      </c>
      <c r="B422" s="2" t="inlineStr">
        <is>
          <t>Nathan DeVito</t>
        </is>
      </c>
      <c r="C422" s="2" t="n">
        <v>71</v>
      </c>
      <c r="D422" s="2" t="inlineStr">
        <is>
          <t>b1</t>
        </is>
      </c>
      <c r="E422" s="2" t="n">
        <v>144</v>
      </c>
      <c r="F422" s="2" t="n">
        <v>1</v>
      </c>
      <c r="G422" s="2" t="n">
        <v>0</v>
      </c>
      <c r="H422" s="2" t="n">
        <v>0</v>
      </c>
      <c r="I422" s="2" t="n">
        <v>0</v>
      </c>
      <c r="J422" s="2" t="n">
        <v>2</v>
      </c>
      <c r="K422" s="2" t="n">
        <v>1</v>
      </c>
      <c r="L422" s="2" t="n">
        <v>3</v>
      </c>
      <c r="M422" s="2" t="n">
        <v>5</v>
      </c>
      <c r="N422" s="2" t="n">
        <v>0</v>
      </c>
      <c r="O422" s="2" t="n">
        <v>0</v>
      </c>
      <c r="P422" s="2" t="n">
        <v>1</v>
      </c>
      <c r="Q422" s="2" t="n">
        <v>1</v>
      </c>
      <c r="R422" s="2" t="n">
        <v>1</v>
      </c>
      <c r="S422" t="n">
        <v>-1</v>
      </c>
      <c r="T422" t="n">
        <v>0</v>
      </c>
      <c r="U422" t="n">
        <v>0</v>
      </c>
      <c r="V422" t="n">
        <v>0</v>
      </c>
      <c r="W422" t="n">
        <v>5</v>
      </c>
      <c r="X422" t="n">
        <v>-1</v>
      </c>
      <c r="Y422" t="n">
        <v>0</v>
      </c>
      <c r="Z422" t="n">
        <v>1</v>
      </c>
      <c r="AA422" t="n">
        <v>0</v>
      </c>
      <c r="AB422" t="n">
        <v>98</v>
      </c>
      <c r="AC422" t="inlineStr">
        <is>
          <t>Hello World!</t>
        </is>
      </c>
    </row>
    <row r="423" ht="16" customHeight="1">
      <c r="A423" s="1" t="inlineStr">
        <is>
          <t>71.Blue 2</t>
        </is>
      </c>
      <c r="B423" s="2" t="inlineStr">
        <is>
          <t>Ethan Stiffler</t>
        </is>
      </c>
      <c r="C423" s="2" t="n">
        <v>71</v>
      </c>
      <c r="D423" s="2" t="inlineStr">
        <is>
          <t>b2</t>
        </is>
      </c>
      <c r="E423" s="2" t="n">
        <v>1787</v>
      </c>
      <c r="F423" s="2" t="n">
        <v>0</v>
      </c>
      <c r="G423" s="2" t="n">
        <v>0</v>
      </c>
      <c r="H423" s="2" t="n">
        <v>1</v>
      </c>
      <c r="I423" s="2" t="n">
        <v>0</v>
      </c>
      <c r="J423" s="2" t="n">
        <v>2</v>
      </c>
      <c r="K423" s="2" t="n">
        <v>2</v>
      </c>
      <c r="L423" s="2" t="n">
        <v>3</v>
      </c>
      <c r="M423" s="2" t="n">
        <v>1</v>
      </c>
      <c r="N423" s="2" t="n">
        <v>0</v>
      </c>
      <c r="O423" s="2" t="n">
        <v>1</v>
      </c>
      <c r="P423" s="2" t="n">
        <v>0</v>
      </c>
      <c r="Q423" s="2" t="n">
        <v>0</v>
      </c>
      <c r="R423" s="2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n">
        <v>124</v>
      </c>
      <c r="AC423" t="inlineStr">
        <is>
          <t>Hello World!</t>
        </is>
      </c>
    </row>
    <row r="424" ht="16" customHeight="1">
      <c r="A424" s="1" t="inlineStr">
        <is>
          <t>71.Blue 3</t>
        </is>
      </c>
      <c r="B424" s="2" t="inlineStr">
        <is>
          <t>Arthur Sayre</t>
        </is>
      </c>
      <c r="C424" s="2" t="n">
        <v>71</v>
      </c>
      <c r="D424" s="2" t="inlineStr">
        <is>
          <t>b3</t>
        </is>
      </c>
      <c r="E424" s="2" t="n">
        <v>639</v>
      </c>
      <c r="F424" s="2" t="n">
        <v>1</v>
      </c>
      <c r="G424" s="2" t="n">
        <v>0</v>
      </c>
      <c r="H424" s="2" t="n">
        <v>0</v>
      </c>
      <c r="I424" s="2" t="n">
        <v>1</v>
      </c>
      <c r="J424" s="2" t="n">
        <v>4</v>
      </c>
      <c r="K424" s="2" t="n">
        <v>1</v>
      </c>
      <c r="L424" s="2" t="n">
        <v>1</v>
      </c>
      <c r="M424" s="2" t="n">
        <v>3</v>
      </c>
      <c r="N424" s="2" t="n">
        <v>1</v>
      </c>
      <c r="O424" s="2" t="n">
        <v>0</v>
      </c>
      <c r="P424" s="2" t="n">
        <v>0</v>
      </c>
      <c r="Q424" s="2" t="n">
        <v>1</v>
      </c>
      <c r="R424" s="2" t="n">
        <v>1</v>
      </c>
      <c r="S424" t="n">
        <v>-1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  <c r="AB424" t="n">
        <v>4</v>
      </c>
      <c r="AC424" t="inlineStr">
        <is>
          <t>Hello World!</t>
        </is>
      </c>
    </row>
    <row r="425" ht="16" customHeight="1">
      <c r="A425" s="1" t="inlineStr">
        <is>
          <t>71.Red 1</t>
        </is>
      </c>
      <c r="B425" s="2" t="inlineStr">
        <is>
          <t>Domenic Giammusso</t>
        </is>
      </c>
      <c r="C425" s="2" t="n">
        <v>71</v>
      </c>
      <c r="D425" s="2" t="inlineStr">
        <is>
          <t>r1</t>
        </is>
      </c>
      <c r="E425" s="2" t="n">
        <v>4458</v>
      </c>
      <c r="F425" s="2" t="n">
        <v>0</v>
      </c>
      <c r="G425" s="2" t="n">
        <v>1</v>
      </c>
      <c r="H425" s="2" t="n">
        <v>1</v>
      </c>
      <c r="I425" s="2" t="n">
        <v>0</v>
      </c>
      <c r="J425" s="2" t="n">
        <v>3</v>
      </c>
      <c r="K425" s="2" t="n">
        <v>3</v>
      </c>
      <c r="L425" s="2" t="n">
        <v>1</v>
      </c>
      <c r="M425" s="2" t="n">
        <v>4</v>
      </c>
      <c r="N425" s="2" t="n">
        <v>1</v>
      </c>
      <c r="O425" s="2" t="n">
        <v>0</v>
      </c>
      <c r="P425" s="2" t="n">
        <v>0</v>
      </c>
      <c r="Q425" s="2" t="n">
        <v>1</v>
      </c>
      <c r="R425" s="2" t="n">
        <v>1</v>
      </c>
      <c r="S425" t="n">
        <v>-1</v>
      </c>
      <c r="T425" t="n">
        <v>1</v>
      </c>
      <c r="U425" t="n">
        <v>0</v>
      </c>
      <c r="V425" t="n">
        <v>1</v>
      </c>
      <c r="W425" t="n">
        <v>3</v>
      </c>
      <c r="X425" t="n">
        <v>0</v>
      </c>
      <c r="Y425" t="n">
        <v>1</v>
      </c>
      <c r="Z425" t="n">
        <v>1</v>
      </c>
      <c r="AA425" t="n">
        <v>1</v>
      </c>
      <c r="AB425" t="n">
        <v>99</v>
      </c>
      <c r="AC425" t="inlineStr">
        <is>
          <t>Hello World!</t>
        </is>
      </c>
    </row>
    <row r="426" ht="16" customHeight="1">
      <c r="A426" s="1" t="inlineStr">
        <is>
          <t>71.Red 2</t>
        </is>
      </c>
      <c r="B426" s="2" t="inlineStr">
        <is>
          <t>Connor Rapp</t>
        </is>
      </c>
      <c r="C426" s="2" t="n">
        <v>71</v>
      </c>
      <c r="D426" s="2" t="inlineStr">
        <is>
          <t>r2</t>
        </is>
      </c>
      <c r="E426" s="2" t="n">
        <v>4253</v>
      </c>
      <c r="F426" s="2" t="n">
        <v>1</v>
      </c>
      <c r="G426" s="2" t="n">
        <v>1</v>
      </c>
      <c r="H426" s="2" t="n">
        <v>1</v>
      </c>
      <c r="I426" s="2" t="n">
        <v>1</v>
      </c>
      <c r="J426" s="2" t="n">
        <v>4</v>
      </c>
      <c r="K426" s="2" t="n">
        <v>2</v>
      </c>
      <c r="L426" s="2" t="n">
        <v>2</v>
      </c>
      <c r="M426" s="2" t="n">
        <v>4</v>
      </c>
      <c r="N426" s="2" t="n">
        <v>0</v>
      </c>
      <c r="O426" s="2" t="n">
        <v>0</v>
      </c>
      <c r="P426" s="2" t="n">
        <v>0</v>
      </c>
      <c r="Q426" s="2" t="n">
        <v>1</v>
      </c>
      <c r="R426" s="2" t="n">
        <v>0</v>
      </c>
      <c r="S426" t="n">
        <v>2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1</v>
      </c>
      <c r="AA426" t="n">
        <v>1</v>
      </c>
      <c r="AB426" t="n">
        <v>271</v>
      </c>
      <c r="AC426" t="inlineStr">
        <is>
          <t>Hello World!</t>
        </is>
      </c>
    </row>
    <row r="427" ht="16" customHeight="1">
      <c r="A427" s="1" t="inlineStr">
        <is>
          <t>71.Red 3</t>
        </is>
      </c>
      <c r="B427" s="2" t="inlineStr">
        <is>
          <t>Runa Hunt</t>
        </is>
      </c>
      <c r="C427" s="2" t="n">
        <v>71</v>
      </c>
      <c r="D427" s="2" t="inlineStr">
        <is>
          <t>r3</t>
        </is>
      </c>
      <c r="E427" s="2" t="n">
        <v>4930</v>
      </c>
      <c r="F427" s="2" t="n">
        <v>1</v>
      </c>
      <c r="G427" s="2" t="n">
        <v>1</v>
      </c>
      <c r="H427" s="2" t="n">
        <v>0</v>
      </c>
      <c r="I427" s="2" t="n">
        <v>1</v>
      </c>
      <c r="J427" s="2" t="n">
        <v>1</v>
      </c>
      <c r="K427" s="2" t="n">
        <v>2</v>
      </c>
      <c r="L427" s="2" t="n">
        <v>1</v>
      </c>
      <c r="M427" s="2" t="n">
        <v>1</v>
      </c>
      <c r="N427" s="2" t="n">
        <v>0</v>
      </c>
      <c r="O427" s="2" t="n">
        <v>1</v>
      </c>
      <c r="P427" s="2" t="n">
        <v>1</v>
      </c>
      <c r="Q427" s="2" t="n">
        <v>1</v>
      </c>
      <c r="R427" s="2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3</v>
      </c>
      <c r="X427" t="n">
        <v>0</v>
      </c>
      <c r="Y427" t="n">
        <v>1</v>
      </c>
      <c r="Z427" t="n">
        <v>0</v>
      </c>
      <c r="AA427" t="n">
        <v>1</v>
      </c>
      <c r="AB427" t="n">
        <v>54</v>
      </c>
      <c r="AC427" t="inlineStr">
        <is>
          <t>Hello World!</t>
        </is>
      </c>
    </row>
    <row r="428" ht="16" customHeight="1">
      <c r="A428" s="1" t="inlineStr">
        <is>
          <t>72.Blue 1</t>
        </is>
      </c>
      <c r="B428" s="2" t="inlineStr">
        <is>
          <t>Arthur Sayre</t>
        </is>
      </c>
      <c r="C428" s="2" t="n">
        <v>72</v>
      </c>
      <c r="D428" s="2" t="inlineStr">
        <is>
          <t>b1</t>
        </is>
      </c>
      <c r="E428" s="2" t="n">
        <v>3044</v>
      </c>
      <c r="F428" s="2" t="n">
        <v>1</v>
      </c>
      <c r="G428" s="2" t="n">
        <v>1</v>
      </c>
      <c r="H428" s="2" t="n">
        <v>1</v>
      </c>
      <c r="I428" s="2" t="n">
        <v>1</v>
      </c>
      <c r="J428" s="2" t="n">
        <v>3</v>
      </c>
      <c r="K428" s="2" t="n">
        <v>3</v>
      </c>
      <c r="L428" s="2" t="n">
        <v>2</v>
      </c>
      <c r="M428" s="2" t="n">
        <v>2</v>
      </c>
      <c r="N428" s="2" t="n">
        <v>0</v>
      </c>
      <c r="O428" s="2" t="n">
        <v>1</v>
      </c>
      <c r="P428" s="2" t="n">
        <v>0</v>
      </c>
      <c r="Q428" s="2" t="n">
        <v>1</v>
      </c>
      <c r="R428" s="2" t="n">
        <v>0</v>
      </c>
      <c r="S428" t="n">
        <v>3</v>
      </c>
      <c r="T428" t="n">
        <v>1</v>
      </c>
      <c r="U428" t="n">
        <v>0</v>
      </c>
      <c r="V428" t="n">
        <v>0</v>
      </c>
      <c r="W428" t="n">
        <v>1</v>
      </c>
      <c r="X428" t="n">
        <v>-1</v>
      </c>
      <c r="Y428" t="n">
        <v>1</v>
      </c>
      <c r="Z428" t="n">
        <v>1</v>
      </c>
      <c r="AA428" t="n">
        <v>1</v>
      </c>
      <c r="AB428" t="n">
        <v>88</v>
      </c>
      <c r="AC428" t="inlineStr">
        <is>
          <t>Hello World!</t>
        </is>
      </c>
    </row>
    <row r="429" ht="16" customHeight="1">
      <c r="A429" s="1" t="inlineStr">
        <is>
          <t>72.Blue 2</t>
        </is>
      </c>
      <c r="B429" s="2" t="inlineStr">
        <is>
          <t>Runa Hunt</t>
        </is>
      </c>
      <c r="C429" s="2" t="n">
        <v>72</v>
      </c>
      <c r="D429" s="2" t="inlineStr">
        <is>
          <t>b2</t>
        </is>
      </c>
      <c r="E429" s="2" t="n">
        <v>3181</v>
      </c>
      <c r="F429" s="2" t="n">
        <v>0</v>
      </c>
      <c r="G429" s="2" t="n">
        <v>1</v>
      </c>
      <c r="H429" s="2" t="n">
        <v>1</v>
      </c>
      <c r="I429" s="2" t="n">
        <v>0</v>
      </c>
      <c r="J429" s="2" t="n">
        <v>5</v>
      </c>
      <c r="K429" s="2" t="n">
        <v>2</v>
      </c>
      <c r="L429" s="2" t="n">
        <v>2</v>
      </c>
      <c r="M429" s="2" t="n">
        <v>2</v>
      </c>
      <c r="N429" s="2" t="n">
        <v>0</v>
      </c>
      <c r="O429" s="2" t="n">
        <v>0</v>
      </c>
      <c r="P429" s="2" t="n">
        <v>1</v>
      </c>
      <c r="Q429" s="2" t="n">
        <v>0</v>
      </c>
      <c r="R429" s="2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0</v>
      </c>
      <c r="AB429" t="n">
        <v>282</v>
      </c>
      <c r="AC429" t="inlineStr">
        <is>
          <t>Hello World!</t>
        </is>
      </c>
    </row>
    <row r="430" ht="16" customHeight="1">
      <c r="A430" s="1" t="inlineStr">
        <is>
          <t>72.Blue 3</t>
        </is>
      </c>
      <c r="B430" s="2" t="inlineStr">
        <is>
          <t>Andrew Crawford</t>
        </is>
      </c>
      <c r="C430" s="2" t="n">
        <v>72</v>
      </c>
      <c r="D430" s="2" t="inlineStr">
        <is>
          <t>b3</t>
        </is>
      </c>
      <c r="E430" s="2" t="n">
        <v>4093</v>
      </c>
      <c r="F430" s="2" t="n">
        <v>1</v>
      </c>
      <c r="G430" s="2" t="n">
        <v>0</v>
      </c>
      <c r="H430" s="2" t="n">
        <v>0</v>
      </c>
      <c r="I430" s="2" t="n">
        <v>1</v>
      </c>
      <c r="J430" s="2" t="n">
        <v>3</v>
      </c>
      <c r="K430" s="2" t="n">
        <v>1</v>
      </c>
      <c r="L430" s="2" t="n">
        <v>1</v>
      </c>
      <c r="M430" s="2" t="n">
        <v>5</v>
      </c>
      <c r="N430" s="2" t="n">
        <v>1</v>
      </c>
      <c r="O430" s="2" t="n">
        <v>1</v>
      </c>
      <c r="P430" s="2" t="n">
        <v>1</v>
      </c>
      <c r="Q430" s="2" t="n">
        <v>1</v>
      </c>
      <c r="R430" s="2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3</v>
      </c>
      <c r="X430" t="n">
        <v>-1</v>
      </c>
      <c r="Y430" t="n">
        <v>1</v>
      </c>
      <c r="Z430" t="n">
        <v>0</v>
      </c>
      <c r="AA430" t="n">
        <v>0</v>
      </c>
      <c r="AB430" t="n">
        <v>98</v>
      </c>
      <c r="AC430" t="inlineStr">
        <is>
          <t>Hello World!</t>
        </is>
      </c>
    </row>
    <row r="431" ht="16" customHeight="1">
      <c r="A431" s="1" t="inlineStr">
        <is>
          <t>72.Red 1</t>
        </is>
      </c>
      <c r="B431" s="2" t="inlineStr">
        <is>
          <t>Matthew Mazzota</t>
        </is>
      </c>
      <c r="C431" s="2" t="n">
        <v>72</v>
      </c>
      <c r="D431" s="2" t="inlineStr">
        <is>
          <t>r1</t>
        </is>
      </c>
      <c r="E431" s="2" t="n">
        <v>8503</v>
      </c>
      <c r="F431" s="2" t="n">
        <v>1</v>
      </c>
      <c r="G431" s="2" t="n">
        <v>1</v>
      </c>
      <c r="H431" s="2" t="n">
        <v>0</v>
      </c>
      <c r="I431" s="2" t="n">
        <v>1</v>
      </c>
      <c r="J431" s="2" t="n">
        <v>5</v>
      </c>
      <c r="K431" s="2" t="n">
        <v>1</v>
      </c>
      <c r="L431" s="2" t="n">
        <v>2</v>
      </c>
      <c r="M431" s="2" t="n">
        <v>2</v>
      </c>
      <c r="N431" s="2" t="n">
        <v>1</v>
      </c>
      <c r="O431" s="2" t="n">
        <v>1</v>
      </c>
      <c r="P431" s="2" t="n">
        <v>0</v>
      </c>
      <c r="Q431" s="2" t="n">
        <v>1</v>
      </c>
      <c r="R431" s="2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3</v>
      </c>
      <c r="X431" t="n">
        <v>-1</v>
      </c>
      <c r="Y431" t="n">
        <v>1</v>
      </c>
      <c r="Z431" t="n">
        <v>1</v>
      </c>
      <c r="AA431" t="n">
        <v>0</v>
      </c>
      <c r="AB431" t="n">
        <v>213</v>
      </c>
      <c r="AC431" t="inlineStr">
        <is>
          <t>Hello World!</t>
        </is>
      </c>
    </row>
    <row r="432" ht="16" customHeight="1">
      <c r="A432" s="1" t="inlineStr">
        <is>
          <t>72.Red 2</t>
        </is>
      </c>
      <c r="B432" s="2" t="inlineStr">
        <is>
          <t>Amanah Obaji</t>
        </is>
      </c>
      <c r="C432" s="2" t="n">
        <v>72</v>
      </c>
      <c r="D432" s="2" t="inlineStr">
        <is>
          <t>r2</t>
        </is>
      </c>
      <c r="E432" s="2" t="n">
        <v>48</v>
      </c>
      <c r="F432" s="2" t="n">
        <v>1</v>
      </c>
      <c r="G432" s="2" t="n">
        <v>1</v>
      </c>
      <c r="H432" s="2" t="n">
        <v>1</v>
      </c>
      <c r="I432" s="2" t="n">
        <v>1</v>
      </c>
      <c r="J432" s="2" t="n">
        <v>5</v>
      </c>
      <c r="K432" s="2" t="n">
        <v>1</v>
      </c>
      <c r="L432" s="2" t="n">
        <v>1</v>
      </c>
      <c r="M432" s="2" t="n">
        <v>2</v>
      </c>
      <c r="N432" s="2" t="n">
        <v>1</v>
      </c>
      <c r="O432" s="2" t="n">
        <v>1</v>
      </c>
      <c r="P432" s="2" t="n">
        <v>1</v>
      </c>
      <c r="Q432" s="2" t="n">
        <v>1</v>
      </c>
      <c r="R432" s="2" t="n">
        <v>1</v>
      </c>
      <c r="S432" t="n">
        <v>-1</v>
      </c>
      <c r="T432" t="n">
        <v>1</v>
      </c>
      <c r="U432" t="n">
        <v>0</v>
      </c>
      <c r="V432" t="n">
        <v>0</v>
      </c>
      <c r="W432" t="n">
        <v>1</v>
      </c>
      <c r="X432" t="n">
        <v>-1</v>
      </c>
      <c r="Y432" t="n">
        <v>1</v>
      </c>
      <c r="Z432" t="n">
        <v>1</v>
      </c>
      <c r="AA432" t="n">
        <v>1</v>
      </c>
      <c r="AB432" t="n">
        <v>212</v>
      </c>
      <c r="AC432" t="inlineStr">
        <is>
          <t>Hello World!</t>
        </is>
      </c>
    </row>
    <row r="433" ht="16" customHeight="1">
      <c r="A433" s="1" t="inlineStr">
        <is>
          <t>72.Red 3</t>
        </is>
      </c>
      <c r="B433" s="2" t="inlineStr">
        <is>
          <t>Gianmarco D'Angelo</t>
        </is>
      </c>
      <c r="C433" s="2" t="n">
        <v>72</v>
      </c>
      <c r="D433" s="2" t="inlineStr">
        <is>
          <t>r3</t>
        </is>
      </c>
      <c r="E433" s="2" t="n">
        <v>5528</v>
      </c>
      <c r="F433" s="2" t="n">
        <v>1</v>
      </c>
      <c r="G433" s="2" t="n">
        <v>1</v>
      </c>
      <c r="H433" s="2" t="n">
        <v>1</v>
      </c>
      <c r="I433" s="2" t="n">
        <v>-1</v>
      </c>
      <c r="J433" s="2" t="n">
        <v>2</v>
      </c>
      <c r="K433" s="2" t="n">
        <v>3</v>
      </c>
      <c r="L433" s="2" t="n">
        <v>1</v>
      </c>
      <c r="M433" s="2" t="n">
        <v>2</v>
      </c>
      <c r="N433" s="2" t="n">
        <v>0</v>
      </c>
      <c r="O433" s="2" t="n">
        <v>1</v>
      </c>
      <c r="P433" s="2" t="n">
        <v>0</v>
      </c>
      <c r="Q433" s="2" t="n">
        <v>0</v>
      </c>
      <c r="R433" s="2" t="n">
        <v>0</v>
      </c>
      <c r="S433" t="n">
        <v>2</v>
      </c>
      <c r="T433" t="n">
        <v>1</v>
      </c>
      <c r="U433" t="n">
        <v>1</v>
      </c>
      <c r="V433" t="n">
        <v>0</v>
      </c>
      <c r="W433" t="n">
        <v>2</v>
      </c>
      <c r="X433" t="n">
        <v>1</v>
      </c>
      <c r="Y433" t="n">
        <v>0</v>
      </c>
      <c r="Z433" t="n">
        <v>1</v>
      </c>
      <c r="AA433" t="n">
        <v>0</v>
      </c>
      <c r="AB433" t="n">
        <v>278</v>
      </c>
      <c r="AC433" t="inlineStr">
        <is>
          <t>Hello World!</t>
        </is>
      </c>
    </row>
    <row r="434" ht="16" customHeight="1">
      <c r="A434" s="1" t="inlineStr">
        <is>
          <t>73.Blue 1</t>
        </is>
      </c>
      <c r="B434" s="2" t="inlineStr">
        <is>
          <t>Colby Jackson</t>
        </is>
      </c>
      <c r="C434" s="2" t="n">
        <v>73</v>
      </c>
      <c r="D434" s="2" t="inlineStr">
        <is>
          <t>b1</t>
        </is>
      </c>
      <c r="E434" s="2" t="n">
        <v>325</v>
      </c>
      <c r="F434" s="2" t="n">
        <v>1</v>
      </c>
      <c r="G434" s="2" t="n">
        <v>0</v>
      </c>
      <c r="H434" s="2" t="n">
        <v>0</v>
      </c>
      <c r="I434" s="2" t="n">
        <v>1</v>
      </c>
      <c r="J434" s="2" t="n">
        <v>5</v>
      </c>
      <c r="K434" s="2" t="n">
        <v>2</v>
      </c>
      <c r="L434" s="2" t="n">
        <v>3</v>
      </c>
      <c r="M434" s="2" t="n">
        <v>1</v>
      </c>
      <c r="N434" s="2" t="n">
        <v>0</v>
      </c>
      <c r="O434" s="2" t="n">
        <v>0</v>
      </c>
      <c r="P434" s="2" t="n">
        <v>1</v>
      </c>
      <c r="Q434" s="2" t="n">
        <v>0</v>
      </c>
      <c r="R434" s="2" t="n">
        <v>1</v>
      </c>
      <c r="S434" t="n">
        <v>-1</v>
      </c>
      <c r="T434" t="n">
        <v>0</v>
      </c>
      <c r="U434" t="n">
        <v>1</v>
      </c>
      <c r="V434" t="n">
        <v>1</v>
      </c>
      <c r="W434" t="n">
        <v>4</v>
      </c>
      <c r="X434" t="n">
        <v>1</v>
      </c>
      <c r="Y434" t="n">
        <v>1</v>
      </c>
      <c r="Z434" t="n">
        <v>0</v>
      </c>
      <c r="AA434" t="n">
        <v>1</v>
      </c>
      <c r="AB434" t="n">
        <v>192</v>
      </c>
      <c r="AC434" t="inlineStr">
        <is>
          <t>Hello World!</t>
        </is>
      </c>
    </row>
    <row r="435" ht="16" customHeight="1">
      <c r="A435" s="1" t="inlineStr">
        <is>
          <t>73.Blue 2</t>
        </is>
      </c>
      <c r="B435" s="2" t="inlineStr">
        <is>
          <t>Celton Norter</t>
        </is>
      </c>
      <c r="C435" s="2" t="n">
        <v>73</v>
      </c>
      <c r="D435" s="2" t="inlineStr">
        <is>
          <t>b2</t>
        </is>
      </c>
      <c r="E435" s="2" t="n">
        <v>191</v>
      </c>
      <c r="F435" s="2" t="n">
        <v>1</v>
      </c>
      <c r="G435" s="2" t="n">
        <v>1</v>
      </c>
      <c r="H435" s="2" t="n">
        <v>0</v>
      </c>
      <c r="I435" s="2" t="n">
        <v>1</v>
      </c>
      <c r="J435" s="2" t="n">
        <v>1</v>
      </c>
      <c r="K435" s="2" t="n">
        <v>1</v>
      </c>
      <c r="L435" s="2" t="n">
        <v>3</v>
      </c>
      <c r="M435" s="2" t="n">
        <v>3</v>
      </c>
      <c r="N435" s="2" t="n">
        <v>0</v>
      </c>
      <c r="O435" s="2" t="n">
        <v>0</v>
      </c>
      <c r="P435" s="2" t="n">
        <v>1</v>
      </c>
      <c r="Q435" s="2" t="n">
        <v>0</v>
      </c>
      <c r="R435" s="2" t="n">
        <v>0</v>
      </c>
      <c r="S435" t="n">
        <v>-1</v>
      </c>
      <c r="T435" t="n">
        <v>0</v>
      </c>
      <c r="U435" t="n">
        <v>0</v>
      </c>
      <c r="V435" t="n">
        <v>0</v>
      </c>
      <c r="W435" t="n">
        <v>4</v>
      </c>
      <c r="X435" t="n">
        <v>-1</v>
      </c>
      <c r="Y435" t="n">
        <v>1</v>
      </c>
      <c r="Z435" t="n">
        <v>0</v>
      </c>
      <c r="AA435" t="n">
        <v>1</v>
      </c>
      <c r="AB435" t="n">
        <v>27</v>
      </c>
      <c r="AC435" t="inlineStr">
        <is>
          <t>Hello World!</t>
        </is>
      </c>
    </row>
    <row r="436" ht="16" customHeight="1">
      <c r="A436" s="1" t="inlineStr">
        <is>
          <t>73.Blue 3</t>
        </is>
      </c>
      <c r="B436" s="2" t="inlineStr">
        <is>
          <t>Andrew Crawford</t>
        </is>
      </c>
      <c r="C436" s="2" t="n">
        <v>73</v>
      </c>
      <c r="D436" s="2" t="inlineStr">
        <is>
          <t>b3</t>
        </is>
      </c>
      <c r="E436" s="2" t="n">
        <v>1468</v>
      </c>
      <c r="F436" s="2" t="n">
        <v>1</v>
      </c>
      <c r="G436" s="2" t="n">
        <v>1</v>
      </c>
      <c r="H436" s="2" t="n">
        <v>1</v>
      </c>
      <c r="I436" s="2" t="n">
        <v>-1</v>
      </c>
      <c r="J436" s="2" t="n">
        <v>1</v>
      </c>
      <c r="K436" s="2" t="n">
        <v>3</v>
      </c>
      <c r="L436" s="2" t="n">
        <v>1</v>
      </c>
      <c r="M436" s="2" t="n">
        <v>1</v>
      </c>
      <c r="N436" s="2" t="n">
        <v>1</v>
      </c>
      <c r="O436" s="2" t="n">
        <v>0</v>
      </c>
      <c r="P436" s="2" t="n">
        <v>0</v>
      </c>
      <c r="Q436" s="2" t="n">
        <v>0</v>
      </c>
      <c r="R436" s="2" t="n">
        <v>1</v>
      </c>
      <c r="S436" t="n">
        <v>2</v>
      </c>
      <c r="T436" t="n">
        <v>0</v>
      </c>
      <c r="U436" t="n">
        <v>1</v>
      </c>
      <c r="V436" t="n">
        <v>0</v>
      </c>
      <c r="W436" t="n">
        <v>1</v>
      </c>
      <c r="X436" t="n">
        <v>-1</v>
      </c>
      <c r="Y436" t="n">
        <v>0</v>
      </c>
      <c r="Z436" t="n">
        <v>1</v>
      </c>
      <c r="AA436" t="n">
        <v>1</v>
      </c>
      <c r="AB436" t="n">
        <v>283</v>
      </c>
      <c r="AC436" t="inlineStr">
        <is>
          <t>Hello World!</t>
        </is>
      </c>
    </row>
    <row r="437" ht="16" customHeight="1">
      <c r="A437" s="1" t="inlineStr">
        <is>
          <t>73.Red 1</t>
        </is>
      </c>
      <c r="B437" s="2" t="inlineStr">
        <is>
          <t>Eli Harrison</t>
        </is>
      </c>
      <c r="C437" s="2" t="n">
        <v>73</v>
      </c>
      <c r="D437" s="2" t="inlineStr">
        <is>
          <t>r1</t>
        </is>
      </c>
      <c r="E437" s="2" t="n">
        <v>3951</v>
      </c>
      <c r="F437" s="2" t="n">
        <v>0</v>
      </c>
      <c r="G437" s="2" t="n">
        <v>1</v>
      </c>
      <c r="H437" s="2" t="n">
        <v>1</v>
      </c>
      <c r="I437" s="2" t="n">
        <v>-1</v>
      </c>
      <c r="J437" s="2" t="n">
        <v>2</v>
      </c>
      <c r="K437" s="2" t="n">
        <v>2</v>
      </c>
      <c r="L437" s="2" t="n">
        <v>3</v>
      </c>
      <c r="M437" s="2" t="n">
        <v>2</v>
      </c>
      <c r="N437" s="2" t="n">
        <v>1</v>
      </c>
      <c r="O437" s="2" t="n">
        <v>0</v>
      </c>
      <c r="P437" s="2" t="n">
        <v>1</v>
      </c>
      <c r="Q437" s="2" t="n">
        <v>1</v>
      </c>
      <c r="R437" s="2" t="n">
        <v>0</v>
      </c>
      <c r="S437" t="n">
        <v>2</v>
      </c>
      <c r="T437" t="n">
        <v>1</v>
      </c>
      <c r="U437" t="n">
        <v>1</v>
      </c>
      <c r="V437" t="n">
        <v>0</v>
      </c>
      <c r="W437" t="n">
        <v>5</v>
      </c>
      <c r="X437" t="n">
        <v>1</v>
      </c>
      <c r="Y437" t="n">
        <v>1</v>
      </c>
      <c r="Z437" t="n">
        <v>1</v>
      </c>
      <c r="AA437" t="n">
        <v>0</v>
      </c>
      <c r="AB437" t="n">
        <v>116</v>
      </c>
      <c r="AC437" t="inlineStr">
        <is>
          <t>Hello World!</t>
        </is>
      </c>
    </row>
    <row r="438" ht="16" customHeight="1">
      <c r="A438" s="1" t="inlineStr">
        <is>
          <t>73.Red 2</t>
        </is>
      </c>
      <c r="B438" s="2" t="inlineStr">
        <is>
          <t>Celton Norter</t>
        </is>
      </c>
      <c r="C438" s="2" t="n">
        <v>73</v>
      </c>
      <c r="D438" s="2" t="inlineStr">
        <is>
          <t>r2</t>
        </is>
      </c>
      <c r="E438" s="2" t="n">
        <v>1056</v>
      </c>
      <c r="F438" s="2" t="n">
        <v>1</v>
      </c>
      <c r="G438" s="2" t="n">
        <v>0</v>
      </c>
      <c r="H438" s="2" t="n">
        <v>0</v>
      </c>
      <c r="I438" s="2" t="n">
        <v>1</v>
      </c>
      <c r="J438" s="2" t="n">
        <v>5</v>
      </c>
      <c r="K438" s="2" t="n">
        <v>1</v>
      </c>
      <c r="L438" s="2" t="n">
        <v>1</v>
      </c>
      <c r="M438" s="2" t="n">
        <v>2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5</v>
      </c>
      <c r="X438" t="n">
        <v>1</v>
      </c>
      <c r="Y438" t="n">
        <v>0</v>
      </c>
      <c r="Z438" t="n">
        <v>0</v>
      </c>
      <c r="AA438" t="n">
        <v>1</v>
      </c>
      <c r="AB438" t="n">
        <v>190</v>
      </c>
      <c r="AC438" t="inlineStr">
        <is>
          <t>Hello World!</t>
        </is>
      </c>
    </row>
    <row r="439" ht="16" customHeight="1">
      <c r="A439" s="1" t="inlineStr">
        <is>
          <t>73.Red 3</t>
        </is>
      </c>
      <c r="B439" s="2" t="inlineStr">
        <is>
          <t xml:space="preserve">Tetra Ukav </t>
        </is>
      </c>
      <c r="C439" s="2" t="n">
        <v>73</v>
      </c>
      <c r="D439" s="2" t="inlineStr">
        <is>
          <t>r3</t>
        </is>
      </c>
      <c r="E439" s="2" t="n">
        <v>353</v>
      </c>
      <c r="F439" s="2" t="n">
        <v>0</v>
      </c>
      <c r="G439" s="2" t="n">
        <v>1</v>
      </c>
      <c r="H439" s="2" t="n">
        <v>1</v>
      </c>
      <c r="I439" s="2" t="n">
        <v>0</v>
      </c>
      <c r="J439" s="2" t="n">
        <v>4</v>
      </c>
      <c r="K439" s="2" t="n">
        <v>1</v>
      </c>
      <c r="L439" s="2" t="n">
        <v>1</v>
      </c>
      <c r="M439" s="2" t="n">
        <v>5</v>
      </c>
      <c r="N439" s="2" t="n">
        <v>1</v>
      </c>
      <c r="O439" s="2" t="n">
        <v>1</v>
      </c>
      <c r="P439" s="2" t="n">
        <v>1</v>
      </c>
      <c r="Q439" s="2" t="n">
        <v>0</v>
      </c>
      <c r="R439" s="2" t="n">
        <v>0</v>
      </c>
      <c r="S439" t="n">
        <v>3</v>
      </c>
      <c r="T439" t="n">
        <v>1</v>
      </c>
      <c r="U439" t="n">
        <v>0</v>
      </c>
      <c r="V439" t="n">
        <v>0</v>
      </c>
      <c r="W439" t="n">
        <v>5</v>
      </c>
      <c r="X439" t="n">
        <v>-1</v>
      </c>
      <c r="Y439" t="n">
        <v>1</v>
      </c>
      <c r="Z439" t="n">
        <v>1</v>
      </c>
      <c r="AA439" t="n">
        <v>1</v>
      </c>
      <c r="AB439" t="n">
        <v>297</v>
      </c>
      <c r="AC439" t="inlineStr">
        <is>
          <t>Hello World!</t>
        </is>
      </c>
    </row>
    <row r="440" ht="16" customHeight="1">
      <c r="A440" s="1" t="inlineStr">
        <is>
          <t>74.Blue 1</t>
        </is>
      </c>
      <c r="B440" s="2" t="inlineStr">
        <is>
          <t>Dean Blanchard</t>
        </is>
      </c>
      <c r="C440" s="2" t="n">
        <v>74</v>
      </c>
      <c r="D440" s="2" t="inlineStr">
        <is>
          <t>b1</t>
        </is>
      </c>
      <c r="E440" s="2" t="n">
        <v>564</v>
      </c>
      <c r="F440" s="2" t="n">
        <v>0</v>
      </c>
      <c r="G440" s="2" t="n">
        <v>1</v>
      </c>
      <c r="H440" s="2" t="n">
        <v>0</v>
      </c>
      <c r="I440" s="2" t="n">
        <v>-1</v>
      </c>
      <c r="J440" s="2" t="n">
        <v>5</v>
      </c>
      <c r="K440" s="2" t="n">
        <v>2</v>
      </c>
      <c r="L440" s="2" t="n">
        <v>3</v>
      </c>
      <c r="M440" s="2" t="n">
        <v>5</v>
      </c>
      <c r="N440" s="2" t="n">
        <v>0</v>
      </c>
      <c r="O440" s="2" t="n">
        <v>1</v>
      </c>
      <c r="P440" s="2" t="n">
        <v>1</v>
      </c>
      <c r="Q440" s="2" t="n">
        <v>1</v>
      </c>
      <c r="R440" s="2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5</v>
      </c>
      <c r="X440" t="n">
        <v>-1</v>
      </c>
      <c r="Y440" t="n">
        <v>0</v>
      </c>
      <c r="Z440" t="n">
        <v>1</v>
      </c>
      <c r="AA440" t="n">
        <v>0</v>
      </c>
      <c r="AB440" t="n">
        <v>242</v>
      </c>
      <c r="AC440" t="inlineStr">
        <is>
          <t>Hello World!</t>
        </is>
      </c>
    </row>
    <row r="441" ht="16" customHeight="1">
      <c r="A441" s="1" t="inlineStr">
        <is>
          <t>74.Blue 2</t>
        </is>
      </c>
      <c r="B441" s="2" t="inlineStr">
        <is>
          <t>Arthur Sayre</t>
        </is>
      </c>
      <c r="C441" s="2" t="n">
        <v>74</v>
      </c>
      <c r="D441" s="2" t="inlineStr">
        <is>
          <t>b2</t>
        </is>
      </c>
      <c r="E441" s="2" t="n">
        <v>694</v>
      </c>
      <c r="F441" s="2" t="n">
        <v>1</v>
      </c>
      <c r="G441" s="2" t="n">
        <v>1</v>
      </c>
      <c r="H441" s="2" t="n">
        <v>1</v>
      </c>
      <c r="I441" s="2" t="n">
        <v>-1</v>
      </c>
      <c r="J441" s="2" t="n">
        <v>1</v>
      </c>
      <c r="K441" s="2" t="n">
        <v>3</v>
      </c>
      <c r="L441" s="2" t="n">
        <v>1</v>
      </c>
      <c r="M441" s="2" t="n">
        <v>4</v>
      </c>
      <c r="N441" s="2" t="n">
        <v>1</v>
      </c>
      <c r="O441" s="2" t="n">
        <v>0</v>
      </c>
      <c r="P441" s="2" t="n">
        <v>0</v>
      </c>
      <c r="Q441" s="2" t="n">
        <v>0</v>
      </c>
      <c r="R441" s="2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5</v>
      </c>
      <c r="X441" t="n">
        <v>1</v>
      </c>
      <c r="Y441" t="n">
        <v>1</v>
      </c>
      <c r="Z441" t="n">
        <v>1</v>
      </c>
      <c r="AA441" t="n">
        <v>1</v>
      </c>
      <c r="AB441" t="n">
        <v>204</v>
      </c>
      <c r="AC441" t="inlineStr">
        <is>
          <t>Hello World!</t>
        </is>
      </c>
    </row>
    <row r="442" ht="16" customHeight="1">
      <c r="A442" s="1" t="inlineStr">
        <is>
          <t>74.Blue 3</t>
        </is>
      </c>
      <c r="B442" s="2" t="inlineStr">
        <is>
          <t>Dean Blanchard</t>
        </is>
      </c>
      <c r="C442" s="2" t="n">
        <v>74</v>
      </c>
      <c r="D442" s="2" t="inlineStr">
        <is>
          <t>b3</t>
        </is>
      </c>
      <c r="E442" s="2" t="n">
        <v>20</v>
      </c>
      <c r="F442" s="2" t="n">
        <v>0</v>
      </c>
      <c r="G442" s="2" t="n">
        <v>0</v>
      </c>
      <c r="H442" s="2" t="n">
        <v>1</v>
      </c>
      <c r="I442" s="2" t="n">
        <v>0</v>
      </c>
      <c r="J442" s="2" t="n">
        <v>5</v>
      </c>
      <c r="K442" s="2" t="n">
        <v>1</v>
      </c>
      <c r="L442" s="2" t="n">
        <v>1</v>
      </c>
      <c r="M442" s="2" t="n">
        <v>5</v>
      </c>
      <c r="N442" s="2" t="n">
        <v>1</v>
      </c>
      <c r="O442" s="2" t="n">
        <v>0</v>
      </c>
      <c r="P442" s="2" t="n">
        <v>1</v>
      </c>
      <c r="Q442" s="2" t="n">
        <v>1</v>
      </c>
      <c r="R442" s="2" t="n">
        <v>0</v>
      </c>
      <c r="S442" t="n">
        <v>2</v>
      </c>
      <c r="T442" t="n">
        <v>1</v>
      </c>
      <c r="U442" t="n">
        <v>1</v>
      </c>
      <c r="V442" t="n">
        <v>0</v>
      </c>
      <c r="W442" t="n">
        <v>4</v>
      </c>
      <c r="X442" t="n">
        <v>0</v>
      </c>
      <c r="Y442" t="n">
        <v>0</v>
      </c>
      <c r="Z442" t="n">
        <v>0</v>
      </c>
      <c r="AA442" t="n">
        <v>1</v>
      </c>
      <c r="AB442" t="n">
        <v>171</v>
      </c>
      <c r="AC442" t="inlineStr">
        <is>
          <t>Hello World!</t>
        </is>
      </c>
    </row>
    <row r="443" ht="16" customHeight="1">
      <c r="A443" s="1" t="inlineStr">
        <is>
          <t>74.Red 1</t>
        </is>
      </c>
      <c r="B443" s="2" t="inlineStr">
        <is>
          <t>Runa Hunt</t>
        </is>
      </c>
      <c r="C443" s="2" t="n">
        <v>74</v>
      </c>
      <c r="D443" s="2" t="inlineStr">
        <is>
          <t>r1</t>
        </is>
      </c>
      <c r="E443" s="2" t="n">
        <v>1781</v>
      </c>
      <c r="F443" s="2" t="n">
        <v>0</v>
      </c>
      <c r="G443" s="2" t="n">
        <v>0</v>
      </c>
      <c r="H443" s="2" t="n">
        <v>1</v>
      </c>
      <c r="I443" s="2" t="n">
        <v>0</v>
      </c>
      <c r="J443" s="2" t="n">
        <v>5</v>
      </c>
      <c r="K443" s="2" t="n">
        <v>2</v>
      </c>
      <c r="L443" s="2" t="n">
        <v>3</v>
      </c>
      <c r="M443" s="2" t="n">
        <v>4</v>
      </c>
      <c r="N443" s="2" t="n">
        <v>1</v>
      </c>
      <c r="O443" s="2" t="n">
        <v>1</v>
      </c>
      <c r="P443" s="2" t="n">
        <v>1</v>
      </c>
      <c r="Q443" s="2" t="n">
        <v>1</v>
      </c>
      <c r="R443" s="2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4</v>
      </c>
      <c r="X443" t="n">
        <v>-1</v>
      </c>
      <c r="Y443" t="n">
        <v>0</v>
      </c>
      <c r="Z443" t="n">
        <v>0</v>
      </c>
      <c r="AA443" t="n">
        <v>0</v>
      </c>
      <c r="AB443" t="n">
        <v>278</v>
      </c>
      <c r="AC443" t="inlineStr">
        <is>
          <t>Hello World!</t>
        </is>
      </c>
    </row>
    <row r="444" ht="16" customHeight="1">
      <c r="A444" s="1" t="inlineStr">
        <is>
          <t>74.Red 2</t>
        </is>
      </c>
      <c r="B444" s="2" t="inlineStr">
        <is>
          <t>Jonah WoikaKai Wilbur</t>
        </is>
      </c>
      <c r="C444" s="2" t="n">
        <v>74</v>
      </c>
      <c r="D444" s="2" t="inlineStr">
        <is>
          <t>r2</t>
        </is>
      </c>
      <c r="E444" s="2" t="n">
        <v>7903</v>
      </c>
      <c r="F444" s="2" t="n">
        <v>0</v>
      </c>
      <c r="G444" s="2" t="n">
        <v>1</v>
      </c>
      <c r="H444" s="2" t="n">
        <v>1</v>
      </c>
      <c r="I444" s="2" t="n">
        <v>0</v>
      </c>
      <c r="J444" s="2" t="n">
        <v>1</v>
      </c>
      <c r="K444" s="2" t="n">
        <v>2</v>
      </c>
      <c r="L444" s="2" t="n">
        <v>1</v>
      </c>
      <c r="M444" s="2" t="n">
        <v>5</v>
      </c>
      <c r="N444" s="2" t="n">
        <v>0</v>
      </c>
      <c r="O444" s="2" t="n">
        <v>1</v>
      </c>
      <c r="P444" s="2" t="n">
        <v>0</v>
      </c>
      <c r="Q444" s="2" t="n">
        <v>1</v>
      </c>
      <c r="R444" s="2" t="n">
        <v>1</v>
      </c>
      <c r="S444" t="n">
        <v>0</v>
      </c>
      <c r="T444" t="n">
        <v>1</v>
      </c>
      <c r="U444" t="n">
        <v>1</v>
      </c>
      <c r="V444" t="n">
        <v>1</v>
      </c>
      <c r="W444" t="n">
        <v>3</v>
      </c>
      <c r="X444" t="n">
        <v>0</v>
      </c>
      <c r="Y444" t="n">
        <v>0</v>
      </c>
      <c r="Z444" t="n">
        <v>0</v>
      </c>
      <c r="AA444" t="n">
        <v>0</v>
      </c>
      <c r="AB444" t="n">
        <v>180</v>
      </c>
      <c r="AC444" t="inlineStr">
        <is>
          <t>Hello World!</t>
        </is>
      </c>
    </row>
    <row r="445" ht="16" customHeight="1">
      <c r="A445" s="1" t="inlineStr">
        <is>
          <t>74.Red 3</t>
        </is>
      </c>
      <c r="B445" s="2" t="inlineStr">
        <is>
          <t>Ethan Stiffler</t>
        </is>
      </c>
      <c r="C445" s="2" t="n">
        <v>74</v>
      </c>
      <c r="D445" s="2" t="inlineStr">
        <is>
          <t>r3</t>
        </is>
      </c>
      <c r="E445" s="2" t="n">
        <v>3838</v>
      </c>
      <c r="F445" s="2" t="n">
        <v>0</v>
      </c>
      <c r="G445" s="2" t="n">
        <v>0</v>
      </c>
      <c r="H445" s="2" t="n">
        <v>1</v>
      </c>
      <c r="I445" s="2" t="n">
        <v>1</v>
      </c>
      <c r="J445" s="2" t="n">
        <v>2</v>
      </c>
      <c r="K445" s="2" t="n">
        <v>1</v>
      </c>
      <c r="L445" s="2" t="n">
        <v>3</v>
      </c>
      <c r="M445" s="2" t="n">
        <v>5</v>
      </c>
      <c r="N445" s="2" t="n">
        <v>1</v>
      </c>
      <c r="O445" s="2" t="n">
        <v>1</v>
      </c>
      <c r="P445" s="2" t="n">
        <v>0</v>
      </c>
      <c r="Q445" s="2" t="n">
        <v>0</v>
      </c>
      <c r="R445" s="2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2</v>
      </c>
      <c r="X445" t="n">
        <v>0</v>
      </c>
      <c r="Y445" t="n">
        <v>0</v>
      </c>
      <c r="Z445" t="n">
        <v>0</v>
      </c>
      <c r="AA445" t="n">
        <v>1</v>
      </c>
      <c r="AB445" t="n">
        <v>110</v>
      </c>
      <c r="AC445" t="inlineStr">
        <is>
          <t>Hello World!</t>
        </is>
      </c>
    </row>
    <row r="446" ht="16" customHeight="1">
      <c r="A446" s="1" t="inlineStr">
        <is>
          <t>75.Blue 1</t>
        </is>
      </c>
      <c r="B446" s="2" t="inlineStr">
        <is>
          <t>Jonah WoikaKai Wilbur</t>
        </is>
      </c>
      <c r="C446" s="2" t="n">
        <v>75</v>
      </c>
      <c r="D446" s="2" t="inlineStr">
        <is>
          <t>b1</t>
        </is>
      </c>
      <c r="E446" s="2" t="n">
        <v>5590</v>
      </c>
      <c r="F446" s="2" t="n">
        <v>0</v>
      </c>
      <c r="G446" s="2" t="n">
        <v>0</v>
      </c>
      <c r="H446" s="2" t="n">
        <v>0</v>
      </c>
      <c r="I446" s="2" t="n">
        <v>1</v>
      </c>
      <c r="J446" s="2" t="n">
        <v>1</v>
      </c>
      <c r="K446" s="2" t="n">
        <v>3</v>
      </c>
      <c r="L446" s="2" t="n">
        <v>1</v>
      </c>
      <c r="M446" s="2" t="n">
        <v>1</v>
      </c>
      <c r="N446" s="2" t="n">
        <v>1</v>
      </c>
      <c r="O446" s="2" t="n">
        <v>0</v>
      </c>
      <c r="P446" s="2" t="n">
        <v>1</v>
      </c>
      <c r="Q446" s="2" t="n">
        <v>0</v>
      </c>
      <c r="R446" s="2" t="n">
        <v>0</v>
      </c>
      <c r="S446" t="n">
        <v>2</v>
      </c>
      <c r="T446" t="n">
        <v>1</v>
      </c>
      <c r="U446" t="n">
        <v>1</v>
      </c>
      <c r="V446" t="n">
        <v>0</v>
      </c>
      <c r="W446" t="n">
        <v>2</v>
      </c>
      <c r="X446" t="n">
        <v>-1</v>
      </c>
      <c r="Y446" t="n">
        <v>1</v>
      </c>
      <c r="Z446" t="n">
        <v>1</v>
      </c>
      <c r="AA446" t="n">
        <v>1</v>
      </c>
      <c r="AB446" t="n">
        <v>285</v>
      </c>
      <c r="AC446" t="inlineStr">
        <is>
          <t>Hello World!</t>
        </is>
      </c>
    </row>
    <row r="447" ht="16" customHeight="1">
      <c r="A447" s="1" t="inlineStr">
        <is>
          <t>75.Blue 2</t>
        </is>
      </c>
      <c r="B447" s="2" t="inlineStr">
        <is>
          <t xml:space="preserve">Tyler Hignett </t>
        </is>
      </c>
      <c r="C447" s="2" t="n">
        <v>75</v>
      </c>
      <c r="D447" s="2" t="inlineStr">
        <is>
          <t>b2</t>
        </is>
      </c>
      <c r="E447" s="2" t="n">
        <v>1518</v>
      </c>
      <c r="F447" s="2" t="n">
        <v>1</v>
      </c>
      <c r="G447" s="2" t="n">
        <v>0</v>
      </c>
      <c r="H447" s="2" t="n">
        <v>1</v>
      </c>
      <c r="I447" s="2" t="n">
        <v>1</v>
      </c>
      <c r="J447" s="2" t="n">
        <v>5</v>
      </c>
      <c r="K447" s="2" t="n">
        <v>1</v>
      </c>
      <c r="L447" s="2" t="n">
        <v>3</v>
      </c>
      <c r="M447" s="2" t="n">
        <v>3</v>
      </c>
      <c r="N447" s="2" t="n">
        <v>1</v>
      </c>
      <c r="O447" s="2" t="n">
        <v>1</v>
      </c>
      <c r="P447" s="2" t="n">
        <v>0</v>
      </c>
      <c r="Q447" s="2" t="n">
        <v>1</v>
      </c>
      <c r="R447" s="2" t="n">
        <v>0</v>
      </c>
      <c r="S447" t="n">
        <v>-1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n">
        <v>31</v>
      </c>
      <c r="AC447" t="inlineStr">
        <is>
          <t>Hello World!</t>
        </is>
      </c>
    </row>
    <row r="448" ht="16" customHeight="1">
      <c r="A448" s="1" t="inlineStr">
        <is>
          <t>75.Blue 3</t>
        </is>
      </c>
      <c r="B448" s="2" t="inlineStr">
        <is>
          <t>Gianmarco D'Angelo</t>
        </is>
      </c>
      <c r="C448" s="2" t="n">
        <v>75</v>
      </c>
      <c r="D448" s="2" t="inlineStr">
        <is>
          <t>b3</t>
        </is>
      </c>
      <c r="E448" s="2" t="n">
        <v>1405</v>
      </c>
      <c r="F448" s="2" t="n">
        <v>1</v>
      </c>
      <c r="G448" s="2" t="n">
        <v>0</v>
      </c>
      <c r="H448" s="2" t="n">
        <v>1</v>
      </c>
      <c r="I448" s="2" t="n">
        <v>0</v>
      </c>
      <c r="J448" s="2" t="n">
        <v>5</v>
      </c>
      <c r="K448" s="2" t="n">
        <v>3</v>
      </c>
      <c r="L448" s="2" t="n">
        <v>1</v>
      </c>
      <c r="M448" s="2" t="n">
        <v>5</v>
      </c>
      <c r="N448" s="2" t="n">
        <v>1</v>
      </c>
      <c r="O448" s="2" t="n">
        <v>0</v>
      </c>
      <c r="P448" s="2" t="n">
        <v>0</v>
      </c>
      <c r="Q448" s="2" t="n">
        <v>0</v>
      </c>
      <c r="R448" s="2" t="n">
        <v>1</v>
      </c>
      <c r="S448" t="n">
        <v>-1</v>
      </c>
      <c r="T448" t="n">
        <v>1</v>
      </c>
      <c r="U448" t="n">
        <v>1</v>
      </c>
      <c r="V448" t="n">
        <v>1</v>
      </c>
      <c r="W448" t="n">
        <v>1</v>
      </c>
      <c r="X448" t="n">
        <v>-1</v>
      </c>
      <c r="Y448" t="n">
        <v>0</v>
      </c>
      <c r="Z448" t="n">
        <v>0</v>
      </c>
      <c r="AA448" t="n">
        <v>0</v>
      </c>
      <c r="AB448" t="n">
        <v>193</v>
      </c>
      <c r="AC448" t="inlineStr">
        <is>
          <t>Hello World!</t>
        </is>
      </c>
    </row>
    <row r="449" ht="16" customHeight="1">
      <c r="A449" s="1" t="inlineStr">
        <is>
          <t>75.Red 1</t>
        </is>
      </c>
      <c r="B449" s="2" t="inlineStr">
        <is>
          <t>Dean Blanchard</t>
        </is>
      </c>
      <c r="C449" s="2" t="n">
        <v>75</v>
      </c>
      <c r="D449" s="2" t="inlineStr">
        <is>
          <t>r1</t>
        </is>
      </c>
      <c r="E449" s="2" t="n">
        <v>578</v>
      </c>
      <c r="F449" s="2" t="n">
        <v>0</v>
      </c>
      <c r="G449" s="2" t="n">
        <v>1</v>
      </c>
      <c r="H449" s="2" t="n">
        <v>1</v>
      </c>
      <c r="I449" s="2" t="n">
        <v>1</v>
      </c>
      <c r="J449" s="2" t="n">
        <v>5</v>
      </c>
      <c r="K449" s="2" t="n">
        <v>1</v>
      </c>
      <c r="L449" s="2" t="n">
        <v>2</v>
      </c>
      <c r="M449" s="2" t="n">
        <v>5</v>
      </c>
      <c r="N449" s="2" t="n">
        <v>0</v>
      </c>
      <c r="O449" s="2" t="n">
        <v>1</v>
      </c>
      <c r="P449" s="2" t="n">
        <v>0</v>
      </c>
      <c r="Q449" s="2" t="n">
        <v>0</v>
      </c>
      <c r="R449" s="2" t="n">
        <v>1</v>
      </c>
      <c r="S449" t="n">
        <v>3</v>
      </c>
      <c r="T449" t="n">
        <v>0</v>
      </c>
      <c r="U449" t="n">
        <v>0</v>
      </c>
      <c r="V449" t="n">
        <v>0</v>
      </c>
      <c r="W449" t="n">
        <v>2</v>
      </c>
      <c r="X449" t="n">
        <v>1</v>
      </c>
      <c r="Y449" t="n">
        <v>0</v>
      </c>
      <c r="Z449" t="n">
        <v>1</v>
      </c>
      <c r="AA449" t="n">
        <v>0</v>
      </c>
      <c r="AB449" t="n">
        <v>288</v>
      </c>
      <c r="AC449" t="inlineStr">
        <is>
          <t>Hello World!</t>
        </is>
      </c>
    </row>
    <row r="450" ht="16" customHeight="1">
      <c r="A450" s="1" t="inlineStr">
        <is>
          <t>75.Red 2</t>
        </is>
      </c>
      <c r="B450" s="2" t="inlineStr">
        <is>
          <t>Caitlin Munier</t>
        </is>
      </c>
      <c r="C450" s="2" t="n">
        <v>75</v>
      </c>
      <c r="D450" s="2" t="inlineStr">
        <is>
          <t>r2</t>
        </is>
      </c>
      <c r="E450" s="2" t="n">
        <v>1591</v>
      </c>
      <c r="F450" s="2" t="n">
        <v>0</v>
      </c>
      <c r="G450" s="2" t="n">
        <v>1</v>
      </c>
      <c r="H450" s="2" t="n">
        <v>0</v>
      </c>
      <c r="I450" s="2" t="n">
        <v>-1</v>
      </c>
      <c r="J450" s="2" t="n">
        <v>1</v>
      </c>
      <c r="K450" s="2" t="n">
        <v>1</v>
      </c>
      <c r="L450" s="2" t="n">
        <v>1</v>
      </c>
      <c r="M450" s="2" t="n">
        <v>3</v>
      </c>
      <c r="N450" s="2" t="n">
        <v>0</v>
      </c>
      <c r="O450" s="2" t="n">
        <v>1</v>
      </c>
      <c r="P450" s="2" t="n">
        <v>1</v>
      </c>
      <c r="Q450" s="2" t="n">
        <v>0</v>
      </c>
      <c r="R450" s="2" t="n">
        <v>0</v>
      </c>
      <c r="S450" t="n">
        <v>-1</v>
      </c>
      <c r="T450" t="n">
        <v>1</v>
      </c>
      <c r="U450" t="n">
        <v>0</v>
      </c>
      <c r="V450" t="n">
        <v>0</v>
      </c>
      <c r="W450" t="n">
        <v>3</v>
      </c>
      <c r="X450" t="n">
        <v>1</v>
      </c>
      <c r="Y450" t="n">
        <v>1</v>
      </c>
      <c r="Z450" t="n">
        <v>0</v>
      </c>
      <c r="AA450" t="n">
        <v>1</v>
      </c>
      <c r="AB450" t="n">
        <v>293</v>
      </c>
      <c r="AC450" t="inlineStr">
        <is>
          <t>Hello World!</t>
        </is>
      </c>
    </row>
    <row r="451" ht="16" customHeight="1">
      <c r="A451" s="1" t="inlineStr">
        <is>
          <t>75.Red 3</t>
        </is>
      </c>
      <c r="B451" s="2" t="inlineStr">
        <is>
          <t>Caitlin Munier</t>
        </is>
      </c>
      <c r="C451" s="2" t="n">
        <v>75</v>
      </c>
      <c r="D451" s="2" t="inlineStr">
        <is>
          <t>r3</t>
        </is>
      </c>
      <c r="E451" s="2" t="n">
        <v>340</v>
      </c>
      <c r="F451" s="2" t="n">
        <v>0</v>
      </c>
      <c r="G451" s="2" t="n">
        <v>1</v>
      </c>
      <c r="H451" s="2" t="n">
        <v>0</v>
      </c>
      <c r="I451" s="2" t="n">
        <v>-1</v>
      </c>
      <c r="J451" s="2" t="n">
        <v>4</v>
      </c>
      <c r="K451" s="2" t="n">
        <v>3</v>
      </c>
      <c r="L451" s="2" t="n">
        <v>2</v>
      </c>
      <c r="M451" s="2" t="n">
        <v>1</v>
      </c>
      <c r="N451" s="2" t="n">
        <v>1</v>
      </c>
      <c r="O451" s="2" t="n">
        <v>0</v>
      </c>
      <c r="P451" s="2" t="n">
        <v>0</v>
      </c>
      <c r="Q451" s="2" t="n">
        <v>1</v>
      </c>
      <c r="R451" s="2" t="n">
        <v>0</v>
      </c>
      <c r="S451" t="n">
        <v>1</v>
      </c>
      <c r="T451" t="n">
        <v>0</v>
      </c>
      <c r="U451" t="n">
        <v>1</v>
      </c>
      <c r="V451" t="n">
        <v>1</v>
      </c>
      <c r="W451" t="n">
        <v>4</v>
      </c>
      <c r="X451" t="n">
        <v>1</v>
      </c>
      <c r="Y451" t="n">
        <v>1</v>
      </c>
      <c r="Z451" t="n">
        <v>0</v>
      </c>
      <c r="AA451" t="n">
        <v>1</v>
      </c>
      <c r="AB451" t="n">
        <v>260</v>
      </c>
      <c r="AC451" t="inlineStr">
        <is>
          <t>Hello World!</t>
        </is>
      </c>
    </row>
    <row r="452" ht="16" customHeight="1">
      <c r="A452" s="1" t="inlineStr">
        <is>
          <t>76.Blue 1</t>
        </is>
      </c>
      <c r="B452" s="2" t="inlineStr">
        <is>
          <t>Nicholas Munier</t>
        </is>
      </c>
      <c r="C452" s="2" t="n">
        <v>76</v>
      </c>
      <c r="D452" s="2" t="inlineStr">
        <is>
          <t>b1</t>
        </is>
      </c>
      <c r="E452" s="2" t="n">
        <v>7030</v>
      </c>
      <c r="F452" s="2" t="n">
        <v>1</v>
      </c>
      <c r="G452" s="2" t="n">
        <v>0</v>
      </c>
      <c r="H452" s="2" t="n">
        <v>1</v>
      </c>
      <c r="I452" s="2" t="n">
        <v>-1</v>
      </c>
      <c r="J452" s="2" t="n">
        <v>2</v>
      </c>
      <c r="K452" s="2" t="n">
        <v>2</v>
      </c>
      <c r="L452" s="2" t="n">
        <v>1</v>
      </c>
      <c r="M452" s="2" t="n">
        <v>3</v>
      </c>
      <c r="N452" s="2" t="n">
        <v>0</v>
      </c>
      <c r="O452" s="2" t="n">
        <v>1</v>
      </c>
      <c r="P452" s="2" t="n">
        <v>1</v>
      </c>
      <c r="Q452" s="2" t="n">
        <v>0</v>
      </c>
      <c r="R452" s="2" t="n">
        <v>1</v>
      </c>
      <c r="S452" t="n">
        <v>2</v>
      </c>
      <c r="T452" t="n">
        <v>1</v>
      </c>
      <c r="U452" t="n">
        <v>0</v>
      </c>
      <c r="V452" t="n">
        <v>0</v>
      </c>
      <c r="W452" t="n">
        <v>1</v>
      </c>
      <c r="X452" t="n">
        <v>-1</v>
      </c>
      <c r="Y452" t="n">
        <v>1</v>
      </c>
      <c r="Z452" t="n">
        <v>0</v>
      </c>
      <c r="AA452" t="n">
        <v>1</v>
      </c>
      <c r="AB452" t="n">
        <v>266</v>
      </c>
      <c r="AC452" t="inlineStr">
        <is>
          <t>Hello World!</t>
        </is>
      </c>
    </row>
    <row r="453" ht="16" customHeight="1">
      <c r="A453" s="1" t="inlineStr">
        <is>
          <t>76.Blue 2</t>
        </is>
      </c>
      <c r="B453" s="2" t="inlineStr">
        <is>
          <t>Caitlin Munier</t>
        </is>
      </c>
      <c r="C453" s="2" t="n">
        <v>76</v>
      </c>
      <c r="D453" s="2" t="inlineStr">
        <is>
          <t>b2</t>
        </is>
      </c>
      <c r="E453" s="2" t="n">
        <v>2340</v>
      </c>
      <c r="F453" s="2" t="n">
        <v>0</v>
      </c>
      <c r="G453" s="2" t="n">
        <v>1</v>
      </c>
      <c r="H453" s="2" t="n">
        <v>0</v>
      </c>
      <c r="I453" s="2" t="n">
        <v>-1</v>
      </c>
      <c r="J453" s="2" t="n">
        <v>4</v>
      </c>
      <c r="K453" s="2" t="n">
        <v>1</v>
      </c>
      <c r="L453" s="2" t="n">
        <v>2</v>
      </c>
      <c r="M453" s="2" t="n">
        <v>5</v>
      </c>
      <c r="N453" s="2" t="n">
        <v>0</v>
      </c>
      <c r="O453" s="2" t="n">
        <v>1</v>
      </c>
      <c r="P453" s="2" t="n">
        <v>1</v>
      </c>
      <c r="Q453" s="2" t="n">
        <v>0</v>
      </c>
      <c r="R453" s="2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2</v>
      </c>
      <c r="X453" t="n">
        <v>-1</v>
      </c>
      <c r="Y453" t="n">
        <v>0</v>
      </c>
      <c r="Z453" t="n">
        <v>1</v>
      </c>
      <c r="AA453" t="n">
        <v>0</v>
      </c>
      <c r="AB453" t="n">
        <v>290</v>
      </c>
      <c r="AC453" t="inlineStr">
        <is>
          <t>Hello World!</t>
        </is>
      </c>
    </row>
    <row r="454" ht="16" customHeight="1">
      <c r="A454" s="1" t="inlineStr">
        <is>
          <t>76.Blue 3</t>
        </is>
      </c>
      <c r="B454" s="2" t="inlineStr">
        <is>
          <t>Runa Hunt</t>
        </is>
      </c>
      <c r="C454" s="2" t="n">
        <v>76</v>
      </c>
      <c r="D454" s="2" t="inlineStr">
        <is>
          <t>b3</t>
        </is>
      </c>
      <c r="E454" s="2" t="n">
        <v>6423</v>
      </c>
      <c r="F454" s="2" t="n">
        <v>1</v>
      </c>
      <c r="G454" s="2" t="n">
        <v>1</v>
      </c>
      <c r="H454" s="2" t="n">
        <v>0</v>
      </c>
      <c r="I454" s="2" t="n">
        <v>-1</v>
      </c>
      <c r="J454" s="2" t="n">
        <v>4</v>
      </c>
      <c r="K454" s="2" t="n">
        <v>3</v>
      </c>
      <c r="L454" s="2" t="n">
        <v>2</v>
      </c>
      <c r="M454" s="2" t="n">
        <v>3</v>
      </c>
      <c r="N454" s="2" t="n">
        <v>1</v>
      </c>
      <c r="O454" s="2" t="n">
        <v>1</v>
      </c>
      <c r="P454" s="2" t="n">
        <v>0</v>
      </c>
      <c r="Q454" s="2" t="n">
        <v>0</v>
      </c>
      <c r="R454" s="2" t="n">
        <v>1</v>
      </c>
      <c r="S454" t="n">
        <v>-1</v>
      </c>
      <c r="T454" t="n">
        <v>1</v>
      </c>
      <c r="U454" t="n">
        <v>1</v>
      </c>
      <c r="V454" t="n">
        <v>0</v>
      </c>
      <c r="W454" t="n">
        <v>2</v>
      </c>
      <c r="X454" t="n">
        <v>1</v>
      </c>
      <c r="Y454" t="n">
        <v>0</v>
      </c>
      <c r="Z454" t="n">
        <v>0</v>
      </c>
      <c r="AA454" t="n">
        <v>1</v>
      </c>
      <c r="AB454" t="n">
        <v>53</v>
      </c>
      <c r="AC454" t="inlineStr">
        <is>
          <t>Hello World!</t>
        </is>
      </c>
    </row>
    <row r="455" ht="16" customHeight="1">
      <c r="A455" s="1" t="inlineStr">
        <is>
          <t>76.Red 1</t>
        </is>
      </c>
      <c r="B455" s="2" t="inlineStr">
        <is>
          <t>Eli Harrison</t>
        </is>
      </c>
      <c r="C455" s="2" t="n">
        <v>76</v>
      </c>
      <c r="D455" s="2" t="inlineStr">
        <is>
          <t>r1</t>
        </is>
      </c>
      <c r="E455" s="2" t="n">
        <v>6947</v>
      </c>
      <c r="F455" s="2" t="n">
        <v>1</v>
      </c>
      <c r="G455" s="2" t="n">
        <v>0</v>
      </c>
      <c r="H455" s="2" t="n">
        <v>0</v>
      </c>
      <c r="I455" s="2" t="n">
        <v>1</v>
      </c>
      <c r="J455" s="2" t="n">
        <v>1</v>
      </c>
      <c r="K455" s="2" t="n">
        <v>3</v>
      </c>
      <c r="L455" s="2" t="n">
        <v>3</v>
      </c>
      <c r="M455" s="2" t="n">
        <v>4</v>
      </c>
      <c r="N455" s="2" t="n">
        <v>1</v>
      </c>
      <c r="O455" s="2" t="n">
        <v>1</v>
      </c>
      <c r="P455" s="2" t="n">
        <v>1</v>
      </c>
      <c r="Q455" s="2" t="n">
        <v>1</v>
      </c>
      <c r="R455" s="2" t="n">
        <v>1</v>
      </c>
      <c r="S455" t="n">
        <v>2</v>
      </c>
      <c r="T455" t="n">
        <v>1</v>
      </c>
      <c r="U455" t="n">
        <v>1</v>
      </c>
      <c r="V455" t="n">
        <v>0</v>
      </c>
      <c r="W455" t="n">
        <v>4</v>
      </c>
      <c r="X455" t="n">
        <v>1</v>
      </c>
      <c r="Y455" t="n">
        <v>0</v>
      </c>
      <c r="Z455" t="n">
        <v>1</v>
      </c>
      <c r="AA455" t="n">
        <v>0</v>
      </c>
      <c r="AB455" t="n">
        <v>269</v>
      </c>
      <c r="AC455" t="inlineStr">
        <is>
          <t>Hello World!</t>
        </is>
      </c>
    </row>
    <row r="456" ht="16" customHeight="1">
      <c r="A456" s="1" t="inlineStr">
        <is>
          <t>76.Red 2</t>
        </is>
      </c>
      <c r="B456" s="2" t="inlineStr">
        <is>
          <t>Domenic Giammusso</t>
        </is>
      </c>
      <c r="C456" s="2" t="n">
        <v>76</v>
      </c>
      <c r="D456" s="2" t="inlineStr">
        <is>
          <t>r2</t>
        </is>
      </c>
      <c r="E456" s="2" t="n">
        <v>1511</v>
      </c>
      <c r="F456" s="2" t="n">
        <v>1</v>
      </c>
      <c r="G456" s="2" t="n">
        <v>1</v>
      </c>
      <c r="H456" s="2" t="n">
        <v>0</v>
      </c>
      <c r="I456" s="2" t="n">
        <v>1</v>
      </c>
      <c r="J456" s="2" t="n">
        <v>3</v>
      </c>
      <c r="K456" s="2" t="n">
        <v>2</v>
      </c>
      <c r="L456" s="2" t="n">
        <v>2</v>
      </c>
      <c r="M456" s="2" t="n">
        <v>2</v>
      </c>
      <c r="N456" s="2" t="n">
        <v>0</v>
      </c>
      <c r="O456" s="2" t="n">
        <v>1</v>
      </c>
      <c r="P456" s="2" t="n">
        <v>1</v>
      </c>
      <c r="Q456" s="2" t="n">
        <v>1</v>
      </c>
      <c r="R456" s="2" t="n">
        <v>0</v>
      </c>
      <c r="S456" t="n">
        <v>3</v>
      </c>
      <c r="T456" t="n">
        <v>1</v>
      </c>
      <c r="U456" t="n">
        <v>1</v>
      </c>
      <c r="V456" t="n">
        <v>0</v>
      </c>
      <c r="W456" t="n">
        <v>4</v>
      </c>
      <c r="X456" t="n">
        <v>1</v>
      </c>
      <c r="Y456" t="n">
        <v>1</v>
      </c>
      <c r="Z456" t="n">
        <v>0</v>
      </c>
      <c r="AA456" t="n">
        <v>1</v>
      </c>
      <c r="AB456" t="n">
        <v>251</v>
      </c>
      <c r="AC456" t="inlineStr">
        <is>
          <t>Hello World!</t>
        </is>
      </c>
    </row>
    <row r="457" ht="16" customHeight="1">
      <c r="A457" s="1" t="inlineStr">
        <is>
          <t>76.Red 3</t>
        </is>
      </c>
      <c r="B457" s="2" t="inlineStr">
        <is>
          <t>Connor Rapp</t>
        </is>
      </c>
      <c r="C457" s="2" t="n">
        <v>76</v>
      </c>
      <c r="D457" s="2" t="inlineStr">
        <is>
          <t>r3</t>
        </is>
      </c>
      <c r="E457" s="2" t="n">
        <v>9767</v>
      </c>
      <c r="F457" s="2" t="n">
        <v>1</v>
      </c>
      <c r="G457" s="2" t="n">
        <v>1</v>
      </c>
      <c r="H457" s="2" t="n">
        <v>1</v>
      </c>
      <c r="I457" s="2" t="n">
        <v>1</v>
      </c>
      <c r="J457" s="2" t="n">
        <v>2</v>
      </c>
      <c r="K457" s="2" t="n">
        <v>2</v>
      </c>
      <c r="L457" s="2" t="n">
        <v>3</v>
      </c>
      <c r="M457" s="2" t="n">
        <v>2</v>
      </c>
      <c r="N457" s="2" t="n">
        <v>0</v>
      </c>
      <c r="O457" s="2" t="n">
        <v>0</v>
      </c>
      <c r="P457" s="2" t="n">
        <v>1</v>
      </c>
      <c r="Q457" s="2" t="n">
        <v>1</v>
      </c>
      <c r="R457" s="2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-1</v>
      </c>
      <c r="Y457" t="n">
        <v>0</v>
      </c>
      <c r="Z457" t="n">
        <v>1</v>
      </c>
      <c r="AA457" t="n">
        <v>0</v>
      </c>
      <c r="AB457" t="n">
        <v>161</v>
      </c>
      <c r="AC457" t="inlineStr">
        <is>
          <t>Hello World!</t>
        </is>
      </c>
    </row>
    <row r="458" ht="16" customHeight="1">
      <c r="A458" s="1" t="inlineStr">
        <is>
          <t>77.Blue 1</t>
        </is>
      </c>
      <c r="B458" s="2" t="inlineStr">
        <is>
          <t xml:space="preserve">Ruth Christensen </t>
        </is>
      </c>
      <c r="C458" s="2" t="n">
        <v>77</v>
      </c>
      <c r="D458" s="2" t="inlineStr">
        <is>
          <t>b1</t>
        </is>
      </c>
      <c r="E458" s="2" t="n">
        <v>1585</v>
      </c>
      <c r="F458" s="2" t="n">
        <v>0</v>
      </c>
      <c r="G458" s="2" t="n">
        <v>0</v>
      </c>
      <c r="H458" s="2" t="n">
        <v>0</v>
      </c>
      <c r="I458" s="2" t="n">
        <v>-1</v>
      </c>
      <c r="J458" s="2" t="n">
        <v>1</v>
      </c>
      <c r="K458" s="2" t="n">
        <v>3</v>
      </c>
      <c r="L458" s="2" t="n">
        <v>3</v>
      </c>
      <c r="M458" s="2" t="n">
        <v>3</v>
      </c>
      <c r="N458" s="2" t="n">
        <v>0</v>
      </c>
      <c r="O458" s="2" t="n">
        <v>0</v>
      </c>
      <c r="P458" s="2" t="n">
        <v>1</v>
      </c>
      <c r="Q458" s="2" t="n">
        <v>0</v>
      </c>
      <c r="R458" s="2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4</v>
      </c>
      <c r="X458" t="n">
        <v>0</v>
      </c>
      <c r="Y458" t="n">
        <v>1</v>
      </c>
      <c r="Z458" t="n">
        <v>0</v>
      </c>
      <c r="AA458" t="n">
        <v>0</v>
      </c>
      <c r="AB458" t="n">
        <v>218</v>
      </c>
      <c r="AC458" t="inlineStr">
        <is>
          <t>Hello World!</t>
        </is>
      </c>
    </row>
    <row r="459" ht="16" customHeight="1">
      <c r="A459" s="1" t="inlineStr">
        <is>
          <t>77.Blue 2</t>
        </is>
      </c>
      <c r="B459" s="2" t="inlineStr">
        <is>
          <t>Domenic Giammusso</t>
        </is>
      </c>
      <c r="C459" s="2" t="n">
        <v>77</v>
      </c>
      <c r="D459" s="2" t="inlineStr">
        <is>
          <t>b2</t>
        </is>
      </c>
      <c r="E459" s="2" t="n">
        <v>810</v>
      </c>
      <c r="F459" s="2" t="n">
        <v>0</v>
      </c>
      <c r="G459" s="2" t="n">
        <v>0</v>
      </c>
      <c r="H459" s="2" t="n">
        <v>0</v>
      </c>
      <c r="I459" s="2" t="n">
        <v>-1</v>
      </c>
      <c r="J459" s="2" t="n">
        <v>1</v>
      </c>
      <c r="K459" s="2" t="n">
        <v>3</v>
      </c>
      <c r="L459" s="2" t="n">
        <v>1</v>
      </c>
      <c r="M459" s="2" t="n">
        <v>5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t="n">
        <v>2</v>
      </c>
      <c r="T459" t="n">
        <v>1</v>
      </c>
      <c r="U459" t="n">
        <v>1</v>
      </c>
      <c r="V459" t="n">
        <v>0</v>
      </c>
      <c r="W459" t="n">
        <v>3</v>
      </c>
      <c r="X459" t="n">
        <v>1</v>
      </c>
      <c r="Y459" t="n">
        <v>0</v>
      </c>
      <c r="Z459" t="n">
        <v>0</v>
      </c>
      <c r="AA459" t="n">
        <v>0</v>
      </c>
      <c r="AB459" t="n">
        <v>128</v>
      </c>
      <c r="AC459" t="inlineStr">
        <is>
          <t>Hello World!</t>
        </is>
      </c>
    </row>
    <row r="460" ht="16" customHeight="1">
      <c r="A460" s="1" t="inlineStr">
        <is>
          <t>77.Blue 3</t>
        </is>
      </c>
      <c r="B460" s="2" t="inlineStr">
        <is>
          <t>Celton Norter</t>
        </is>
      </c>
      <c r="C460" s="2" t="n">
        <v>77</v>
      </c>
      <c r="D460" s="2" t="inlineStr">
        <is>
          <t>b3</t>
        </is>
      </c>
      <c r="E460" s="2" t="n">
        <v>3015</v>
      </c>
      <c r="F460" s="2" t="n">
        <v>0</v>
      </c>
      <c r="G460" s="2" t="n">
        <v>0</v>
      </c>
      <c r="H460" s="2" t="n">
        <v>0</v>
      </c>
      <c r="I460" s="2" t="n">
        <v>-1</v>
      </c>
      <c r="J460" s="2" t="n">
        <v>4</v>
      </c>
      <c r="K460" s="2" t="n">
        <v>1</v>
      </c>
      <c r="L460" s="2" t="n">
        <v>2</v>
      </c>
      <c r="M460" s="2" t="n">
        <v>5</v>
      </c>
      <c r="N460" s="2" t="n">
        <v>1</v>
      </c>
      <c r="O460" s="2" t="n">
        <v>0</v>
      </c>
      <c r="P460" s="2" t="n">
        <v>0</v>
      </c>
      <c r="Q460" s="2" t="n">
        <v>1</v>
      </c>
      <c r="R460" s="2" t="n">
        <v>0</v>
      </c>
      <c r="S460" t="n">
        <v>3</v>
      </c>
      <c r="T460" t="n">
        <v>0</v>
      </c>
      <c r="U460" t="n">
        <v>0</v>
      </c>
      <c r="V460" t="n">
        <v>1</v>
      </c>
      <c r="W460" t="n">
        <v>2</v>
      </c>
      <c r="X460" t="n">
        <v>1</v>
      </c>
      <c r="Y460" t="n">
        <v>0</v>
      </c>
      <c r="Z460" t="n">
        <v>1</v>
      </c>
      <c r="AA460" t="n">
        <v>1</v>
      </c>
      <c r="AB460" t="n">
        <v>298</v>
      </c>
      <c r="AC460" t="inlineStr">
        <is>
          <t>Hello World!</t>
        </is>
      </c>
    </row>
    <row r="461" ht="16" customHeight="1">
      <c r="A461" s="1" t="inlineStr">
        <is>
          <t>77.Red 1</t>
        </is>
      </c>
      <c r="B461" s="2" t="inlineStr">
        <is>
          <t>Colby Jackson</t>
        </is>
      </c>
      <c r="C461" s="2" t="n">
        <v>77</v>
      </c>
      <c r="D461" s="2" t="inlineStr">
        <is>
          <t>r1</t>
        </is>
      </c>
      <c r="E461" s="2" t="n">
        <v>3003</v>
      </c>
      <c r="F461" s="2" t="n">
        <v>1</v>
      </c>
      <c r="G461" s="2" t="n">
        <v>0</v>
      </c>
      <c r="H461" s="2" t="n">
        <v>1</v>
      </c>
      <c r="I461" s="2" t="n">
        <v>1</v>
      </c>
      <c r="J461" s="2" t="n">
        <v>1</v>
      </c>
      <c r="K461" s="2" t="n">
        <v>2</v>
      </c>
      <c r="L461" s="2" t="n">
        <v>2</v>
      </c>
      <c r="M461" s="2" t="n">
        <v>2</v>
      </c>
      <c r="N461" s="2" t="n">
        <v>1</v>
      </c>
      <c r="O461" s="2" t="n">
        <v>1</v>
      </c>
      <c r="P461" s="2" t="n">
        <v>0</v>
      </c>
      <c r="Q461" s="2" t="n">
        <v>1</v>
      </c>
      <c r="R461" s="2" t="n">
        <v>0</v>
      </c>
      <c r="S461" t="n">
        <v>3</v>
      </c>
      <c r="T461" t="n">
        <v>0</v>
      </c>
      <c r="U461" t="n">
        <v>0</v>
      </c>
      <c r="V461" t="n">
        <v>1</v>
      </c>
      <c r="W461" t="n">
        <v>5</v>
      </c>
      <c r="X461" t="n">
        <v>-1</v>
      </c>
      <c r="Y461" t="n">
        <v>1</v>
      </c>
      <c r="Z461" t="n">
        <v>1</v>
      </c>
      <c r="AA461" t="n">
        <v>1</v>
      </c>
      <c r="AB461" t="n">
        <v>93</v>
      </c>
      <c r="AC461" t="inlineStr">
        <is>
          <t>Hello World!</t>
        </is>
      </c>
    </row>
    <row r="462" ht="16" customHeight="1">
      <c r="A462" s="1" t="inlineStr">
        <is>
          <t>77.Red 2</t>
        </is>
      </c>
      <c r="B462" s="2" t="inlineStr">
        <is>
          <t>Runa Hunt</t>
        </is>
      </c>
      <c r="C462" s="2" t="n">
        <v>77</v>
      </c>
      <c r="D462" s="2" t="inlineStr">
        <is>
          <t>r2</t>
        </is>
      </c>
      <c r="E462" s="2" t="n">
        <v>4458</v>
      </c>
      <c r="F462" s="2" t="n">
        <v>0</v>
      </c>
      <c r="G462" s="2" t="n">
        <v>0</v>
      </c>
      <c r="H462" s="2" t="n">
        <v>0</v>
      </c>
      <c r="I462" s="2" t="n">
        <v>-1</v>
      </c>
      <c r="J462" s="2" t="n">
        <v>3</v>
      </c>
      <c r="K462" s="2" t="n">
        <v>2</v>
      </c>
      <c r="L462" s="2" t="n">
        <v>2</v>
      </c>
      <c r="M462" s="2" t="n">
        <v>2</v>
      </c>
      <c r="N462" s="2" t="n">
        <v>1</v>
      </c>
      <c r="O462" s="2" t="n">
        <v>0</v>
      </c>
      <c r="P462" s="2" t="n">
        <v>0</v>
      </c>
      <c r="Q462" s="2" t="n">
        <v>1</v>
      </c>
      <c r="R462" s="2" t="n">
        <v>0</v>
      </c>
      <c r="S462" t="n">
        <v>3</v>
      </c>
      <c r="T462" t="n">
        <v>0</v>
      </c>
      <c r="U462" t="n">
        <v>1</v>
      </c>
      <c r="V462" t="n">
        <v>0</v>
      </c>
      <c r="W462" t="n">
        <v>3</v>
      </c>
      <c r="X462" t="n">
        <v>0</v>
      </c>
      <c r="Y462" t="n">
        <v>1</v>
      </c>
      <c r="Z462" t="n">
        <v>1</v>
      </c>
      <c r="AA462" t="n">
        <v>1</v>
      </c>
      <c r="AB462" t="n">
        <v>31</v>
      </c>
      <c r="AC462" t="inlineStr">
        <is>
          <t>Hello World!</t>
        </is>
      </c>
    </row>
    <row r="463" ht="16" customHeight="1">
      <c r="A463" s="1" t="inlineStr">
        <is>
          <t>77.Red 3</t>
        </is>
      </c>
      <c r="B463" s="2" t="inlineStr">
        <is>
          <t xml:space="preserve">Tyler Hignett </t>
        </is>
      </c>
      <c r="C463" s="2" t="n">
        <v>77</v>
      </c>
      <c r="D463" s="2" t="inlineStr">
        <is>
          <t>r3</t>
        </is>
      </c>
      <c r="E463" s="2" t="n">
        <v>6868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5</v>
      </c>
      <c r="K463" s="2" t="n">
        <v>2</v>
      </c>
      <c r="L463" s="2" t="n">
        <v>2</v>
      </c>
      <c r="M463" s="2" t="n">
        <v>5</v>
      </c>
      <c r="N463" s="2" t="n">
        <v>1</v>
      </c>
      <c r="O463" s="2" t="n">
        <v>1</v>
      </c>
      <c r="P463" s="2" t="n">
        <v>0</v>
      </c>
      <c r="Q463" s="2" t="n">
        <v>1</v>
      </c>
      <c r="R463" s="2" t="n">
        <v>0</v>
      </c>
      <c r="S463" t="n">
        <v>3</v>
      </c>
      <c r="T463" t="n">
        <v>1</v>
      </c>
      <c r="U463" t="n">
        <v>1</v>
      </c>
      <c r="V463" t="n">
        <v>0</v>
      </c>
      <c r="W463" t="n">
        <v>3</v>
      </c>
      <c r="X463" t="n">
        <v>-1</v>
      </c>
      <c r="Y463" t="n">
        <v>1</v>
      </c>
      <c r="Z463" t="n">
        <v>1</v>
      </c>
      <c r="AA463" t="n">
        <v>0</v>
      </c>
      <c r="AB463" t="n">
        <v>103</v>
      </c>
      <c r="AC463" t="inlineStr">
        <is>
          <t>Hello World!</t>
        </is>
      </c>
    </row>
    <row r="464" ht="16" customHeight="1">
      <c r="A464" s="1" t="inlineStr">
        <is>
          <t>78.Blue 1</t>
        </is>
      </c>
      <c r="B464" s="2" t="inlineStr">
        <is>
          <t>Colby Jackson</t>
        </is>
      </c>
      <c r="C464" s="2" t="n">
        <v>78</v>
      </c>
      <c r="D464" s="2" t="inlineStr">
        <is>
          <t>b1</t>
        </is>
      </c>
      <c r="E464" s="2" t="n">
        <v>424</v>
      </c>
      <c r="F464" s="2" t="n">
        <v>0</v>
      </c>
      <c r="G464" s="2" t="n">
        <v>1</v>
      </c>
      <c r="H464" s="2" t="n">
        <v>0</v>
      </c>
      <c r="I464" s="2" t="n">
        <v>-1</v>
      </c>
      <c r="J464" s="2" t="n">
        <v>3</v>
      </c>
      <c r="K464" s="2" t="n">
        <v>3</v>
      </c>
      <c r="L464" s="2" t="n">
        <v>1</v>
      </c>
      <c r="M464" s="2" t="n">
        <v>5</v>
      </c>
      <c r="N464" s="2" t="n">
        <v>1</v>
      </c>
      <c r="O464" s="2" t="n">
        <v>0</v>
      </c>
      <c r="P464" s="2" t="n">
        <v>1</v>
      </c>
      <c r="Q464" s="2" t="n">
        <v>0</v>
      </c>
      <c r="R464" s="2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n">
        <v>214</v>
      </c>
      <c r="AC464" t="inlineStr">
        <is>
          <t>Hello World!</t>
        </is>
      </c>
    </row>
    <row r="465" ht="16" customHeight="1">
      <c r="A465" s="1" t="inlineStr">
        <is>
          <t>78.Blue 2</t>
        </is>
      </c>
      <c r="B465" s="2" t="inlineStr">
        <is>
          <t>Runa Hunt</t>
        </is>
      </c>
      <c r="C465" s="2" t="n">
        <v>78</v>
      </c>
      <c r="D465" s="2" t="inlineStr">
        <is>
          <t>b2</t>
        </is>
      </c>
      <c r="E465" s="2" t="n">
        <v>10223</v>
      </c>
      <c r="F465" s="2" t="n">
        <v>0</v>
      </c>
      <c r="G465" s="2" t="n">
        <v>0</v>
      </c>
      <c r="H465" s="2" t="n">
        <v>1</v>
      </c>
      <c r="I465" s="2" t="n">
        <v>0</v>
      </c>
      <c r="J465" s="2" t="n">
        <v>1</v>
      </c>
      <c r="K465" s="2" t="n">
        <v>2</v>
      </c>
      <c r="L465" s="2" t="n">
        <v>3</v>
      </c>
      <c r="M465" s="2" t="n">
        <v>4</v>
      </c>
      <c r="N465" s="2" t="n">
        <v>0</v>
      </c>
      <c r="O465" s="2" t="n">
        <v>0</v>
      </c>
      <c r="P465" s="2" t="n">
        <v>1</v>
      </c>
      <c r="Q465" s="2" t="n">
        <v>1</v>
      </c>
      <c r="R465" s="2" t="n">
        <v>0</v>
      </c>
      <c r="S465" t="n">
        <v>-1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n">
        <v>177</v>
      </c>
      <c r="AC465" t="inlineStr">
        <is>
          <t>Hello World!</t>
        </is>
      </c>
    </row>
    <row r="466" ht="16" customHeight="1">
      <c r="A466" s="1" t="inlineStr">
        <is>
          <t>78.Blue 3</t>
        </is>
      </c>
      <c r="B466" s="2" t="inlineStr">
        <is>
          <t>Madison DeCicca</t>
        </is>
      </c>
      <c r="C466" s="2" t="n">
        <v>78</v>
      </c>
      <c r="D466" s="2" t="inlineStr">
        <is>
          <t>b3</t>
        </is>
      </c>
      <c r="E466" s="2" t="n">
        <v>5528</v>
      </c>
      <c r="F466" s="2" t="n">
        <v>1</v>
      </c>
      <c r="G466" s="2" t="n">
        <v>0</v>
      </c>
      <c r="H466" s="2" t="n">
        <v>1</v>
      </c>
      <c r="I466" s="2" t="n">
        <v>0</v>
      </c>
      <c r="J466" s="2" t="n">
        <v>5</v>
      </c>
      <c r="K466" s="2" t="n">
        <v>2</v>
      </c>
      <c r="L466" s="2" t="n">
        <v>1</v>
      </c>
      <c r="M466" s="2" t="n">
        <v>3</v>
      </c>
      <c r="N466" s="2" t="n">
        <v>0</v>
      </c>
      <c r="O466" s="2" t="n">
        <v>1</v>
      </c>
      <c r="P466" s="2" t="n">
        <v>0</v>
      </c>
      <c r="Q466" s="2" t="n">
        <v>1</v>
      </c>
      <c r="R466" s="2" t="n">
        <v>1</v>
      </c>
      <c r="S466" t="n">
        <v>2</v>
      </c>
      <c r="T466" t="n">
        <v>1</v>
      </c>
      <c r="U466" t="n">
        <v>0</v>
      </c>
      <c r="V466" t="n">
        <v>0</v>
      </c>
      <c r="W466" t="n">
        <v>4</v>
      </c>
      <c r="X466" t="n">
        <v>0</v>
      </c>
      <c r="Y466" t="n">
        <v>0</v>
      </c>
      <c r="Z466" t="n">
        <v>1</v>
      </c>
      <c r="AA466" t="n">
        <v>1</v>
      </c>
      <c r="AB466" t="n">
        <v>275</v>
      </c>
      <c r="AC466" t="inlineStr">
        <is>
          <t>Hello World!</t>
        </is>
      </c>
    </row>
    <row r="467" ht="16" customHeight="1">
      <c r="A467" s="1" t="inlineStr">
        <is>
          <t>78.Red 1</t>
        </is>
      </c>
      <c r="B467" s="2" t="inlineStr">
        <is>
          <t>Eli Harrison</t>
        </is>
      </c>
      <c r="C467" s="2" t="n">
        <v>78</v>
      </c>
      <c r="D467" s="2" t="inlineStr">
        <is>
          <t>r1</t>
        </is>
      </c>
      <c r="E467" s="2" t="n">
        <v>144</v>
      </c>
      <c r="F467" s="2" t="n">
        <v>1</v>
      </c>
      <c r="G467" s="2" t="n">
        <v>1</v>
      </c>
      <c r="H467" s="2" t="n">
        <v>0</v>
      </c>
      <c r="I467" s="2" t="n">
        <v>0</v>
      </c>
      <c r="J467" s="2" t="n">
        <v>1</v>
      </c>
      <c r="K467" s="2" t="n">
        <v>1</v>
      </c>
      <c r="L467" s="2" t="n">
        <v>1</v>
      </c>
      <c r="M467" s="2" t="n">
        <v>1</v>
      </c>
      <c r="N467" s="2" t="n">
        <v>0</v>
      </c>
      <c r="O467" s="2" t="n">
        <v>0</v>
      </c>
      <c r="P467" s="2" t="n">
        <v>0</v>
      </c>
      <c r="Q467" s="2" t="n">
        <v>1</v>
      </c>
      <c r="R467" s="2" t="n">
        <v>0</v>
      </c>
      <c r="S467" t="n">
        <v>2</v>
      </c>
      <c r="T467" t="n">
        <v>0</v>
      </c>
      <c r="U467" t="n">
        <v>0</v>
      </c>
      <c r="V467" t="n">
        <v>0</v>
      </c>
      <c r="W467" t="n">
        <v>2</v>
      </c>
      <c r="X467" t="n">
        <v>1</v>
      </c>
      <c r="Y467" t="n">
        <v>1</v>
      </c>
      <c r="Z467" t="n">
        <v>1</v>
      </c>
      <c r="AA467" t="n">
        <v>1</v>
      </c>
      <c r="AB467" t="n">
        <v>288</v>
      </c>
      <c r="AC467" t="inlineStr">
        <is>
          <t>Hello World!</t>
        </is>
      </c>
    </row>
    <row r="468" ht="16" customHeight="1">
      <c r="A468" s="1" t="inlineStr">
        <is>
          <t>78.Red 2</t>
        </is>
      </c>
      <c r="B468" s="2" t="inlineStr">
        <is>
          <t>Gianmarco D'Angelo</t>
        </is>
      </c>
      <c r="C468" s="2" t="n">
        <v>78</v>
      </c>
      <c r="D468" s="2" t="inlineStr">
        <is>
          <t>r2</t>
        </is>
      </c>
      <c r="E468" s="2" t="n">
        <v>48</v>
      </c>
      <c r="F468" s="2" t="n">
        <v>0</v>
      </c>
      <c r="G468" s="2" t="n">
        <v>0</v>
      </c>
      <c r="H468" s="2" t="n">
        <v>1</v>
      </c>
      <c r="I468" s="2" t="n">
        <v>1</v>
      </c>
      <c r="J468" s="2" t="n">
        <v>1</v>
      </c>
      <c r="K468" s="2" t="n">
        <v>2</v>
      </c>
      <c r="L468" s="2" t="n">
        <v>3</v>
      </c>
      <c r="M468" s="2" t="n">
        <v>3</v>
      </c>
      <c r="N468" s="2" t="n">
        <v>0</v>
      </c>
      <c r="O468" s="2" t="n">
        <v>1</v>
      </c>
      <c r="P468" s="2" t="n">
        <v>1</v>
      </c>
      <c r="Q468" s="2" t="n">
        <v>0</v>
      </c>
      <c r="R468" s="2" t="n">
        <v>1</v>
      </c>
      <c r="S468" t="n">
        <v>2</v>
      </c>
      <c r="T468" t="n">
        <v>0</v>
      </c>
      <c r="U468" t="n">
        <v>0</v>
      </c>
      <c r="V468" t="n">
        <v>1</v>
      </c>
      <c r="W468" t="n">
        <v>5</v>
      </c>
      <c r="X468" t="n">
        <v>0</v>
      </c>
      <c r="Y468" t="n">
        <v>0</v>
      </c>
      <c r="Z468" t="n">
        <v>0</v>
      </c>
      <c r="AA468" t="n">
        <v>1</v>
      </c>
      <c r="AB468" t="n">
        <v>37</v>
      </c>
      <c r="AC468" t="inlineStr">
        <is>
          <t>Hello World!</t>
        </is>
      </c>
    </row>
    <row r="469" ht="16" customHeight="1">
      <c r="A469" s="1" t="inlineStr">
        <is>
          <t>78.Red 3</t>
        </is>
      </c>
      <c r="B469" s="2" t="inlineStr">
        <is>
          <t>Autumn Schoenfeld</t>
        </is>
      </c>
      <c r="C469" s="2" t="n">
        <v>78</v>
      </c>
      <c r="D469" s="2" t="inlineStr">
        <is>
          <t>r3</t>
        </is>
      </c>
      <c r="E469" s="2" t="n">
        <v>1126</v>
      </c>
      <c r="F469" s="2" t="n">
        <v>0</v>
      </c>
      <c r="G469" s="2" t="n">
        <v>1</v>
      </c>
      <c r="H469" s="2" t="n">
        <v>1</v>
      </c>
      <c r="I469" s="2" t="n">
        <v>1</v>
      </c>
      <c r="J469" s="2" t="n">
        <v>1</v>
      </c>
      <c r="K469" s="2" t="n">
        <v>3</v>
      </c>
      <c r="L469" s="2" t="n">
        <v>2</v>
      </c>
      <c r="M469" s="2" t="n">
        <v>2</v>
      </c>
      <c r="N469" s="2" t="n">
        <v>0</v>
      </c>
      <c r="O469" s="2" t="n">
        <v>1</v>
      </c>
      <c r="P469" s="2" t="n">
        <v>1</v>
      </c>
      <c r="Q469" s="2" t="n">
        <v>1</v>
      </c>
      <c r="R469" s="2" t="n">
        <v>1</v>
      </c>
      <c r="S469" t="n">
        <v>1</v>
      </c>
      <c r="T469" t="n">
        <v>1</v>
      </c>
      <c r="U469" t="n">
        <v>0</v>
      </c>
      <c r="V469" t="n">
        <v>1</v>
      </c>
      <c r="W469" t="n">
        <v>2</v>
      </c>
      <c r="X469" t="n">
        <v>0</v>
      </c>
      <c r="Y469" t="n">
        <v>1</v>
      </c>
      <c r="Z469" t="n">
        <v>0</v>
      </c>
      <c r="AA469" t="n">
        <v>0</v>
      </c>
      <c r="AB469" t="n">
        <v>173</v>
      </c>
      <c r="AC469" t="inlineStr">
        <is>
          <t>Hello World!</t>
        </is>
      </c>
    </row>
    <row r="470" ht="16" customHeight="1">
      <c r="A470" s="1" t="inlineStr">
        <is>
          <t>79.Blue 1</t>
        </is>
      </c>
      <c r="B470" s="2" t="inlineStr">
        <is>
          <t>Runa Hunt</t>
        </is>
      </c>
      <c r="C470" s="2" t="n">
        <v>79</v>
      </c>
      <c r="D470" s="2" t="inlineStr">
        <is>
          <t>b1</t>
        </is>
      </c>
      <c r="E470" s="2" t="n">
        <v>1468</v>
      </c>
      <c r="F470" s="2" t="n">
        <v>1</v>
      </c>
      <c r="G470" s="2" t="n">
        <v>1</v>
      </c>
      <c r="H470" s="2" t="n">
        <v>0</v>
      </c>
      <c r="I470" s="2" t="n">
        <v>1</v>
      </c>
      <c r="J470" s="2" t="n">
        <v>4</v>
      </c>
      <c r="K470" s="2" t="n">
        <v>3</v>
      </c>
      <c r="L470" s="2" t="n">
        <v>1</v>
      </c>
      <c r="M470" s="2" t="n">
        <v>4</v>
      </c>
      <c r="N470" s="2" t="n">
        <v>1</v>
      </c>
      <c r="O470" s="2" t="n">
        <v>1</v>
      </c>
      <c r="P470" s="2" t="n">
        <v>0</v>
      </c>
      <c r="Q470" s="2" t="n">
        <v>0</v>
      </c>
      <c r="R470" s="2" t="n">
        <v>0</v>
      </c>
      <c r="S470" t="n">
        <v>3</v>
      </c>
      <c r="T470" t="n">
        <v>0</v>
      </c>
      <c r="U470" t="n">
        <v>1</v>
      </c>
      <c r="V470" t="n">
        <v>1</v>
      </c>
      <c r="W470" t="n">
        <v>4</v>
      </c>
      <c r="X470" t="n">
        <v>0</v>
      </c>
      <c r="Y470" t="n">
        <v>1</v>
      </c>
      <c r="Z470" t="n">
        <v>0</v>
      </c>
      <c r="AA470" t="n">
        <v>1</v>
      </c>
      <c r="AB470" t="n">
        <v>202</v>
      </c>
      <c r="AC470" t="inlineStr">
        <is>
          <t>Hello World!</t>
        </is>
      </c>
    </row>
    <row r="471" ht="16" customHeight="1">
      <c r="A471" s="1" t="inlineStr">
        <is>
          <t>79.Blue 2</t>
        </is>
      </c>
      <c r="B471" s="2" t="inlineStr">
        <is>
          <t>Autumn Schoenfeld</t>
        </is>
      </c>
      <c r="C471" s="2" t="n">
        <v>79</v>
      </c>
      <c r="D471" s="2" t="inlineStr">
        <is>
          <t>b2</t>
        </is>
      </c>
      <c r="E471" s="2" t="n">
        <v>3799</v>
      </c>
      <c r="F471" s="2" t="n">
        <v>1</v>
      </c>
      <c r="G471" s="2" t="n">
        <v>1</v>
      </c>
      <c r="H471" s="2" t="n">
        <v>1</v>
      </c>
      <c r="I471" s="2" t="n">
        <v>1</v>
      </c>
      <c r="J471" s="2" t="n">
        <v>1</v>
      </c>
      <c r="K471" s="2" t="n">
        <v>1</v>
      </c>
      <c r="L471" s="2" t="n">
        <v>3</v>
      </c>
      <c r="M471" s="2" t="n">
        <v>5</v>
      </c>
      <c r="N471" s="2" t="n">
        <v>1</v>
      </c>
      <c r="O471" s="2" t="n">
        <v>0</v>
      </c>
      <c r="P471" s="2" t="n">
        <v>1</v>
      </c>
      <c r="Q471" s="2" t="n">
        <v>0</v>
      </c>
      <c r="R471" s="2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5</v>
      </c>
      <c r="X471" t="n">
        <v>1</v>
      </c>
      <c r="Y471" t="n">
        <v>1</v>
      </c>
      <c r="Z471" t="n">
        <v>0</v>
      </c>
      <c r="AA471" t="n">
        <v>0</v>
      </c>
      <c r="AB471" t="n">
        <v>118</v>
      </c>
      <c r="AC471" t="inlineStr">
        <is>
          <t>Hello World!</t>
        </is>
      </c>
    </row>
    <row r="472" ht="16" customHeight="1">
      <c r="A472" s="1" t="inlineStr">
        <is>
          <t>79.Blue 3</t>
        </is>
      </c>
      <c r="B472" s="2" t="inlineStr">
        <is>
          <t>Carter Silva</t>
        </is>
      </c>
      <c r="C472" s="2" t="n">
        <v>79</v>
      </c>
      <c r="D472" s="2" t="inlineStr">
        <is>
          <t>b3</t>
        </is>
      </c>
      <c r="E472" s="2" t="n">
        <v>3181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2</v>
      </c>
      <c r="K472" s="2" t="n">
        <v>3</v>
      </c>
      <c r="L472" s="2" t="n">
        <v>2</v>
      </c>
      <c r="M472" s="2" t="n">
        <v>3</v>
      </c>
      <c r="N472" s="2" t="n">
        <v>1</v>
      </c>
      <c r="O472" s="2" t="n">
        <v>0</v>
      </c>
      <c r="P472" s="2" t="n">
        <v>1</v>
      </c>
      <c r="Q472" s="2" t="n">
        <v>1</v>
      </c>
      <c r="R472" s="2" t="n">
        <v>0</v>
      </c>
      <c r="S472" t="n">
        <v>3</v>
      </c>
      <c r="T472" t="n">
        <v>0</v>
      </c>
      <c r="U472" t="n">
        <v>1</v>
      </c>
      <c r="V472" t="n">
        <v>1</v>
      </c>
      <c r="W472" t="n">
        <v>3</v>
      </c>
      <c r="X472" t="n">
        <v>0</v>
      </c>
      <c r="Y472" t="n">
        <v>1</v>
      </c>
      <c r="Z472" t="n">
        <v>0</v>
      </c>
      <c r="AA472" t="n">
        <v>1</v>
      </c>
      <c r="AB472" t="n">
        <v>14</v>
      </c>
      <c r="AC472" t="inlineStr">
        <is>
          <t>Hello World!</t>
        </is>
      </c>
    </row>
    <row r="473" ht="16" customHeight="1">
      <c r="A473" s="1" t="inlineStr">
        <is>
          <t>79.Red 1</t>
        </is>
      </c>
      <c r="B473" s="2" t="inlineStr">
        <is>
          <t>Madison DeCicca</t>
        </is>
      </c>
      <c r="C473" s="2" t="n">
        <v>79</v>
      </c>
      <c r="D473" s="2" t="inlineStr">
        <is>
          <t>r1</t>
        </is>
      </c>
      <c r="E473" s="2" t="n">
        <v>1787</v>
      </c>
      <c r="F473" s="2" t="n">
        <v>0</v>
      </c>
      <c r="G473" s="2" t="n">
        <v>1</v>
      </c>
      <c r="H473" s="2" t="n">
        <v>0</v>
      </c>
      <c r="I473" s="2" t="n">
        <v>0</v>
      </c>
      <c r="J473" s="2" t="n">
        <v>4</v>
      </c>
      <c r="K473" s="2" t="n">
        <v>3</v>
      </c>
      <c r="L473" s="2" t="n">
        <v>1</v>
      </c>
      <c r="M473" s="2" t="n">
        <v>3</v>
      </c>
      <c r="N473" s="2" t="n">
        <v>1</v>
      </c>
      <c r="O473" s="2" t="n">
        <v>1</v>
      </c>
      <c r="P473" s="2" t="n">
        <v>0</v>
      </c>
      <c r="Q473" s="2" t="n">
        <v>1</v>
      </c>
      <c r="R473" s="2" t="n">
        <v>0</v>
      </c>
      <c r="S473" t="n">
        <v>-1</v>
      </c>
      <c r="T473" t="n">
        <v>0</v>
      </c>
      <c r="U473" t="n">
        <v>0</v>
      </c>
      <c r="V473" t="n">
        <v>0</v>
      </c>
      <c r="W473" t="n">
        <v>3</v>
      </c>
      <c r="X473" t="n">
        <v>-1</v>
      </c>
      <c r="Y473" t="n">
        <v>0</v>
      </c>
      <c r="Z473" t="n">
        <v>1</v>
      </c>
      <c r="AA473" t="n">
        <v>0</v>
      </c>
      <c r="AB473" t="n">
        <v>288</v>
      </c>
      <c r="AC473" t="inlineStr">
        <is>
          <t>Hello World!</t>
        </is>
      </c>
    </row>
    <row r="474" ht="16" customHeight="1">
      <c r="A474" s="1" t="inlineStr">
        <is>
          <t>79.Red 2</t>
        </is>
      </c>
      <c r="B474" s="2" t="inlineStr">
        <is>
          <t>Domenic Giammusso</t>
        </is>
      </c>
      <c r="C474" s="2" t="n">
        <v>79</v>
      </c>
      <c r="D474" s="2" t="inlineStr">
        <is>
          <t>r2</t>
        </is>
      </c>
      <c r="E474" s="2" t="n">
        <v>1450</v>
      </c>
      <c r="F474" s="2" t="n">
        <v>0</v>
      </c>
      <c r="G474" s="2" t="n">
        <v>0</v>
      </c>
      <c r="H474" s="2" t="n">
        <v>1</v>
      </c>
      <c r="I474" s="2" t="n">
        <v>1</v>
      </c>
      <c r="J474" s="2" t="n">
        <v>1</v>
      </c>
      <c r="K474" s="2" t="n">
        <v>2</v>
      </c>
      <c r="L474" s="2" t="n">
        <v>1</v>
      </c>
      <c r="M474" s="2" t="n">
        <v>3</v>
      </c>
      <c r="N474" s="2" t="n">
        <v>1</v>
      </c>
      <c r="O474" s="2" t="n">
        <v>0</v>
      </c>
      <c r="P474" s="2" t="n">
        <v>0</v>
      </c>
      <c r="Q474" s="2" t="n">
        <v>1</v>
      </c>
      <c r="R474" s="2" t="n">
        <v>0</v>
      </c>
      <c r="S474" t="n">
        <v>2</v>
      </c>
      <c r="T474" t="n">
        <v>1</v>
      </c>
      <c r="U474" t="n">
        <v>0</v>
      </c>
      <c r="V474" t="n">
        <v>0</v>
      </c>
      <c r="W474" t="n">
        <v>2</v>
      </c>
      <c r="X474" t="n">
        <v>-1</v>
      </c>
      <c r="Y474" t="n">
        <v>1</v>
      </c>
      <c r="Z474" t="n">
        <v>1</v>
      </c>
      <c r="AA474" t="n">
        <v>1</v>
      </c>
      <c r="AB474" t="n">
        <v>276</v>
      </c>
      <c r="AC474" t="inlineStr">
        <is>
          <t>Hello World!</t>
        </is>
      </c>
    </row>
    <row r="475" ht="16" customHeight="1">
      <c r="A475" s="1" t="inlineStr">
        <is>
          <t>79.Red 3</t>
        </is>
      </c>
      <c r="B475" s="2" t="inlineStr">
        <is>
          <t xml:space="preserve">Tyler Hignett </t>
        </is>
      </c>
      <c r="C475" s="2" t="n">
        <v>79</v>
      </c>
      <c r="D475" s="2" t="inlineStr">
        <is>
          <t>r3</t>
        </is>
      </c>
      <c r="E475" s="2" t="n">
        <v>191</v>
      </c>
      <c r="F475" s="2" t="n">
        <v>1</v>
      </c>
      <c r="G475" s="2" t="n">
        <v>1</v>
      </c>
      <c r="H475" s="2" t="n">
        <v>1</v>
      </c>
      <c r="I475" s="2" t="n">
        <v>0</v>
      </c>
      <c r="J475" s="2" t="n">
        <v>1</v>
      </c>
      <c r="K475" s="2" t="n">
        <v>3</v>
      </c>
      <c r="L475" s="2" t="n">
        <v>3</v>
      </c>
      <c r="M475" s="2" t="n">
        <v>2</v>
      </c>
      <c r="N475" s="2" t="n">
        <v>1</v>
      </c>
      <c r="O475" s="2" t="n">
        <v>0</v>
      </c>
      <c r="P475" s="2" t="n">
        <v>0</v>
      </c>
      <c r="Q475" s="2" t="n">
        <v>0</v>
      </c>
      <c r="R475" s="2" t="n">
        <v>0</v>
      </c>
      <c r="S475" t="n">
        <v>-1</v>
      </c>
      <c r="T475" t="n">
        <v>1</v>
      </c>
      <c r="U475" t="n">
        <v>1</v>
      </c>
      <c r="V475" t="n">
        <v>0</v>
      </c>
      <c r="W475" t="n">
        <v>1</v>
      </c>
      <c r="X475" t="n">
        <v>-1</v>
      </c>
      <c r="Y475" t="n">
        <v>1</v>
      </c>
      <c r="Z475" t="n">
        <v>0</v>
      </c>
      <c r="AA475" t="n">
        <v>1</v>
      </c>
      <c r="AB475" t="n">
        <v>221</v>
      </c>
      <c r="AC475" t="inlineStr">
        <is>
          <t>Hello World!</t>
        </is>
      </c>
    </row>
    <row r="476" ht="16" customHeight="1">
      <c r="A476" s="1" t="inlineStr">
        <is>
          <t>80.Blue 1</t>
        </is>
      </c>
      <c r="B476" s="2" t="inlineStr">
        <is>
          <t xml:space="preserve">Tyler Hignett </t>
        </is>
      </c>
      <c r="C476" s="2" t="n">
        <v>80</v>
      </c>
      <c r="D476" s="2" t="inlineStr">
        <is>
          <t>b1</t>
        </is>
      </c>
      <c r="E476" s="2" t="n">
        <v>10922</v>
      </c>
      <c r="F476" s="2" t="n">
        <v>0</v>
      </c>
      <c r="G476" s="2" t="n">
        <v>0</v>
      </c>
      <c r="H476" s="2" t="n">
        <v>0</v>
      </c>
      <c r="I476" s="2" t="n">
        <v>-1</v>
      </c>
      <c r="J476" s="2" t="n">
        <v>1</v>
      </c>
      <c r="K476" s="2" t="n">
        <v>3</v>
      </c>
      <c r="L476" s="2" t="n">
        <v>2</v>
      </c>
      <c r="M476" s="2" t="n">
        <v>1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1</v>
      </c>
      <c r="AA476" t="n">
        <v>1</v>
      </c>
      <c r="AB476" t="n">
        <v>94</v>
      </c>
      <c r="AC476" t="inlineStr">
        <is>
          <t>Hello World!</t>
        </is>
      </c>
    </row>
    <row r="477" ht="16" customHeight="1">
      <c r="A477" s="1" t="inlineStr">
        <is>
          <t>80.Blue 2</t>
        </is>
      </c>
      <c r="B477" s="2" t="inlineStr">
        <is>
          <t>Ethan Stiffler</t>
        </is>
      </c>
      <c r="C477" s="2" t="n">
        <v>80</v>
      </c>
      <c r="D477" s="2" t="inlineStr">
        <is>
          <t>b2</t>
        </is>
      </c>
      <c r="E477" s="2" t="n">
        <v>1559</v>
      </c>
      <c r="F477" s="2" t="n">
        <v>1</v>
      </c>
      <c r="G477" s="2" t="n">
        <v>1</v>
      </c>
      <c r="H477" s="2" t="n">
        <v>1</v>
      </c>
      <c r="I477" s="2" t="n">
        <v>0</v>
      </c>
      <c r="J477" s="2" t="n">
        <v>1</v>
      </c>
      <c r="K477" s="2" t="n">
        <v>1</v>
      </c>
      <c r="L477" s="2" t="n">
        <v>2</v>
      </c>
      <c r="M477" s="2" t="n">
        <v>5</v>
      </c>
      <c r="N477" s="2" t="n">
        <v>1</v>
      </c>
      <c r="O477" s="2" t="n">
        <v>0</v>
      </c>
      <c r="P477" s="2" t="n">
        <v>0</v>
      </c>
      <c r="Q477" s="2" t="n">
        <v>0</v>
      </c>
      <c r="R477" s="2" t="n">
        <v>0</v>
      </c>
      <c r="S477" t="n">
        <v>3</v>
      </c>
      <c r="T477" t="n">
        <v>1</v>
      </c>
      <c r="U477" t="n">
        <v>0</v>
      </c>
      <c r="V477" t="n">
        <v>0</v>
      </c>
      <c r="W477" t="n">
        <v>4</v>
      </c>
      <c r="X477" t="n">
        <v>1</v>
      </c>
      <c r="Y477" t="n">
        <v>0</v>
      </c>
      <c r="Z477" t="n">
        <v>0</v>
      </c>
      <c r="AA477" t="n">
        <v>1</v>
      </c>
      <c r="AB477" t="n">
        <v>296</v>
      </c>
      <c r="AC477" t="inlineStr">
        <is>
          <t>Hello World!</t>
        </is>
      </c>
    </row>
    <row r="478" ht="16" customHeight="1">
      <c r="A478" s="1" t="inlineStr">
        <is>
          <t>80.Blue 3</t>
        </is>
      </c>
      <c r="B478" s="2" t="inlineStr">
        <is>
          <t>Eli Harrison</t>
        </is>
      </c>
      <c r="C478" s="2" t="n">
        <v>80</v>
      </c>
      <c r="D478" s="2" t="inlineStr">
        <is>
          <t>b3</t>
        </is>
      </c>
      <c r="E478" s="2" t="n">
        <v>353</v>
      </c>
      <c r="F478" s="2" t="n">
        <v>1</v>
      </c>
      <c r="G478" s="2" t="n">
        <v>0</v>
      </c>
      <c r="H478" s="2" t="n">
        <v>1</v>
      </c>
      <c r="I478" s="2" t="n">
        <v>1</v>
      </c>
      <c r="J478" s="2" t="n">
        <v>2</v>
      </c>
      <c r="K478" s="2" t="n">
        <v>3</v>
      </c>
      <c r="L478" s="2" t="n">
        <v>2</v>
      </c>
      <c r="M478" s="2" t="n">
        <v>1</v>
      </c>
      <c r="N478" s="2" t="n">
        <v>1</v>
      </c>
      <c r="O478" s="2" t="n">
        <v>1</v>
      </c>
      <c r="P478" s="2" t="n">
        <v>0</v>
      </c>
      <c r="Q478" s="2" t="n">
        <v>1</v>
      </c>
      <c r="R478" s="2" t="n">
        <v>1</v>
      </c>
      <c r="S478" t="n">
        <v>3</v>
      </c>
      <c r="T478" t="n">
        <v>0</v>
      </c>
      <c r="U478" t="n">
        <v>1</v>
      </c>
      <c r="V478" t="n">
        <v>1</v>
      </c>
      <c r="W478" t="n">
        <v>1</v>
      </c>
      <c r="X478" t="n">
        <v>-1</v>
      </c>
      <c r="Y478" t="n">
        <v>0</v>
      </c>
      <c r="Z478" t="n">
        <v>0</v>
      </c>
      <c r="AA478" t="n">
        <v>1</v>
      </c>
      <c r="AB478" t="n">
        <v>242</v>
      </c>
      <c r="AC478" t="inlineStr">
        <is>
          <t>Hello World!</t>
        </is>
      </c>
    </row>
    <row r="479" ht="16" customHeight="1">
      <c r="A479" s="1" t="inlineStr">
        <is>
          <t>80.Red 1</t>
        </is>
      </c>
      <c r="B479" s="2" t="inlineStr">
        <is>
          <t>Eli Harrison</t>
        </is>
      </c>
      <c r="C479" s="2" t="n">
        <v>80</v>
      </c>
      <c r="D479" s="2" t="inlineStr">
        <is>
          <t>r1</t>
        </is>
      </c>
      <c r="E479" s="2" t="n">
        <v>4093</v>
      </c>
      <c r="F479" s="2" t="n">
        <v>0</v>
      </c>
      <c r="G479" s="2" t="n">
        <v>0</v>
      </c>
      <c r="H479" s="2" t="n">
        <v>0</v>
      </c>
      <c r="I479" s="2" t="n">
        <v>-1</v>
      </c>
      <c r="J479" s="2" t="n">
        <v>3</v>
      </c>
      <c r="K479" s="2" t="n">
        <v>3</v>
      </c>
      <c r="L479" s="2" t="n">
        <v>3</v>
      </c>
      <c r="M479" s="2" t="n">
        <v>2</v>
      </c>
      <c r="N479" s="2" t="n">
        <v>0</v>
      </c>
      <c r="O479" s="2" t="n">
        <v>0</v>
      </c>
      <c r="P479" s="2" t="n">
        <v>0</v>
      </c>
      <c r="Q479" s="2" t="n">
        <v>1</v>
      </c>
      <c r="R479" s="2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3</v>
      </c>
      <c r="X479" t="n">
        <v>-1</v>
      </c>
      <c r="Y479" t="n">
        <v>1</v>
      </c>
      <c r="Z479" t="n">
        <v>0</v>
      </c>
      <c r="AA479" t="n">
        <v>0</v>
      </c>
      <c r="AB479" t="n">
        <v>22</v>
      </c>
      <c r="AC479" t="inlineStr">
        <is>
          <t>Hello World!</t>
        </is>
      </c>
    </row>
    <row r="480" ht="16" customHeight="1">
      <c r="A480" s="1" t="inlineStr">
        <is>
          <t>80.Red 2</t>
        </is>
      </c>
      <c r="B480" s="2" t="inlineStr">
        <is>
          <t>Andrew Crawford</t>
        </is>
      </c>
      <c r="C480" s="2" t="n">
        <v>80</v>
      </c>
      <c r="D480" s="2" t="inlineStr">
        <is>
          <t>r2</t>
        </is>
      </c>
      <c r="E480" s="2" t="n">
        <v>9016</v>
      </c>
      <c r="F480" s="2" t="n">
        <v>1</v>
      </c>
      <c r="G480" s="2" t="n">
        <v>1</v>
      </c>
      <c r="H480" s="2" t="n">
        <v>0</v>
      </c>
      <c r="I480" s="2" t="n">
        <v>-1</v>
      </c>
      <c r="J480" s="2" t="n">
        <v>1</v>
      </c>
      <c r="K480" s="2" t="n">
        <v>2</v>
      </c>
      <c r="L480" s="2" t="n">
        <v>2</v>
      </c>
      <c r="M480" s="2" t="n">
        <v>2</v>
      </c>
      <c r="N480" s="2" t="n">
        <v>1</v>
      </c>
      <c r="O480" s="2" t="n">
        <v>1</v>
      </c>
      <c r="P480" s="2" t="n">
        <v>1</v>
      </c>
      <c r="Q480" s="2" t="n">
        <v>1</v>
      </c>
      <c r="R480" s="2" t="n">
        <v>1</v>
      </c>
      <c r="S480" t="n">
        <v>-1</v>
      </c>
      <c r="T480" t="n">
        <v>0</v>
      </c>
      <c r="U480" t="n">
        <v>0</v>
      </c>
      <c r="V480" t="n">
        <v>1</v>
      </c>
      <c r="W480" t="n">
        <v>5</v>
      </c>
      <c r="X480" t="n">
        <v>-1</v>
      </c>
      <c r="Y480" t="n">
        <v>0</v>
      </c>
      <c r="Z480" t="n">
        <v>1</v>
      </c>
      <c r="AA480" t="n">
        <v>1</v>
      </c>
      <c r="AB480" t="n">
        <v>121</v>
      </c>
      <c r="AC480" t="inlineStr">
        <is>
          <t>Hello World!</t>
        </is>
      </c>
    </row>
    <row r="481" ht="16" customHeight="1">
      <c r="A481" s="1" t="inlineStr">
        <is>
          <t>80.Red 3</t>
        </is>
      </c>
      <c r="B481" s="2" t="inlineStr">
        <is>
          <t xml:space="preserve">Tyler Hignett </t>
        </is>
      </c>
      <c r="C481" s="2" t="n">
        <v>80</v>
      </c>
      <c r="D481" s="2" t="inlineStr">
        <is>
          <t>r3</t>
        </is>
      </c>
      <c r="E481" s="2" t="n">
        <v>1781</v>
      </c>
      <c r="F481" s="2" t="n">
        <v>0</v>
      </c>
      <c r="G481" s="2" t="n">
        <v>1</v>
      </c>
      <c r="H481" s="2" t="n">
        <v>0</v>
      </c>
      <c r="I481" s="2" t="n">
        <v>1</v>
      </c>
      <c r="J481" s="2" t="n">
        <v>4</v>
      </c>
      <c r="K481" s="2" t="n">
        <v>2</v>
      </c>
      <c r="L481" s="2" t="n">
        <v>2</v>
      </c>
      <c r="M481" s="2" t="n">
        <v>5</v>
      </c>
      <c r="N481" s="2" t="n">
        <v>0</v>
      </c>
      <c r="O481" s="2" t="n">
        <v>1</v>
      </c>
      <c r="P481" s="2" t="n">
        <v>0</v>
      </c>
      <c r="Q481" s="2" t="n">
        <v>0</v>
      </c>
      <c r="R481" s="2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5</v>
      </c>
      <c r="X481" t="n">
        <v>1</v>
      </c>
      <c r="Y481" t="n">
        <v>1</v>
      </c>
      <c r="Z481" t="n">
        <v>0</v>
      </c>
      <c r="AA481" t="n">
        <v>0</v>
      </c>
      <c r="AB481" t="n">
        <v>73</v>
      </c>
      <c r="AC481" t="inlineStr">
        <is>
          <t>Hello World!</t>
        </is>
      </c>
    </row>
    <row r="482" ht="16" customHeight="1">
      <c r="A482" s="1" t="inlineStr">
        <is>
          <t>81.Blue 1</t>
        </is>
      </c>
      <c r="B482" s="2" t="inlineStr">
        <is>
          <t>Domenic Giammusso</t>
        </is>
      </c>
      <c r="C482" s="2" t="n">
        <v>81</v>
      </c>
      <c r="D482" s="2" t="inlineStr">
        <is>
          <t>b1</t>
        </is>
      </c>
      <c r="E482" s="2" t="n">
        <v>271</v>
      </c>
      <c r="F482" s="2" t="n">
        <v>0</v>
      </c>
      <c r="G482" s="2" t="n">
        <v>0</v>
      </c>
      <c r="H482" s="2" t="n">
        <v>0</v>
      </c>
      <c r="I482" s="2" t="n">
        <v>-1</v>
      </c>
      <c r="J482" s="2" t="n">
        <v>5</v>
      </c>
      <c r="K482" s="2" t="n">
        <v>2</v>
      </c>
      <c r="L482" s="2" t="n">
        <v>3</v>
      </c>
      <c r="M482" s="2" t="n">
        <v>4</v>
      </c>
      <c r="N482" s="2" t="n">
        <v>1</v>
      </c>
      <c r="O482" s="2" t="n">
        <v>0</v>
      </c>
      <c r="P482" s="2" t="n">
        <v>0</v>
      </c>
      <c r="Q482" s="2" t="n">
        <v>1</v>
      </c>
      <c r="R482" s="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5</v>
      </c>
      <c r="X482" t="n">
        <v>1</v>
      </c>
      <c r="Y482" t="n">
        <v>1</v>
      </c>
      <c r="Z482" t="n">
        <v>0</v>
      </c>
      <c r="AA482" t="n">
        <v>0</v>
      </c>
      <c r="AB482" t="n">
        <v>70</v>
      </c>
      <c r="AC482" t="inlineStr">
        <is>
          <t>Hello World!</t>
        </is>
      </c>
    </row>
    <row r="483" ht="16" customHeight="1">
      <c r="A483" s="1" t="inlineStr">
        <is>
          <t>81.Blue 2</t>
        </is>
      </c>
      <c r="B483" s="2" t="inlineStr">
        <is>
          <t>Amanah Obaji</t>
        </is>
      </c>
      <c r="C483" s="2" t="n">
        <v>81</v>
      </c>
      <c r="D483" s="2" t="inlineStr">
        <is>
          <t>b2</t>
        </is>
      </c>
      <c r="E483" s="2" t="n">
        <v>3044</v>
      </c>
      <c r="F483" s="2" t="n">
        <v>0</v>
      </c>
      <c r="G483" s="2" t="n">
        <v>1</v>
      </c>
      <c r="H483" s="2" t="n">
        <v>1</v>
      </c>
      <c r="I483" s="2" t="n">
        <v>1</v>
      </c>
      <c r="J483" s="2" t="n">
        <v>5</v>
      </c>
      <c r="K483" s="2" t="n">
        <v>3</v>
      </c>
      <c r="L483" s="2" t="n">
        <v>3</v>
      </c>
      <c r="M483" s="2" t="n">
        <v>1</v>
      </c>
      <c r="N483" s="2" t="n">
        <v>1</v>
      </c>
      <c r="O483" s="2" t="n">
        <v>0</v>
      </c>
      <c r="P483" s="2" t="n">
        <v>1</v>
      </c>
      <c r="Q483" s="2" t="n">
        <v>1</v>
      </c>
      <c r="R483" s="2" t="n">
        <v>1</v>
      </c>
      <c r="S483" t="n">
        <v>-1</v>
      </c>
      <c r="T483" t="n">
        <v>0</v>
      </c>
      <c r="U483" t="n">
        <v>0</v>
      </c>
      <c r="V483" t="n">
        <v>1</v>
      </c>
      <c r="W483" t="n">
        <v>3</v>
      </c>
      <c r="X483" t="n">
        <v>-1</v>
      </c>
      <c r="Y483" t="n">
        <v>1</v>
      </c>
      <c r="Z483" t="n">
        <v>1</v>
      </c>
      <c r="AA483" t="n">
        <v>1</v>
      </c>
      <c r="AB483" t="n">
        <v>234</v>
      </c>
      <c r="AC483" t="inlineStr">
        <is>
          <t>Hello World!</t>
        </is>
      </c>
    </row>
    <row r="484" ht="16" customHeight="1">
      <c r="A484" s="1" t="inlineStr">
        <is>
          <t>81.Blue 3</t>
        </is>
      </c>
      <c r="B484" s="2" t="inlineStr">
        <is>
          <t>Autumn Schoenfeld</t>
        </is>
      </c>
      <c r="C484" s="2" t="n">
        <v>81</v>
      </c>
      <c r="D484" s="2" t="inlineStr">
        <is>
          <t>b3</t>
        </is>
      </c>
      <c r="E484" s="2" t="n">
        <v>3951</v>
      </c>
      <c r="F484" s="2" t="n">
        <v>0</v>
      </c>
      <c r="G484" s="2" t="n">
        <v>0</v>
      </c>
      <c r="H484" s="2" t="n">
        <v>1</v>
      </c>
      <c r="I484" s="2" t="n">
        <v>-1</v>
      </c>
      <c r="J484" s="2" t="n">
        <v>3</v>
      </c>
      <c r="K484" s="2" t="n">
        <v>2</v>
      </c>
      <c r="L484" s="2" t="n">
        <v>3</v>
      </c>
      <c r="M484" s="2" t="n">
        <v>5</v>
      </c>
      <c r="N484" s="2" t="n">
        <v>1</v>
      </c>
      <c r="O484" s="2" t="n">
        <v>1</v>
      </c>
      <c r="P484" s="2" t="n">
        <v>0</v>
      </c>
      <c r="Q484" s="2" t="n">
        <v>1</v>
      </c>
      <c r="R484" s="2" t="n">
        <v>1</v>
      </c>
      <c r="S484" t="n">
        <v>0</v>
      </c>
      <c r="T484" t="n">
        <v>1</v>
      </c>
      <c r="U484" t="n">
        <v>1</v>
      </c>
      <c r="V484" t="n">
        <v>0</v>
      </c>
      <c r="W484" t="n">
        <v>5</v>
      </c>
      <c r="X484" t="n">
        <v>-1</v>
      </c>
      <c r="Y484" t="n">
        <v>0</v>
      </c>
      <c r="Z484" t="n">
        <v>1</v>
      </c>
      <c r="AA484" t="n">
        <v>1</v>
      </c>
      <c r="AB484" t="n">
        <v>28</v>
      </c>
      <c r="AC484" t="inlineStr">
        <is>
          <t>Hello World!</t>
        </is>
      </c>
    </row>
    <row r="485" ht="16" customHeight="1">
      <c r="A485" s="1" t="inlineStr">
        <is>
          <t>81.Red 1</t>
        </is>
      </c>
      <c r="B485" s="2" t="inlineStr">
        <is>
          <t>Arthur Sayre</t>
        </is>
      </c>
      <c r="C485" s="2" t="n">
        <v>81</v>
      </c>
      <c r="D485" s="2" t="inlineStr">
        <is>
          <t>r1</t>
        </is>
      </c>
      <c r="E485" s="2" t="n">
        <v>2228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5</v>
      </c>
      <c r="K485" s="2" t="n">
        <v>3</v>
      </c>
      <c r="L485" s="2" t="n">
        <v>3</v>
      </c>
      <c r="M485" s="2" t="n">
        <v>1</v>
      </c>
      <c r="N485" s="2" t="n">
        <v>0</v>
      </c>
      <c r="O485" s="2" t="n">
        <v>1</v>
      </c>
      <c r="P485" s="2" t="n">
        <v>1</v>
      </c>
      <c r="Q485" s="2" t="n">
        <v>1</v>
      </c>
      <c r="R485" s="2" t="n">
        <v>1</v>
      </c>
      <c r="S485" t="n">
        <v>-1</v>
      </c>
      <c r="T485" t="n">
        <v>0</v>
      </c>
      <c r="U485" t="n">
        <v>0</v>
      </c>
      <c r="V485" t="n">
        <v>0</v>
      </c>
      <c r="W485" t="n">
        <v>4</v>
      </c>
      <c r="X485" t="n">
        <v>-1</v>
      </c>
      <c r="Y485" t="n">
        <v>1</v>
      </c>
      <c r="Z485" t="n">
        <v>1</v>
      </c>
      <c r="AA485" t="n">
        <v>1</v>
      </c>
      <c r="AB485" t="n">
        <v>219</v>
      </c>
      <c r="AC485" t="inlineStr">
        <is>
          <t>Hello World!</t>
        </is>
      </c>
    </row>
    <row r="486" ht="16" customHeight="1">
      <c r="A486" s="1" t="inlineStr">
        <is>
          <t>81.Red 2</t>
        </is>
      </c>
      <c r="B486" s="2" t="inlineStr">
        <is>
          <t>Nathan DeVito</t>
        </is>
      </c>
      <c r="C486" s="2" t="n">
        <v>81</v>
      </c>
      <c r="D486" s="2" t="inlineStr">
        <is>
          <t>r2</t>
        </is>
      </c>
      <c r="E486" s="2" t="n">
        <v>4930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1</v>
      </c>
      <c r="K486" s="2" t="n">
        <v>3</v>
      </c>
      <c r="L486" s="2" t="n">
        <v>3</v>
      </c>
      <c r="M486" s="2" t="n">
        <v>5</v>
      </c>
      <c r="N486" s="2" t="n">
        <v>1</v>
      </c>
      <c r="O486" s="2" t="n">
        <v>1</v>
      </c>
      <c r="P486" s="2" t="n">
        <v>1</v>
      </c>
      <c r="Q486" s="2" t="n">
        <v>1</v>
      </c>
      <c r="R486" s="2" t="n">
        <v>0</v>
      </c>
      <c r="S486" t="n">
        <v>2</v>
      </c>
      <c r="T486" t="n">
        <v>1</v>
      </c>
      <c r="U486" t="n">
        <v>0</v>
      </c>
      <c r="V486" t="n">
        <v>1</v>
      </c>
      <c r="W486" t="n">
        <v>3</v>
      </c>
      <c r="X486" t="n">
        <v>1</v>
      </c>
      <c r="Y486" t="n">
        <v>1</v>
      </c>
      <c r="Z486" t="n">
        <v>0</v>
      </c>
      <c r="AA486" t="n">
        <v>1</v>
      </c>
      <c r="AB486" t="n">
        <v>252</v>
      </c>
      <c r="AC486" t="inlineStr">
        <is>
          <t>Hello World!</t>
        </is>
      </c>
    </row>
    <row r="487" ht="16" customHeight="1">
      <c r="A487" s="1" t="inlineStr">
        <is>
          <t>81.Red 3</t>
        </is>
      </c>
      <c r="B487" s="2" t="inlineStr">
        <is>
          <t>Connor Rapp</t>
        </is>
      </c>
      <c r="C487" s="2" t="n">
        <v>81</v>
      </c>
      <c r="D487" s="2" t="inlineStr">
        <is>
          <t>r3</t>
        </is>
      </c>
      <c r="E487" s="2" t="n">
        <v>3173</v>
      </c>
      <c r="F487" s="2" t="n">
        <v>0</v>
      </c>
      <c r="G487" s="2" t="n">
        <v>0</v>
      </c>
      <c r="H487" s="2" t="n">
        <v>0</v>
      </c>
      <c r="I487" s="2" t="n">
        <v>-1</v>
      </c>
      <c r="J487" s="2" t="n">
        <v>1</v>
      </c>
      <c r="K487" s="2" t="n">
        <v>2</v>
      </c>
      <c r="L487" s="2" t="n">
        <v>2</v>
      </c>
      <c r="M487" s="2" t="n">
        <v>1</v>
      </c>
      <c r="N487" s="2" t="n">
        <v>0</v>
      </c>
      <c r="O487" s="2" t="n">
        <v>0</v>
      </c>
      <c r="P487" s="2" t="n">
        <v>1</v>
      </c>
      <c r="Q487" s="2" t="n">
        <v>1</v>
      </c>
      <c r="R487" s="2" t="n">
        <v>1</v>
      </c>
      <c r="S487" t="n">
        <v>3</v>
      </c>
      <c r="T487" t="n">
        <v>0</v>
      </c>
      <c r="U487" t="n">
        <v>0</v>
      </c>
      <c r="V487" t="n">
        <v>1</v>
      </c>
      <c r="W487" t="n">
        <v>4</v>
      </c>
      <c r="X487" t="n">
        <v>0</v>
      </c>
      <c r="Y487" t="n">
        <v>1</v>
      </c>
      <c r="Z487" t="n">
        <v>1</v>
      </c>
      <c r="AA487" t="n">
        <v>1</v>
      </c>
      <c r="AB487" t="n">
        <v>174</v>
      </c>
      <c r="AC487" t="inlineStr">
        <is>
          <t>Hello World!</t>
        </is>
      </c>
    </row>
    <row r="488" ht="16" customHeight="1">
      <c r="A488" s="1" t="inlineStr">
        <is>
          <t>82.Blue 1</t>
        </is>
      </c>
      <c r="B488" s="2" t="inlineStr">
        <is>
          <t>Jonah WoikaKai Wilbur</t>
        </is>
      </c>
      <c r="C488" s="2" t="n">
        <v>82</v>
      </c>
      <c r="D488" s="2" t="inlineStr">
        <is>
          <t>b1</t>
        </is>
      </c>
      <c r="E488" s="2" t="n">
        <v>564</v>
      </c>
      <c r="F488" s="2" t="n">
        <v>1</v>
      </c>
      <c r="G488" s="2" t="n">
        <v>0</v>
      </c>
      <c r="H488" s="2" t="n">
        <v>0</v>
      </c>
      <c r="I488" s="2" t="n">
        <v>-1</v>
      </c>
      <c r="J488" s="2" t="n">
        <v>3</v>
      </c>
      <c r="K488" s="2" t="n">
        <v>3</v>
      </c>
      <c r="L488" s="2" t="n">
        <v>3</v>
      </c>
      <c r="M488" s="2" t="n">
        <v>5</v>
      </c>
      <c r="N488" s="2" t="n">
        <v>0</v>
      </c>
      <c r="O488" s="2" t="n">
        <v>1</v>
      </c>
      <c r="P488" s="2" t="n">
        <v>1</v>
      </c>
      <c r="Q488" s="2" t="n">
        <v>1</v>
      </c>
      <c r="R488" s="2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1</v>
      </c>
      <c r="AA488" t="n">
        <v>0</v>
      </c>
      <c r="AB488" t="n">
        <v>189</v>
      </c>
      <c r="AC488" t="inlineStr">
        <is>
          <t>Hello World!</t>
        </is>
      </c>
    </row>
    <row r="489" ht="16" customHeight="1">
      <c r="A489" s="1" t="inlineStr">
        <is>
          <t>82.Blue 2</t>
        </is>
      </c>
      <c r="B489" s="2" t="inlineStr">
        <is>
          <t>Matthew Mazzota</t>
        </is>
      </c>
      <c r="C489" s="2" t="n">
        <v>82</v>
      </c>
      <c r="D489" s="2" t="inlineStr">
        <is>
          <t>b2</t>
        </is>
      </c>
      <c r="E489" s="2" t="n">
        <v>8503</v>
      </c>
      <c r="F489" s="2" t="n">
        <v>0</v>
      </c>
      <c r="G489" s="2" t="n">
        <v>1</v>
      </c>
      <c r="H489" s="2" t="n">
        <v>0</v>
      </c>
      <c r="I489" s="2" t="n">
        <v>0</v>
      </c>
      <c r="J489" s="2" t="n">
        <v>5</v>
      </c>
      <c r="K489" s="2" t="n">
        <v>3</v>
      </c>
      <c r="L489" s="2" t="n">
        <v>2</v>
      </c>
      <c r="M489" s="2" t="n">
        <v>4</v>
      </c>
      <c r="N489" s="2" t="n">
        <v>0</v>
      </c>
      <c r="O489" s="2" t="n">
        <v>0</v>
      </c>
      <c r="P489" s="2" t="n">
        <v>0</v>
      </c>
      <c r="Q489" s="2" t="n">
        <v>1</v>
      </c>
      <c r="R489" s="2" t="n">
        <v>1</v>
      </c>
      <c r="S489" t="n">
        <v>3</v>
      </c>
      <c r="T489" t="n">
        <v>0</v>
      </c>
      <c r="U489" t="n">
        <v>1</v>
      </c>
      <c r="V489" t="n">
        <v>1</v>
      </c>
      <c r="W489" t="n">
        <v>3</v>
      </c>
      <c r="X489" t="n">
        <v>0</v>
      </c>
      <c r="Y489" t="n">
        <v>0</v>
      </c>
      <c r="Z489" t="n">
        <v>1</v>
      </c>
      <c r="AA489" t="n">
        <v>0</v>
      </c>
      <c r="AB489" t="n">
        <v>141</v>
      </c>
      <c r="AC489" t="inlineStr">
        <is>
          <t>Hello World!</t>
        </is>
      </c>
    </row>
    <row r="490" ht="16" customHeight="1">
      <c r="A490" s="1" t="inlineStr">
        <is>
          <t>82.Blue 3</t>
        </is>
      </c>
      <c r="B490" s="2" t="inlineStr">
        <is>
          <t>Autumn Schoenfeld</t>
        </is>
      </c>
      <c r="C490" s="2" t="n">
        <v>82</v>
      </c>
      <c r="D490" s="2" t="inlineStr">
        <is>
          <t>b3</t>
        </is>
      </c>
      <c r="E490" s="2" t="n">
        <v>1507</v>
      </c>
      <c r="F490" s="2" t="n">
        <v>0</v>
      </c>
      <c r="G490" s="2" t="n">
        <v>1</v>
      </c>
      <c r="H490" s="2" t="n">
        <v>1</v>
      </c>
      <c r="I490" s="2" t="n">
        <v>-1</v>
      </c>
      <c r="J490" s="2" t="n">
        <v>4</v>
      </c>
      <c r="K490" s="2" t="n">
        <v>2</v>
      </c>
      <c r="L490" s="2" t="n">
        <v>1</v>
      </c>
      <c r="M490" s="2" t="n">
        <v>1</v>
      </c>
      <c r="N490" s="2" t="n">
        <v>1</v>
      </c>
      <c r="O490" s="2" t="n">
        <v>1</v>
      </c>
      <c r="P490" s="2" t="n">
        <v>0</v>
      </c>
      <c r="Q490" s="2" t="n">
        <v>0</v>
      </c>
      <c r="R490" s="2" t="n">
        <v>1</v>
      </c>
      <c r="S490" t="n">
        <v>0</v>
      </c>
      <c r="T490" t="n">
        <v>1</v>
      </c>
      <c r="U490" t="n">
        <v>1</v>
      </c>
      <c r="V490" t="n">
        <v>1</v>
      </c>
      <c r="W490" t="n">
        <v>3</v>
      </c>
      <c r="X490" t="n">
        <v>-1</v>
      </c>
      <c r="Y490" t="n">
        <v>0</v>
      </c>
      <c r="Z490" t="n">
        <v>0</v>
      </c>
      <c r="AA490" t="n">
        <v>1</v>
      </c>
      <c r="AB490" t="n">
        <v>211</v>
      </c>
      <c r="AC490" t="inlineStr">
        <is>
          <t>Hello World!</t>
        </is>
      </c>
    </row>
    <row r="491" ht="16" customHeight="1">
      <c r="A491" s="1" t="inlineStr">
        <is>
          <t>82.Red 1</t>
        </is>
      </c>
      <c r="B491" s="2" t="inlineStr">
        <is>
          <t>Gianmarco D'Angelo</t>
        </is>
      </c>
      <c r="C491" s="2" t="n">
        <v>82</v>
      </c>
      <c r="D491" s="2" t="inlineStr">
        <is>
          <t>r1</t>
        </is>
      </c>
      <c r="E491" s="2" t="n">
        <v>378</v>
      </c>
      <c r="F491" s="2" t="n">
        <v>0</v>
      </c>
      <c r="G491" s="2" t="n">
        <v>1</v>
      </c>
      <c r="H491" s="2" t="n">
        <v>1</v>
      </c>
      <c r="I491" s="2" t="n">
        <v>1</v>
      </c>
      <c r="J491" s="2" t="n">
        <v>3</v>
      </c>
      <c r="K491" s="2" t="n">
        <v>3</v>
      </c>
      <c r="L491" s="2" t="n">
        <v>1</v>
      </c>
      <c r="M491" s="2" t="n">
        <v>4</v>
      </c>
      <c r="N491" s="2" t="n">
        <v>0</v>
      </c>
      <c r="O491" s="2" t="n">
        <v>0</v>
      </c>
      <c r="P491" s="2" t="n">
        <v>0</v>
      </c>
      <c r="Q491" s="2" t="n">
        <v>1</v>
      </c>
      <c r="R491" s="2" t="n">
        <v>0</v>
      </c>
      <c r="S491" t="n">
        <v>3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56</v>
      </c>
      <c r="AC491" t="inlineStr">
        <is>
          <t>Hello World!</t>
        </is>
      </c>
    </row>
    <row r="492" ht="16" customHeight="1">
      <c r="A492" s="1" t="inlineStr">
        <is>
          <t>82.Red 2</t>
        </is>
      </c>
      <c r="B492" s="2" t="inlineStr">
        <is>
          <t>Amanah Obaji</t>
        </is>
      </c>
      <c r="C492" s="2" t="n">
        <v>82</v>
      </c>
      <c r="D492" s="2" t="inlineStr">
        <is>
          <t>r2</t>
        </is>
      </c>
      <c r="E492" s="2" t="n">
        <v>325</v>
      </c>
      <c r="F492" s="2" t="n">
        <v>0</v>
      </c>
      <c r="G492" s="2" t="n">
        <v>1</v>
      </c>
      <c r="H492" s="2" t="n">
        <v>0</v>
      </c>
      <c r="I492" s="2" t="n">
        <v>0</v>
      </c>
      <c r="J492" s="2" t="n">
        <v>3</v>
      </c>
      <c r="K492" s="2" t="n">
        <v>1</v>
      </c>
      <c r="L492" s="2" t="n">
        <v>2</v>
      </c>
      <c r="M492" s="2" t="n">
        <v>3</v>
      </c>
      <c r="N492" s="2" t="n">
        <v>0</v>
      </c>
      <c r="O492" s="2" t="n">
        <v>1</v>
      </c>
      <c r="P492" s="2" t="n">
        <v>0</v>
      </c>
      <c r="Q492" s="2" t="n">
        <v>0</v>
      </c>
      <c r="R492" s="2" t="n">
        <v>0</v>
      </c>
      <c r="S492" t="n">
        <v>-1</v>
      </c>
      <c r="T492" t="n">
        <v>1</v>
      </c>
      <c r="U492" t="n">
        <v>0</v>
      </c>
      <c r="V492" t="n">
        <v>1</v>
      </c>
      <c r="W492" t="n">
        <v>2</v>
      </c>
      <c r="X492" t="n">
        <v>-1</v>
      </c>
      <c r="Y492" t="n">
        <v>1</v>
      </c>
      <c r="Z492" t="n">
        <v>1</v>
      </c>
      <c r="AA492" t="n">
        <v>1</v>
      </c>
      <c r="AB492" t="n">
        <v>189</v>
      </c>
      <c r="AC492" t="inlineStr">
        <is>
          <t>Hello World!</t>
        </is>
      </c>
    </row>
    <row r="493" ht="16" customHeight="1">
      <c r="A493" s="1" t="inlineStr">
        <is>
          <t>82.Red 3</t>
        </is>
      </c>
      <c r="B493" s="2" t="inlineStr">
        <is>
          <t xml:space="preserve">Tetra Ukav </t>
        </is>
      </c>
      <c r="C493" s="2" t="n">
        <v>82</v>
      </c>
      <c r="D493" s="2" t="inlineStr">
        <is>
          <t>r3</t>
        </is>
      </c>
      <c r="E493" s="2" t="n">
        <v>4253</v>
      </c>
      <c r="F493" s="2" t="n">
        <v>1</v>
      </c>
      <c r="G493" s="2" t="n">
        <v>1</v>
      </c>
      <c r="H493" s="2" t="n">
        <v>1</v>
      </c>
      <c r="I493" s="2" t="n">
        <v>0</v>
      </c>
      <c r="J493" s="2" t="n">
        <v>5</v>
      </c>
      <c r="K493" s="2" t="n">
        <v>3</v>
      </c>
      <c r="L493" s="2" t="n">
        <v>3</v>
      </c>
      <c r="M493" s="2" t="n">
        <v>3</v>
      </c>
      <c r="N493" s="2" t="n">
        <v>1</v>
      </c>
      <c r="O493" s="2" t="n">
        <v>0</v>
      </c>
      <c r="P493" s="2" t="n">
        <v>1</v>
      </c>
      <c r="Q493" s="2" t="n">
        <v>0</v>
      </c>
      <c r="R493" s="2" t="n">
        <v>0</v>
      </c>
      <c r="S493" t="n">
        <v>3</v>
      </c>
      <c r="T493" t="n">
        <v>1</v>
      </c>
      <c r="U493" t="n">
        <v>0</v>
      </c>
      <c r="V493" t="n">
        <v>0</v>
      </c>
      <c r="W493" t="n">
        <v>3</v>
      </c>
      <c r="X493" t="n">
        <v>0</v>
      </c>
      <c r="Y493" t="n">
        <v>0</v>
      </c>
      <c r="Z493" t="n">
        <v>1</v>
      </c>
      <c r="AA493" t="n">
        <v>0</v>
      </c>
      <c r="AB493" t="n">
        <v>112</v>
      </c>
      <c r="AC493" t="inlineStr">
        <is>
          <t>Hello World!</t>
        </is>
      </c>
    </row>
    <row r="494" ht="16" customHeight="1">
      <c r="A494" s="1" t="inlineStr">
        <is>
          <t>83.Blue 1</t>
        </is>
      </c>
      <c r="B494" s="2" t="inlineStr">
        <is>
          <t xml:space="preserve">Tyler Hignett </t>
        </is>
      </c>
      <c r="C494" s="2" t="n">
        <v>83</v>
      </c>
      <c r="D494" s="2" t="inlineStr">
        <is>
          <t>b1</t>
        </is>
      </c>
      <c r="E494" s="2" t="n">
        <v>432</v>
      </c>
      <c r="F494" s="2" t="n">
        <v>1</v>
      </c>
      <c r="G494" s="2" t="n">
        <v>1</v>
      </c>
      <c r="H494" s="2" t="n">
        <v>0</v>
      </c>
      <c r="I494" s="2" t="n">
        <v>0</v>
      </c>
      <c r="J494" s="2" t="n">
        <v>5</v>
      </c>
      <c r="K494" s="2" t="n">
        <v>2</v>
      </c>
      <c r="L494" s="2" t="n">
        <v>1</v>
      </c>
      <c r="M494" s="2" t="n">
        <v>3</v>
      </c>
      <c r="N494" s="2" t="n">
        <v>1</v>
      </c>
      <c r="O494" s="2" t="n">
        <v>1</v>
      </c>
      <c r="P494" s="2" t="n">
        <v>1</v>
      </c>
      <c r="Q494" s="2" t="n">
        <v>0</v>
      </c>
      <c r="R494" s="2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0</v>
      </c>
      <c r="Y494" t="n">
        <v>1</v>
      </c>
      <c r="Z494" t="n">
        <v>0</v>
      </c>
      <c r="AA494" t="n">
        <v>0</v>
      </c>
      <c r="AB494" t="n">
        <v>94</v>
      </c>
      <c r="AC494" t="inlineStr">
        <is>
          <t>Hello World!</t>
        </is>
      </c>
    </row>
    <row r="495" ht="16" customHeight="1">
      <c r="A495" s="1" t="inlineStr">
        <is>
          <t>83.Blue 2</t>
        </is>
      </c>
      <c r="B495" s="2" t="inlineStr">
        <is>
          <t>Andrew Crawford</t>
        </is>
      </c>
      <c r="C495" s="2" t="n">
        <v>83</v>
      </c>
      <c r="D495" s="2" t="inlineStr">
        <is>
          <t>b2</t>
        </is>
      </c>
      <c r="E495" s="2" t="n">
        <v>3838</v>
      </c>
      <c r="F495" s="2" t="n">
        <v>1</v>
      </c>
      <c r="G495" s="2" t="n">
        <v>1</v>
      </c>
      <c r="H495" s="2" t="n">
        <v>1</v>
      </c>
      <c r="I495" s="2" t="n">
        <v>-1</v>
      </c>
      <c r="J495" s="2" t="n">
        <v>2</v>
      </c>
      <c r="K495" s="2" t="n">
        <v>2</v>
      </c>
      <c r="L495" s="2" t="n">
        <v>3</v>
      </c>
      <c r="M495" s="2" t="n">
        <v>1</v>
      </c>
      <c r="N495" s="2" t="n">
        <v>1</v>
      </c>
      <c r="O495" s="2" t="n">
        <v>1</v>
      </c>
      <c r="P495" s="2" t="n">
        <v>1</v>
      </c>
      <c r="Q495" s="2" t="n">
        <v>1</v>
      </c>
      <c r="R495" s="2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5</v>
      </c>
      <c r="X495" t="n">
        <v>1</v>
      </c>
      <c r="Y495" t="n">
        <v>0</v>
      </c>
      <c r="Z495" t="n">
        <v>1</v>
      </c>
      <c r="AA495" t="n">
        <v>1</v>
      </c>
      <c r="AB495" t="n">
        <v>157</v>
      </c>
      <c r="AC495" t="inlineStr">
        <is>
          <t>Hello World!</t>
        </is>
      </c>
    </row>
    <row r="496" ht="16" customHeight="1">
      <c r="A496" s="1" t="inlineStr">
        <is>
          <t>83.Blue 3</t>
        </is>
      </c>
      <c r="B496" s="2" t="inlineStr">
        <is>
          <t>Celton Norter</t>
        </is>
      </c>
      <c r="C496" s="2" t="n">
        <v>83</v>
      </c>
      <c r="D496" s="2" t="inlineStr">
        <is>
          <t>b3</t>
        </is>
      </c>
      <c r="E496" s="2" t="n">
        <v>20</v>
      </c>
      <c r="F496" s="2" t="n">
        <v>1</v>
      </c>
      <c r="G496" s="2" t="n">
        <v>0</v>
      </c>
      <c r="H496" s="2" t="n">
        <v>1</v>
      </c>
      <c r="I496" s="2" t="n">
        <v>1</v>
      </c>
      <c r="J496" s="2" t="n">
        <v>3</v>
      </c>
      <c r="K496" s="2" t="n">
        <v>2</v>
      </c>
      <c r="L496" s="2" t="n">
        <v>1</v>
      </c>
      <c r="M496" s="2" t="n">
        <v>3</v>
      </c>
      <c r="N496" s="2" t="n">
        <v>1</v>
      </c>
      <c r="O496" s="2" t="n">
        <v>1</v>
      </c>
      <c r="P496" s="2" t="n">
        <v>0</v>
      </c>
      <c r="Q496" s="2" t="n">
        <v>1</v>
      </c>
      <c r="R496" s="2" t="n">
        <v>0</v>
      </c>
      <c r="S496" t="n">
        <v>-1</v>
      </c>
      <c r="T496" t="n">
        <v>1</v>
      </c>
      <c r="U496" t="n">
        <v>1</v>
      </c>
      <c r="V496" t="n">
        <v>0</v>
      </c>
      <c r="W496" t="n">
        <v>3</v>
      </c>
      <c r="X496" t="n">
        <v>0</v>
      </c>
      <c r="Y496" t="n">
        <v>1</v>
      </c>
      <c r="Z496" t="n">
        <v>0</v>
      </c>
      <c r="AA496" t="n">
        <v>0</v>
      </c>
      <c r="AB496" t="n">
        <v>201</v>
      </c>
      <c r="AC496" t="inlineStr">
        <is>
          <t>Hello World!</t>
        </is>
      </c>
    </row>
    <row r="497" ht="16" customHeight="1">
      <c r="A497" s="1" t="inlineStr">
        <is>
          <t>83.Red 1</t>
        </is>
      </c>
      <c r="B497" s="2" t="inlineStr">
        <is>
          <t>Jonah WoikaKai Wilbur</t>
        </is>
      </c>
      <c r="C497" s="2" t="n">
        <v>83</v>
      </c>
      <c r="D497" s="2" t="inlineStr">
        <is>
          <t>r1</t>
        </is>
      </c>
      <c r="E497" s="2" t="n">
        <v>1056</v>
      </c>
      <c r="F497" s="2" t="n">
        <v>1</v>
      </c>
      <c r="G497" s="2" t="n">
        <v>0</v>
      </c>
      <c r="H497" s="2" t="n">
        <v>0</v>
      </c>
      <c r="I497" s="2" t="n">
        <v>0</v>
      </c>
      <c r="J497" s="2" t="n">
        <v>5</v>
      </c>
      <c r="K497" s="2" t="n">
        <v>1</v>
      </c>
      <c r="L497" s="2" t="n">
        <v>2</v>
      </c>
      <c r="M497" s="2" t="n">
        <v>2</v>
      </c>
      <c r="N497" s="2" t="n">
        <v>0</v>
      </c>
      <c r="O497" s="2" t="n">
        <v>1</v>
      </c>
      <c r="P497" s="2" t="n">
        <v>0</v>
      </c>
      <c r="Q497" s="2" t="n">
        <v>1</v>
      </c>
      <c r="R497" s="2" t="n">
        <v>1</v>
      </c>
      <c r="S497" t="n">
        <v>2</v>
      </c>
      <c r="T497" t="n">
        <v>1</v>
      </c>
      <c r="U497" t="n">
        <v>0</v>
      </c>
      <c r="V497" t="n">
        <v>1</v>
      </c>
      <c r="W497" t="n">
        <v>3</v>
      </c>
      <c r="X497" t="n">
        <v>0</v>
      </c>
      <c r="Y497" t="n">
        <v>0</v>
      </c>
      <c r="Z497" t="n">
        <v>0</v>
      </c>
      <c r="AA497" t="n">
        <v>0</v>
      </c>
      <c r="AB497" t="n">
        <v>239</v>
      </c>
      <c r="AC497" t="inlineStr">
        <is>
          <t>Hello World!</t>
        </is>
      </c>
    </row>
    <row r="498" ht="16" customHeight="1">
      <c r="A498" s="1" t="inlineStr">
        <is>
          <t>83.Red 2</t>
        </is>
      </c>
      <c r="B498" s="2" t="inlineStr">
        <is>
          <t>Caitlin Munier</t>
        </is>
      </c>
      <c r="C498" s="2" t="n">
        <v>83</v>
      </c>
      <c r="D498" s="2" t="inlineStr">
        <is>
          <t>r2</t>
        </is>
      </c>
      <c r="E498" s="2" t="n">
        <v>639</v>
      </c>
      <c r="F498" s="2" t="n">
        <v>0</v>
      </c>
      <c r="G498" s="2" t="n">
        <v>1</v>
      </c>
      <c r="H498" s="2" t="n">
        <v>1</v>
      </c>
      <c r="I498" s="2" t="n">
        <v>-1</v>
      </c>
      <c r="J498" s="2" t="n">
        <v>3</v>
      </c>
      <c r="K498" s="2" t="n">
        <v>2</v>
      </c>
      <c r="L498" s="2" t="n">
        <v>3</v>
      </c>
      <c r="M498" s="2" t="n">
        <v>3</v>
      </c>
      <c r="N498" s="2" t="n">
        <v>1</v>
      </c>
      <c r="O498" s="2" t="n">
        <v>0</v>
      </c>
      <c r="P498" s="2" t="n">
        <v>0</v>
      </c>
      <c r="Q498" s="2" t="n">
        <v>1</v>
      </c>
      <c r="R498" s="2" t="n">
        <v>1</v>
      </c>
      <c r="S498" t="n">
        <v>3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0</v>
      </c>
      <c r="AB498" t="n">
        <v>157</v>
      </c>
      <c r="AC498" t="inlineStr">
        <is>
          <t>Hello World!</t>
        </is>
      </c>
    </row>
    <row r="499" ht="16" customHeight="1">
      <c r="A499" s="1" t="inlineStr">
        <is>
          <t>83.Red 3</t>
        </is>
      </c>
      <c r="B499" s="2" t="inlineStr">
        <is>
          <t>Colby Jackson</t>
        </is>
      </c>
      <c r="C499" s="2" t="n">
        <v>83</v>
      </c>
      <c r="D499" s="2" t="inlineStr">
        <is>
          <t>r3</t>
        </is>
      </c>
      <c r="E499" s="2" t="n">
        <v>7903</v>
      </c>
      <c r="F499" s="2" t="n">
        <v>1</v>
      </c>
      <c r="G499" s="2" t="n">
        <v>0</v>
      </c>
      <c r="H499" s="2" t="n">
        <v>0</v>
      </c>
      <c r="I499" s="2" t="n">
        <v>-1</v>
      </c>
      <c r="J499" s="2" t="n">
        <v>4</v>
      </c>
      <c r="K499" s="2" t="n">
        <v>1</v>
      </c>
      <c r="L499" s="2" t="n">
        <v>3</v>
      </c>
      <c r="M499" s="2" t="n">
        <v>1</v>
      </c>
      <c r="N499" s="2" t="n">
        <v>0</v>
      </c>
      <c r="O499" s="2" t="n">
        <v>0</v>
      </c>
      <c r="P499" s="2" t="n">
        <v>1</v>
      </c>
      <c r="Q499" s="2" t="n">
        <v>0</v>
      </c>
      <c r="R499" s="2" t="n">
        <v>1</v>
      </c>
      <c r="S499" t="n">
        <v>-1</v>
      </c>
      <c r="T499" t="n">
        <v>1</v>
      </c>
      <c r="U499" t="n">
        <v>0</v>
      </c>
      <c r="V499" t="n">
        <v>0</v>
      </c>
      <c r="W499" t="n">
        <v>2</v>
      </c>
      <c r="X499" t="n">
        <v>-1</v>
      </c>
      <c r="Y499" t="n">
        <v>0</v>
      </c>
      <c r="Z499" t="n">
        <v>1</v>
      </c>
      <c r="AA499" t="n">
        <v>0</v>
      </c>
      <c r="AB499" t="n">
        <v>59</v>
      </c>
      <c r="AC499" t="inlineStr">
        <is>
          <t>Hello World!</t>
        </is>
      </c>
    </row>
    <row r="500" ht="16" customHeight="1">
      <c r="A500" s="1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 ht="16" customHeight="1">
      <c r="A501" s="1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 ht="16" customHeight="1">
      <c r="A502" s="1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 ht="16" customHeight="1">
      <c r="A503" s="1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 ht="16" customHeight="1">
      <c r="A504" s="1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 ht="16" customHeight="1">
      <c r="A505" s="1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 ht="16" customHeight="1">
      <c r="A506" s="1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 ht="16" customHeight="1">
      <c r="A507" s="1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 ht="16" customHeight="1">
      <c r="A508" s="1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 ht="16" customHeight="1">
      <c r="A509" s="1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 ht="16" customHeight="1">
      <c r="A510" s="1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 ht="16" customHeight="1">
      <c r="A511" s="1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 ht="16" customHeight="1">
      <c r="A512" s="1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 ht="16" customHeight="1">
      <c r="A513" s="1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 ht="16" customHeight="1">
      <c r="A514" s="1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 ht="16" customHeight="1">
      <c r="A515" s="1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 ht="16" customHeight="1">
      <c r="A516" s="1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 ht="16" customHeight="1">
      <c r="A517" s="1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 ht="16" customHeight="1">
      <c r="A518" s="1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 ht="16" customHeight="1">
      <c r="A519" s="1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 ht="16" customHeight="1">
      <c r="A520" s="1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 ht="16" customHeight="1">
      <c r="A521" s="1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 ht="16" customHeight="1">
      <c r="A522" s="1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 ht="16" customHeight="1">
      <c r="A523" s="1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 ht="16" customHeight="1">
      <c r="A524" s="1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 ht="16" customHeight="1">
      <c r="A525" s="1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 ht="16" customHeight="1">
      <c r="A526" s="1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 ht="16" customHeight="1">
      <c r="A527" s="1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 ht="16" customHeight="1">
      <c r="A528" s="1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 ht="16" customHeight="1">
      <c r="A529" s="1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 ht="16" customHeight="1">
      <c r="A530" s="1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 ht="16" customHeight="1">
      <c r="A531" s="1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 ht="16" customHeight="1">
      <c r="A532" s="1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 ht="16" customHeight="1">
      <c r="A533" s="1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 ht="16" customHeight="1">
      <c r="A534" s="1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 ht="16" customHeight="1">
      <c r="A535" s="1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 ht="16" customHeight="1">
      <c r="A536" s="1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 ht="16" customHeight="1">
      <c r="A537" s="1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 ht="16" customHeight="1">
      <c r="A538" s="1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 ht="16" customHeight="1">
      <c r="A539" s="1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 ht="16" customHeight="1">
      <c r="A540" s="1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 ht="16" customHeight="1">
      <c r="A541" s="1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 ht="16" customHeight="1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 ht="16" customHeight="1">
      <c r="A543" s="1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 ht="16" customHeight="1">
      <c r="A544" s="1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 ht="16" customHeight="1">
      <c r="A545" s="1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 ht="16" customHeight="1">
      <c r="A546" s="1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 ht="16" customHeight="1">
      <c r="A547" s="1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 ht="16" customHeight="1">
      <c r="A548" s="1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 ht="16" customHeight="1">
      <c r="A549" s="1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 ht="16" customHeight="1">
      <c r="A550" s="1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 ht="16" customHeight="1">
      <c r="A551" s="1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 ht="16" customHeight="1">
      <c r="A552" s="1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 ht="16" customHeight="1">
      <c r="A553" s="1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 ht="16" customHeight="1">
      <c r="A554" s="1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 ht="16" customHeight="1">
      <c r="A555" s="1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 ht="16" customHeight="1">
      <c r="A556" s="1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 ht="16" customHeight="1">
      <c r="A557" s="1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 ht="16" customHeight="1">
      <c r="A558" s="1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 ht="16" customHeight="1">
      <c r="A559" s="1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 ht="16" customHeight="1">
      <c r="A560" s="1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 ht="16" customHeight="1">
      <c r="A561" s="1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 ht="16" customHeight="1">
      <c r="A562" s="1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 ht="16" customHeight="1">
      <c r="A563" s="1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 ht="16" customHeight="1">
      <c r="A564" s="1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 ht="16" customHeight="1">
      <c r="A565" s="1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 ht="16" customHeight="1">
      <c r="A566" s="1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 ht="16" customHeight="1">
      <c r="A567" s="1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 ht="16" customHeight="1">
      <c r="A568" s="1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 ht="16" customHeight="1">
      <c r="A569" s="1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 ht="16" customHeight="1">
      <c r="A570" s="1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 ht="16" customHeight="1">
      <c r="A571" s="1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 ht="16" customHeight="1">
      <c r="A572" s="1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 ht="16" customHeight="1">
      <c r="A573" s="1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 ht="16" customHeight="1">
      <c r="A574" s="1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 ht="16" customHeight="1">
      <c r="A575" s="1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 ht="16" customHeight="1">
      <c r="A576" s="1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 ht="16" customHeight="1">
      <c r="A577" s="1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 ht="16" customHeight="1">
      <c r="A578" s="1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 ht="16" customHeight="1">
      <c r="A579" s="1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 ht="16" customHeight="1">
      <c r="A580" s="1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 ht="16" customHeight="1">
      <c r="A581" s="1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 ht="16" customHeight="1">
      <c r="A582" s="1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 ht="16" customHeight="1">
      <c r="A583" s="1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 ht="16" customHeight="1">
      <c r="A584" s="1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 ht="16" customHeight="1">
      <c r="A585" s="1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 ht="16" customHeight="1">
      <c r="A586" s="1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 ht="16" customHeight="1">
      <c r="A587" s="1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 ht="16" customHeight="1">
      <c r="A588" s="1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 ht="16" customHeight="1">
      <c r="A589" s="1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 ht="16" customHeight="1">
      <c r="A590" s="1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 ht="16" customHeight="1">
      <c r="A591" s="1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 ht="16" customHeight="1">
      <c r="A592" s="1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 ht="16" customHeight="1">
      <c r="A593" s="1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 ht="16" customHeight="1">
      <c r="A594" s="1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 ht="16" customHeight="1">
      <c r="A595" s="1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 ht="16" customHeight="1">
      <c r="A596" s="1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 ht="16" customHeight="1">
      <c r="A597" s="1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 ht="16" customHeight="1">
      <c r="A598" s="1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 ht="16" customHeight="1">
      <c r="A599" s="1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 ht="16" customHeight="1">
      <c r="A600" s="1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 ht="16" customHeight="1">
      <c r="A601" s="1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 ht="16" customHeight="1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 ht="16" customHeight="1">
      <c r="A603" s="1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 ht="16" customHeight="1">
      <c r="A604" s="1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 ht="16" customHeight="1">
      <c r="A605" s="1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 ht="16" customHeight="1">
      <c r="A606" s="1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 ht="16" customHeight="1">
      <c r="A607" s="1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 ht="16" customHeight="1">
      <c r="A608" s="1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 ht="16" customHeight="1">
      <c r="A609" s="1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 ht="16" customHeight="1">
      <c r="A610" s="1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 ht="16" customHeight="1">
      <c r="A611" s="1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 ht="16" customHeight="1">
      <c r="A612" s="1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 ht="16" customHeight="1">
      <c r="A613" s="1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 ht="16" customHeight="1">
      <c r="A614" s="1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 ht="16" customHeight="1">
      <c r="A615" s="1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 ht="16" customHeight="1">
      <c r="A616" s="1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 ht="16" customHeight="1">
      <c r="A617" s="1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 ht="16" customHeight="1">
      <c r="A618" s="1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 ht="16" customHeight="1">
      <c r="A619" s="1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 ht="16" customHeight="1">
      <c r="A620" s="1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 ht="16" customHeight="1">
      <c r="A621" s="1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 ht="16" customHeight="1">
      <c r="A622" s="1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 ht="16" customHeight="1">
      <c r="A623" s="1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 ht="16" customHeight="1">
      <c r="A624" s="1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 ht="16" customHeight="1">
      <c r="A625" s="1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 ht="16" customHeight="1">
      <c r="A626" s="1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 ht="16" customHeight="1">
      <c r="A627" s="1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 ht="16" customHeight="1">
      <c r="A628" s="1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 ht="16" customHeight="1">
      <c r="A629" s="1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 ht="16" customHeight="1">
      <c r="A630" s="1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 ht="16" customHeight="1">
      <c r="A631" s="1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 ht="16" customHeight="1">
      <c r="A632" s="1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 ht="16" customHeight="1">
      <c r="A633" s="1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 ht="16" customHeight="1">
      <c r="A634" s="1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 ht="16" customHeight="1">
      <c r="A635" s="1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 ht="16" customHeight="1">
      <c r="A636" s="1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 ht="16" customHeight="1">
      <c r="A637" s="1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 ht="16" customHeight="1">
      <c r="A638" s="1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 ht="16" customHeight="1">
      <c r="A639" s="1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 ht="16" customHeight="1">
      <c r="A640" s="1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 ht="16" customHeight="1">
      <c r="A641" s="1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 ht="16" customHeight="1">
      <c r="A642" s="1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 ht="16" customHeight="1">
      <c r="A643" s="1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 ht="16" customHeight="1">
      <c r="A644" s="1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 ht="16" customHeight="1">
      <c r="A645" s="1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 ht="16" customHeight="1">
      <c r="A646" s="1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 ht="16" customHeight="1">
      <c r="A647" s="1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 ht="16" customHeight="1">
      <c r="A648" s="1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 ht="16" customHeight="1">
      <c r="A649" s="1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 ht="16" customHeight="1">
      <c r="A650" s="1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 ht="16" customHeight="1">
      <c r="A651" s="1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 ht="16" customHeight="1">
      <c r="A652" s="1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 ht="16" customHeight="1">
      <c r="A653" s="1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 ht="16" customHeight="1">
      <c r="A654" s="1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 ht="16" customHeight="1">
      <c r="A655" s="1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 ht="16" customHeight="1">
      <c r="A656" s="1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 ht="16" customHeight="1">
      <c r="A657" s="1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 ht="16" customHeight="1">
      <c r="A658" s="1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 ht="16" customHeight="1">
      <c r="A659" s="1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 ht="16" customHeight="1">
      <c r="A660" s="1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 ht="16" customHeight="1">
      <c r="A661" s="1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 ht="16" customHeight="1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 ht="16" customHeight="1">
      <c r="A663" s="1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 ht="16" customHeight="1">
      <c r="A664" s="1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 ht="16" customHeight="1">
      <c r="A665" s="1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 ht="16" customHeight="1">
      <c r="A666" s="1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 ht="16" customHeight="1">
      <c r="A667" s="1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 ht="16" customHeight="1">
      <c r="A668" s="1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 ht="16" customHeight="1">
      <c r="A669" s="1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 ht="16" customHeight="1">
      <c r="A670" s="1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 ht="16" customHeight="1">
      <c r="A671" s="1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 ht="16" customHeight="1">
      <c r="A672" s="1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 ht="16" customHeight="1">
      <c r="A673" s="1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 ht="16" customHeight="1">
      <c r="A674" s="1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 ht="16" customHeight="1">
      <c r="A675" s="1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 ht="16" customHeight="1">
      <c r="A676" s="1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 ht="16" customHeight="1">
      <c r="A677" s="1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 ht="16" customHeight="1">
      <c r="A678" s="1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 ht="16" customHeight="1">
      <c r="A679" s="1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 ht="16" customHeight="1">
      <c r="A680" s="1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 ht="16" customHeight="1">
      <c r="A681" s="1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 ht="16" customHeight="1">
      <c r="A682" s="1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 ht="16" customHeight="1">
      <c r="A683" s="1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 ht="16" customHeight="1">
      <c r="A684" s="1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 ht="16" customHeight="1">
      <c r="A685" s="1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 ht="16" customHeight="1">
      <c r="A686" s="1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 ht="16" customHeight="1">
      <c r="A687" s="1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 ht="16" customHeight="1">
      <c r="A688" s="1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 ht="16" customHeight="1">
      <c r="A689" s="1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 ht="16" customHeight="1">
      <c r="A690" s="1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 ht="16" customHeight="1">
      <c r="A691" s="1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 ht="16" customHeight="1">
      <c r="A692" s="1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 ht="16" customHeight="1">
      <c r="A693" s="1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 ht="16" customHeight="1">
      <c r="A694" s="1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 ht="16" customHeight="1">
      <c r="A695" s="1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 ht="16" customHeight="1">
      <c r="A696" s="1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 ht="16" customHeight="1">
      <c r="A697" s="1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 ht="16" customHeight="1">
      <c r="A698" s="1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 ht="16" customHeight="1">
      <c r="A699" s="1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 ht="16" customHeight="1">
      <c r="A700" s="1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 ht="16" customHeight="1">
      <c r="A701" s="1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 ht="16" customHeight="1">
      <c r="A702" s="1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 ht="16" customHeight="1">
      <c r="A703" s="1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 ht="16" customHeight="1">
      <c r="A704" s="1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 ht="16" customHeight="1">
      <c r="A705" s="1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 ht="16" customHeight="1">
      <c r="A706" s="1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 ht="16" customHeight="1">
      <c r="A707" s="1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 ht="16" customHeight="1">
      <c r="A708" s="1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 ht="16" customHeight="1">
      <c r="A709" s="1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 ht="16" customHeight="1">
      <c r="A710" s="1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 ht="16" customHeight="1">
      <c r="A711" s="1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 ht="16" customHeight="1">
      <c r="A712" s="1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 ht="16" customHeight="1">
      <c r="A713" s="1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 ht="16" customHeight="1">
      <c r="A714" s="1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 ht="16" customHeight="1">
      <c r="A715" s="1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 ht="16" customHeight="1">
      <c r="A716" s="1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 ht="16" customHeight="1">
      <c r="A717" s="1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 ht="16" customHeight="1">
      <c r="A718" s="1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 ht="16" customHeight="1">
      <c r="A719" s="1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 ht="16" customHeight="1">
      <c r="A720" s="1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 ht="16" customHeight="1">
      <c r="A721" s="1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 ht="16" customHeight="1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 ht="16" customHeight="1">
      <c r="A723" s="1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 ht="16" customHeight="1">
      <c r="A724" s="1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 ht="16" customHeight="1">
      <c r="A725" s="1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 ht="16" customHeight="1">
      <c r="A726" s="1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 ht="16" customHeight="1">
      <c r="A727" s="1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 ht="16" customHeight="1">
      <c r="A728" s="1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 ht="16" customHeight="1">
      <c r="A729" s="1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 ht="16" customHeight="1">
      <c r="A730" s="1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 ht="16" customHeight="1">
      <c r="A731" s="1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 ht="16" customHeight="1">
      <c r="A732" s="1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 ht="16" customHeight="1">
      <c r="A733" s="1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 ht="16" customHeight="1">
      <c r="A734" s="1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 ht="16" customHeight="1">
      <c r="A735" s="1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 ht="16" customHeight="1">
      <c r="A736" s="1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 ht="16" customHeight="1">
      <c r="A737" s="1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 ht="16" customHeight="1">
      <c r="A738" s="1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 ht="16" customHeight="1">
      <c r="A739" s="1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 ht="16" customHeight="1">
      <c r="A740" s="1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 ht="16" customHeight="1">
      <c r="A741" s="1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 ht="16" customHeight="1">
      <c r="A742" s="1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 ht="16" customHeight="1">
      <c r="A743" s="1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 ht="16" customHeight="1">
      <c r="A744" s="1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 ht="16" customHeight="1">
      <c r="A745" s="1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 ht="16" customHeight="1">
      <c r="A746" s="1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 ht="16" customHeight="1">
      <c r="A747" s="1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 ht="16" customHeight="1">
      <c r="A748" s="1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 ht="16" customHeight="1">
      <c r="A749" s="1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 ht="16" customHeight="1">
      <c r="A750" s="1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 ht="16" customHeight="1">
      <c r="A751" s="1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 ht="16" customHeight="1">
      <c r="A752" s="1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 ht="16" customHeight="1">
      <c r="A753" s="1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 ht="16" customHeight="1">
      <c r="A754" s="1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 ht="16" customHeight="1">
      <c r="A755" s="1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 ht="16" customHeight="1">
      <c r="A756" s="1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 ht="16" customHeight="1">
      <c r="A757" s="1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 ht="16" customHeight="1">
      <c r="A758" s="1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 ht="16" customHeight="1">
      <c r="A759" s="1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 ht="16" customHeight="1">
      <c r="A760" s="1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 ht="16" customHeight="1">
      <c r="A761" s="1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 ht="16" customHeight="1">
      <c r="A762" s="1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 ht="16" customHeight="1">
      <c r="A763" s="1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 ht="16" customHeight="1">
      <c r="A764" s="1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 ht="16" customHeight="1">
      <c r="A765" s="1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 ht="16" customHeight="1">
      <c r="A766" s="1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 ht="16" customHeight="1">
      <c r="A767" s="1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 ht="16" customHeight="1">
      <c r="A768" s="1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 ht="16" customHeight="1">
      <c r="A769" s="1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 ht="16" customHeight="1">
      <c r="A770" s="1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 ht="16" customHeight="1">
      <c r="A771" s="1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 ht="16" customHeight="1">
      <c r="A772" s="1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 ht="16" customHeight="1">
      <c r="A773" s="1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 ht="16" customHeight="1">
      <c r="A774" s="1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 ht="16" customHeight="1">
      <c r="A775" s="1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 ht="16" customHeight="1">
      <c r="A776" s="1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 ht="16" customHeight="1">
      <c r="A777" s="1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 ht="16" customHeight="1">
      <c r="A778" s="1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 ht="16" customHeight="1">
      <c r="A779" s="1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 ht="16" customHeight="1">
      <c r="A780" s="1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 ht="16" customHeight="1">
      <c r="A781" s="1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 ht="16" customHeight="1">
      <c r="A782" s="1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 ht="16" customHeight="1">
      <c r="A783" s="1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 ht="16" customHeight="1">
      <c r="A784" s="1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 ht="16" customHeight="1">
      <c r="A785" s="1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 ht="16" customHeight="1">
      <c r="A786" s="1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 ht="16" customHeight="1">
      <c r="A787" s="1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 ht="16" customHeight="1">
      <c r="A788" s="1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 ht="16" customHeight="1">
      <c r="A789" s="1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 ht="16" customHeight="1">
      <c r="A790" s="1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 ht="16" customHeight="1">
      <c r="A791" s="1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 ht="16" customHeight="1">
      <c r="A792" s="1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 ht="16" customHeight="1">
      <c r="A793" s="1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 ht="16" customHeight="1">
      <c r="A794" s="1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 ht="16" customHeight="1">
      <c r="A795" s="1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 ht="16" customHeight="1">
      <c r="A796" s="1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 ht="16" customHeight="1">
      <c r="A797" s="1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 ht="16" customHeight="1">
      <c r="A798" s="1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 ht="16" customHeight="1">
      <c r="A799" s="1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 ht="16" customHeight="1">
      <c r="A800" s="1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 ht="16" customHeight="1">
      <c r="A801" s="1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 ht="16" customHeight="1">
      <c r="A802" s="1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 ht="16" customHeight="1">
      <c r="A803" s="1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 ht="16" customHeight="1">
      <c r="A804" s="1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 ht="16" customHeight="1">
      <c r="A805" s="1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 ht="16" customHeight="1">
      <c r="A806" s="1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 ht="16" customHeight="1">
      <c r="A807" s="1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 ht="16" customHeight="1">
      <c r="A808" s="1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 ht="16" customHeight="1">
      <c r="A809" s="1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 ht="16" customHeight="1">
      <c r="A810" s="1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 ht="16" customHeight="1">
      <c r="A811" s="1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 ht="16" customHeight="1">
      <c r="A812" s="1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 ht="16" customHeight="1">
      <c r="A813" s="1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 ht="16" customHeight="1">
      <c r="A814" s="1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 ht="16" customHeight="1">
      <c r="A815" s="1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 ht="16" customHeight="1">
      <c r="A816" s="1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 ht="16" customHeight="1">
      <c r="A817" s="1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 ht="16" customHeight="1">
      <c r="A818" s="1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 ht="16" customHeight="1">
      <c r="A819" s="1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 ht="16" customHeight="1">
      <c r="A820" s="1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 ht="16" customHeight="1">
      <c r="A821" s="1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 ht="16" customHeight="1">
      <c r="A822" s="1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 ht="16" customHeight="1">
      <c r="A823" s="1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 ht="16" customHeight="1">
      <c r="A824" s="1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 ht="16" customHeight="1">
      <c r="A825" s="1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 ht="16" customHeight="1">
      <c r="A826" s="1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 ht="16" customHeight="1">
      <c r="A827" s="1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 ht="16" customHeight="1">
      <c r="A828" s="1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 ht="16" customHeight="1">
      <c r="A829" s="1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 ht="16" customHeight="1">
      <c r="A830" s="1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 ht="16" customHeight="1">
      <c r="A831" s="1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 ht="16" customHeight="1">
      <c r="A832" s="1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 ht="16" customHeight="1">
      <c r="A833" s="1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 ht="16" customHeight="1">
      <c r="A834" s="1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 ht="16" customHeight="1">
      <c r="A835" s="1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 ht="16" customHeight="1">
      <c r="A836" s="1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 ht="16" customHeight="1">
      <c r="A837" s="1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 ht="16" customHeight="1">
      <c r="A838" s="1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 ht="16" customHeight="1">
      <c r="A839" s="1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 ht="16" customHeight="1">
      <c r="A840" s="1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 ht="16" customHeight="1">
      <c r="A841" s="1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 ht="16" customHeight="1">
      <c r="A842" s="1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 ht="16" customHeight="1">
      <c r="A843" s="1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 ht="16" customHeight="1">
      <c r="A844" s="1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 ht="16" customHeight="1">
      <c r="A845" s="1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 ht="16" customHeight="1">
      <c r="A846" s="1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 ht="16" customHeight="1">
      <c r="A847" s="1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 ht="16" customHeight="1">
      <c r="A848" s="1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 ht="16" customHeight="1">
      <c r="A849" s="1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 ht="16" customHeight="1">
      <c r="A850" s="1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 ht="16" customHeight="1">
      <c r="A851" s="1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 ht="16" customHeight="1">
      <c r="A852" s="1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 ht="16" customHeight="1">
      <c r="A853" s="1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 ht="16" customHeight="1">
      <c r="A854" s="1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 ht="16" customHeight="1">
      <c r="A855" s="1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 ht="16" customHeight="1">
      <c r="A856" s="1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 ht="16" customHeight="1">
      <c r="A857" s="1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 ht="16" customHeight="1">
      <c r="A858" s="1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 ht="16" customHeight="1">
      <c r="A859" s="1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 ht="16" customHeight="1">
      <c r="A860" s="1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 ht="16" customHeight="1">
      <c r="A861" s="1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 ht="16" customHeight="1">
      <c r="A862" s="1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 ht="16" customHeight="1">
      <c r="A863" s="1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 ht="16" customHeight="1">
      <c r="A864" s="1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 ht="16" customHeight="1">
      <c r="A865" s="1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 ht="16" customHeight="1">
      <c r="A866" s="1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 ht="16" customHeight="1">
      <c r="A867" s="1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 ht="16" customHeight="1">
      <c r="A868" s="1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 ht="16" customHeight="1">
      <c r="A869" s="1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 ht="16" customHeight="1">
      <c r="A870" s="1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 ht="16" customHeight="1">
      <c r="A871" s="1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 ht="16" customHeight="1">
      <c r="A872" s="1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 ht="16" customHeight="1">
      <c r="A873" s="1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 ht="16" customHeight="1">
      <c r="A874" s="1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 ht="16" customHeight="1">
      <c r="A875" s="1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 ht="16" customHeight="1">
      <c r="A876" s="1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 ht="16" customHeight="1">
      <c r="A877" s="1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 ht="16" customHeight="1">
      <c r="A878" s="1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 ht="16" customHeight="1">
      <c r="A879" s="1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 ht="16" customHeight="1">
      <c r="A880" s="1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 ht="16" customHeight="1">
      <c r="A881" s="1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 ht="16" customHeight="1">
      <c r="A882" s="1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 ht="16" customHeight="1">
      <c r="A883" s="1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 ht="16" customHeight="1">
      <c r="A884" s="1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 ht="16" customHeight="1">
      <c r="A885" s="1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 ht="16" customHeight="1">
      <c r="A886" s="1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 ht="16" customHeight="1">
      <c r="A887" s="1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 ht="16" customHeight="1">
      <c r="A888" s="1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 ht="16" customHeight="1">
      <c r="A889" s="1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 ht="16" customHeight="1">
      <c r="A890" s="1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 ht="16" customHeight="1">
      <c r="A891" s="1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 ht="16" customHeight="1">
      <c r="A892" s="1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 ht="16" customHeight="1">
      <c r="A893" s="1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 ht="16" customHeight="1">
      <c r="A894" s="1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 ht="16" customHeight="1">
      <c r="A895" s="1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 ht="16" customHeight="1">
      <c r="A896" s="1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 ht="16" customHeight="1">
      <c r="A897" s="1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 ht="16" customHeight="1">
      <c r="A898" s="1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 ht="16" customHeight="1">
      <c r="A899" s="1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 ht="16" customHeight="1">
      <c r="A900" s="1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 ht="16" customHeight="1">
      <c r="A901" s="1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 ht="16" customHeight="1">
      <c r="A902" s="1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 ht="16" customHeight="1">
      <c r="A903" s="1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 ht="16" customHeight="1">
      <c r="A904" s="1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 ht="16" customHeight="1">
      <c r="A905" s="1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 ht="16" customHeight="1">
      <c r="A906" s="1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 ht="16" customHeight="1">
      <c r="A907" s="1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 ht="16" customHeight="1">
      <c r="A908" s="1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 ht="16" customHeight="1">
      <c r="A909" s="1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 ht="16" customHeight="1">
      <c r="A910" s="1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 ht="16" customHeight="1">
      <c r="A911" s="1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 ht="16" customHeight="1">
      <c r="A912" s="1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 ht="16" customHeight="1">
      <c r="A913" s="1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 ht="16" customHeight="1">
      <c r="A914" s="1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 ht="16" customHeight="1">
      <c r="A915" s="1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 ht="16" customHeight="1">
      <c r="A916" s="1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 ht="16" customHeight="1">
      <c r="A917" s="1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 ht="16" customHeight="1">
      <c r="A918" s="1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 ht="16" customHeight="1">
      <c r="A919" s="1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 ht="16" customHeight="1">
      <c r="A920" s="1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 ht="16" customHeight="1">
      <c r="A921" s="1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 ht="16" customHeight="1">
      <c r="A922" s="1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 ht="16" customHeight="1">
      <c r="A923" s="1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 ht="16" customHeight="1">
      <c r="A924" s="1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 ht="16" customHeight="1">
      <c r="A925" s="1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 ht="16" customHeight="1">
      <c r="A926" s="1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 ht="16" customHeight="1">
      <c r="A927" s="1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 ht="16" customHeight="1">
      <c r="A928" s="1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 ht="16" customHeight="1">
      <c r="A929" s="1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 ht="16" customHeight="1">
      <c r="A930" s="1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 ht="16" customHeight="1">
      <c r="A931" s="1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 ht="16" customHeight="1">
      <c r="A932" s="1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 ht="16" customHeight="1">
      <c r="A933" s="1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 ht="16" customHeight="1">
      <c r="A934" s="1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 ht="16" customHeight="1">
      <c r="A935" s="1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 ht="16" customHeight="1">
      <c r="A936" s="1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 ht="16" customHeight="1">
      <c r="A937" s="1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 ht="16" customHeight="1">
      <c r="A938" s="1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 ht="16" customHeight="1">
      <c r="A939" s="1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 ht="16" customHeight="1">
      <c r="A940" s="1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 ht="16" customHeight="1">
      <c r="A941" s="1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 ht="16" customHeight="1">
      <c r="A942" s="1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 ht="16" customHeight="1">
      <c r="A943" s="1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 ht="16" customHeight="1">
      <c r="A944" s="1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 ht="16" customHeight="1">
      <c r="A945" s="1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 ht="16" customHeight="1">
      <c r="A946" s="1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 ht="16" customHeight="1">
      <c r="A947" s="1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 ht="16" customHeight="1">
      <c r="A948" s="1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 ht="16" customHeight="1">
      <c r="A949" s="1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 ht="16" customHeight="1">
      <c r="A950" s="1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 ht="16" customHeight="1">
      <c r="A951" s="1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 ht="16" customHeight="1">
      <c r="A952" s="1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 ht="16" customHeight="1">
      <c r="A953" s="1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 ht="16" customHeight="1">
      <c r="A954" s="1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 ht="16" customHeight="1">
      <c r="A955" s="1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 ht="16" customHeight="1">
      <c r="A956" s="1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 ht="16" customHeight="1">
      <c r="A957" s="1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 ht="16" customHeight="1">
      <c r="A958" s="1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 ht="16" customHeight="1">
      <c r="A959" s="1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 ht="16" customHeight="1">
      <c r="A960" s="1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 ht="16" customHeight="1">
      <c r="A961" s="1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 ht="16" customHeight="1">
      <c r="A962" s="1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 ht="16" customHeight="1">
      <c r="A963" s="1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 ht="16" customHeight="1">
      <c r="A964" s="1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 ht="16" customHeight="1">
      <c r="A965" s="1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 ht="16" customHeight="1">
      <c r="A966" s="1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 ht="16" customHeight="1">
      <c r="A967" s="1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 ht="16" customHeight="1">
      <c r="A968" s="1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 ht="16" customHeight="1">
      <c r="A969" s="1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 ht="16" customHeight="1">
      <c r="A970" s="1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 ht="16" customHeight="1">
      <c r="A971" s="1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 ht="16" customHeight="1">
      <c r="A972" s="1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 ht="16" customHeight="1">
      <c r="A973" s="1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 ht="16" customHeight="1">
      <c r="A974" s="1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 ht="16" customHeight="1">
      <c r="A975" s="1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 ht="16" customHeight="1">
      <c r="A976" s="1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 ht="16" customHeight="1">
      <c r="A977" s="1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 ht="16" customHeight="1">
      <c r="A978" s="1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 ht="16" customHeight="1">
      <c r="A979" s="1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 ht="16" customHeight="1">
      <c r="A980" s="1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 ht="16" customHeight="1">
      <c r="A981" s="1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 ht="16" customHeight="1">
      <c r="A982" s="1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 ht="16" customHeight="1">
      <c r="A983" s="1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 ht="16" customHeight="1">
      <c r="A984" s="1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 ht="16" customHeight="1">
      <c r="A985" s="1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 ht="16" customHeight="1">
      <c r="A986" s="1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 ht="16" customHeight="1">
      <c r="A987" s="1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 ht="16" customHeight="1">
      <c r="A988" s="1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 ht="16" customHeight="1">
      <c r="A989" s="1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 ht="16" customHeight="1">
      <c r="A990" s="1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 ht="16" customHeight="1">
      <c r="A991" s="1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 ht="16" customHeight="1">
      <c r="A992" s="1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</sheetData>
  <autoFilter ref="A1:A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outlineLevelCol="0"/>
  <cols>
    <col width="15" customWidth="1" min="1" max="1"/>
    <col width="50" customWidth="1" min="2" max="2"/>
  </cols>
  <sheetData>
    <row r="1" ht="16" customHeight="1">
      <c r="A1" s="3" t="inlineStr">
        <is>
          <t>TBA Key</t>
        </is>
      </c>
      <c r="B1" s="33" t="inlineStr">
        <is>
          <t>2026nytr</t>
        </is>
      </c>
    </row>
    <row r="2" ht="16" customHeight="1">
      <c r="A2" s="3" t="inlineStr">
        <is>
          <t>FIRST Key</t>
        </is>
      </c>
      <c r="B2" s="33" t="inlineStr">
        <is>
          <t>nytr</t>
        </is>
      </c>
    </row>
    <row r="3" ht="16" customHeight="1">
      <c r="A3" s="3" t="inlineStr">
        <is>
          <t>Name</t>
        </is>
      </c>
      <c r="B3" s="33" t="inlineStr">
        <is>
          <t>New York Tech Valley Regional</t>
        </is>
      </c>
    </row>
    <row r="4" ht="16" customHeight="1">
      <c r="A4" s="3" t="inlineStr">
        <is>
          <t>Location</t>
        </is>
      </c>
      <c r="B4" s="33" t="inlineStr">
        <is>
          <t>MVP Arena</t>
        </is>
      </c>
    </row>
    <row r="5" ht="16" customHeight="1">
      <c r="A5" s="3" t="inlineStr">
        <is>
          <t>Start Date</t>
        </is>
      </c>
      <c r="B5" s="33" t="inlineStr">
        <is>
          <t>2026-04-15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1"/>
  <sheetViews>
    <sheetView zoomScale="150" zoomScaleNormal="15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 outlineLevelCol="0"/>
  <cols>
    <col width="16.5" customWidth="1" min="1" max="1"/>
    <col width="35" customWidth="1" min="2" max="2"/>
    <col width="50" customWidth="1" min="3" max="3"/>
    <col width="20" customWidth="1" min="4" max="4"/>
    <col width="15" customWidth="1" min="5" max="5"/>
  </cols>
  <sheetData>
    <row r="1" ht="20" customHeight="1">
      <c r="A1" s="5" t="inlineStr">
        <is>
          <t>Team Number</t>
        </is>
      </c>
      <c r="B1" s="5" t="inlineStr">
        <is>
          <t>Nickname</t>
        </is>
      </c>
      <c r="C1" s="5" t="inlineStr">
        <is>
          <t>School</t>
        </is>
      </c>
      <c r="D1" s="5" t="inlineStr">
        <is>
          <t>Rookie Year</t>
        </is>
      </c>
      <c r="E1" s="5" t="inlineStr">
        <is>
          <t>TBA Key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16" customHeight="1">
      <c r="A2" s="33" t="n">
        <v>20</v>
      </c>
      <c r="B2" t="inlineStr">
        <is>
          <t>The Rocketeers</t>
        </is>
      </c>
      <c r="C2" t="inlineStr">
        <is>
          <t>Shenendehowa High School</t>
        </is>
      </c>
      <c r="D2" t="n">
        <v>1992</v>
      </c>
      <c r="E2" t="inlineStr">
        <is>
          <t>frc20</t>
        </is>
      </c>
    </row>
    <row r="3" ht="16" customHeight="1">
      <c r="A3" s="33" t="n">
        <v>191</v>
      </c>
      <c r="B3" t="inlineStr">
        <is>
          <t>X-CATS</t>
        </is>
      </c>
      <c r="C3" t="inlineStr">
        <is>
          <t>Wilson Magnet High School</t>
        </is>
      </c>
      <c r="D3" t="n">
        <v>1992</v>
      </c>
      <c r="E3" t="inlineStr">
        <is>
          <t>frc191</t>
        </is>
      </c>
    </row>
    <row r="4" ht="16" customHeight="1">
      <c r="A4" s="33" t="n">
        <v>229</v>
      </c>
      <c r="B4" t="inlineStr">
        <is>
          <t>Division By Zero</t>
        </is>
      </c>
      <c r="C4" t="inlineStr">
        <is>
          <t>Norwood-Norfolk Sr High School &amp; Massena High School</t>
        </is>
      </c>
      <c r="D4" t="n">
        <v>1999</v>
      </c>
      <c r="E4" t="inlineStr">
        <is>
          <t>frc229</t>
        </is>
      </c>
    </row>
    <row r="5" ht="16" customHeight="1">
      <c r="A5" s="33" t="n">
        <v>250</v>
      </c>
      <c r="B5" t="inlineStr">
        <is>
          <t>The Dynamos</t>
        </is>
      </c>
      <c r="C5" t="inlineStr">
        <is>
          <t>Colonie Central High School</t>
        </is>
      </c>
      <c r="D5" t="n">
        <v>1999</v>
      </c>
      <c r="E5" t="inlineStr">
        <is>
          <t>frc250</t>
        </is>
      </c>
    </row>
    <row r="6" ht="16" customHeight="1">
      <c r="A6" s="33" t="n">
        <v>263</v>
      </c>
      <c r="B6" t="inlineStr">
        <is>
          <t>Aftershock</t>
        </is>
      </c>
      <c r="C6" t="inlineStr">
        <is>
          <t>Sachem High Schools North and East</t>
        </is>
      </c>
      <c r="D6" t="n">
        <v>1999</v>
      </c>
      <c r="E6" t="inlineStr">
        <is>
          <t>frc263</t>
        </is>
      </c>
    </row>
    <row r="7" ht="16" customHeight="1">
      <c r="A7" s="33" t="n">
        <v>271</v>
      </c>
      <c r="B7" t="inlineStr">
        <is>
          <t>Mechanical Marauders</t>
        </is>
      </c>
      <c r="C7" t="inlineStr">
        <is>
          <t>Bay Shore High School</t>
        </is>
      </c>
      <c r="D7" t="n">
        <v>1999</v>
      </c>
      <c r="E7" t="inlineStr">
        <is>
          <t>frc271</t>
        </is>
      </c>
    </row>
    <row r="8" ht="16" customHeight="1">
      <c r="A8" s="33" t="n">
        <v>287</v>
      </c>
      <c r="B8" t="inlineStr">
        <is>
          <t>Floyd Robotics</t>
        </is>
      </c>
      <c r="C8" t="inlineStr">
        <is>
          <t>William Floyd High School</t>
        </is>
      </c>
      <c r="D8" t="n">
        <v>1999</v>
      </c>
      <c r="E8" t="inlineStr">
        <is>
          <t>frc287</t>
        </is>
      </c>
    </row>
    <row r="9" ht="16" customHeight="1">
      <c r="A9" s="33" t="n">
        <v>424</v>
      </c>
      <c r="B9" t="inlineStr">
        <is>
          <t>Rust Belt Robotics</t>
        </is>
      </c>
      <c r="C9" t="inlineStr">
        <is>
          <t>Churchville-Chili High School &amp; Bausch &amp; Lomb Incorporated</t>
        </is>
      </c>
      <c r="D9" t="n">
        <v>2000</v>
      </c>
      <c r="E9" t="inlineStr">
        <is>
          <t>frc424</t>
        </is>
      </c>
    </row>
    <row r="10" ht="16" customHeight="1">
      <c r="A10" s="33" t="n">
        <v>533</v>
      </c>
      <c r="B10" t="inlineStr">
        <is>
          <t>The PSIcotics</t>
        </is>
      </c>
      <c r="C10" t="inlineStr">
        <is>
          <t>Lindenhurst Senior High School</t>
        </is>
      </c>
      <c r="D10" t="n">
        <v>2001</v>
      </c>
      <c r="E10" t="inlineStr">
        <is>
          <t>frc533</t>
        </is>
      </c>
    </row>
    <row r="11" ht="16" customHeight="1">
      <c r="A11" s="33" t="n">
        <v>578</v>
      </c>
      <c r="B11" t="inlineStr">
        <is>
          <t>Fairport Robotics</t>
        </is>
      </c>
      <c r="C11" t="inlineStr">
        <is>
          <t>Fairport High School</t>
        </is>
      </c>
      <c r="D11" t="n">
        <v>2001</v>
      </c>
      <c r="E11" t="inlineStr">
        <is>
          <t>frc578</t>
        </is>
      </c>
    </row>
    <row r="12" ht="16" customHeight="1">
      <c r="A12" s="33" t="n">
        <v>677</v>
      </c>
      <c r="B12" t="inlineStr">
        <is>
          <t>Murphy's Outlaws</t>
        </is>
      </c>
      <c r="C12" t="inlineStr">
        <is>
          <t>Columbus School for Girls</t>
        </is>
      </c>
      <c r="D12" t="n">
        <v>2001</v>
      </c>
      <c r="E12" t="inlineStr">
        <is>
          <t>frc677</t>
        </is>
      </c>
    </row>
    <row r="13" ht="16" customHeight="1">
      <c r="A13" s="33" t="n">
        <v>806</v>
      </c>
      <c r="B13" t="inlineStr">
        <is>
          <t>The Brooklyn Blacksmiths</t>
        </is>
      </c>
      <c r="C13" t="inlineStr">
        <is>
          <t>Xaverian High School</t>
        </is>
      </c>
      <c r="D13" t="n">
        <v>2002</v>
      </c>
      <c r="E13" t="inlineStr">
        <is>
          <t>frc806</t>
        </is>
      </c>
    </row>
    <row r="14" ht="16" customHeight="1">
      <c r="A14" s="33" t="n">
        <v>870</v>
      </c>
      <c r="B14" t="inlineStr">
        <is>
          <t>TEAM  R. I. C. E.</t>
        </is>
      </c>
      <c r="C14" t="inlineStr">
        <is>
          <t>Southold Jr Sr High School</t>
        </is>
      </c>
      <c r="D14" t="n">
        <v>2002</v>
      </c>
      <c r="E14" t="inlineStr">
        <is>
          <t>frc870</t>
        </is>
      </c>
    </row>
    <row r="15" ht="16" customHeight="1">
      <c r="A15" s="33" t="n">
        <v>1126</v>
      </c>
      <c r="B15" t="inlineStr">
        <is>
          <t>SPARX</t>
        </is>
      </c>
      <c r="C15" t="inlineStr">
        <is>
          <t>Schroeder High School &amp; Webster Thomas High School</t>
        </is>
      </c>
      <c r="D15" t="n">
        <v>2003</v>
      </c>
      <c r="E15" t="inlineStr">
        <is>
          <t>frc1126</t>
        </is>
      </c>
    </row>
    <row r="16" ht="16" customHeight="1">
      <c r="A16" s="33" t="n">
        <v>1405</v>
      </c>
      <c r="B16" t="inlineStr">
        <is>
          <t>Finney Falcons</t>
        </is>
      </c>
      <c r="C16" t="inlineStr">
        <is>
          <t>The Charles Finney School</t>
        </is>
      </c>
      <c r="D16" t="n">
        <v>2004</v>
      </c>
      <c r="E16" t="inlineStr">
        <is>
          <t>frc1405</t>
        </is>
      </c>
    </row>
    <row r="17" ht="16" customHeight="1">
      <c r="A17" s="33" t="n">
        <v>1493</v>
      </c>
      <c r="B17" t="inlineStr">
        <is>
          <t>Falcons</t>
        </is>
      </c>
      <c r="C17" t="inlineStr">
        <is>
          <t>Albany High School</t>
        </is>
      </c>
      <c r="D17" t="n">
        <v>2004</v>
      </c>
      <c r="E17" t="inlineStr">
        <is>
          <t>frc1493</t>
        </is>
      </c>
    </row>
    <row r="18" ht="16" customHeight="1">
      <c r="A18" s="33" t="n">
        <v>1559</v>
      </c>
      <c r="B18" t="inlineStr">
        <is>
          <t>Devil Tech</t>
        </is>
      </c>
      <c r="C18" t="inlineStr">
        <is>
          <t>Victor High School</t>
        </is>
      </c>
      <c r="D18" t="n">
        <v>2005</v>
      </c>
      <c r="E18" t="inlineStr">
        <is>
          <t>frc1559</t>
        </is>
      </c>
    </row>
    <row r="19" ht="16" customHeight="1">
      <c r="A19" s="33" t="n">
        <v>1591</v>
      </c>
      <c r="B19" t="inlineStr">
        <is>
          <t>Greece Gladiators</t>
        </is>
      </c>
      <c r="C19" t="inlineStr">
        <is>
          <t>Odyssey Academy &amp; Athena High School &amp; Olympia High School &amp; Arcadia High School</t>
        </is>
      </c>
      <c r="D19" t="n">
        <v>2005</v>
      </c>
      <c r="E19" t="inlineStr">
        <is>
          <t>frc1591</t>
        </is>
      </c>
    </row>
    <row r="20" ht="16" customHeight="1">
      <c r="A20" s="33" t="n">
        <v>1796</v>
      </c>
      <c r="B20" t="inlineStr">
        <is>
          <t>RoboTigers</t>
        </is>
      </c>
      <c r="C20" t="inlineStr">
        <is>
          <t>Queens Technical High School</t>
        </is>
      </c>
      <c r="D20" t="n">
        <v>2006</v>
      </c>
      <c r="E20" t="inlineStr">
        <is>
          <t>frc1796</t>
        </is>
      </c>
    </row>
    <row r="21" ht="16" customHeight="1">
      <c r="A21" s="33" t="n">
        <v>1880</v>
      </c>
      <c r="B21" t="inlineStr">
        <is>
          <t>Warriors of East Harlem</t>
        </is>
      </c>
      <c r="C21" t="inlineStr">
        <is>
          <t>NASA</t>
        </is>
      </c>
      <c r="D21" t="n">
        <v>2006</v>
      </c>
      <c r="E21" t="inlineStr">
        <is>
          <t>frc1880</t>
        </is>
      </c>
    </row>
    <row r="22" ht="16" customHeight="1">
      <c r="A22" s="33" t="n">
        <v>2053</v>
      </c>
      <c r="B22" t="inlineStr">
        <is>
          <t>Southern Tier Robotics</t>
        </is>
      </c>
      <c r="C22" t="inlineStr">
        <is>
          <t>Vestal Senior High School</t>
        </is>
      </c>
      <c r="D22" t="n">
        <v>2007</v>
      </c>
      <c r="E22" t="inlineStr">
        <is>
          <t>frc2053</t>
        </is>
      </c>
    </row>
    <row r="23" ht="16" customHeight="1">
      <c r="A23" s="33" t="n">
        <v>2340</v>
      </c>
      <c r="B23" t="inlineStr">
        <is>
          <t>Mercy Robotics-Xcentrics</t>
        </is>
      </c>
      <c r="C23" t="inlineStr">
        <is>
          <t>Our Lady of Mercy School</t>
        </is>
      </c>
      <c r="D23" t="n">
        <v>2008</v>
      </c>
      <c r="E23" t="inlineStr">
        <is>
          <t>frc2340</t>
        </is>
      </c>
    </row>
    <row r="24" ht="16" customHeight="1">
      <c r="A24" s="33" t="n">
        <v>2791</v>
      </c>
      <c r="B24" t="inlineStr">
        <is>
          <t>Shaker Robotics</t>
        </is>
      </c>
      <c r="C24" t="inlineStr">
        <is>
          <t>Shaker High School</t>
        </is>
      </c>
      <c r="D24" t="n">
        <v>2009</v>
      </c>
      <c r="E24" t="inlineStr">
        <is>
          <t>frc2791</t>
        </is>
      </c>
    </row>
    <row r="25" ht="16" customHeight="1">
      <c r="A25" s="33" t="n">
        <v>3003</v>
      </c>
      <c r="B25" t="inlineStr">
        <is>
          <t>TAN(X)</t>
        </is>
      </c>
      <c r="C25" t="inlineStr">
        <is>
          <t>Canandaigua Academy</t>
        </is>
      </c>
      <c r="D25" t="n">
        <v>2009</v>
      </c>
      <c r="E25" t="inlineStr">
        <is>
          <t>frc3003</t>
        </is>
      </c>
    </row>
    <row r="26" ht="16" customHeight="1">
      <c r="A26" s="33" t="n">
        <v>3044</v>
      </c>
      <c r="B26" t="inlineStr">
        <is>
          <t>Team 0xBE4</t>
        </is>
      </c>
      <c r="C26" t="inlineStr">
        <is>
          <t>Ballston Spa High School</t>
        </is>
      </c>
      <c r="D26" t="n">
        <v>2009</v>
      </c>
      <c r="E26" t="inlineStr">
        <is>
          <t>frc3044</t>
        </is>
      </c>
    </row>
    <row r="27" ht="16" customHeight="1">
      <c r="A27" s="33" t="n">
        <v>3171</v>
      </c>
      <c r="B27" t="inlineStr">
        <is>
          <t>HURRICANES</t>
        </is>
      </c>
      <c r="C27" t="inlineStr">
        <is>
          <t>Westhampton Beach High School</t>
        </is>
      </c>
      <c r="D27" t="n">
        <v>2010</v>
      </c>
      <c r="E27" t="inlineStr">
        <is>
          <t>frc3171</t>
        </is>
      </c>
    </row>
    <row r="28" ht="16" customHeight="1">
      <c r="A28" s="33" t="n">
        <v>3173</v>
      </c>
      <c r="B28" t="inlineStr">
        <is>
          <t>IgKnighters</t>
        </is>
      </c>
      <c r="C28" t="inlineStr">
        <is>
          <t>McQuaid Jesuit High School</t>
        </is>
      </c>
      <c r="D28" t="n">
        <v>2010</v>
      </c>
      <c r="E28" t="inlineStr">
        <is>
          <t>frc3173</t>
        </is>
      </c>
    </row>
    <row r="29" ht="16" customHeight="1">
      <c r="A29" s="33" t="n">
        <v>3181</v>
      </c>
      <c r="B29" t="inlineStr">
        <is>
          <t>Pittsford Panthers</t>
        </is>
      </c>
      <c r="C29" t="inlineStr">
        <is>
          <t>Pittsford Sutherland High Sch &amp; Pittsford Mendon High School</t>
        </is>
      </c>
      <c r="D29" t="n">
        <v>2010</v>
      </c>
      <c r="E29" t="inlineStr">
        <is>
          <t>frc3181</t>
        </is>
      </c>
    </row>
    <row r="30" ht="16" customHeight="1">
      <c r="A30" s="33" t="n">
        <v>3624</v>
      </c>
      <c r="B30" t="inlineStr">
        <is>
          <t>Soaring Colts</t>
        </is>
      </c>
      <c r="C30" t="inlineStr">
        <is>
          <t>Half Hollow Hills High Sch W &amp; Half Hollow Hills High Sch E</t>
        </is>
      </c>
      <c r="D30" t="n">
        <v>2011</v>
      </c>
      <c r="E30" t="inlineStr">
        <is>
          <t>frc3624</t>
        </is>
      </c>
    </row>
    <row r="31" ht="16" customHeight="1">
      <c r="A31" s="33" t="n">
        <v>4121</v>
      </c>
      <c r="B31" t="inlineStr">
        <is>
          <t>Viking  Robotics</t>
        </is>
      </c>
      <c r="C31" t="inlineStr">
        <is>
          <t>Hoover High School</t>
        </is>
      </c>
      <c r="D31" t="n">
        <v>2012</v>
      </c>
      <c r="E31" t="inlineStr">
        <is>
          <t>frc4121</t>
        </is>
      </c>
    </row>
    <row r="32" ht="16" customHeight="1">
      <c r="A32" s="33" t="n">
        <v>4122</v>
      </c>
      <c r="B32" t="inlineStr">
        <is>
          <t>Ossining OBOTS</t>
        </is>
      </c>
      <c r="C32" t="inlineStr">
        <is>
          <t>Ossining High School</t>
        </is>
      </c>
      <c r="D32" t="n">
        <v>2012</v>
      </c>
      <c r="E32" t="inlineStr">
        <is>
          <t>frc4122</t>
        </is>
      </c>
    </row>
    <row r="33">
      <c r="A33" s="33" t="n">
        <v>4601</v>
      </c>
      <c r="B33" t="inlineStr">
        <is>
          <t>Circuit Birds</t>
        </is>
      </c>
      <c r="C33" t="inlineStr">
        <is>
          <t>Canfield High School</t>
        </is>
      </c>
      <c r="D33" t="n">
        <v>2013</v>
      </c>
      <c r="E33" t="inlineStr">
        <is>
          <t>frc4601</t>
        </is>
      </c>
    </row>
    <row r="34">
      <c r="A34" s="33" t="n">
        <v>4930</v>
      </c>
      <c r="B34" t="inlineStr">
        <is>
          <t>Electric Mayhem</t>
        </is>
      </c>
      <c r="C34" t="inlineStr">
        <is>
          <t>Nichols School</t>
        </is>
      </c>
      <c r="D34" t="n">
        <v>2014</v>
      </c>
      <c r="E34" t="inlineStr">
        <is>
          <t>frc4930</t>
        </is>
      </c>
    </row>
    <row r="35">
      <c r="A35" s="33" t="n">
        <v>5016</v>
      </c>
      <c r="B35" t="inlineStr">
        <is>
          <t>Huntington Robotics</t>
        </is>
      </c>
      <c r="C35" t="inlineStr">
        <is>
          <t>Huntington High School</t>
        </is>
      </c>
      <c r="D35" t="n">
        <v>2014</v>
      </c>
      <c r="E35" t="inlineStr">
        <is>
          <t>frc5016</t>
        </is>
      </c>
    </row>
    <row r="36">
      <c r="A36" s="33" t="n">
        <v>5149</v>
      </c>
      <c r="B36" t="inlineStr">
        <is>
          <t>TroyBotics</t>
        </is>
      </c>
      <c r="C36" t="inlineStr">
        <is>
          <t>Troy High School</t>
        </is>
      </c>
      <c r="D36" t="n">
        <v>2014</v>
      </c>
      <c r="E36" t="inlineStr">
        <is>
          <t>frc5149</t>
        </is>
      </c>
    </row>
    <row r="37">
      <c r="A37" s="33" t="n">
        <v>5590</v>
      </c>
      <c r="B37" t="inlineStr">
        <is>
          <t>Alumiboti</t>
        </is>
      </c>
      <c r="C37" t="inlineStr">
        <is>
          <t>St Joseph Collegiate Institute</t>
        </is>
      </c>
      <c r="D37" t="n">
        <v>2015</v>
      </c>
      <c r="E37" t="inlineStr">
        <is>
          <t>frc5590</t>
        </is>
      </c>
    </row>
    <row r="38">
      <c r="A38" s="33" t="n">
        <v>5736</v>
      </c>
      <c r="B38" t="inlineStr">
        <is>
          <t>Kingsmen Robotics</t>
        </is>
      </c>
      <c r="C38" t="inlineStr">
        <is>
          <t>Kings Park High School</t>
        </is>
      </c>
      <c r="D38" t="n">
        <v>2015</v>
      </c>
      <c r="E38" t="inlineStr">
        <is>
          <t>frc5736</t>
        </is>
      </c>
    </row>
    <row r="39">
      <c r="A39" s="33" t="n">
        <v>5881</v>
      </c>
      <c r="B39" t="inlineStr">
        <is>
          <t>TVHS Dragons</t>
        </is>
      </c>
      <c r="C39" t="inlineStr">
        <is>
          <t>Tech Valley High School</t>
        </is>
      </c>
      <c r="D39" t="n">
        <v>2016</v>
      </c>
      <c r="E39" t="inlineStr">
        <is>
          <t>frc5881</t>
        </is>
      </c>
    </row>
    <row r="40">
      <c r="A40" s="33" t="n">
        <v>6300</v>
      </c>
      <c r="B40" t="inlineStr">
        <is>
          <t>The Northwoodians</t>
        </is>
      </c>
      <c r="C40" t="inlineStr">
        <is>
          <t>Northwood School</t>
        </is>
      </c>
      <c r="D40" t="n">
        <v>2017</v>
      </c>
      <c r="E40" t="inlineStr">
        <is>
          <t>frc6300</t>
        </is>
      </c>
    </row>
    <row r="41">
      <c r="A41" s="33" t="n">
        <v>6436</v>
      </c>
      <c r="B41" t="inlineStr">
        <is>
          <t>PARS ROBOTICS</t>
        </is>
      </c>
      <c r="C41" t="inlineStr">
        <is>
          <t>Borsa Istanbul Başakşehir Mesleki ve Teknik Anadolu Lisesi</t>
        </is>
      </c>
      <c r="D41" t="n">
        <v>2017</v>
      </c>
      <c r="E41" t="inlineStr">
        <is>
          <t>frc6436</t>
        </is>
      </c>
    </row>
    <row r="42">
      <c r="A42" s="33" t="n">
        <v>6463</v>
      </c>
      <c r="B42" t="inlineStr">
        <is>
          <t>Robotic Reapers</t>
        </is>
      </c>
      <c r="C42" t="inlineStr">
        <is>
          <t>Ulster Boces</t>
        </is>
      </c>
      <c r="D42" t="n">
        <v>2017</v>
      </c>
      <c r="E42" t="inlineStr">
        <is>
          <t>frc6463</t>
        </is>
      </c>
    </row>
    <row r="43">
      <c r="A43" s="33" t="n">
        <v>6621</v>
      </c>
      <c r="B43" t="inlineStr">
        <is>
          <t>Artemis</t>
        </is>
      </c>
      <c r="C43" t="inlineStr">
        <is>
          <t>Chatham High School</t>
        </is>
      </c>
      <c r="D43" t="n">
        <v>2017</v>
      </c>
      <c r="E43" t="inlineStr">
        <is>
          <t>frc6621</t>
        </is>
      </c>
    </row>
    <row r="44">
      <c r="A44" s="33" t="n">
        <v>6648</v>
      </c>
      <c r="B44" t="inlineStr">
        <is>
          <t>MechaSpartans</t>
        </is>
      </c>
      <c r="C44" t="inlineStr">
        <is>
          <t>John Adams High School</t>
        </is>
      </c>
      <c r="D44" t="n">
        <v>2017</v>
      </c>
      <c r="E44" t="inlineStr">
        <is>
          <t>frc6648</t>
        </is>
      </c>
    </row>
    <row r="45">
      <c r="A45" s="33" t="n">
        <v>6806</v>
      </c>
      <c r="B45" t="inlineStr">
        <is>
          <t>Mineola Wild Reds</t>
        </is>
      </c>
      <c r="C45" t="inlineStr">
        <is>
          <t>Mineola High School</t>
        </is>
      </c>
      <c r="D45" t="n">
        <v>2018</v>
      </c>
      <c r="E45" t="inlineStr">
        <is>
          <t>frc6806</t>
        </is>
      </c>
    </row>
    <row r="46">
      <c r="A46" s="33" t="n">
        <v>7031</v>
      </c>
      <c r="B46" t="inlineStr">
        <is>
          <t>Duanesburg Jr./Sr. High School</t>
        </is>
      </c>
      <c r="C46" t="inlineStr">
        <is>
          <t>Duanesburg Jr Sr High School</t>
        </is>
      </c>
      <c r="D46" t="n">
        <v>2018</v>
      </c>
      <c r="E46" t="inlineStr">
        <is>
          <t>frc7031</t>
        </is>
      </c>
    </row>
    <row r="47">
      <c r="A47" s="33" t="n">
        <v>7504</v>
      </c>
      <c r="B47" t="inlineStr">
        <is>
          <t>CyBearBots</t>
        </is>
      </c>
      <c r="C47" t="inlineStr">
        <is>
          <t>Brewster High School</t>
        </is>
      </c>
      <c r="D47" t="n">
        <v>2019</v>
      </c>
      <c r="E47" t="inlineStr">
        <is>
          <t>frc7504</t>
        </is>
      </c>
    </row>
    <row r="48">
      <c r="A48" s="33" t="n">
        <v>7605</v>
      </c>
      <c r="B48" t="inlineStr">
        <is>
          <t>ASTRO</t>
        </is>
      </c>
      <c r="C48" t="inlineStr">
        <is>
          <t>Académie Ste-Therese</t>
        </is>
      </c>
      <c r="D48" t="n">
        <v>2019</v>
      </c>
      <c r="E48" t="inlineStr">
        <is>
          <t>frc7605</t>
        </is>
      </c>
    </row>
    <row r="49">
      <c r="A49" s="33" t="n">
        <v>7718</v>
      </c>
      <c r="B49" t="inlineStr">
        <is>
          <t>HVPA Dragons</t>
        </is>
      </c>
      <c r="C49" t="inlineStr">
        <is>
          <t>Home School</t>
        </is>
      </c>
      <c r="D49" t="n">
        <v>2019</v>
      </c>
      <c r="E49" t="inlineStr">
        <is>
          <t>frc7718</t>
        </is>
      </c>
    </row>
    <row r="50">
      <c r="A50" s="33" t="n">
        <v>7759</v>
      </c>
      <c r="B50" t="inlineStr">
        <is>
          <t>Bulldog Bytes</t>
        </is>
      </c>
      <c r="C50" t="inlineStr">
        <is>
          <t>Irvington High School</t>
        </is>
      </c>
      <c r="D50" t="n">
        <v>2019</v>
      </c>
      <c r="E50" t="inlineStr">
        <is>
          <t>frc7759</t>
        </is>
      </c>
    </row>
    <row r="51">
      <c r="A51" s="33" t="n">
        <v>7903</v>
      </c>
      <c r="B51" t="inlineStr">
        <is>
          <t>Tigers</t>
        </is>
      </c>
      <c r="C51" t="inlineStr">
        <is>
          <t>Rochester Prep High School</t>
        </is>
      </c>
      <c r="D51" t="n">
        <v>2019</v>
      </c>
      <c r="E51" t="inlineStr">
        <is>
          <t>frc7903</t>
        </is>
      </c>
    </row>
    <row r="52">
      <c r="A52" s="33" t="n">
        <v>8222</v>
      </c>
      <c r="B52" t="inlineStr">
        <is>
          <t>The Argonauts</t>
        </is>
      </c>
      <c r="C52" t="inlineStr">
        <is>
          <t>Davis Aerospace &amp; Maritime HS</t>
        </is>
      </c>
      <c r="D52" t="n">
        <v>2020</v>
      </c>
      <c r="E52" t="inlineStr">
        <is>
          <t>frc8222</t>
        </is>
      </c>
    </row>
    <row r="53">
      <c r="A53" s="33" t="n">
        <v>9194</v>
      </c>
      <c r="B53" t="inlineStr">
        <is>
          <t>Gemin√-1s</t>
        </is>
      </c>
      <c r="C53" t="inlineStr">
        <is>
          <t>KSS Robotics</t>
        </is>
      </c>
      <c r="D53" t="n">
        <v>2023</v>
      </c>
      <c r="E53" t="inlineStr">
        <is>
          <t>frc9194</t>
        </is>
      </c>
    </row>
    <row r="54">
      <c r="A54" s="33" t="n">
        <v>9545</v>
      </c>
      <c r="B54" t="inlineStr">
        <is>
          <t>Caracal Robotics</t>
        </is>
      </c>
      <c r="C54" t="inlineStr">
        <is>
          <t>MEHMET RIFAT EVYAP MESLEKİ VE TEKNİK ANADOLU LİSESİ</t>
        </is>
      </c>
      <c r="D54" t="n">
        <v>2024</v>
      </c>
      <c r="E54" t="inlineStr">
        <is>
          <t>frc9545</t>
        </is>
      </c>
    </row>
    <row r="55">
      <c r="A55" s="33" t="n">
        <v>9624</v>
      </c>
      <c r="B55" t="inlineStr">
        <is>
          <t>Dynamiques 9624</t>
        </is>
      </c>
      <c r="C55" t="inlineStr">
        <is>
          <t>College Charles Lemoyne</t>
        </is>
      </c>
      <c r="D55" t="n">
        <v>2024</v>
      </c>
      <c r="E55" t="inlineStr">
        <is>
          <t>frc9624</t>
        </is>
      </c>
    </row>
    <row r="56">
      <c r="A56" s="33" t="n">
        <v>10202</v>
      </c>
      <c r="B56" t="inlineStr">
        <is>
          <t>NOVATRON</t>
        </is>
      </c>
      <c r="C56" t="inlineStr">
        <is>
          <t>Büyükşehir Hüseyin Yıldız Anadolu Lisesi</t>
        </is>
      </c>
      <c r="D56" t="n">
        <v>2025</v>
      </c>
      <c r="E56" t="inlineStr">
        <is>
          <t>frc10202</t>
        </is>
      </c>
    </row>
    <row r="57">
      <c r="A57" s="33" t="n">
        <v>10413</v>
      </c>
      <c r="B57" t="inlineStr">
        <is>
          <t>Flux Robotics</t>
        </is>
      </c>
      <c r="C57" t="inlineStr">
        <is>
          <t>Family/Community</t>
        </is>
      </c>
      <c r="D57" t="n">
        <v>2025</v>
      </c>
      <c r="E57" t="inlineStr">
        <is>
          <t>frc10413</t>
        </is>
      </c>
    </row>
    <row r="58">
      <c r="A58" s="33" t="n">
        <v>10582</v>
      </c>
      <c r="B58" t="inlineStr">
        <is>
          <t>The Technochauns</t>
        </is>
      </c>
      <c r="C58" t="inlineStr">
        <is>
          <t>Ursuline High School</t>
        </is>
      </c>
      <c r="D58" t="n">
        <v>2025</v>
      </c>
      <c r="E58" t="inlineStr">
        <is>
          <t>frc10582</t>
        </is>
      </c>
    </row>
    <row r="59">
      <c r="A59" s="33" t="n">
        <v>10604</v>
      </c>
      <c r="B59" t="inlineStr">
        <is>
          <t>Demirören Robotics</t>
        </is>
      </c>
      <c r="C59" t="inlineStr">
        <is>
          <t>Demirören Medya ve Teknoloji Mesleki ve Teknik Anadolu Lisesi</t>
        </is>
      </c>
      <c r="D59" t="n">
        <v>2025</v>
      </c>
      <c r="E59" t="inlineStr">
        <is>
          <t>frc10604</t>
        </is>
      </c>
    </row>
    <row r="60">
      <c r="A60" s="33" t="n">
        <v>10714</v>
      </c>
      <c r="B60" t="inlineStr">
        <is>
          <t>RAMpage.AI</t>
        </is>
      </c>
      <c r="C60" t="inlineStr">
        <is>
          <t>Amsterdam High School</t>
        </is>
      </c>
      <c r="D60" t="n">
        <v>2025</v>
      </c>
      <c r="E60" t="inlineStr">
        <is>
          <t>frc10714</t>
        </is>
      </c>
    </row>
    <row r="61">
      <c r="A61" s="33" t="n">
        <v>11010</v>
      </c>
      <c r="B61" t="inlineStr">
        <is>
          <t>Bobcats</t>
        </is>
      </c>
      <c r="C61" t="inlineStr">
        <is>
          <t>Hüseyin Avni Sözen Anadolu Lisesi</t>
        </is>
      </c>
      <c r="D61" t="n">
        <v>2026</v>
      </c>
      <c r="E61" t="inlineStr">
        <is>
          <t>frc11010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outlineLevelCol="0"/>
  <cols>
    <col width="15" customWidth="1" min="1" max="1"/>
    <col width="25" customWidth="1" min="2" max="2"/>
    <col width="15" customWidth="1" min="3" max="8"/>
    <col width="35.83203125" customWidth="1" min="10" max="10"/>
  </cols>
  <sheetData>
    <row r="1" ht="20" customHeight="1">
      <c r="A1" s="34" t="inlineStr">
        <is>
          <t>Match</t>
        </is>
      </c>
      <c r="B1" s="34" t="inlineStr">
        <is>
          <t>Start Time</t>
        </is>
      </c>
      <c r="C1" s="35" t="inlineStr">
        <is>
          <t>Blue 1</t>
        </is>
      </c>
      <c r="D1" s="35" t="inlineStr">
        <is>
          <t>Blue 2</t>
        </is>
      </c>
      <c r="E1" s="35" t="inlineStr">
        <is>
          <t>Blue 3</t>
        </is>
      </c>
      <c r="F1" s="36" t="inlineStr">
        <is>
          <t>Red 1</t>
        </is>
      </c>
      <c r="G1" s="36" t="inlineStr">
        <is>
          <t>Red 2</t>
        </is>
      </c>
      <c r="H1" s="36" t="inlineStr">
        <is>
          <t>Red 3</t>
        </is>
      </c>
    </row>
    <row r="2">
      <c r="J2" t="inlineStr">
        <is>
          <t>Match was not Scouted (incorrect)</t>
        </is>
      </c>
    </row>
    <row r="4">
      <c r="J4" s="37" t="inlineStr">
        <is>
          <t>Match was Scouted once (correct)</t>
        </is>
      </c>
    </row>
    <row r="6">
      <c r="J6" s="38" t="inlineStr">
        <is>
          <t>Match was Scouted twice (incorrect)</t>
        </is>
      </c>
    </row>
    <row r="8">
      <c r="J8" s="39" t="inlineStr">
        <is>
          <t>Team was Scouted twice (incorrect)</t>
        </is>
      </c>
    </row>
  </sheetData>
  <autoFilter ref="A1:H1"/>
  <conditionalFormatting sqref="C2:H1000">
    <cfRule type="expression" priority="1" dxfId="2">
      <formula>=COUNTIF(MatchScoutingData!$A$2:$A$1000, CONCATENATE($A2,".",C$1)) = 1</formula>
    </cfRule>
    <cfRule type="expression" priority="2" dxfId="3">
      <formula>=COUNTIF(MatchScoutingData!$A$2:$A$1000, CONCATENATE($A2,".",C$1)) &gt; 1</formula>
    </cfRule>
  </conditionalFormatting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9"/>
  <sheetViews>
    <sheetView zoomScale="150" zoomScaleNormal="15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10" defaultColWidth="8.83203125" defaultRowHeight="15" outlineLevelCol="0"/>
  <cols>
    <col width="6.83203125" customWidth="1" min="2" max="26"/>
  </cols>
  <sheetData>
    <row r="1" ht="17" customHeight="1" thickBot="1">
      <c r="A1" s="6" t="n"/>
      <c r="B1" s="6" t="n"/>
      <c r="C1" s="14" t="inlineStr">
        <is>
          <t>Auto</t>
        </is>
      </c>
      <c r="D1" s="31" t="n"/>
      <c r="E1" s="31" t="n"/>
      <c r="F1" s="31" t="n"/>
      <c r="G1" s="31" t="n"/>
      <c r="H1" s="16" t="inlineStr">
        <is>
          <t>Teleop</t>
        </is>
      </c>
      <c r="I1" s="31" t="n"/>
      <c r="J1" s="31" t="n"/>
      <c r="K1" s="31" t="n"/>
      <c r="L1" s="31" t="n"/>
      <c r="M1" s="31" t="n"/>
      <c r="N1" s="31" t="n"/>
      <c r="O1" s="31" t="n"/>
      <c r="P1" s="18" t="inlineStr">
        <is>
          <t>Endgame</t>
        </is>
      </c>
      <c r="Q1" s="31" t="n"/>
      <c r="R1" s="31" t="n"/>
      <c r="S1" s="31" t="n"/>
      <c r="T1" s="31" t="n"/>
      <c r="U1" s="13" t="inlineStr">
        <is>
          <t>Post Match</t>
        </is>
      </c>
      <c r="V1" s="31" t="n"/>
      <c r="W1" s="31" t="n"/>
      <c r="X1" s="31" t="n"/>
      <c r="Y1" s="31" t="n"/>
      <c r="Z1" s="32" t="n"/>
    </row>
    <row r="2" ht="130" customHeight="1" thickBot="1">
      <c r="A2" s="22" t="inlineStr">
        <is>
          <t>Team</t>
        </is>
      </c>
      <c r="B2" s="23" t="inlineStr">
        <is>
          <t>Matches Scouted</t>
        </is>
      </c>
      <c r="C2" s="24" t="inlineStr">
        <is>
          <t>Climbed</t>
        </is>
      </c>
      <c r="D2" s="24" t="inlineStr">
        <is>
          <t>Level 1</t>
        </is>
      </c>
      <c r="E2" s="24" t="inlineStr">
        <is>
          <t>Moved</t>
        </is>
      </c>
      <c r="F2" s="24" t="inlineStr">
        <is>
          <t>A-Stop</t>
        </is>
      </c>
      <c r="G2" s="24" t="inlineStr">
        <is>
          <t>Fuel Scored</t>
        </is>
      </c>
      <c r="H2" s="25" t="inlineStr">
        <is>
          <t>Shoot Speed</t>
        </is>
      </c>
      <c r="I2" s="25" t="inlineStr">
        <is>
          <t>Accuracy</t>
        </is>
      </c>
      <c r="J2" s="25" t="inlineStr">
        <is>
          <t>Fuel Collected</t>
        </is>
      </c>
      <c r="K2" s="25" t="inlineStr">
        <is>
          <t>Collect Inactive</t>
        </is>
      </c>
      <c r="L2" s="25" t="inlineStr">
        <is>
          <t>Did Pass</t>
        </is>
      </c>
      <c r="M2" s="25" t="inlineStr">
        <is>
          <t>Collect Alliance Zone</t>
        </is>
      </c>
      <c r="N2" s="25" t="inlineStr">
        <is>
          <t>Collect Neutral Zone</t>
        </is>
      </c>
      <c r="O2" s="25" t="inlineStr">
        <is>
          <t>Was Intake Good</t>
        </is>
      </c>
      <c r="P2" s="26" t="inlineStr">
        <is>
          <t>Climb Success</t>
        </is>
      </c>
      <c r="Q2" s="26" t="inlineStr">
        <is>
          <t>Defense Whole Game</t>
        </is>
      </c>
      <c r="R2" s="26" t="inlineStr">
        <is>
          <t>Shot from Same Position</t>
        </is>
      </c>
      <c r="S2" s="26" t="inlineStr">
        <is>
          <t>Shoot to End</t>
        </is>
      </c>
      <c r="T2" s="26" t="inlineStr">
        <is>
          <t>Performance</t>
        </is>
      </c>
      <c r="U2" s="27" t="inlineStr">
        <is>
          <t>Match Results</t>
        </is>
      </c>
      <c r="V2" s="27" t="inlineStr">
        <is>
          <t>Total Points</t>
        </is>
      </c>
      <c r="W2" s="27" t="inlineStr">
        <is>
          <t>Energized Ranking</t>
        </is>
      </c>
      <c r="X2" s="27" t="inlineStr">
        <is>
          <t>Supercharged Ranking</t>
        </is>
      </c>
      <c r="Y2" s="27" t="inlineStr">
        <is>
          <t>Traversal Ranking</t>
        </is>
      </c>
      <c r="Z2" s="28" t="inlineStr">
        <is>
          <t>Total Ranking Points</t>
        </is>
      </c>
    </row>
    <row r="3">
      <c r="A3" s="11" t="n">
        <v>20</v>
      </c>
      <c r="B3" s="40">
        <f>COUNTIF(MatchScoutingData!E$2:E$1000, $A3)</f>
        <v/>
      </c>
      <c r="C3" s="40">
        <f>SUMIF(MatchScoutingData!$E$2:$E$1000, $A3, MatchScoutingData!F$2:F$1000)</f>
        <v/>
      </c>
      <c r="D3" s="40">
        <f>SUMIF(MatchScoutingData!$E$2:$E$1000, $A3, MatchScoutingData!G$2:G$1000)</f>
        <v/>
      </c>
      <c r="E3" s="40">
        <f>SUMIF(MatchScoutingData!$E$2:$E$1000, $A3, MatchScoutingData!H$2:H$1000)</f>
        <v/>
      </c>
      <c r="F3" s="40">
        <f>SUMIF(MatchScoutingData!$E$2:$E$1000, $A3, MatchScoutingData!I$2:I$1000)</f>
        <v/>
      </c>
      <c r="G3" s="40">
        <f>SUMIF(MatchScoutingData!$E$2:$E$1000, $A3, MatchScoutingData!J$2:J$1000)</f>
        <v/>
      </c>
      <c r="H3" s="40">
        <f>SUMIF(MatchScoutingData!$E$2:$E$1000, $A3, MatchScoutingData!K$2:K$1000)</f>
        <v/>
      </c>
      <c r="I3" s="40">
        <f>SUMIF(MatchScoutingData!$E$2:$E$1000, $A3, MatchScoutingData!L$2:L$1000)</f>
        <v/>
      </c>
      <c r="J3" s="40">
        <f>SUMIF(MatchScoutingData!$E$2:$E$1000, $A3, MatchScoutingData!M$2:M$1000)</f>
        <v/>
      </c>
      <c r="K3" s="40">
        <f>SUMIF(MatchScoutingData!$E$2:$E$1000, $A3, MatchScoutingData!N$2:N$1000)</f>
        <v/>
      </c>
      <c r="L3" s="40">
        <f>SUMIF(MatchScoutingData!$E$2:$E$1000, $A3, MatchScoutingData!O$2:O$1000)</f>
        <v/>
      </c>
      <c r="M3" s="40">
        <f>SUMIF(MatchScoutingData!$E$2:$E$1000, $A3, MatchScoutingData!P$2:P$1000)</f>
        <v/>
      </c>
      <c r="N3" s="40">
        <f>SUMIF(MatchScoutingData!$E$2:$E$1000, $A3, MatchScoutingData!Q$2:Q$1000)</f>
        <v/>
      </c>
      <c r="O3" s="40">
        <f>SUMIF(MatchScoutingData!$E$2:$E$1000, $A3, MatchScoutingData!R$2:R$1000)</f>
        <v/>
      </c>
      <c r="P3" s="40">
        <f>SUMIF(MatchScoutingData!$E$2:$E$1000, $A3, MatchScoutingData!S$2:S$1000)</f>
        <v/>
      </c>
      <c r="Q3" s="40">
        <f>SUMIF(MatchScoutingData!$E$2:$E$1000, $A3, MatchScoutingData!T$2:T$1000)</f>
        <v/>
      </c>
      <c r="R3" s="40">
        <f>SUMIF(MatchScoutingData!$E$2:$E$1000, $A3, MatchScoutingData!U$2:U$1000)</f>
        <v/>
      </c>
      <c r="S3" s="40">
        <f>SUMIF(MatchScoutingData!$E$2:$E$1000, $A3, MatchScoutingData!V$2:V$1000)</f>
        <v/>
      </c>
      <c r="T3" s="40">
        <f>SUMIF(MatchScoutingData!$E$2:$E$1000, $A3, MatchScoutingData!W$2:W$1000)</f>
        <v/>
      </c>
      <c r="U3" s="40">
        <f>SUMIF(MatchScoutingData!$E$2:$E$1000, $A3, MatchScoutingData!X$2:X$1000)</f>
        <v/>
      </c>
      <c r="V3" s="40">
        <f>SUMIF(MatchScoutingData!$E$2:$E$1000, $A3, MatchScoutingData!AB$2:AB$1000)</f>
        <v/>
      </c>
      <c r="W3" s="40">
        <f>SUMIF(MatchScoutingData!$E$2:$E$1000, $A3, MatchScoutingData!Y$2:Y$1000)</f>
        <v/>
      </c>
      <c r="X3" s="40">
        <f>SUMIF(MatchScoutingData!$E$2:$E$1000, $A3, MatchScoutingData!Z$2:Z$1000)</f>
        <v/>
      </c>
      <c r="Y3" s="40">
        <f>SUMIF(MatchScoutingData!$E$2:$E$1000, $A3, MatchScoutingData!AA$2:AA$1000)</f>
        <v/>
      </c>
      <c r="Z3" s="40">
        <f>SUM(W3:Y3)</f>
        <v/>
      </c>
    </row>
    <row r="4">
      <c r="A4" s="11" t="n">
        <v>191</v>
      </c>
      <c r="B4" s="40">
        <f>COUNTIF(MatchScoutingData!E$2:E$1000, $A4)</f>
        <v/>
      </c>
      <c r="C4" s="40">
        <f>SUMIF(MatchScoutingData!$E$2:$E$1000, $A4, MatchScoutingData!F$2:F$1000)</f>
        <v/>
      </c>
      <c r="D4" s="40">
        <f>SUMIF(MatchScoutingData!$E$2:$E$1000, $A4, MatchScoutingData!G$2:G$1000)</f>
        <v/>
      </c>
      <c r="E4" s="40">
        <f>SUMIF(MatchScoutingData!$E$2:$E$1000, $A4, MatchScoutingData!H$2:H$1000)</f>
        <v/>
      </c>
      <c r="F4" s="40">
        <f>SUMIF(MatchScoutingData!$E$2:$E$1000, $A4, MatchScoutingData!I$2:I$1000)</f>
        <v/>
      </c>
      <c r="G4" s="40">
        <f>SUMIF(MatchScoutingData!$E$2:$E$1000, $A4, MatchScoutingData!J$2:J$1000)</f>
        <v/>
      </c>
      <c r="H4" s="40">
        <f>SUMIF(MatchScoutingData!$E$2:$E$1000, $A4, MatchScoutingData!K$2:K$1000)</f>
        <v/>
      </c>
      <c r="I4" s="40">
        <f>SUMIF(MatchScoutingData!$E$2:$E$1000, $A4, MatchScoutingData!L$2:L$1000)</f>
        <v/>
      </c>
      <c r="J4" s="40">
        <f>SUMIF(MatchScoutingData!$E$2:$E$1000, $A4, MatchScoutingData!M$2:M$1000)</f>
        <v/>
      </c>
      <c r="K4" s="40">
        <f>SUMIF(MatchScoutingData!$E$2:$E$1000, $A4, MatchScoutingData!N$2:N$1000)</f>
        <v/>
      </c>
      <c r="L4" s="40">
        <f>SUMIF(MatchScoutingData!$E$2:$E$1000, $A4, MatchScoutingData!O$2:O$1000)</f>
        <v/>
      </c>
      <c r="M4" s="40">
        <f>SUMIF(MatchScoutingData!$E$2:$E$1000, $A4, MatchScoutingData!P$2:P$1000)</f>
        <v/>
      </c>
      <c r="N4" s="40">
        <f>SUMIF(MatchScoutingData!$E$2:$E$1000, $A4, MatchScoutingData!Q$2:Q$1000)</f>
        <v/>
      </c>
      <c r="O4" s="40">
        <f>SUMIF(MatchScoutingData!$E$2:$E$1000, $A4, MatchScoutingData!R$2:R$1000)</f>
        <v/>
      </c>
      <c r="P4" s="40">
        <f>SUMIF(MatchScoutingData!$E$2:$E$1000, $A4, MatchScoutingData!S$2:S$1000)</f>
        <v/>
      </c>
      <c r="Q4" s="40">
        <f>SUMIF(MatchScoutingData!$E$2:$E$1000, $A4, MatchScoutingData!T$2:T$1000)</f>
        <v/>
      </c>
      <c r="R4" s="40">
        <f>SUMIF(MatchScoutingData!$E$2:$E$1000, $A4, MatchScoutingData!U$2:U$1000)</f>
        <v/>
      </c>
      <c r="S4" s="40">
        <f>SUMIF(MatchScoutingData!$E$2:$E$1000, $A4, MatchScoutingData!V$2:V$1000)</f>
        <v/>
      </c>
      <c r="T4" s="40">
        <f>SUMIF(MatchScoutingData!$E$2:$E$1000, $A4, MatchScoutingData!W$2:W$1000)</f>
        <v/>
      </c>
      <c r="U4" s="40">
        <f>SUMIF(MatchScoutingData!$E$2:$E$1000, $A4, MatchScoutingData!X$2:X$1000)</f>
        <v/>
      </c>
      <c r="V4" s="40">
        <f>SUMIF(MatchScoutingData!$E$2:$E$1000, $A4, MatchScoutingData!AB$2:AB$1000)</f>
        <v/>
      </c>
      <c r="W4" s="40">
        <f>SUMIF(MatchScoutingData!$E$2:$E$1000, $A4, MatchScoutingData!Y$2:Y$1000)</f>
        <v/>
      </c>
      <c r="X4" s="40">
        <f>SUMIF(MatchScoutingData!$E$2:$E$1000, $A4, MatchScoutingData!Z$2:Z$1000)</f>
        <v/>
      </c>
      <c r="Y4" s="40">
        <f>SUMIF(MatchScoutingData!$E$2:$E$1000, $A4, MatchScoutingData!AA$2:AA$1000)</f>
        <v/>
      </c>
      <c r="Z4" s="40">
        <f>SUM(W4:Y4)</f>
        <v/>
      </c>
    </row>
    <row r="5">
      <c r="A5" s="11" t="n">
        <v>229</v>
      </c>
      <c r="B5" s="40">
        <f>COUNTIF(MatchScoutingData!E$2:E$1000, $A5)</f>
        <v/>
      </c>
      <c r="C5" s="40">
        <f>SUMIF(MatchScoutingData!$E$2:$E$1000, $A5, MatchScoutingData!F$2:F$1000)</f>
        <v/>
      </c>
      <c r="D5" s="40">
        <f>SUMIF(MatchScoutingData!$E$2:$E$1000, $A5, MatchScoutingData!G$2:G$1000)</f>
        <v/>
      </c>
      <c r="E5" s="40">
        <f>SUMIF(MatchScoutingData!$E$2:$E$1000, $A5, MatchScoutingData!H$2:H$1000)</f>
        <v/>
      </c>
      <c r="F5" s="40">
        <f>SUMIF(MatchScoutingData!$E$2:$E$1000, $A5, MatchScoutingData!I$2:I$1000)</f>
        <v/>
      </c>
      <c r="G5" s="40">
        <f>SUMIF(MatchScoutingData!$E$2:$E$1000, $A5, MatchScoutingData!J$2:J$1000)</f>
        <v/>
      </c>
      <c r="H5" s="40">
        <f>SUMIF(MatchScoutingData!$E$2:$E$1000, $A5, MatchScoutingData!K$2:K$1000)</f>
        <v/>
      </c>
      <c r="I5" s="40">
        <f>SUMIF(MatchScoutingData!$E$2:$E$1000, $A5, MatchScoutingData!L$2:L$1000)</f>
        <v/>
      </c>
      <c r="J5" s="40">
        <f>SUMIF(MatchScoutingData!$E$2:$E$1000, $A5, MatchScoutingData!M$2:M$1000)</f>
        <v/>
      </c>
      <c r="K5" s="40">
        <f>SUMIF(MatchScoutingData!$E$2:$E$1000, $A5, MatchScoutingData!N$2:N$1000)</f>
        <v/>
      </c>
      <c r="L5" s="40">
        <f>SUMIF(MatchScoutingData!$E$2:$E$1000, $A5, MatchScoutingData!O$2:O$1000)</f>
        <v/>
      </c>
      <c r="M5" s="40">
        <f>SUMIF(MatchScoutingData!$E$2:$E$1000, $A5, MatchScoutingData!P$2:P$1000)</f>
        <v/>
      </c>
      <c r="N5" s="40">
        <f>SUMIF(MatchScoutingData!$E$2:$E$1000, $A5, MatchScoutingData!Q$2:Q$1000)</f>
        <v/>
      </c>
      <c r="O5" s="40">
        <f>SUMIF(MatchScoutingData!$E$2:$E$1000, $A5, MatchScoutingData!R$2:R$1000)</f>
        <v/>
      </c>
      <c r="P5" s="40">
        <f>SUMIF(MatchScoutingData!$E$2:$E$1000, $A5, MatchScoutingData!S$2:S$1000)</f>
        <v/>
      </c>
      <c r="Q5" s="40">
        <f>SUMIF(MatchScoutingData!$E$2:$E$1000, $A5, MatchScoutingData!T$2:T$1000)</f>
        <v/>
      </c>
      <c r="R5" s="40">
        <f>SUMIF(MatchScoutingData!$E$2:$E$1000, $A5, MatchScoutingData!U$2:U$1000)</f>
        <v/>
      </c>
      <c r="S5" s="40">
        <f>SUMIF(MatchScoutingData!$E$2:$E$1000, $A5, MatchScoutingData!V$2:V$1000)</f>
        <v/>
      </c>
      <c r="T5" s="40">
        <f>SUMIF(MatchScoutingData!$E$2:$E$1000, $A5, MatchScoutingData!W$2:W$1000)</f>
        <v/>
      </c>
      <c r="U5" s="40">
        <f>SUMIF(MatchScoutingData!$E$2:$E$1000, $A5, MatchScoutingData!X$2:X$1000)</f>
        <v/>
      </c>
      <c r="V5" s="40">
        <f>SUMIF(MatchScoutingData!$E$2:$E$1000, $A5, MatchScoutingData!AB$2:AB$1000)</f>
        <v/>
      </c>
      <c r="W5" s="40">
        <f>SUMIF(MatchScoutingData!$E$2:$E$1000, $A5, MatchScoutingData!Y$2:Y$1000)</f>
        <v/>
      </c>
      <c r="X5" s="40">
        <f>SUMIF(MatchScoutingData!$E$2:$E$1000, $A5, MatchScoutingData!Z$2:Z$1000)</f>
        <v/>
      </c>
      <c r="Y5" s="40">
        <f>SUMIF(MatchScoutingData!$E$2:$E$1000, $A5, MatchScoutingData!AA$2:AA$1000)</f>
        <v/>
      </c>
      <c r="Z5" s="40">
        <f>SUM(W5:Y5)</f>
        <v/>
      </c>
    </row>
    <row r="6">
      <c r="A6" s="11" t="n">
        <v>250</v>
      </c>
      <c r="B6" s="40">
        <f>COUNTIF(MatchScoutingData!E$2:E$1000, $A6)</f>
        <v/>
      </c>
      <c r="C6" s="40">
        <f>SUMIF(MatchScoutingData!$E$2:$E$1000, $A6, MatchScoutingData!F$2:F$1000)</f>
        <v/>
      </c>
      <c r="D6" s="40">
        <f>SUMIF(MatchScoutingData!$E$2:$E$1000, $A6, MatchScoutingData!G$2:G$1000)</f>
        <v/>
      </c>
      <c r="E6" s="40">
        <f>SUMIF(MatchScoutingData!$E$2:$E$1000, $A6, MatchScoutingData!H$2:H$1000)</f>
        <v/>
      </c>
      <c r="F6" s="40">
        <f>SUMIF(MatchScoutingData!$E$2:$E$1000, $A6, MatchScoutingData!I$2:I$1000)</f>
        <v/>
      </c>
      <c r="G6" s="40">
        <f>SUMIF(MatchScoutingData!$E$2:$E$1000, $A6, MatchScoutingData!J$2:J$1000)</f>
        <v/>
      </c>
      <c r="H6" s="40">
        <f>SUMIF(MatchScoutingData!$E$2:$E$1000, $A6, MatchScoutingData!K$2:K$1000)</f>
        <v/>
      </c>
      <c r="I6" s="40">
        <f>SUMIF(MatchScoutingData!$E$2:$E$1000, $A6, MatchScoutingData!L$2:L$1000)</f>
        <v/>
      </c>
      <c r="J6" s="40">
        <f>SUMIF(MatchScoutingData!$E$2:$E$1000, $A6, MatchScoutingData!M$2:M$1000)</f>
        <v/>
      </c>
      <c r="K6" s="40">
        <f>SUMIF(MatchScoutingData!$E$2:$E$1000, $A6, MatchScoutingData!N$2:N$1000)</f>
        <v/>
      </c>
      <c r="L6" s="40">
        <f>SUMIF(MatchScoutingData!$E$2:$E$1000, $A6, MatchScoutingData!O$2:O$1000)</f>
        <v/>
      </c>
      <c r="M6" s="40">
        <f>SUMIF(MatchScoutingData!$E$2:$E$1000, $A6, MatchScoutingData!P$2:P$1000)</f>
        <v/>
      </c>
      <c r="N6" s="40">
        <f>SUMIF(MatchScoutingData!$E$2:$E$1000, $A6, MatchScoutingData!Q$2:Q$1000)</f>
        <v/>
      </c>
      <c r="O6" s="40">
        <f>SUMIF(MatchScoutingData!$E$2:$E$1000, $A6, MatchScoutingData!R$2:R$1000)</f>
        <v/>
      </c>
      <c r="P6" s="40">
        <f>SUMIF(MatchScoutingData!$E$2:$E$1000, $A6, MatchScoutingData!S$2:S$1000)</f>
        <v/>
      </c>
      <c r="Q6" s="40">
        <f>SUMIF(MatchScoutingData!$E$2:$E$1000, $A6, MatchScoutingData!T$2:T$1000)</f>
        <v/>
      </c>
      <c r="R6" s="40">
        <f>SUMIF(MatchScoutingData!$E$2:$E$1000, $A6, MatchScoutingData!U$2:U$1000)</f>
        <v/>
      </c>
      <c r="S6" s="40">
        <f>SUMIF(MatchScoutingData!$E$2:$E$1000, $A6, MatchScoutingData!V$2:V$1000)</f>
        <v/>
      </c>
      <c r="T6" s="40">
        <f>SUMIF(MatchScoutingData!$E$2:$E$1000, $A6, MatchScoutingData!W$2:W$1000)</f>
        <v/>
      </c>
      <c r="U6" s="40">
        <f>SUMIF(MatchScoutingData!$E$2:$E$1000, $A6, MatchScoutingData!X$2:X$1000)</f>
        <v/>
      </c>
      <c r="V6" s="40">
        <f>SUMIF(MatchScoutingData!$E$2:$E$1000, $A6, MatchScoutingData!AB$2:AB$1000)</f>
        <v/>
      </c>
      <c r="W6" s="40">
        <f>SUMIF(MatchScoutingData!$E$2:$E$1000, $A6, MatchScoutingData!Y$2:Y$1000)</f>
        <v/>
      </c>
      <c r="X6" s="40">
        <f>SUMIF(MatchScoutingData!$E$2:$E$1000, $A6, MatchScoutingData!Z$2:Z$1000)</f>
        <v/>
      </c>
      <c r="Y6" s="40">
        <f>SUMIF(MatchScoutingData!$E$2:$E$1000, $A6, MatchScoutingData!AA$2:AA$1000)</f>
        <v/>
      </c>
      <c r="Z6" s="40">
        <f>SUM(W6:Y6)</f>
        <v/>
      </c>
    </row>
    <row r="7">
      <c r="A7" s="11" t="n">
        <v>263</v>
      </c>
      <c r="B7" s="40">
        <f>COUNTIF(MatchScoutingData!E$2:E$1000, $A7)</f>
        <v/>
      </c>
      <c r="C7" s="40">
        <f>SUMIF(MatchScoutingData!$E$2:$E$1000, $A7, MatchScoutingData!F$2:F$1000)</f>
        <v/>
      </c>
      <c r="D7" s="40">
        <f>SUMIF(MatchScoutingData!$E$2:$E$1000, $A7, MatchScoutingData!G$2:G$1000)</f>
        <v/>
      </c>
      <c r="E7" s="40">
        <f>SUMIF(MatchScoutingData!$E$2:$E$1000, $A7, MatchScoutingData!H$2:H$1000)</f>
        <v/>
      </c>
      <c r="F7" s="40">
        <f>SUMIF(MatchScoutingData!$E$2:$E$1000, $A7, MatchScoutingData!I$2:I$1000)</f>
        <v/>
      </c>
      <c r="G7" s="40">
        <f>SUMIF(MatchScoutingData!$E$2:$E$1000, $A7, MatchScoutingData!J$2:J$1000)</f>
        <v/>
      </c>
      <c r="H7" s="40">
        <f>SUMIF(MatchScoutingData!$E$2:$E$1000, $A7, MatchScoutingData!K$2:K$1000)</f>
        <v/>
      </c>
      <c r="I7" s="40">
        <f>SUMIF(MatchScoutingData!$E$2:$E$1000, $A7, MatchScoutingData!L$2:L$1000)</f>
        <v/>
      </c>
      <c r="J7" s="40">
        <f>SUMIF(MatchScoutingData!$E$2:$E$1000, $A7, MatchScoutingData!M$2:M$1000)</f>
        <v/>
      </c>
      <c r="K7" s="40">
        <f>SUMIF(MatchScoutingData!$E$2:$E$1000, $A7, MatchScoutingData!N$2:N$1000)</f>
        <v/>
      </c>
      <c r="L7" s="40">
        <f>SUMIF(MatchScoutingData!$E$2:$E$1000, $A7, MatchScoutingData!O$2:O$1000)</f>
        <v/>
      </c>
      <c r="M7" s="40">
        <f>SUMIF(MatchScoutingData!$E$2:$E$1000, $A7, MatchScoutingData!P$2:P$1000)</f>
        <v/>
      </c>
      <c r="N7" s="40">
        <f>SUMIF(MatchScoutingData!$E$2:$E$1000, $A7, MatchScoutingData!Q$2:Q$1000)</f>
        <v/>
      </c>
      <c r="O7" s="40">
        <f>SUMIF(MatchScoutingData!$E$2:$E$1000, $A7, MatchScoutingData!R$2:R$1000)</f>
        <v/>
      </c>
      <c r="P7" s="40">
        <f>SUMIF(MatchScoutingData!$E$2:$E$1000, $A7, MatchScoutingData!S$2:S$1000)</f>
        <v/>
      </c>
      <c r="Q7" s="40">
        <f>SUMIF(MatchScoutingData!$E$2:$E$1000, $A7, MatchScoutingData!T$2:T$1000)</f>
        <v/>
      </c>
      <c r="R7" s="40">
        <f>SUMIF(MatchScoutingData!$E$2:$E$1000, $A7, MatchScoutingData!U$2:U$1000)</f>
        <v/>
      </c>
      <c r="S7" s="40">
        <f>SUMIF(MatchScoutingData!$E$2:$E$1000, $A7, MatchScoutingData!V$2:V$1000)</f>
        <v/>
      </c>
      <c r="T7" s="40">
        <f>SUMIF(MatchScoutingData!$E$2:$E$1000, $A7, MatchScoutingData!W$2:W$1000)</f>
        <v/>
      </c>
      <c r="U7" s="40">
        <f>SUMIF(MatchScoutingData!$E$2:$E$1000, $A7, MatchScoutingData!X$2:X$1000)</f>
        <v/>
      </c>
      <c r="V7" s="40">
        <f>SUMIF(MatchScoutingData!$E$2:$E$1000, $A7, MatchScoutingData!AB$2:AB$1000)</f>
        <v/>
      </c>
      <c r="W7" s="40">
        <f>SUMIF(MatchScoutingData!$E$2:$E$1000, $A7, MatchScoutingData!Y$2:Y$1000)</f>
        <v/>
      </c>
      <c r="X7" s="40">
        <f>SUMIF(MatchScoutingData!$E$2:$E$1000, $A7, MatchScoutingData!Z$2:Z$1000)</f>
        <v/>
      </c>
      <c r="Y7" s="40">
        <f>SUMIF(MatchScoutingData!$E$2:$E$1000, $A7, MatchScoutingData!AA$2:AA$1000)</f>
        <v/>
      </c>
      <c r="Z7" s="40">
        <f>SUM(W7:Y7)</f>
        <v/>
      </c>
    </row>
    <row r="8">
      <c r="A8" s="11" t="n">
        <v>271</v>
      </c>
      <c r="B8" s="40">
        <f>COUNTIF(MatchScoutingData!E$2:E$1000, $A8)</f>
        <v/>
      </c>
      <c r="C8" s="40">
        <f>SUMIF(MatchScoutingData!$E$2:$E$1000, $A8, MatchScoutingData!F$2:F$1000)</f>
        <v/>
      </c>
      <c r="D8" s="40">
        <f>SUMIF(MatchScoutingData!$E$2:$E$1000, $A8, MatchScoutingData!G$2:G$1000)</f>
        <v/>
      </c>
      <c r="E8" s="40">
        <f>SUMIF(MatchScoutingData!$E$2:$E$1000, $A8, MatchScoutingData!H$2:H$1000)</f>
        <v/>
      </c>
      <c r="F8" s="40">
        <f>SUMIF(MatchScoutingData!$E$2:$E$1000, $A8, MatchScoutingData!I$2:I$1000)</f>
        <v/>
      </c>
      <c r="G8" s="40">
        <f>SUMIF(MatchScoutingData!$E$2:$E$1000, $A8, MatchScoutingData!J$2:J$1000)</f>
        <v/>
      </c>
      <c r="H8" s="40">
        <f>SUMIF(MatchScoutingData!$E$2:$E$1000, $A8, MatchScoutingData!K$2:K$1000)</f>
        <v/>
      </c>
      <c r="I8" s="40">
        <f>SUMIF(MatchScoutingData!$E$2:$E$1000, $A8, MatchScoutingData!L$2:L$1000)</f>
        <v/>
      </c>
      <c r="J8" s="40">
        <f>SUMIF(MatchScoutingData!$E$2:$E$1000, $A8, MatchScoutingData!M$2:M$1000)</f>
        <v/>
      </c>
      <c r="K8" s="40">
        <f>SUMIF(MatchScoutingData!$E$2:$E$1000, $A8, MatchScoutingData!N$2:N$1000)</f>
        <v/>
      </c>
      <c r="L8" s="40">
        <f>SUMIF(MatchScoutingData!$E$2:$E$1000, $A8, MatchScoutingData!O$2:O$1000)</f>
        <v/>
      </c>
      <c r="M8" s="40">
        <f>SUMIF(MatchScoutingData!$E$2:$E$1000, $A8, MatchScoutingData!P$2:P$1000)</f>
        <v/>
      </c>
      <c r="N8" s="40">
        <f>SUMIF(MatchScoutingData!$E$2:$E$1000, $A8, MatchScoutingData!Q$2:Q$1000)</f>
        <v/>
      </c>
      <c r="O8" s="40">
        <f>SUMIF(MatchScoutingData!$E$2:$E$1000, $A8, MatchScoutingData!R$2:R$1000)</f>
        <v/>
      </c>
      <c r="P8" s="40">
        <f>SUMIF(MatchScoutingData!$E$2:$E$1000, $A8, MatchScoutingData!S$2:S$1000)</f>
        <v/>
      </c>
      <c r="Q8" s="40">
        <f>SUMIF(MatchScoutingData!$E$2:$E$1000, $A8, MatchScoutingData!T$2:T$1000)</f>
        <v/>
      </c>
      <c r="R8" s="40">
        <f>SUMIF(MatchScoutingData!$E$2:$E$1000, $A8, MatchScoutingData!U$2:U$1000)</f>
        <v/>
      </c>
      <c r="S8" s="40">
        <f>SUMIF(MatchScoutingData!$E$2:$E$1000, $A8, MatchScoutingData!V$2:V$1000)</f>
        <v/>
      </c>
      <c r="T8" s="40">
        <f>SUMIF(MatchScoutingData!$E$2:$E$1000, $A8, MatchScoutingData!W$2:W$1000)</f>
        <v/>
      </c>
      <c r="U8" s="40">
        <f>SUMIF(MatchScoutingData!$E$2:$E$1000, $A8, MatchScoutingData!X$2:X$1000)</f>
        <v/>
      </c>
      <c r="V8" s="40">
        <f>SUMIF(MatchScoutingData!$E$2:$E$1000, $A8, MatchScoutingData!AB$2:AB$1000)</f>
        <v/>
      </c>
      <c r="W8" s="40">
        <f>SUMIF(MatchScoutingData!$E$2:$E$1000, $A8, MatchScoutingData!Y$2:Y$1000)</f>
        <v/>
      </c>
      <c r="X8" s="40">
        <f>SUMIF(MatchScoutingData!$E$2:$E$1000, $A8, MatchScoutingData!Z$2:Z$1000)</f>
        <v/>
      </c>
      <c r="Y8" s="40">
        <f>SUMIF(MatchScoutingData!$E$2:$E$1000, $A8, MatchScoutingData!AA$2:AA$1000)</f>
        <v/>
      </c>
      <c r="Z8" s="40">
        <f>SUM(W8:Y8)</f>
        <v/>
      </c>
    </row>
    <row r="9">
      <c r="A9" s="11" t="n">
        <v>287</v>
      </c>
      <c r="B9" s="40">
        <f>COUNTIF(MatchScoutingData!E$2:E$1000, $A9)</f>
        <v/>
      </c>
      <c r="C9" s="40">
        <f>SUMIF(MatchScoutingData!$E$2:$E$1000, $A9, MatchScoutingData!F$2:F$1000)</f>
        <v/>
      </c>
      <c r="D9" s="40">
        <f>SUMIF(MatchScoutingData!$E$2:$E$1000, $A9, MatchScoutingData!G$2:G$1000)</f>
        <v/>
      </c>
      <c r="E9" s="40">
        <f>SUMIF(MatchScoutingData!$E$2:$E$1000, $A9, MatchScoutingData!H$2:H$1000)</f>
        <v/>
      </c>
      <c r="F9" s="40">
        <f>SUMIF(MatchScoutingData!$E$2:$E$1000, $A9, MatchScoutingData!I$2:I$1000)</f>
        <v/>
      </c>
      <c r="G9" s="40">
        <f>SUMIF(MatchScoutingData!$E$2:$E$1000, $A9, MatchScoutingData!J$2:J$1000)</f>
        <v/>
      </c>
      <c r="H9" s="40">
        <f>SUMIF(MatchScoutingData!$E$2:$E$1000, $A9, MatchScoutingData!K$2:K$1000)</f>
        <v/>
      </c>
      <c r="I9" s="40">
        <f>SUMIF(MatchScoutingData!$E$2:$E$1000, $A9, MatchScoutingData!L$2:L$1000)</f>
        <v/>
      </c>
      <c r="J9" s="40">
        <f>SUMIF(MatchScoutingData!$E$2:$E$1000, $A9, MatchScoutingData!M$2:M$1000)</f>
        <v/>
      </c>
      <c r="K9" s="40">
        <f>SUMIF(MatchScoutingData!$E$2:$E$1000, $A9, MatchScoutingData!N$2:N$1000)</f>
        <v/>
      </c>
      <c r="L9" s="40">
        <f>SUMIF(MatchScoutingData!$E$2:$E$1000, $A9, MatchScoutingData!O$2:O$1000)</f>
        <v/>
      </c>
      <c r="M9" s="40">
        <f>SUMIF(MatchScoutingData!$E$2:$E$1000, $A9, MatchScoutingData!P$2:P$1000)</f>
        <v/>
      </c>
      <c r="N9" s="40">
        <f>SUMIF(MatchScoutingData!$E$2:$E$1000, $A9, MatchScoutingData!Q$2:Q$1000)</f>
        <v/>
      </c>
      <c r="O9" s="40">
        <f>SUMIF(MatchScoutingData!$E$2:$E$1000, $A9, MatchScoutingData!R$2:R$1000)</f>
        <v/>
      </c>
      <c r="P9" s="40">
        <f>SUMIF(MatchScoutingData!$E$2:$E$1000, $A9, MatchScoutingData!S$2:S$1000)</f>
        <v/>
      </c>
      <c r="Q9" s="40">
        <f>SUMIF(MatchScoutingData!$E$2:$E$1000, $A9, MatchScoutingData!T$2:T$1000)</f>
        <v/>
      </c>
      <c r="R9" s="40">
        <f>SUMIF(MatchScoutingData!$E$2:$E$1000, $A9, MatchScoutingData!U$2:U$1000)</f>
        <v/>
      </c>
      <c r="S9" s="40">
        <f>SUMIF(MatchScoutingData!$E$2:$E$1000, $A9, MatchScoutingData!V$2:V$1000)</f>
        <v/>
      </c>
      <c r="T9" s="40">
        <f>SUMIF(MatchScoutingData!$E$2:$E$1000, $A9, MatchScoutingData!W$2:W$1000)</f>
        <v/>
      </c>
      <c r="U9" s="40">
        <f>SUMIF(MatchScoutingData!$E$2:$E$1000, $A9, MatchScoutingData!X$2:X$1000)</f>
        <v/>
      </c>
      <c r="V9" s="40">
        <f>SUMIF(MatchScoutingData!$E$2:$E$1000, $A9, MatchScoutingData!AB$2:AB$1000)</f>
        <v/>
      </c>
      <c r="W9" s="40">
        <f>SUMIF(MatchScoutingData!$E$2:$E$1000, $A9, MatchScoutingData!Y$2:Y$1000)</f>
        <v/>
      </c>
      <c r="X9" s="40">
        <f>SUMIF(MatchScoutingData!$E$2:$E$1000, $A9, MatchScoutingData!Z$2:Z$1000)</f>
        <v/>
      </c>
      <c r="Y9" s="40">
        <f>SUMIF(MatchScoutingData!$E$2:$E$1000, $A9, MatchScoutingData!AA$2:AA$1000)</f>
        <v/>
      </c>
      <c r="Z9" s="40">
        <f>SUM(W9:Y9)</f>
        <v/>
      </c>
    </row>
    <row r="10">
      <c r="A10" s="11" t="n">
        <v>424</v>
      </c>
      <c r="B10" s="40">
        <f>COUNTIF(MatchScoutingData!E$2:E$1000, $A10)</f>
        <v/>
      </c>
      <c r="C10" s="40">
        <f>SUMIF(MatchScoutingData!$E$2:$E$1000, $A10, MatchScoutingData!F$2:F$1000)</f>
        <v/>
      </c>
      <c r="D10" s="40">
        <f>SUMIF(MatchScoutingData!$E$2:$E$1000, $A10, MatchScoutingData!G$2:G$1000)</f>
        <v/>
      </c>
      <c r="E10" s="40">
        <f>SUMIF(MatchScoutingData!$E$2:$E$1000, $A10, MatchScoutingData!H$2:H$1000)</f>
        <v/>
      </c>
      <c r="F10" s="40">
        <f>SUMIF(MatchScoutingData!$E$2:$E$1000, $A10, MatchScoutingData!I$2:I$1000)</f>
        <v/>
      </c>
      <c r="G10" s="40">
        <f>SUMIF(MatchScoutingData!$E$2:$E$1000, $A10, MatchScoutingData!J$2:J$1000)</f>
        <v/>
      </c>
      <c r="H10" s="40">
        <f>SUMIF(MatchScoutingData!$E$2:$E$1000, $A10, MatchScoutingData!K$2:K$1000)</f>
        <v/>
      </c>
      <c r="I10" s="40">
        <f>SUMIF(MatchScoutingData!$E$2:$E$1000, $A10, MatchScoutingData!L$2:L$1000)</f>
        <v/>
      </c>
      <c r="J10" s="40">
        <f>SUMIF(MatchScoutingData!$E$2:$E$1000, $A10, MatchScoutingData!M$2:M$1000)</f>
        <v/>
      </c>
      <c r="K10" s="40">
        <f>SUMIF(MatchScoutingData!$E$2:$E$1000, $A10, MatchScoutingData!N$2:N$1000)</f>
        <v/>
      </c>
      <c r="L10" s="40">
        <f>SUMIF(MatchScoutingData!$E$2:$E$1000, $A10, MatchScoutingData!O$2:O$1000)</f>
        <v/>
      </c>
      <c r="M10" s="40">
        <f>SUMIF(MatchScoutingData!$E$2:$E$1000, $A10, MatchScoutingData!P$2:P$1000)</f>
        <v/>
      </c>
      <c r="N10" s="40">
        <f>SUMIF(MatchScoutingData!$E$2:$E$1000, $A10, MatchScoutingData!Q$2:Q$1000)</f>
        <v/>
      </c>
      <c r="O10" s="40">
        <f>SUMIF(MatchScoutingData!$E$2:$E$1000, $A10, MatchScoutingData!R$2:R$1000)</f>
        <v/>
      </c>
      <c r="P10" s="40">
        <f>SUMIF(MatchScoutingData!$E$2:$E$1000, $A10, MatchScoutingData!S$2:S$1000)</f>
        <v/>
      </c>
      <c r="Q10" s="40">
        <f>SUMIF(MatchScoutingData!$E$2:$E$1000, $A10, MatchScoutingData!T$2:T$1000)</f>
        <v/>
      </c>
      <c r="R10" s="40">
        <f>SUMIF(MatchScoutingData!$E$2:$E$1000, $A10, MatchScoutingData!U$2:U$1000)</f>
        <v/>
      </c>
      <c r="S10" s="40">
        <f>SUMIF(MatchScoutingData!$E$2:$E$1000, $A10, MatchScoutingData!V$2:V$1000)</f>
        <v/>
      </c>
      <c r="T10" s="40">
        <f>SUMIF(MatchScoutingData!$E$2:$E$1000, $A10, MatchScoutingData!W$2:W$1000)</f>
        <v/>
      </c>
      <c r="U10" s="40">
        <f>SUMIF(MatchScoutingData!$E$2:$E$1000, $A10, MatchScoutingData!X$2:X$1000)</f>
        <v/>
      </c>
      <c r="V10" s="40">
        <f>SUMIF(MatchScoutingData!$E$2:$E$1000, $A10, MatchScoutingData!AB$2:AB$1000)</f>
        <v/>
      </c>
      <c r="W10" s="40">
        <f>SUMIF(MatchScoutingData!$E$2:$E$1000, $A10, MatchScoutingData!Y$2:Y$1000)</f>
        <v/>
      </c>
      <c r="X10" s="40">
        <f>SUMIF(MatchScoutingData!$E$2:$E$1000, $A10, MatchScoutingData!Z$2:Z$1000)</f>
        <v/>
      </c>
      <c r="Y10" s="40">
        <f>SUMIF(MatchScoutingData!$E$2:$E$1000, $A10, MatchScoutingData!AA$2:AA$1000)</f>
        <v/>
      </c>
      <c r="Z10" s="40">
        <f>SUM(W10:Y10)</f>
        <v/>
      </c>
    </row>
    <row r="11">
      <c r="A11" s="11" t="n">
        <v>533</v>
      </c>
      <c r="B11" s="40">
        <f>COUNTIF(MatchScoutingData!E$2:E$1000, $A11)</f>
        <v/>
      </c>
      <c r="C11" s="40">
        <f>SUMIF(MatchScoutingData!$E$2:$E$1000, $A11, MatchScoutingData!F$2:F$1000)</f>
        <v/>
      </c>
      <c r="D11" s="40">
        <f>SUMIF(MatchScoutingData!$E$2:$E$1000, $A11, MatchScoutingData!G$2:G$1000)</f>
        <v/>
      </c>
      <c r="E11" s="40">
        <f>SUMIF(MatchScoutingData!$E$2:$E$1000, $A11, MatchScoutingData!H$2:H$1000)</f>
        <v/>
      </c>
      <c r="F11" s="40">
        <f>SUMIF(MatchScoutingData!$E$2:$E$1000, $A11, MatchScoutingData!I$2:I$1000)</f>
        <v/>
      </c>
      <c r="G11" s="40">
        <f>SUMIF(MatchScoutingData!$E$2:$E$1000, $A11, MatchScoutingData!J$2:J$1000)</f>
        <v/>
      </c>
      <c r="H11" s="40">
        <f>SUMIF(MatchScoutingData!$E$2:$E$1000, $A11, MatchScoutingData!K$2:K$1000)</f>
        <v/>
      </c>
      <c r="I11" s="40">
        <f>SUMIF(MatchScoutingData!$E$2:$E$1000, $A11, MatchScoutingData!L$2:L$1000)</f>
        <v/>
      </c>
      <c r="J11" s="40">
        <f>SUMIF(MatchScoutingData!$E$2:$E$1000, $A11, MatchScoutingData!M$2:M$1000)</f>
        <v/>
      </c>
      <c r="K11" s="40">
        <f>SUMIF(MatchScoutingData!$E$2:$E$1000, $A11, MatchScoutingData!N$2:N$1000)</f>
        <v/>
      </c>
      <c r="L11" s="40">
        <f>SUMIF(MatchScoutingData!$E$2:$E$1000, $A11, MatchScoutingData!O$2:O$1000)</f>
        <v/>
      </c>
      <c r="M11" s="40">
        <f>SUMIF(MatchScoutingData!$E$2:$E$1000, $A11, MatchScoutingData!P$2:P$1000)</f>
        <v/>
      </c>
      <c r="N11" s="40">
        <f>SUMIF(MatchScoutingData!$E$2:$E$1000, $A11, MatchScoutingData!Q$2:Q$1000)</f>
        <v/>
      </c>
      <c r="O11" s="40">
        <f>SUMIF(MatchScoutingData!$E$2:$E$1000, $A11, MatchScoutingData!R$2:R$1000)</f>
        <v/>
      </c>
      <c r="P11" s="40">
        <f>SUMIF(MatchScoutingData!$E$2:$E$1000, $A11, MatchScoutingData!S$2:S$1000)</f>
        <v/>
      </c>
      <c r="Q11" s="40">
        <f>SUMIF(MatchScoutingData!$E$2:$E$1000, $A11, MatchScoutingData!T$2:T$1000)</f>
        <v/>
      </c>
      <c r="R11" s="40">
        <f>SUMIF(MatchScoutingData!$E$2:$E$1000, $A11, MatchScoutingData!U$2:U$1000)</f>
        <v/>
      </c>
      <c r="S11" s="40">
        <f>SUMIF(MatchScoutingData!$E$2:$E$1000, $A11, MatchScoutingData!V$2:V$1000)</f>
        <v/>
      </c>
      <c r="T11" s="40">
        <f>SUMIF(MatchScoutingData!$E$2:$E$1000, $A11, MatchScoutingData!W$2:W$1000)</f>
        <v/>
      </c>
      <c r="U11" s="40">
        <f>SUMIF(MatchScoutingData!$E$2:$E$1000, $A11, MatchScoutingData!X$2:X$1000)</f>
        <v/>
      </c>
      <c r="V11" s="40">
        <f>SUMIF(MatchScoutingData!$E$2:$E$1000, $A11, MatchScoutingData!AB$2:AB$1000)</f>
        <v/>
      </c>
      <c r="W11" s="40">
        <f>SUMIF(MatchScoutingData!$E$2:$E$1000, $A11, MatchScoutingData!Y$2:Y$1000)</f>
        <v/>
      </c>
      <c r="X11" s="40">
        <f>SUMIF(MatchScoutingData!$E$2:$E$1000, $A11, MatchScoutingData!Z$2:Z$1000)</f>
        <v/>
      </c>
      <c r="Y11" s="40">
        <f>SUMIF(MatchScoutingData!$E$2:$E$1000, $A11, MatchScoutingData!AA$2:AA$1000)</f>
        <v/>
      </c>
      <c r="Z11" s="40">
        <f>SUM(W11:Y11)</f>
        <v/>
      </c>
    </row>
    <row r="12">
      <c r="A12" s="11" t="n">
        <v>578</v>
      </c>
      <c r="B12" s="40">
        <f>COUNTIF(MatchScoutingData!E$2:E$1000, $A12)</f>
        <v/>
      </c>
      <c r="C12" s="40">
        <f>SUMIF(MatchScoutingData!$E$2:$E$1000, $A12, MatchScoutingData!F$2:F$1000)</f>
        <v/>
      </c>
      <c r="D12" s="40">
        <f>SUMIF(MatchScoutingData!$E$2:$E$1000, $A12, MatchScoutingData!G$2:G$1000)</f>
        <v/>
      </c>
      <c r="E12" s="40">
        <f>SUMIF(MatchScoutingData!$E$2:$E$1000, $A12, MatchScoutingData!H$2:H$1000)</f>
        <v/>
      </c>
      <c r="F12" s="40">
        <f>SUMIF(MatchScoutingData!$E$2:$E$1000, $A12, MatchScoutingData!I$2:I$1000)</f>
        <v/>
      </c>
      <c r="G12" s="40">
        <f>SUMIF(MatchScoutingData!$E$2:$E$1000, $A12, MatchScoutingData!J$2:J$1000)</f>
        <v/>
      </c>
      <c r="H12" s="40">
        <f>SUMIF(MatchScoutingData!$E$2:$E$1000, $A12, MatchScoutingData!K$2:K$1000)</f>
        <v/>
      </c>
      <c r="I12" s="40">
        <f>SUMIF(MatchScoutingData!$E$2:$E$1000, $A12, MatchScoutingData!L$2:L$1000)</f>
        <v/>
      </c>
      <c r="J12" s="40">
        <f>SUMIF(MatchScoutingData!$E$2:$E$1000, $A12, MatchScoutingData!M$2:M$1000)</f>
        <v/>
      </c>
      <c r="K12" s="40">
        <f>SUMIF(MatchScoutingData!$E$2:$E$1000, $A12, MatchScoutingData!N$2:N$1000)</f>
        <v/>
      </c>
      <c r="L12" s="40">
        <f>SUMIF(MatchScoutingData!$E$2:$E$1000, $A12, MatchScoutingData!O$2:O$1000)</f>
        <v/>
      </c>
      <c r="M12" s="40">
        <f>SUMIF(MatchScoutingData!$E$2:$E$1000, $A12, MatchScoutingData!P$2:P$1000)</f>
        <v/>
      </c>
      <c r="N12" s="40">
        <f>SUMIF(MatchScoutingData!$E$2:$E$1000, $A12, MatchScoutingData!Q$2:Q$1000)</f>
        <v/>
      </c>
      <c r="O12" s="40">
        <f>SUMIF(MatchScoutingData!$E$2:$E$1000, $A12, MatchScoutingData!R$2:R$1000)</f>
        <v/>
      </c>
      <c r="P12" s="40">
        <f>SUMIF(MatchScoutingData!$E$2:$E$1000, $A12, MatchScoutingData!S$2:S$1000)</f>
        <v/>
      </c>
      <c r="Q12" s="40">
        <f>SUMIF(MatchScoutingData!$E$2:$E$1000, $A12, MatchScoutingData!T$2:T$1000)</f>
        <v/>
      </c>
      <c r="R12" s="40">
        <f>SUMIF(MatchScoutingData!$E$2:$E$1000, $A12, MatchScoutingData!U$2:U$1000)</f>
        <v/>
      </c>
      <c r="S12" s="40">
        <f>SUMIF(MatchScoutingData!$E$2:$E$1000, $A12, MatchScoutingData!V$2:V$1000)</f>
        <v/>
      </c>
      <c r="T12" s="40">
        <f>SUMIF(MatchScoutingData!$E$2:$E$1000, $A12, MatchScoutingData!W$2:W$1000)</f>
        <v/>
      </c>
      <c r="U12" s="40">
        <f>SUMIF(MatchScoutingData!$E$2:$E$1000, $A12, MatchScoutingData!X$2:X$1000)</f>
        <v/>
      </c>
      <c r="V12" s="40">
        <f>SUMIF(MatchScoutingData!$E$2:$E$1000, $A12, MatchScoutingData!AB$2:AB$1000)</f>
        <v/>
      </c>
      <c r="W12" s="40">
        <f>SUMIF(MatchScoutingData!$E$2:$E$1000, $A12, MatchScoutingData!Y$2:Y$1000)</f>
        <v/>
      </c>
      <c r="X12" s="40">
        <f>SUMIF(MatchScoutingData!$E$2:$E$1000, $A12, MatchScoutingData!Z$2:Z$1000)</f>
        <v/>
      </c>
      <c r="Y12" s="40">
        <f>SUMIF(MatchScoutingData!$E$2:$E$1000, $A12, MatchScoutingData!AA$2:AA$1000)</f>
        <v/>
      </c>
      <c r="Z12" s="40">
        <f>SUM(W12:Y12)</f>
        <v/>
      </c>
    </row>
    <row r="13">
      <c r="A13" s="11" t="n">
        <v>677</v>
      </c>
      <c r="B13" s="40">
        <f>COUNTIF(MatchScoutingData!E$2:E$1000, $A13)</f>
        <v/>
      </c>
      <c r="C13" s="40">
        <f>SUMIF(MatchScoutingData!$E$2:$E$1000, $A13, MatchScoutingData!F$2:F$1000)</f>
        <v/>
      </c>
      <c r="D13" s="40">
        <f>SUMIF(MatchScoutingData!$E$2:$E$1000, $A13, MatchScoutingData!G$2:G$1000)</f>
        <v/>
      </c>
      <c r="E13" s="40">
        <f>SUMIF(MatchScoutingData!$E$2:$E$1000, $A13, MatchScoutingData!H$2:H$1000)</f>
        <v/>
      </c>
      <c r="F13" s="40">
        <f>SUMIF(MatchScoutingData!$E$2:$E$1000, $A13, MatchScoutingData!I$2:I$1000)</f>
        <v/>
      </c>
      <c r="G13" s="40">
        <f>SUMIF(MatchScoutingData!$E$2:$E$1000, $A13, MatchScoutingData!J$2:J$1000)</f>
        <v/>
      </c>
      <c r="H13" s="40">
        <f>SUMIF(MatchScoutingData!$E$2:$E$1000, $A13, MatchScoutingData!K$2:K$1000)</f>
        <v/>
      </c>
      <c r="I13" s="40">
        <f>SUMIF(MatchScoutingData!$E$2:$E$1000, $A13, MatchScoutingData!L$2:L$1000)</f>
        <v/>
      </c>
      <c r="J13" s="40">
        <f>SUMIF(MatchScoutingData!$E$2:$E$1000, $A13, MatchScoutingData!M$2:M$1000)</f>
        <v/>
      </c>
      <c r="K13" s="40">
        <f>SUMIF(MatchScoutingData!$E$2:$E$1000, $A13, MatchScoutingData!N$2:N$1000)</f>
        <v/>
      </c>
      <c r="L13" s="40">
        <f>SUMIF(MatchScoutingData!$E$2:$E$1000, $A13, MatchScoutingData!O$2:O$1000)</f>
        <v/>
      </c>
      <c r="M13" s="40">
        <f>SUMIF(MatchScoutingData!$E$2:$E$1000, $A13, MatchScoutingData!P$2:P$1000)</f>
        <v/>
      </c>
      <c r="N13" s="40">
        <f>SUMIF(MatchScoutingData!$E$2:$E$1000, $A13, MatchScoutingData!Q$2:Q$1000)</f>
        <v/>
      </c>
      <c r="O13" s="40">
        <f>SUMIF(MatchScoutingData!$E$2:$E$1000, $A13, MatchScoutingData!R$2:R$1000)</f>
        <v/>
      </c>
      <c r="P13" s="40">
        <f>SUMIF(MatchScoutingData!$E$2:$E$1000, $A13, MatchScoutingData!S$2:S$1000)</f>
        <v/>
      </c>
      <c r="Q13" s="40">
        <f>SUMIF(MatchScoutingData!$E$2:$E$1000, $A13, MatchScoutingData!T$2:T$1000)</f>
        <v/>
      </c>
      <c r="R13" s="40">
        <f>SUMIF(MatchScoutingData!$E$2:$E$1000, $A13, MatchScoutingData!U$2:U$1000)</f>
        <v/>
      </c>
      <c r="S13" s="40">
        <f>SUMIF(MatchScoutingData!$E$2:$E$1000, $A13, MatchScoutingData!V$2:V$1000)</f>
        <v/>
      </c>
      <c r="T13" s="40">
        <f>SUMIF(MatchScoutingData!$E$2:$E$1000, $A13, MatchScoutingData!W$2:W$1000)</f>
        <v/>
      </c>
      <c r="U13" s="40">
        <f>SUMIF(MatchScoutingData!$E$2:$E$1000, $A13, MatchScoutingData!X$2:X$1000)</f>
        <v/>
      </c>
      <c r="V13" s="40">
        <f>SUMIF(MatchScoutingData!$E$2:$E$1000, $A13, MatchScoutingData!AB$2:AB$1000)</f>
        <v/>
      </c>
      <c r="W13" s="40">
        <f>SUMIF(MatchScoutingData!$E$2:$E$1000, $A13, MatchScoutingData!Y$2:Y$1000)</f>
        <v/>
      </c>
      <c r="X13" s="40">
        <f>SUMIF(MatchScoutingData!$E$2:$E$1000, $A13, MatchScoutingData!Z$2:Z$1000)</f>
        <v/>
      </c>
      <c r="Y13" s="40">
        <f>SUMIF(MatchScoutingData!$E$2:$E$1000, $A13, MatchScoutingData!AA$2:AA$1000)</f>
        <v/>
      </c>
      <c r="Z13" s="40">
        <f>SUM(W13:Y13)</f>
        <v/>
      </c>
    </row>
    <row r="14">
      <c r="A14" s="11" t="n">
        <v>806</v>
      </c>
      <c r="B14" s="40">
        <f>COUNTIF(MatchScoutingData!E$2:E$1000, $A14)</f>
        <v/>
      </c>
      <c r="C14" s="40">
        <f>SUMIF(MatchScoutingData!$E$2:$E$1000, $A14, MatchScoutingData!F$2:F$1000)</f>
        <v/>
      </c>
      <c r="D14" s="40">
        <f>SUMIF(MatchScoutingData!$E$2:$E$1000, $A14, MatchScoutingData!G$2:G$1000)</f>
        <v/>
      </c>
      <c r="E14" s="40">
        <f>SUMIF(MatchScoutingData!$E$2:$E$1000, $A14, MatchScoutingData!H$2:H$1000)</f>
        <v/>
      </c>
      <c r="F14" s="40">
        <f>SUMIF(MatchScoutingData!$E$2:$E$1000, $A14, MatchScoutingData!I$2:I$1000)</f>
        <v/>
      </c>
      <c r="G14" s="40">
        <f>SUMIF(MatchScoutingData!$E$2:$E$1000, $A14, MatchScoutingData!J$2:J$1000)</f>
        <v/>
      </c>
      <c r="H14" s="40">
        <f>SUMIF(MatchScoutingData!$E$2:$E$1000, $A14, MatchScoutingData!K$2:K$1000)</f>
        <v/>
      </c>
      <c r="I14" s="40">
        <f>SUMIF(MatchScoutingData!$E$2:$E$1000, $A14, MatchScoutingData!L$2:L$1000)</f>
        <v/>
      </c>
      <c r="J14" s="40">
        <f>SUMIF(MatchScoutingData!$E$2:$E$1000, $A14, MatchScoutingData!M$2:M$1000)</f>
        <v/>
      </c>
      <c r="K14" s="40">
        <f>SUMIF(MatchScoutingData!$E$2:$E$1000, $A14, MatchScoutingData!N$2:N$1000)</f>
        <v/>
      </c>
      <c r="L14" s="40">
        <f>SUMIF(MatchScoutingData!$E$2:$E$1000, $A14, MatchScoutingData!O$2:O$1000)</f>
        <v/>
      </c>
      <c r="M14" s="40">
        <f>SUMIF(MatchScoutingData!$E$2:$E$1000, $A14, MatchScoutingData!P$2:P$1000)</f>
        <v/>
      </c>
      <c r="N14" s="40">
        <f>SUMIF(MatchScoutingData!$E$2:$E$1000, $A14, MatchScoutingData!Q$2:Q$1000)</f>
        <v/>
      </c>
      <c r="O14" s="40">
        <f>SUMIF(MatchScoutingData!$E$2:$E$1000, $A14, MatchScoutingData!R$2:R$1000)</f>
        <v/>
      </c>
      <c r="P14" s="40">
        <f>SUMIF(MatchScoutingData!$E$2:$E$1000, $A14, MatchScoutingData!S$2:S$1000)</f>
        <v/>
      </c>
      <c r="Q14" s="40">
        <f>SUMIF(MatchScoutingData!$E$2:$E$1000, $A14, MatchScoutingData!T$2:T$1000)</f>
        <v/>
      </c>
      <c r="R14" s="40">
        <f>SUMIF(MatchScoutingData!$E$2:$E$1000, $A14, MatchScoutingData!U$2:U$1000)</f>
        <v/>
      </c>
      <c r="S14" s="40">
        <f>SUMIF(MatchScoutingData!$E$2:$E$1000, $A14, MatchScoutingData!V$2:V$1000)</f>
        <v/>
      </c>
      <c r="T14" s="40">
        <f>SUMIF(MatchScoutingData!$E$2:$E$1000, $A14, MatchScoutingData!W$2:W$1000)</f>
        <v/>
      </c>
      <c r="U14" s="40">
        <f>SUMIF(MatchScoutingData!$E$2:$E$1000, $A14, MatchScoutingData!X$2:X$1000)</f>
        <v/>
      </c>
      <c r="V14" s="40">
        <f>SUMIF(MatchScoutingData!$E$2:$E$1000, $A14, MatchScoutingData!AB$2:AB$1000)</f>
        <v/>
      </c>
      <c r="W14" s="40">
        <f>SUMIF(MatchScoutingData!$E$2:$E$1000, $A14, MatchScoutingData!Y$2:Y$1000)</f>
        <v/>
      </c>
      <c r="X14" s="40">
        <f>SUMIF(MatchScoutingData!$E$2:$E$1000, $A14, MatchScoutingData!Z$2:Z$1000)</f>
        <v/>
      </c>
      <c r="Y14" s="40">
        <f>SUMIF(MatchScoutingData!$E$2:$E$1000, $A14, MatchScoutingData!AA$2:AA$1000)</f>
        <v/>
      </c>
      <c r="Z14" s="40">
        <f>SUM(W14:Y14)</f>
        <v/>
      </c>
    </row>
    <row r="15">
      <c r="A15" s="11" t="n">
        <v>870</v>
      </c>
      <c r="B15" s="40">
        <f>COUNTIF(MatchScoutingData!E$2:E$1000, $A15)</f>
        <v/>
      </c>
      <c r="C15" s="40">
        <f>SUMIF(MatchScoutingData!$E$2:$E$1000, $A15, MatchScoutingData!F$2:F$1000)</f>
        <v/>
      </c>
      <c r="D15" s="40">
        <f>SUMIF(MatchScoutingData!$E$2:$E$1000, $A15, MatchScoutingData!G$2:G$1000)</f>
        <v/>
      </c>
      <c r="E15" s="40">
        <f>SUMIF(MatchScoutingData!$E$2:$E$1000, $A15, MatchScoutingData!H$2:H$1000)</f>
        <v/>
      </c>
      <c r="F15" s="40">
        <f>SUMIF(MatchScoutingData!$E$2:$E$1000, $A15, MatchScoutingData!I$2:I$1000)</f>
        <v/>
      </c>
      <c r="G15" s="40">
        <f>SUMIF(MatchScoutingData!$E$2:$E$1000, $A15, MatchScoutingData!J$2:J$1000)</f>
        <v/>
      </c>
      <c r="H15" s="40">
        <f>SUMIF(MatchScoutingData!$E$2:$E$1000, $A15, MatchScoutingData!K$2:K$1000)</f>
        <v/>
      </c>
      <c r="I15" s="40">
        <f>SUMIF(MatchScoutingData!$E$2:$E$1000, $A15, MatchScoutingData!L$2:L$1000)</f>
        <v/>
      </c>
      <c r="J15" s="40">
        <f>SUMIF(MatchScoutingData!$E$2:$E$1000, $A15, MatchScoutingData!M$2:M$1000)</f>
        <v/>
      </c>
      <c r="K15" s="40">
        <f>SUMIF(MatchScoutingData!$E$2:$E$1000, $A15, MatchScoutingData!N$2:N$1000)</f>
        <v/>
      </c>
      <c r="L15" s="40">
        <f>SUMIF(MatchScoutingData!$E$2:$E$1000, $A15, MatchScoutingData!O$2:O$1000)</f>
        <v/>
      </c>
      <c r="M15" s="40">
        <f>SUMIF(MatchScoutingData!$E$2:$E$1000, $A15, MatchScoutingData!P$2:P$1000)</f>
        <v/>
      </c>
      <c r="N15" s="40">
        <f>SUMIF(MatchScoutingData!$E$2:$E$1000, $A15, MatchScoutingData!Q$2:Q$1000)</f>
        <v/>
      </c>
      <c r="O15" s="40">
        <f>SUMIF(MatchScoutingData!$E$2:$E$1000, $A15, MatchScoutingData!R$2:R$1000)</f>
        <v/>
      </c>
      <c r="P15" s="40">
        <f>SUMIF(MatchScoutingData!$E$2:$E$1000, $A15, MatchScoutingData!S$2:S$1000)</f>
        <v/>
      </c>
      <c r="Q15" s="40">
        <f>SUMIF(MatchScoutingData!$E$2:$E$1000, $A15, MatchScoutingData!T$2:T$1000)</f>
        <v/>
      </c>
      <c r="R15" s="40">
        <f>SUMIF(MatchScoutingData!$E$2:$E$1000, $A15, MatchScoutingData!U$2:U$1000)</f>
        <v/>
      </c>
      <c r="S15" s="40">
        <f>SUMIF(MatchScoutingData!$E$2:$E$1000, $A15, MatchScoutingData!V$2:V$1000)</f>
        <v/>
      </c>
      <c r="T15" s="40">
        <f>SUMIF(MatchScoutingData!$E$2:$E$1000, $A15, MatchScoutingData!W$2:W$1000)</f>
        <v/>
      </c>
      <c r="U15" s="40">
        <f>SUMIF(MatchScoutingData!$E$2:$E$1000, $A15, MatchScoutingData!X$2:X$1000)</f>
        <v/>
      </c>
      <c r="V15" s="40">
        <f>SUMIF(MatchScoutingData!$E$2:$E$1000, $A15, MatchScoutingData!AB$2:AB$1000)</f>
        <v/>
      </c>
      <c r="W15" s="40">
        <f>SUMIF(MatchScoutingData!$E$2:$E$1000, $A15, MatchScoutingData!Y$2:Y$1000)</f>
        <v/>
      </c>
      <c r="X15" s="40">
        <f>SUMIF(MatchScoutingData!$E$2:$E$1000, $A15, MatchScoutingData!Z$2:Z$1000)</f>
        <v/>
      </c>
      <c r="Y15" s="40">
        <f>SUMIF(MatchScoutingData!$E$2:$E$1000, $A15, MatchScoutingData!AA$2:AA$1000)</f>
        <v/>
      </c>
      <c r="Z15" s="40">
        <f>SUM(W15:Y15)</f>
        <v/>
      </c>
    </row>
    <row r="16">
      <c r="A16" s="11" t="n">
        <v>1126</v>
      </c>
      <c r="B16" s="40">
        <f>COUNTIF(MatchScoutingData!E$2:E$1000, $A16)</f>
        <v/>
      </c>
      <c r="C16" s="40">
        <f>SUMIF(MatchScoutingData!$E$2:$E$1000, $A16, MatchScoutingData!F$2:F$1000)</f>
        <v/>
      </c>
      <c r="D16" s="40">
        <f>SUMIF(MatchScoutingData!$E$2:$E$1000, $A16, MatchScoutingData!G$2:G$1000)</f>
        <v/>
      </c>
      <c r="E16" s="40">
        <f>SUMIF(MatchScoutingData!$E$2:$E$1000, $A16, MatchScoutingData!H$2:H$1000)</f>
        <v/>
      </c>
      <c r="F16" s="40">
        <f>SUMIF(MatchScoutingData!$E$2:$E$1000, $A16, MatchScoutingData!I$2:I$1000)</f>
        <v/>
      </c>
      <c r="G16" s="40">
        <f>SUMIF(MatchScoutingData!$E$2:$E$1000, $A16, MatchScoutingData!J$2:J$1000)</f>
        <v/>
      </c>
      <c r="H16" s="40">
        <f>SUMIF(MatchScoutingData!$E$2:$E$1000, $A16, MatchScoutingData!K$2:K$1000)</f>
        <v/>
      </c>
      <c r="I16" s="40">
        <f>SUMIF(MatchScoutingData!$E$2:$E$1000, $A16, MatchScoutingData!L$2:L$1000)</f>
        <v/>
      </c>
      <c r="J16" s="40">
        <f>SUMIF(MatchScoutingData!$E$2:$E$1000, $A16, MatchScoutingData!M$2:M$1000)</f>
        <v/>
      </c>
      <c r="K16" s="40">
        <f>SUMIF(MatchScoutingData!$E$2:$E$1000, $A16, MatchScoutingData!N$2:N$1000)</f>
        <v/>
      </c>
      <c r="L16" s="40">
        <f>SUMIF(MatchScoutingData!$E$2:$E$1000, $A16, MatchScoutingData!O$2:O$1000)</f>
        <v/>
      </c>
      <c r="M16" s="40">
        <f>SUMIF(MatchScoutingData!$E$2:$E$1000, $A16, MatchScoutingData!P$2:P$1000)</f>
        <v/>
      </c>
      <c r="N16" s="40">
        <f>SUMIF(MatchScoutingData!$E$2:$E$1000, $A16, MatchScoutingData!Q$2:Q$1000)</f>
        <v/>
      </c>
      <c r="O16" s="40">
        <f>SUMIF(MatchScoutingData!$E$2:$E$1000, $A16, MatchScoutingData!R$2:R$1000)</f>
        <v/>
      </c>
      <c r="P16" s="40">
        <f>SUMIF(MatchScoutingData!$E$2:$E$1000, $A16, MatchScoutingData!S$2:S$1000)</f>
        <v/>
      </c>
      <c r="Q16" s="40">
        <f>SUMIF(MatchScoutingData!$E$2:$E$1000, $A16, MatchScoutingData!T$2:T$1000)</f>
        <v/>
      </c>
      <c r="R16" s="40">
        <f>SUMIF(MatchScoutingData!$E$2:$E$1000, $A16, MatchScoutingData!U$2:U$1000)</f>
        <v/>
      </c>
      <c r="S16" s="40">
        <f>SUMIF(MatchScoutingData!$E$2:$E$1000, $A16, MatchScoutingData!V$2:V$1000)</f>
        <v/>
      </c>
      <c r="T16" s="40">
        <f>SUMIF(MatchScoutingData!$E$2:$E$1000, $A16, MatchScoutingData!W$2:W$1000)</f>
        <v/>
      </c>
      <c r="U16" s="40">
        <f>SUMIF(MatchScoutingData!$E$2:$E$1000, $A16, MatchScoutingData!X$2:X$1000)</f>
        <v/>
      </c>
      <c r="V16" s="40">
        <f>SUMIF(MatchScoutingData!$E$2:$E$1000, $A16, MatchScoutingData!AB$2:AB$1000)</f>
        <v/>
      </c>
      <c r="W16" s="40">
        <f>SUMIF(MatchScoutingData!$E$2:$E$1000, $A16, MatchScoutingData!Y$2:Y$1000)</f>
        <v/>
      </c>
      <c r="X16" s="40">
        <f>SUMIF(MatchScoutingData!$E$2:$E$1000, $A16, MatchScoutingData!Z$2:Z$1000)</f>
        <v/>
      </c>
      <c r="Y16" s="40">
        <f>SUMIF(MatchScoutingData!$E$2:$E$1000, $A16, MatchScoutingData!AA$2:AA$1000)</f>
        <v/>
      </c>
      <c r="Z16" s="40">
        <f>SUM(W16:Y16)</f>
        <v/>
      </c>
    </row>
    <row r="17">
      <c r="A17" s="11" t="n">
        <v>1405</v>
      </c>
      <c r="B17" s="40">
        <f>COUNTIF(MatchScoutingData!E$2:E$1000, $A17)</f>
        <v/>
      </c>
      <c r="C17" s="40">
        <f>SUMIF(MatchScoutingData!$E$2:$E$1000, $A17, MatchScoutingData!F$2:F$1000)</f>
        <v/>
      </c>
      <c r="D17" s="40">
        <f>SUMIF(MatchScoutingData!$E$2:$E$1000, $A17, MatchScoutingData!G$2:G$1000)</f>
        <v/>
      </c>
      <c r="E17" s="40">
        <f>SUMIF(MatchScoutingData!$E$2:$E$1000, $A17, MatchScoutingData!H$2:H$1000)</f>
        <v/>
      </c>
      <c r="F17" s="40">
        <f>SUMIF(MatchScoutingData!$E$2:$E$1000, $A17, MatchScoutingData!I$2:I$1000)</f>
        <v/>
      </c>
      <c r="G17" s="40">
        <f>SUMIF(MatchScoutingData!$E$2:$E$1000, $A17, MatchScoutingData!J$2:J$1000)</f>
        <v/>
      </c>
      <c r="H17" s="40">
        <f>SUMIF(MatchScoutingData!$E$2:$E$1000, $A17, MatchScoutingData!K$2:K$1000)</f>
        <v/>
      </c>
      <c r="I17" s="40">
        <f>SUMIF(MatchScoutingData!$E$2:$E$1000, $A17, MatchScoutingData!L$2:L$1000)</f>
        <v/>
      </c>
      <c r="J17" s="40">
        <f>SUMIF(MatchScoutingData!$E$2:$E$1000, $A17, MatchScoutingData!M$2:M$1000)</f>
        <v/>
      </c>
      <c r="K17" s="40">
        <f>SUMIF(MatchScoutingData!$E$2:$E$1000, $A17, MatchScoutingData!N$2:N$1000)</f>
        <v/>
      </c>
      <c r="L17" s="40">
        <f>SUMIF(MatchScoutingData!$E$2:$E$1000, $A17, MatchScoutingData!O$2:O$1000)</f>
        <v/>
      </c>
      <c r="M17" s="40">
        <f>SUMIF(MatchScoutingData!$E$2:$E$1000, $A17, MatchScoutingData!P$2:P$1000)</f>
        <v/>
      </c>
      <c r="N17" s="40">
        <f>SUMIF(MatchScoutingData!$E$2:$E$1000, $A17, MatchScoutingData!Q$2:Q$1000)</f>
        <v/>
      </c>
      <c r="O17" s="40">
        <f>SUMIF(MatchScoutingData!$E$2:$E$1000, $A17, MatchScoutingData!R$2:R$1000)</f>
        <v/>
      </c>
      <c r="P17" s="40">
        <f>SUMIF(MatchScoutingData!$E$2:$E$1000, $A17, MatchScoutingData!S$2:S$1000)</f>
        <v/>
      </c>
      <c r="Q17" s="40">
        <f>SUMIF(MatchScoutingData!$E$2:$E$1000, $A17, MatchScoutingData!T$2:T$1000)</f>
        <v/>
      </c>
      <c r="R17" s="40">
        <f>SUMIF(MatchScoutingData!$E$2:$E$1000, $A17, MatchScoutingData!U$2:U$1000)</f>
        <v/>
      </c>
      <c r="S17" s="40">
        <f>SUMIF(MatchScoutingData!$E$2:$E$1000, $A17, MatchScoutingData!V$2:V$1000)</f>
        <v/>
      </c>
      <c r="T17" s="40">
        <f>SUMIF(MatchScoutingData!$E$2:$E$1000, $A17, MatchScoutingData!W$2:W$1000)</f>
        <v/>
      </c>
      <c r="U17" s="40">
        <f>SUMIF(MatchScoutingData!$E$2:$E$1000, $A17, MatchScoutingData!X$2:X$1000)</f>
        <v/>
      </c>
      <c r="V17" s="40">
        <f>SUMIF(MatchScoutingData!$E$2:$E$1000, $A17, MatchScoutingData!AB$2:AB$1000)</f>
        <v/>
      </c>
      <c r="W17" s="40">
        <f>SUMIF(MatchScoutingData!$E$2:$E$1000, $A17, MatchScoutingData!Y$2:Y$1000)</f>
        <v/>
      </c>
      <c r="X17" s="40">
        <f>SUMIF(MatchScoutingData!$E$2:$E$1000, $A17, MatchScoutingData!Z$2:Z$1000)</f>
        <v/>
      </c>
      <c r="Y17" s="40">
        <f>SUMIF(MatchScoutingData!$E$2:$E$1000, $A17, MatchScoutingData!AA$2:AA$1000)</f>
        <v/>
      </c>
      <c r="Z17" s="40">
        <f>SUM(W17:Y17)</f>
        <v/>
      </c>
    </row>
    <row r="18">
      <c r="A18" s="11" t="n">
        <v>1493</v>
      </c>
      <c r="B18" s="40">
        <f>COUNTIF(MatchScoutingData!E$2:E$1000, $A18)</f>
        <v/>
      </c>
      <c r="C18" s="40">
        <f>SUMIF(MatchScoutingData!$E$2:$E$1000, $A18, MatchScoutingData!F$2:F$1000)</f>
        <v/>
      </c>
      <c r="D18" s="40">
        <f>SUMIF(MatchScoutingData!$E$2:$E$1000, $A18, MatchScoutingData!G$2:G$1000)</f>
        <v/>
      </c>
      <c r="E18" s="40">
        <f>SUMIF(MatchScoutingData!$E$2:$E$1000, $A18, MatchScoutingData!H$2:H$1000)</f>
        <v/>
      </c>
      <c r="F18" s="40">
        <f>SUMIF(MatchScoutingData!$E$2:$E$1000, $A18, MatchScoutingData!I$2:I$1000)</f>
        <v/>
      </c>
      <c r="G18" s="40">
        <f>SUMIF(MatchScoutingData!$E$2:$E$1000, $A18, MatchScoutingData!J$2:J$1000)</f>
        <v/>
      </c>
      <c r="H18" s="40">
        <f>SUMIF(MatchScoutingData!$E$2:$E$1000, $A18, MatchScoutingData!K$2:K$1000)</f>
        <v/>
      </c>
      <c r="I18" s="40">
        <f>SUMIF(MatchScoutingData!$E$2:$E$1000, $A18, MatchScoutingData!L$2:L$1000)</f>
        <v/>
      </c>
      <c r="J18" s="40">
        <f>SUMIF(MatchScoutingData!$E$2:$E$1000, $A18, MatchScoutingData!M$2:M$1000)</f>
        <v/>
      </c>
      <c r="K18" s="40">
        <f>SUMIF(MatchScoutingData!$E$2:$E$1000, $A18, MatchScoutingData!N$2:N$1000)</f>
        <v/>
      </c>
      <c r="L18" s="40">
        <f>SUMIF(MatchScoutingData!$E$2:$E$1000, $A18, MatchScoutingData!O$2:O$1000)</f>
        <v/>
      </c>
      <c r="M18" s="40">
        <f>SUMIF(MatchScoutingData!$E$2:$E$1000, $A18, MatchScoutingData!P$2:P$1000)</f>
        <v/>
      </c>
      <c r="N18" s="40">
        <f>SUMIF(MatchScoutingData!$E$2:$E$1000, $A18, MatchScoutingData!Q$2:Q$1000)</f>
        <v/>
      </c>
      <c r="O18" s="40">
        <f>SUMIF(MatchScoutingData!$E$2:$E$1000, $A18, MatchScoutingData!R$2:R$1000)</f>
        <v/>
      </c>
      <c r="P18" s="40">
        <f>SUMIF(MatchScoutingData!$E$2:$E$1000, $A18, MatchScoutingData!S$2:S$1000)</f>
        <v/>
      </c>
      <c r="Q18" s="40">
        <f>SUMIF(MatchScoutingData!$E$2:$E$1000, $A18, MatchScoutingData!T$2:T$1000)</f>
        <v/>
      </c>
      <c r="R18" s="40">
        <f>SUMIF(MatchScoutingData!$E$2:$E$1000, $A18, MatchScoutingData!U$2:U$1000)</f>
        <v/>
      </c>
      <c r="S18" s="40">
        <f>SUMIF(MatchScoutingData!$E$2:$E$1000, $A18, MatchScoutingData!V$2:V$1000)</f>
        <v/>
      </c>
      <c r="T18" s="40">
        <f>SUMIF(MatchScoutingData!$E$2:$E$1000, $A18, MatchScoutingData!W$2:W$1000)</f>
        <v/>
      </c>
      <c r="U18" s="40">
        <f>SUMIF(MatchScoutingData!$E$2:$E$1000, $A18, MatchScoutingData!X$2:X$1000)</f>
        <v/>
      </c>
      <c r="V18" s="40">
        <f>SUMIF(MatchScoutingData!$E$2:$E$1000, $A18, MatchScoutingData!AB$2:AB$1000)</f>
        <v/>
      </c>
      <c r="W18" s="40">
        <f>SUMIF(MatchScoutingData!$E$2:$E$1000, $A18, MatchScoutingData!Y$2:Y$1000)</f>
        <v/>
      </c>
      <c r="X18" s="40">
        <f>SUMIF(MatchScoutingData!$E$2:$E$1000, $A18, MatchScoutingData!Z$2:Z$1000)</f>
        <v/>
      </c>
      <c r="Y18" s="40">
        <f>SUMIF(MatchScoutingData!$E$2:$E$1000, $A18, MatchScoutingData!AA$2:AA$1000)</f>
        <v/>
      </c>
      <c r="Z18" s="40">
        <f>SUM(W18:Y18)</f>
        <v/>
      </c>
    </row>
    <row r="19">
      <c r="A19" s="11" t="n">
        <v>1559</v>
      </c>
      <c r="B19" s="40">
        <f>COUNTIF(MatchScoutingData!E$2:E$1000, $A19)</f>
        <v/>
      </c>
      <c r="C19" s="40">
        <f>SUMIF(MatchScoutingData!$E$2:$E$1000, $A19, MatchScoutingData!F$2:F$1000)</f>
        <v/>
      </c>
      <c r="D19" s="40">
        <f>SUMIF(MatchScoutingData!$E$2:$E$1000, $A19, MatchScoutingData!G$2:G$1000)</f>
        <v/>
      </c>
      <c r="E19" s="40">
        <f>SUMIF(MatchScoutingData!$E$2:$E$1000, $A19, MatchScoutingData!H$2:H$1000)</f>
        <v/>
      </c>
      <c r="F19" s="40">
        <f>SUMIF(MatchScoutingData!$E$2:$E$1000, $A19, MatchScoutingData!I$2:I$1000)</f>
        <v/>
      </c>
      <c r="G19" s="40">
        <f>SUMIF(MatchScoutingData!$E$2:$E$1000, $A19, MatchScoutingData!J$2:J$1000)</f>
        <v/>
      </c>
      <c r="H19" s="40">
        <f>SUMIF(MatchScoutingData!$E$2:$E$1000, $A19, MatchScoutingData!K$2:K$1000)</f>
        <v/>
      </c>
      <c r="I19" s="40">
        <f>SUMIF(MatchScoutingData!$E$2:$E$1000, $A19, MatchScoutingData!L$2:L$1000)</f>
        <v/>
      </c>
      <c r="J19" s="40">
        <f>SUMIF(MatchScoutingData!$E$2:$E$1000, $A19, MatchScoutingData!M$2:M$1000)</f>
        <v/>
      </c>
      <c r="K19" s="40">
        <f>SUMIF(MatchScoutingData!$E$2:$E$1000, $A19, MatchScoutingData!N$2:N$1000)</f>
        <v/>
      </c>
      <c r="L19" s="40">
        <f>SUMIF(MatchScoutingData!$E$2:$E$1000, $A19, MatchScoutingData!O$2:O$1000)</f>
        <v/>
      </c>
      <c r="M19" s="40">
        <f>SUMIF(MatchScoutingData!$E$2:$E$1000, $A19, MatchScoutingData!P$2:P$1000)</f>
        <v/>
      </c>
      <c r="N19" s="40">
        <f>SUMIF(MatchScoutingData!$E$2:$E$1000, $A19, MatchScoutingData!Q$2:Q$1000)</f>
        <v/>
      </c>
      <c r="O19" s="40">
        <f>SUMIF(MatchScoutingData!$E$2:$E$1000, $A19, MatchScoutingData!R$2:R$1000)</f>
        <v/>
      </c>
      <c r="P19" s="40">
        <f>SUMIF(MatchScoutingData!$E$2:$E$1000, $A19, MatchScoutingData!S$2:S$1000)</f>
        <v/>
      </c>
      <c r="Q19" s="40">
        <f>SUMIF(MatchScoutingData!$E$2:$E$1000, $A19, MatchScoutingData!T$2:T$1000)</f>
        <v/>
      </c>
      <c r="R19" s="40">
        <f>SUMIF(MatchScoutingData!$E$2:$E$1000, $A19, MatchScoutingData!U$2:U$1000)</f>
        <v/>
      </c>
      <c r="S19" s="40">
        <f>SUMIF(MatchScoutingData!$E$2:$E$1000, $A19, MatchScoutingData!V$2:V$1000)</f>
        <v/>
      </c>
      <c r="T19" s="40">
        <f>SUMIF(MatchScoutingData!$E$2:$E$1000, $A19, MatchScoutingData!W$2:W$1000)</f>
        <v/>
      </c>
      <c r="U19" s="40">
        <f>SUMIF(MatchScoutingData!$E$2:$E$1000, $A19, MatchScoutingData!X$2:X$1000)</f>
        <v/>
      </c>
      <c r="V19" s="40">
        <f>SUMIF(MatchScoutingData!$E$2:$E$1000, $A19, MatchScoutingData!AB$2:AB$1000)</f>
        <v/>
      </c>
      <c r="W19" s="40">
        <f>SUMIF(MatchScoutingData!$E$2:$E$1000, $A19, MatchScoutingData!Y$2:Y$1000)</f>
        <v/>
      </c>
      <c r="X19" s="40">
        <f>SUMIF(MatchScoutingData!$E$2:$E$1000, $A19, MatchScoutingData!Z$2:Z$1000)</f>
        <v/>
      </c>
      <c r="Y19" s="40">
        <f>SUMIF(MatchScoutingData!$E$2:$E$1000, $A19, MatchScoutingData!AA$2:AA$1000)</f>
        <v/>
      </c>
      <c r="Z19" s="40">
        <f>SUM(W19:Y19)</f>
        <v/>
      </c>
    </row>
    <row r="20">
      <c r="A20" s="11" t="n">
        <v>1591</v>
      </c>
      <c r="B20" s="40">
        <f>COUNTIF(MatchScoutingData!E$2:E$1000, $A20)</f>
        <v/>
      </c>
      <c r="C20" s="40">
        <f>SUMIF(MatchScoutingData!$E$2:$E$1000, $A20, MatchScoutingData!F$2:F$1000)</f>
        <v/>
      </c>
      <c r="D20" s="40">
        <f>SUMIF(MatchScoutingData!$E$2:$E$1000, $A20, MatchScoutingData!G$2:G$1000)</f>
        <v/>
      </c>
      <c r="E20" s="40">
        <f>SUMIF(MatchScoutingData!$E$2:$E$1000, $A20, MatchScoutingData!H$2:H$1000)</f>
        <v/>
      </c>
      <c r="F20" s="40">
        <f>SUMIF(MatchScoutingData!$E$2:$E$1000, $A20, MatchScoutingData!I$2:I$1000)</f>
        <v/>
      </c>
      <c r="G20" s="40">
        <f>SUMIF(MatchScoutingData!$E$2:$E$1000, $A20, MatchScoutingData!J$2:J$1000)</f>
        <v/>
      </c>
      <c r="H20" s="40">
        <f>SUMIF(MatchScoutingData!$E$2:$E$1000, $A20, MatchScoutingData!K$2:K$1000)</f>
        <v/>
      </c>
      <c r="I20" s="40">
        <f>SUMIF(MatchScoutingData!$E$2:$E$1000, $A20, MatchScoutingData!L$2:L$1000)</f>
        <v/>
      </c>
      <c r="J20" s="40">
        <f>SUMIF(MatchScoutingData!$E$2:$E$1000, $A20, MatchScoutingData!M$2:M$1000)</f>
        <v/>
      </c>
      <c r="K20" s="40">
        <f>SUMIF(MatchScoutingData!$E$2:$E$1000, $A20, MatchScoutingData!N$2:N$1000)</f>
        <v/>
      </c>
      <c r="L20" s="40">
        <f>SUMIF(MatchScoutingData!$E$2:$E$1000, $A20, MatchScoutingData!O$2:O$1000)</f>
        <v/>
      </c>
      <c r="M20" s="40">
        <f>SUMIF(MatchScoutingData!$E$2:$E$1000, $A20, MatchScoutingData!P$2:P$1000)</f>
        <v/>
      </c>
      <c r="N20" s="40">
        <f>SUMIF(MatchScoutingData!$E$2:$E$1000, $A20, MatchScoutingData!Q$2:Q$1000)</f>
        <v/>
      </c>
      <c r="O20" s="40">
        <f>SUMIF(MatchScoutingData!$E$2:$E$1000, $A20, MatchScoutingData!R$2:R$1000)</f>
        <v/>
      </c>
      <c r="P20" s="40">
        <f>SUMIF(MatchScoutingData!$E$2:$E$1000, $A20, MatchScoutingData!S$2:S$1000)</f>
        <v/>
      </c>
      <c r="Q20" s="40">
        <f>SUMIF(MatchScoutingData!$E$2:$E$1000, $A20, MatchScoutingData!T$2:T$1000)</f>
        <v/>
      </c>
      <c r="R20" s="40">
        <f>SUMIF(MatchScoutingData!$E$2:$E$1000, $A20, MatchScoutingData!U$2:U$1000)</f>
        <v/>
      </c>
      <c r="S20" s="40">
        <f>SUMIF(MatchScoutingData!$E$2:$E$1000, $A20, MatchScoutingData!V$2:V$1000)</f>
        <v/>
      </c>
      <c r="T20" s="40">
        <f>SUMIF(MatchScoutingData!$E$2:$E$1000, $A20, MatchScoutingData!W$2:W$1000)</f>
        <v/>
      </c>
      <c r="U20" s="40">
        <f>SUMIF(MatchScoutingData!$E$2:$E$1000, $A20, MatchScoutingData!X$2:X$1000)</f>
        <v/>
      </c>
      <c r="V20" s="40">
        <f>SUMIF(MatchScoutingData!$E$2:$E$1000, $A20, MatchScoutingData!AB$2:AB$1000)</f>
        <v/>
      </c>
      <c r="W20" s="40">
        <f>SUMIF(MatchScoutingData!$E$2:$E$1000, $A20, MatchScoutingData!Y$2:Y$1000)</f>
        <v/>
      </c>
      <c r="X20" s="40">
        <f>SUMIF(MatchScoutingData!$E$2:$E$1000, $A20, MatchScoutingData!Z$2:Z$1000)</f>
        <v/>
      </c>
      <c r="Y20" s="40">
        <f>SUMIF(MatchScoutingData!$E$2:$E$1000, $A20, MatchScoutingData!AA$2:AA$1000)</f>
        <v/>
      </c>
      <c r="Z20" s="40">
        <f>SUM(W20:Y20)</f>
        <v/>
      </c>
    </row>
    <row r="21">
      <c r="A21" s="11" t="n">
        <v>1796</v>
      </c>
      <c r="B21" s="40">
        <f>COUNTIF(MatchScoutingData!E$2:E$1000, $A21)</f>
        <v/>
      </c>
      <c r="C21" s="40">
        <f>SUMIF(MatchScoutingData!$E$2:$E$1000, $A21, MatchScoutingData!F$2:F$1000)</f>
        <v/>
      </c>
      <c r="D21" s="40">
        <f>SUMIF(MatchScoutingData!$E$2:$E$1000, $A21, MatchScoutingData!G$2:G$1000)</f>
        <v/>
      </c>
      <c r="E21" s="40">
        <f>SUMIF(MatchScoutingData!$E$2:$E$1000, $A21, MatchScoutingData!H$2:H$1000)</f>
        <v/>
      </c>
      <c r="F21" s="40">
        <f>SUMIF(MatchScoutingData!$E$2:$E$1000, $A21, MatchScoutingData!I$2:I$1000)</f>
        <v/>
      </c>
      <c r="G21" s="40">
        <f>SUMIF(MatchScoutingData!$E$2:$E$1000, $A21, MatchScoutingData!J$2:J$1000)</f>
        <v/>
      </c>
      <c r="H21" s="40">
        <f>SUMIF(MatchScoutingData!$E$2:$E$1000, $A21, MatchScoutingData!K$2:K$1000)</f>
        <v/>
      </c>
      <c r="I21" s="40">
        <f>SUMIF(MatchScoutingData!$E$2:$E$1000, $A21, MatchScoutingData!L$2:L$1000)</f>
        <v/>
      </c>
      <c r="J21" s="40">
        <f>SUMIF(MatchScoutingData!$E$2:$E$1000, $A21, MatchScoutingData!M$2:M$1000)</f>
        <v/>
      </c>
      <c r="K21" s="40">
        <f>SUMIF(MatchScoutingData!$E$2:$E$1000, $A21, MatchScoutingData!N$2:N$1000)</f>
        <v/>
      </c>
      <c r="L21" s="40">
        <f>SUMIF(MatchScoutingData!$E$2:$E$1000, $A21, MatchScoutingData!O$2:O$1000)</f>
        <v/>
      </c>
      <c r="M21" s="40">
        <f>SUMIF(MatchScoutingData!$E$2:$E$1000, $A21, MatchScoutingData!P$2:P$1000)</f>
        <v/>
      </c>
      <c r="N21" s="40">
        <f>SUMIF(MatchScoutingData!$E$2:$E$1000, $A21, MatchScoutingData!Q$2:Q$1000)</f>
        <v/>
      </c>
      <c r="O21" s="40">
        <f>SUMIF(MatchScoutingData!$E$2:$E$1000, $A21, MatchScoutingData!R$2:R$1000)</f>
        <v/>
      </c>
      <c r="P21" s="40">
        <f>SUMIF(MatchScoutingData!$E$2:$E$1000, $A21, MatchScoutingData!S$2:S$1000)</f>
        <v/>
      </c>
      <c r="Q21" s="40">
        <f>SUMIF(MatchScoutingData!$E$2:$E$1000, $A21, MatchScoutingData!T$2:T$1000)</f>
        <v/>
      </c>
      <c r="R21" s="40">
        <f>SUMIF(MatchScoutingData!$E$2:$E$1000, $A21, MatchScoutingData!U$2:U$1000)</f>
        <v/>
      </c>
      <c r="S21" s="40">
        <f>SUMIF(MatchScoutingData!$E$2:$E$1000, $A21, MatchScoutingData!V$2:V$1000)</f>
        <v/>
      </c>
      <c r="T21" s="40">
        <f>SUMIF(MatchScoutingData!$E$2:$E$1000, $A21, MatchScoutingData!W$2:W$1000)</f>
        <v/>
      </c>
      <c r="U21" s="40">
        <f>SUMIF(MatchScoutingData!$E$2:$E$1000, $A21, MatchScoutingData!X$2:X$1000)</f>
        <v/>
      </c>
      <c r="V21" s="40">
        <f>SUMIF(MatchScoutingData!$E$2:$E$1000, $A21, MatchScoutingData!AB$2:AB$1000)</f>
        <v/>
      </c>
      <c r="W21" s="40">
        <f>SUMIF(MatchScoutingData!$E$2:$E$1000, $A21, MatchScoutingData!Y$2:Y$1000)</f>
        <v/>
      </c>
      <c r="X21" s="40">
        <f>SUMIF(MatchScoutingData!$E$2:$E$1000, $A21, MatchScoutingData!Z$2:Z$1000)</f>
        <v/>
      </c>
      <c r="Y21" s="40">
        <f>SUMIF(MatchScoutingData!$E$2:$E$1000, $A21, MatchScoutingData!AA$2:AA$1000)</f>
        <v/>
      </c>
      <c r="Z21" s="40">
        <f>SUM(W21:Y21)</f>
        <v/>
      </c>
    </row>
    <row r="22">
      <c r="A22" s="11" t="n">
        <v>1880</v>
      </c>
      <c r="B22" s="40">
        <f>COUNTIF(MatchScoutingData!E$2:E$1000, $A22)</f>
        <v/>
      </c>
      <c r="C22" s="40">
        <f>SUMIF(MatchScoutingData!$E$2:$E$1000, $A22, MatchScoutingData!F$2:F$1000)</f>
        <v/>
      </c>
      <c r="D22" s="40">
        <f>SUMIF(MatchScoutingData!$E$2:$E$1000, $A22, MatchScoutingData!G$2:G$1000)</f>
        <v/>
      </c>
      <c r="E22" s="40">
        <f>SUMIF(MatchScoutingData!$E$2:$E$1000, $A22, MatchScoutingData!H$2:H$1000)</f>
        <v/>
      </c>
      <c r="F22" s="40">
        <f>SUMIF(MatchScoutingData!$E$2:$E$1000, $A22, MatchScoutingData!I$2:I$1000)</f>
        <v/>
      </c>
      <c r="G22" s="40">
        <f>SUMIF(MatchScoutingData!$E$2:$E$1000, $A22, MatchScoutingData!J$2:J$1000)</f>
        <v/>
      </c>
      <c r="H22" s="40">
        <f>SUMIF(MatchScoutingData!$E$2:$E$1000, $A22, MatchScoutingData!K$2:K$1000)</f>
        <v/>
      </c>
      <c r="I22" s="40">
        <f>SUMIF(MatchScoutingData!$E$2:$E$1000, $A22, MatchScoutingData!L$2:L$1000)</f>
        <v/>
      </c>
      <c r="J22" s="40">
        <f>SUMIF(MatchScoutingData!$E$2:$E$1000, $A22, MatchScoutingData!M$2:M$1000)</f>
        <v/>
      </c>
      <c r="K22" s="40">
        <f>SUMIF(MatchScoutingData!$E$2:$E$1000, $A22, MatchScoutingData!N$2:N$1000)</f>
        <v/>
      </c>
      <c r="L22" s="40">
        <f>SUMIF(MatchScoutingData!$E$2:$E$1000, $A22, MatchScoutingData!O$2:O$1000)</f>
        <v/>
      </c>
      <c r="M22" s="40">
        <f>SUMIF(MatchScoutingData!$E$2:$E$1000, $A22, MatchScoutingData!P$2:P$1000)</f>
        <v/>
      </c>
      <c r="N22" s="40">
        <f>SUMIF(MatchScoutingData!$E$2:$E$1000, $A22, MatchScoutingData!Q$2:Q$1000)</f>
        <v/>
      </c>
      <c r="O22" s="40">
        <f>SUMIF(MatchScoutingData!$E$2:$E$1000, $A22, MatchScoutingData!R$2:R$1000)</f>
        <v/>
      </c>
      <c r="P22" s="40">
        <f>SUMIF(MatchScoutingData!$E$2:$E$1000, $A22, MatchScoutingData!S$2:S$1000)</f>
        <v/>
      </c>
      <c r="Q22" s="40">
        <f>SUMIF(MatchScoutingData!$E$2:$E$1000, $A22, MatchScoutingData!T$2:T$1000)</f>
        <v/>
      </c>
      <c r="R22" s="40">
        <f>SUMIF(MatchScoutingData!$E$2:$E$1000, $A22, MatchScoutingData!U$2:U$1000)</f>
        <v/>
      </c>
      <c r="S22" s="40">
        <f>SUMIF(MatchScoutingData!$E$2:$E$1000, $A22, MatchScoutingData!V$2:V$1000)</f>
        <v/>
      </c>
      <c r="T22" s="40">
        <f>SUMIF(MatchScoutingData!$E$2:$E$1000, $A22, MatchScoutingData!W$2:W$1000)</f>
        <v/>
      </c>
      <c r="U22" s="40">
        <f>SUMIF(MatchScoutingData!$E$2:$E$1000, $A22, MatchScoutingData!X$2:X$1000)</f>
        <v/>
      </c>
      <c r="V22" s="40">
        <f>SUMIF(MatchScoutingData!$E$2:$E$1000, $A22, MatchScoutingData!AB$2:AB$1000)</f>
        <v/>
      </c>
      <c r="W22" s="40">
        <f>SUMIF(MatchScoutingData!$E$2:$E$1000, $A22, MatchScoutingData!Y$2:Y$1000)</f>
        <v/>
      </c>
      <c r="X22" s="40">
        <f>SUMIF(MatchScoutingData!$E$2:$E$1000, $A22, MatchScoutingData!Z$2:Z$1000)</f>
        <v/>
      </c>
      <c r="Y22" s="40">
        <f>SUMIF(MatchScoutingData!$E$2:$E$1000, $A22, MatchScoutingData!AA$2:AA$1000)</f>
        <v/>
      </c>
      <c r="Z22" s="40">
        <f>SUM(W22:Y22)</f>
        <v/>
      </c>
    </row>
    <row r="23">
      <c r="A23" s="11" t="n">
        <v>2053</v>
      </c>
      <c r="B23" s="40">
        <f>COUNTIF(MatchScoutingData!E$2:E$1000, $A23)</f>
        <v/>
      </c>
      <c r="C23" s="40">
        <f>SUMIF(MatchScoutingData!$E$2:$E$1000, $A23, MatchScoutingData!F$2:F$1000)</f>
        <v/>
      </c>
      <c r="D23" s="40">
        <f>SUMIF(MatchScoutingData!$E$2:$E$1000, $A23, MatchScoutingData!G$2:G$1000)</f>
        <v/>
      </c>
      <c r="E23" s="40">
        <f>SUMIF(MatchScoutingData!$E$2:$E$1000, $A23, MatchScoutingData!H$2:H$1000)</f>
        <v/>
      </c>
      <c r="F23" s="40">
        <f>SUMIF(MatchScoutingData!$E$2:$E$1000, $A23, MatchScoutingData!I$2:I$1000)</f>
        <v/>
      </c>
      <c r="G23" s="40">
        <f>SUMIF(MatchScoutingData!$E$2:$E$1000, $A23, MatchScoutingData!J$2:J$1000)</f>
        <v/>
      </c>
      <c r="H23" s="40">
        <f>SUMIF(MatchScoutingData!$E$2:$E$1000, $A23, MatchScoutingData!K$2:K$1000)</f>
        <v/>
      </c>
      <c r="I23" s="40">
        <f>SUMIF(MatchScoutingData!$E$2:$E$1000, $A23, MatchScoutingData!L$2:L$1000)</f>
        <v/>
      </c>
      <c r="J23" s="40">
        <f>SUMIF(MatchScoutingData!$E$2:$E$1000, $A23, MatchScoutingData!M$2:M$1000)</f>
        <v/>
      </c>
      <c r="K23" s="40">
        <f>SUMIF(MatchScoutingData!$E$2:$E$1000, $A23, MatchScoutingData!N$2:N$1000)</f>
        <v/>
      </c>
      <c r="L23" s="40">
        <f>SUMIF(MatchScoutingData!$E$2:$E$1000, $A23, MatchScoutingData!O$2:O$1000)</f>
        <v/>
      </c>
      <c r="M23" s="40">
        <f>SUMIF(MatchScoutingData!$E$2:$E$1000, $A23, MatchScoutingData!P$2:P$1000)</f>
        <v/>
      </c>
      <c r="N23" s="40">
        <f>SUMIF(MatchScoutingData!$E$2:$E$1000, $A23, MatchScoutingData!Q$2:Q$1000)</f>
        <v/>
      </c>
      <c r="O23" s="40">
        <f>SUMIF(MatchScoutingData!$E$2:$E$1000, $A23, MatchScoutingData!R$2:R$1000)</f>
        <v/>
      </c>
      <c r="P23" s="40">
        <f>SUMIF(MatchScoutingData!$E$2:$E$1000, $A23, MatchScoutingData!S$2:S$1000)</f>
        <v/>
      </c>
      <c r="Q23" s="40">
        <f>SUMIF(MatchScoutingData!$E$2:$E$1000, $A23, MatchScoutingData!T$2:T$1000)</f>
        <v/>
      </c>
      <c r="R23" s="40">
        <f>SUMIF(MatchScoutingData!$E$2:$E$1000, $A23, MatchScoutingData!U$2:U$1000)</f>
        <v/>
      </c>
      <c r="S23" s="40">
        <f>SUMIF(MatchScoutingData!$E$2:$E$1000, $A23, MatchScoutingData!V$2:V$1000)</f>
        <v/>
      </c>
      <c r="T23" s="40">
        <f>SUMIF(MatchScoutingData!$E$2:$E$1000, $A23, MatchScoutingData!W$2:W$1000)</f>
        <v/>
      </c>
      <c r="U23" s="40">
        <f>SUMIF(MatchScoutingData!$E$2:$E$1000, $A23, MatchScoutingData!X$2:X$1000)</f>
        <v/>
      </c>
      <c r="V23" s="40">
        <f>SUMIF(MatchScoutingData!$E$2:$E$1000, $A23, MatchScoutingData!AB$2:AB$1000)</f>
        <v/>
      </c>
      <c r="W23" s="40">
        <f>SUMIF(MatchScoutingData!$E$2:$E$1000, $A23, MatchScoutingData!Y$2:Y$1000)</f>
        <v/>
      </c>
      <c r="X23" s="40">
        <f>SUMIF(MatchScoutingData!$E$2:$E$1000, $A23, MatchScoutingData!Z$2:Z$1000)</f>
        <v/>
      </c>
      <c r="Y23" s="40">
        <f>SUMIF(MatchScoutingData!$E$2:$E$1000, $A23, MatchScoutingData!AA$2:AA$1000)</f>
        <v/>
      </c>
      <c r="Z23" s="40">
        <f>SUM(W23:Y23)</f>
        <v/>
      </c>
    </row>
    <row r="24">
      <c r="A24" s="11" t="n">
        <v>2340</v>
      </c>
      <c r="B24" s="40">
        <f>COUNTIF(MatchScoutingData!E$2:E$1000, $A24)</f>
        <v/>
      </c>
      <c r="C24" s="40">
        <f>SUMIF(MatchScoutingData!$E$2:$E$1000, $A24, MatchScoutingData!F$2:F$1000)</f>
        <v/>
      </c>
      <c r="D24" s="40">
        <f>SUMIF(MatchScoutingData!$E$2:$E$1000, $A24, MatchScoutingData!G$2:G$1000)</f>
        <v/>
      </c>
      <c r="E24" s="40">
        <f>SUMIF(MatchScoutingData!$E$2:$E$1000, $A24, MatchScoutingData!H$2:H$1000)</f>
        <v/>
      </c>
      <c r="F24" s="40">
        <f>SUMIF(MatchScoutingData!$E$2:$E$1000, $A24, MatchScoutingData!I$2:I$1000)</f>
        <v/>
      </c>
      <c r="G24" s="40">
        <f>SUMIF(MatchScoutingData!$E$2:$E$1000, $A24, MatchScoutingData!J$2:J$1000)</f>
        <v/>
      </c>
      <c r="H24" s="40">
        <f>SUMIF(MatchScoutingData!$E$2:$E$1000, $A24, MatchScoutingData!K$2:K$1000)</f>
        <v/>
      </c>
      <c r="I24" s="40">
        <f>SUMIF(MatchScoutingData!$E$2:$E$1000, $A24, MatchScoutingData!L$2:L$1000)</f>
        <v/>
      </c>
      <c r="J24" s="40">
        <f>SUMIF(MatchScoutingData!$E$2:$E$1000, $A24, MatchScoutingData!M$2:M$1000)</f>
        <v/>
      </c>
      <c r="K24" s="40">
        <f>SUMIF(MatchScoutingData!$E$2:$E$1000, $A24, MatchScoutingData!N$2:N$1000)</f>
        <v/>
      </c>
      <c r="L24" s="40">
        <f>SUMIF(MatchScoutingData!$E$2:$E$1000, $A24, MatchScoutingData!O$2:O$1000)</f>
        <v/>
      </c>
      <c r="M24" s="40">
        <f>SUMIF(MatchScoutingData!$E$2:$E$1000, $A24, MatchScoutingData!P$2:P$1000)</f>
        <v/>
      </c>
      <c r="N24" s="40">
        <f>SUMIF(MatchScoutingData!$E$2:$E$1000, $A24, MatchScoutingData!Q$2:Q$1000)</f>
        <v/>
      </c>
      <c r="O24" s="40">
        <f>SUMIF(MatchScoutingData!$E$2:$E$1000, $A24, MatchScoutingData!R$2:R$1000)</f>
        <v/>
      </c>
      <c r="P24" s="40">
        <f>SUMIF(MatchScoutingData!$E$2:$E$1000, $A24, MatchScoutingData!S$2:S$1000)</f>
        <v/>
      </c>
      <c r="Q24" s="40">
        <f>SUMIF(MatchScoutingData!$E$2:$E$1000, $A24, MatchScoutingData!T$2:T$1000)</f>
        <v/>
      </c>
      <c r="R24" s="40">
        <f>SUMIF(MatchScoutingData!$E$2:$E$1000, $A24, MatchScoutingData!U$2:U$1000)</f>
        <v/>
      </c>
      <c r="S24" s="40">
        <f>SUMIF(MatchScoutingData!$E$2:$E$1000, $A24, MatchScoutingData!V$2:V$1000)</f>
        <v/>
      </c>
      <c r="T24" s="40">
        <f>SUMIF(MatchScoutingData!$E$2:$E$1000, $A24, MatchScoutingData!W$2:W$1000)</f>
        <v/>
      </c>
      <c r="U24" s="40">
        <f>SUMIF(MatchScoutingData!$E$2:$E$1000, $A24, MatchScoutingData!X$2:X$1000)</f>
        <v/>
      </c>
      <c r="V24" s="40">
        <f>SUMIF(MatchScoutingData!$E$2:$E$1000, $A24, MatchScoutingData!AB$2:AB$1000)</f>
        <v/>
      </c>
      <c r="W24" s="40">
        <f>SUMIF(MatchScoutingData!$E$2:$E$1000, $A24, MatchScoutingData!Y$2:Y$1000)</f>
        <v/>
      </c>
      <c r="X24" s="40">
        <f>SUMIF(MatchScoutingData!$E$2:$E$1000, $A24, MatchScoutingData!Z$2:Z$1000)</f>
        <v/>
      </c>
      <c r="Y24" s="40">
        <f>SUMIF(MatchScoutingData!$E$2:$E$1000, $A24, MatchScoutingData!AA$2:AA$1000)</f>
        <v/>
      </c>
      <c r="Z24" s="40">
        <f>SUM(W24:Y24)</f>
        <v/>
      </c>
    </row>
    <row r="25">
      <c r="A25" s="11" t="n">
        <v>2791</v>
      </c>
      <c r="B25" s="40">
        <f>COUNTIF(MatchScoutingData!E$2:E$1000, $A25)</f>
        <v/>
      </c>
      <c r="C25" s="40">
        <f>SUMIF(MatchScoutingData!$E$2:$E$1000, $A25, MatchScoutingData!F$2:F$1000)</f>
        <v/>
      </c>
      <c r="D25" s="40">
        <f>SUMIF(MatchScoutingData!$E$2:$E$1000, $A25, MatchScoutingData!G$2:G$1000)</f>
        <v/>
      </c>
      <c r="E25" s="40">
        <f>SUMIF(MatchScoutingData!$E$2:$E$1000, $A25, MatchScoutingData!H$2:H$1000)</f>
        <v/>
      </c>
      <c r="F25" s="40">
        <f>SUMIF(MatchScoutingData!$E$2:$E$1000, $A25, MatchScoutingData!I$2:I$1000)</f>
        <v/>
      </c>
      <c r="G25" s="40">
        <f>SUMIF(MatchScoutingData!$E$2:$E$1000, $A25, MatchScoutingData!J$2:J$1000)</f>
        <v/>
      </c>
      <c r="H25" s="40">
        <f>SUMIF(MatchScoutingData!$E$2:$E$1000, $A25, MatchScoutingData!K$2:K$1000)</f>
        <v/>
      </c>
      <c r="I25" s="40">
        <f>SUMIF(MatchScoutingData!$E$2:$E$1000, $A25, MatchScoutingData!L$2:L$1000)</f>
        <v/>
      </c>
      <c r="J25" s="40">
        <f>SUMIF(MatchScoutingData!$E$2:$E$1000, $A25, MatchScoutingData!M$2:M$1000)</f>
        <v/>
      </c>
      <c r="K25" s="40">
        <f>SUMIF(MatchScoutingData!$E$2:$E$1000, $A25, MatchScoutingData!N$2:N$1000)</f>
        <v/>
      </c>
      <c r="L25" s="40">
        <f>SUMIF(MatchScoutingData!$E$2:$E$1000, $A25, MatchScoutingData!O$2:O$1000)</f>
        <v/>
      </c>
      <c r="M25" s="40">
        <f>SUMIF(MatchScoutingData!$E$2:$E$1000, $A25, MatchScoutingData!P$2:P$1000)</f>
        <v/>
      </c>
      <c r="N25" s="40">
        <f>SUMIF(MatchScoutingData!$E$2:$E$1000, $A25, MatchScoutingData!Q$2:Q$1000)</f>
        <v/>
      </c>
      <c r="O25" s="40">
        <f>SUMIF(MatchScoutingData!$E$2:$E$1000, $A25, MatchScoutingData!R$2:R$1000)</f>
        <v/>
      </c>
      <c r="P25" s="40">
        <f>SUMIF(MatchScoutingData!$E$2:$E$1000, $A25, MatchScoutingData!S$2:S$1000)</f>
        <v/>
      </c>
      <c r="Q25" s="40">
        <f>SUMIF(MatchScoutingData!$E$2:$E$1000, $A25, MatchScoutingData!T$2:T$1000)</f>
        <v/>
      </c>
      <c r="R25" s="40">
        <f>SUMIF(MatchScoutingData!$E$2:$E$1000, $A25, MatchScoutingData!U$2:U$1000)</f>
        <v/>
      </c>
      <c r="S25" s="40">
        <f>SUMIF(MatchScoutingData!$E$2:$E$1000, $A25, MatchScoutingData!V$2:V$1000)</f>
        <v/>
      </c>
      <c r="T25" s="40">
        <f>SUMIF(MatchScoutingData!$E$2:$E$1000, $A25, MatchScoutingData!W$2:W$1000)</f>
        <v/>
      </c>
      <c r="U25" s="40">
        <f>SUMIF(MatchScoutingData!$E$2:$E$1000, $A25, MatchScoutingData!X$2:X$1000)</f>
        <v/>
      </c>
      <c r="V25" s="40">
        <f>SUMIF(MatchScoutingData!$E$2:$E$1000, $A25, MatchScoutingData!AB$2:AB$1000)</f>
        <v/>
      </c>
      <c r="W25" s="40">
        <f>SUMIF(MatchScoutingData!$E$2:$E$1000, $A25, MatchScoutingData!Y$2:Y$1000)</f>
        <v/>
      </c>
      <c r="X25" s="40">
        <f>SUMIF(MatchScoutingData!$E$2:$E$1000, $A25, MatchScoutingData!Z$2:Z$1000)</f>
        <v/>
      </c>
      <c r="Y25" s="40">
        <f>SUMIF(MatchScoutingData!$E$2:$E$1000, $A25, MatchScoutingData!AA$2:AA$1000)</f>
        <v/>
      </c>
      <c r="Z25" s="40">
        <f>SUM(W25:Y25)</f>
        <v/>
      </c>
    </row>
    <row r="26">
      <c r="A26" s="11" t="n">
        <v>3003</v>
      </c>
      <c r="B26" s="40">
        <f>COUNTIF(MatchScoutingData!E$2:E$1000, $A26)</f>
        <v/>
      </c>
      <c r="C26" s="40">
        <f>SUMIF(MatchScoutingData!$E$2:$E$1000, $A26, MatchScoutingData!F$2:F$1000)</f>
        <v/>
      </c>
      <c r="D26" s="40">
        <f>SUMIF(MatchScoutingData!$E$2:$E$1000, $A26, MatchScoutingData!G$2:G$1000)</f>
        <v/>
      </c>
      <c r="E26" s="40">
        <f>SUMIF(MatchScoutingData!$E$2:$E$1000, $A26, MatchScoutingData!H$2:H$1000)</f>
        <v/>
      </c>
      <c r="F26" s="40">
        <f>SUMIF(MatchScoutingData!$E$2:$E$1000, $A26, MatchScoutingData!I$2:I$1000)</f>
        <v/>
      </c>
      <c r="G26" s="40">
        <f>SUMIF(MatchScoutingData!$E$2:$E$1000, $A26, MatchScoutingData!J$2:J$1000)</f>
        <v/>
      </c>
      <c r="H26" s="40">
        <f>SUMIF(MatchScoutingData!$E$2:$E$1000, $A26, MatchScoutingData!K$2:K$1000)</f>
        <v/>
      </c>
      <c r="I26" s="40">
        <f>SUMIF(MatchScoutingData!$E$2:$E$1000, $A26, MatchScoutingData!L$2:L$1000)</f>
        <v/>
      </c>
      <c r="J26" s="40">
        <f>SUMIF(MatchScoutingData!$E$2:$E$1000, $A26, MatchScoutingData!M$2:M$1000)</f>
        <v/>
      </c>
      <c r="K26" s="40">
        <f>SUMIF(MatchScoutingData!$E$2:$E$1000, $A26, MatchScoutingData!N$2:N$1000)</f>
        <v/>
      </c>
      <c r="L26" s="40">
        <f>SUMIF(MatchScoutingData!$E$2:$E$1000, $A26, MatchScoutingData!O$2:O$1000)</f>
        <v/>
      </c>
      <c r="M26" s="40">
        <f>SUMIF(MatchScoutingData!$E$2:$E$1000, $A26, MatchScoutingData!P$2:P$1000)</f>
        <v/>
      </c>
      <c r="N26" s="40">
        <f>SUMIF(MatchScoutingData!$E$2:$E$1000, $A26, MatchScoutingData!Q$2:Q$1000)</f>
        <v/>
      </c>
      <c r="O26" s="40">
        <f>SUMIF(MatchScoutingData!$E$2:$E$1000, $A26, MatchScoutingData!R$2:R$1000)</f>
        <v/>
      </c>
      <c r="P26" s="40">
        <f>SUMIF(MatchScoutingData!$E$2:$E$1000, $A26, MatchScoutingData!S$2:S$1000)</f>
        <v/>
      </c>
      <c r="Q26" s="40">
        <f>SUMIF(MatchScoutingData!$E$2:$E$1000, $A26, MatchScoutingData!T$2:T$1000)</f>
        <v/>
      </c>
      <c r="R26" s="40">
        <f>SUMIF(MatchScoutingData!$E$2:$E$1000, $A26, MatchScoutingData!U$2:U$1000)</f>
        <v/>
      </c>
      <c r="S26" s="40">
        <f>SUMIF(MatchScoutingData!$E$2:$E$1000, $A26, MatchScoutingData!V$2:V$1000)</f>
        <v/>
      </c>
      <c r="T26" s="40">
        <f>SUMIF(MatchScoutingData!$E$2:$E$1000, $A26, MatchScoutingData!W$2:W$1000)</f>
        <v/>
      </c>
      <c r="U26" s="40">
        <f>SUMIF(MatchScoutingData!$E$2:$E$1000, $A26, MatchScoutingData!X$2:X$1000)</f>
        <v/>
      </c>
      <c r="V26" s="40">
        <f>SUMIF(MatchScoutingData!$E$2:$E$1000, $A26, MatchScoutingData!AB$2:AB$1000)</f>
        <v/>
      </c>
      <c r="W26" s="40">
        <f>SUMIF(MatchScoutingData!$E$2:$E$1000, $A26, MatchScoutingData!Y$2:Y$1000)</f>
        <v/>
      </c>
      <c r="X26" s="40">
        <f>SUMIF(MatchScoutingData!$E$2:$E$1000, $A26, MatchScoutingData!Z$2:Z$1000)</f>
        <v/>
      </c>
      <c r="Y26" s="40">
        <f>SUMIF(MatchScoutingData!$E$2:$E$1000, $A26, MatchScoutingData!AA$2:AA$1000)</f>
        <v/>
      </c>
      <c r="Z26" s="40">
        <f>SUM(W26:Y26)</f>
        <v/>
      </c>
    </row>
    <row r="27">
      <c r="A27" s="11" t="n">
        <v>3044</v>
      </c>
      <c r="B27" s="40">
        <f>COUNTIF(MatchScoutingData!E$2:E$1000, $A27)</f>
        <v/>
      </c>
      <c r="C27" s="40">
        <f>SUMIF(MatchScoutingData!$E$2:$E$1000, $A27, MatchScoutingData!F$2:F$1000)</f>
        <v/>
      </c>
      <c r="D27" s="40">
        <f>SUMIF(MatchScoutingData!$E$2:$E$1000, $A27, MatchScoutingData!G$2:G$1000)</f>
        <v/>
      </c>
      <c r="E27" s="40">
        <f>SUMIF(MatchScoutingData!$E$2:$E$1000, $A27, MatchScoutingData!H$2:H$1000)</f>
        <v/>
      </c>
      <c r="F27" s="40">
        <f>SUMIF(MatchScoutingData!$E$2:$E$1000, $A27, MatchScoutingData!I$2:I$1000)</f>
        <v/>
      </c>
      <c r="G27" s="40">
        <f>SUMIF(MatchScoutingData!$E$2:$E$1000, $A27, MatchScoutingData!J$2:J$1000)</f>
        <v/>
      </c>
      <c r="H27" s="40">
        <f>SUMIF(MatchScoutingData!$E$2:$E$1000, $A27, MatchScoutingData!K$2:K$1000)</f>
        <v/>
      </c>
      <c r="I27" s="40">
        <f>SUMIF(MatchScoutingData!$E$2:$E$1000, $A27, MatchScoutingData!L$2:L$1000)</f>
        <v/>
      </c>
      <c r="J27" s="40">
        <f>SUMIF(MatchScoutingData!$E$2:$E$1000, $A27, MatchScoutingData!M$2:M$1000)</f>
        <v/>
      </c>
      <c r="K27" s="40">
        <f>SUMIF(MatchScoutingData!$E$2:$E$1000, $A27, MatchScoutingData!N$2:N$1000)</f>
        <v/>
      </c>
      <c r="L27" s="40">
        <f>SUMIF(MatchScoutingData!$E$2:$E$1000, $A27, MatchScoutingData!O$2:O$1000)</f>
        <v/>
      </c>
      <c r="M27" s="40">
        <f>SUMIF(MatchScoutingData!$E$2:$E$1000, $A27, MatchScoutingData!P$2:P$1000)</f>
        <v/>
      </c>
      <c r="N27" s="40">
        <f>SUMIF(MatchScoutingData!$E$2:$E$1000, $A27, MatchScoutingData!Q$2:Q$1000)</f>
        <v/>
      </c>
      <c r="O27" s="40">
        <f>SUMIF(MatchScoutingData!$E$2:$E$1000, $A27, MatchScoutingData!R$2:R$1000)</f>
        <v/>
      </c>
      <c r="P27" s="40">
        <f>SUMIF(MatchScoutingData!$E$2:$E$1000, $A27, MatchScoutingData!S$2:S$1000)</f>
        <v/>
      </c>
      <c r="Q27" s="40">
        <f>SUMIF(MatchScoutingData!$E$2:$E$1000, $A27, MatchScoutingData!T$2:T$1000)</f>
        <v/>
      </c>
      <c r="R27" s="40">
        <f>SUMIF(MatchScoutingData!$E$2:$E$1000, $A27, MatchScoutingData!U$2:U$1000)</f>
        <v/>
      </c>
      <c r="S27" s="40">
        <f>SUMIF(MatchScoutingData!$E$2:$E$1000, $A27, MatchScoutingData!V$2:V$1000)</f>
        <v/>
      </c>
      <c r="T27" s="40">
        <f>SUMIF(MatchScoutingData!$E$2:$E$1000, $A27, MatchScoutingData!W$2:W$1000)</f>
        <v/>
      </c>
      <c r="U27" s="40">
        <f>SUMIF(MatchScoutingData!$E$2:$E$1000, $A27, MatchScoutingData!X$2:X$1000)</f>
        <v/>
      </c>
      <c r="V27" s="40">
        <f>SUMIF(MatchScoutingData!$E$2:$E$1000, $A27, MatchScoutingData!AB$2:AB$1000)</f>
        <v/>
      </c>
      <c r="W27" s="40">
        <f>SUMIF(MatchScoutingData!$E$2:$E$1000, $A27, MatchScoutingData!Y$2:Y$1000)</f>
        <v/>
      </c>
      <c r="X27" s="40">
        <f>SUMIF(MatchScoutingData!$E$2:$E$1000, $A27, MatchScoutingData!Z$2:Z$1000)</f>
        <v/>
      </c>
      <c r="Y27" s="40">
        <f>SUMIF(MatchScoutingData!$E$2:$E$1000, $A27, MatchScoutingData!AA$2:AA$1000)</f>
        <v/>
      </c>
      <c r="Z27" s="40">
        <f>SUM(W27:Y27)</f>
        <v/>
      </c>
    </row>
    <row r="28">
      <c r="A28" s="11" t="n">
        <v>3171</v>
      </c>
      <c r="B28" s="40">
        <f>COUNTIF(MatchScoutingData!E$2:E$1000, $A28)</f>
        <v/>
      </c>
      <c r="C28" s="40">
        <f>SUMIF(MatchScoutingData!$E$2:$E$1000, $A28, MatchScoutingData!F$2:F$1000)</f>
        <v/>
      </c>
      <c r="D28" s="40">
        <f>SUMIF(MatchScoutingData!$E$2:$E$1000, $A28, MatchScoutingData!G$2:G$1000)</f>
        <v/>
      </c>
      <c r="E28" s="40">
        <f>SUMIF(MatchScoutingData!$E$2:$E$1000, $A28, MatchScoutingData!H$2:H$1000)</f>
        <v/>
      </c>
      <c r="F28" s="40">
        <f>SUMIF(MatchScoutingData!$E$2:$E$1000, $A28, MatchScoutingData!I$2:I$1000)</f>
        <v/>
      </c>
      <c r="G28" s="40">
        <f>SUMIF(MatchScoutingData!$E$2:$E$1000, $A28, MatchScoutingData!J$2:J$1000)</f>
        <v/>
      </c>
      <c r="H28" s="40">
        <f>SUMIF(MatchScoutingData!$E$2:$E$1000, $A28, MatchScoutingData!K$2:K$1000)</f>
        <v/>
      </c>
      <c r="I28" s="40">
        <f>SUMIF(MatchScoutingData!$E$2:$E$1000, $A28, MatchScoutingData!L$2:L$1000)</f>
        <v/>
      </c>
      <c r="J28" s="40">
        <f>SUMIF(MatchScoutingData!$E$2:$E$1000, $A28, MatchScoutingData!M$2:M$1000)</f>
        <v/>
      </c>
      <c r="K28" s="40">
        <f>SUMIF(MatchScoutingData!$E$2:$E$1000, $A28, MatchScoutingData!N$2:N$1000)</f>
        <v/>
      </c>
      <c r="L28" s="40">
        <f>SUMIF(MatchScoutingData!$E$2:$E$1000, $A28, MatchScoutingData!O$2:O$1000)</f>
        <v/>
      </c>
      <c r="M28" s="40">
        <f>SUMIF(MatchScoutingData!$E$2:$E$1000, $A28, MatchScoutingData!P$2:P$1000)</f>
        <v/>
      </c>
      <c r="N28" s="40">
        <f>SUMIF(MatchScoutingData!$E$2:$E$1000, $A28, MatchScoutingData!Q$2:Q$1000)</f>
        <v/>
      </c>
      <c r="O28" s="40">
        <f>SUMIF(MatchScoutingData!$E$2:$E$1000, $A28, MatchScoutingData!R$2:R$1000)</f>
        <v/>
      </c>
      <c r="P28" s="40">
        <f>SUMIF(MatchScoutingData!$E$2:$E$1000, $A28, MatchScoutingData!S$2:S$1000)</f>
        <v/>
      </c>
      <c r="Q28" s="40">
        <f>SUMIF(MatchScoutingData!$E$2:$E$1000, $A28, MatchScoutingData!T$2:T$1000)</f>
        <v/>
      </c>
      <c r="R28" s="40">
        <f>SUMIF(MatchScoutingData!$E$2:$E$1000, $A28, MatchScoutingData!U$2:U$1000)</f>
        <v/>
      </c>
      <c r="S28" s="40">
        <f>SUMIF(MatchScoutingData!$E$2:$E$1000, $A28, MatchScoutingData!V$2:V$1000)</f>
        <v/>
      </c>
      <c r="T28" s="40">
        <f>SUMIF(MatchScoutingData!$E$2:$E$1000, $A28, MatchScoutingData!W$2:W$1000)</f>
        <v/>
      </c>
      <c r="U28" s="40">
        <f>SUMIF(MatchScoutingData!$E$2:$E$1000, $A28, MatchScoutingData!X$2:X$1000)</f>
        <v/>
      </c>
      <c r="V28" s="40">
        <f>SUMIF(MatchScoutingData!$E$2:$E$1000, $A28, MatchScoutingData!AB$2:AB$1000)</f>
        <v/>
      </c>
      <c r="W28" s="40">
        <f>SUMIF(MatchScoutingData!$E$2:$E$1000, $A28, MatchScoutingData!Y$2:Y$1000)</f>
        <v/>
      </c>
      <c r="X28" s="40">
        <f>SUMIF(MatchScoutingData!$E$2:$E$1000, $A28, MatchScoutingData!Z$2:Z$1000)</f>
        <v/>
      </c>
      <c r="Y28" s="40">
        <f>SUMIF(MatchScoutingData!$E$2:$E$1000, $A28, MatchScoutingData!AA$2:AA$1000)</f>
        <v/>
      </c>
      <c r="Z28" s="40">
        <f>SUM(W28:Y28)</f>
        <v/>
      </c>
    </row>
    <row r="29">
      <c r="A29" s="11" t="n">
        <v>3173</v>
      </c>
      <c r="B29" s="40">
        <f>COUNTIF(MatchScoutingData!E$2:E$1000, $A29)</f>
        <v/>
      </c>
      <c r="C29" s="40">
        <f>SUMIF(MatchScoutingData!$E$2:$E$1000, $A29, MatchScoutingData!F$2:F$1000)</f>
        <v/>
      </c>
      <c r="D29" s="40">
        <f>SUMIF(MatchScoutingData!$E$2:$E$1000, $A29, MatchScoutingData!G$2:G$1000)</f>
        <v/>
      </c>
      <c r="E29" s="40">
        <f>SUMIF(MatchScoutingData!$E$2:$E$1000, $A29, MatchScoutingData!H$2:H$1000)</f>
        <v/>
      </c>
      <c r="F29" s="40">
        <f>SUMIF(MatchScoutingData!$E$2:$E$1000, $A29, MatchScoutingData!I$2:I$1000)</f>
        <v/>
      </c>
      <c r="G29" s="40">
        <f>SUMIF(MatchScoutingData!$E$2:$E$1000, $A29, MatchScoutingData!J$2:J$1000)</f>
        <v/>
      </c>
      <c r="H29" s="40">
        <f>SUMIF(MatchScoutingData!$E$2:$E$1000, $A29, MatchScoutingData!K$2:K$1000)</f>
        <v/>
      </c>
      <c r="I29" s="40">
        <f>SUMIF(MatchScoutingData!$E$2:$E$1000, $A29, MatchScoutingData!L$2:L$1000)</f>
        <v/>
      </c>
      <c r="J29" s="40">
        <f>SUMIF(MatchScoutingData!$E$2:$E$1000, $A29, MatchScoutingData!M$2:M$1000)</f>
        <v/>
      </c>
      <c r="K29" s="40">
        <f>SUMIF(MatchScoutingData!$E$2:$E$1000, $A29, MatchScoutingData!N$2:N$1000)</f>
        <v/>
      </c>
      <c r="L29" s="40">
        <f>SUMIF(MatchScoutingData!$E$2:$E$1000, $A29, MatchScoutingData!O$2:O$1000)</f>
        <v/>
      </c>
      <c r="M29" s="40">
        <f>SUMIF(MatchScoutingData!$E$2:$E$1000, $A29, MatchScoutingData!P$2:P$1000)</f>
        <v/>
      </c>
      <c r="N29" s="40">
        <f>SUMIF(MatchScoutingData!$E$2:$E$1000, $A29, MatchScoutingData!Q$2:Q$1000)</f>
        <v/>
      </c>
      <c r="O29" s="40">
        <f>SUMIF(MatchScoutingData!$E$2:$E$1000, $A29, MatchScoutingData!R$2:R$1000)</f>
        <v/>
      </c>
      <c r="P29" s="40">
        <f>SUMIF(MatchScoutingData!$E$2:$E$1000, $A29, MatchScoutingData!S$2:S$1000)</f>
        <v/>
      </c>
      <c r="Q29" s="40">
        <f>SUMIF(MatchScoutingData!$E$2:$E$1000, $A29, MatchScoutingData!T$2:T$1000)</f>
        <v/>
      </c>
      <c r="R29" s="40">
        <f>SUMIF(MatchScoutingData!$E$2:$E$1000, $A29, MatchScoutingData!U$2:U$1000)</f>
        <v/>
      </c>
      <c r="S29" s="40">
        <f>SUMIF(MatchScoutingData!$E$2:$E$1000, $A29, MatchScoutingData!V$2:V$1000)</f>
        <v/>
      </c>
      <c r="T29" s="40">
        <f>SUMIF(MatchScoutingData!$E$2:$E$1000, $A29, MatchScoutingData!W$2:W$1000)</f>
        <v/>
      </c>
      <c r="U29" s="40">
        <f>SUMIF(MatchScoutingData!$E$2:$E$1000, $A29, MatchScoutingData!X$2:X$1000)</f>
        <v/>
      </c>
      <c r="V29" s="40">
        <f>SUMIF(MatchScoutingData!$E$2:$E$1000, $A29, MatchScoutingData!AB$2:AB$1000)</f>
        <v/>
      </c>
      <c r="W29" s="40">
        <f>SUMIF(MatchScoutingData!$E$2:$E$1000, $A29, MatchScoutingData!Y$2:Y$1000)</f>
        <v/>
      </c>
      <c r="X29" s="40">
        <f>SUMIF(MatchScoutingData!$E$2:$E$1000, $A29, MatchScoutingData!Z$2:Z$1000)</f>
        <v/>
      </c>
      <c r="Y29" s="40">
        <f>SUMIF(MatchScoutingData!$E$2:$E$1000, $A29, MatchScoutingData!AA$2:AA$1000)</f>
        <v/>
      </c>
      <c r="Z29" s="40">
        <f>SUM(W29:Y29)</f>
        <v/>
      </c>
    </row>
    <row r="30">
      <c r="A30" s="11" t="n">
        <v>3181</v>
      </c>
      <c r="B30" s="40">
        <f>COUNTIF(MatchScoutingData!E$2:E$1000, $A30)</f>
        <v/>
      </c>
      <c r="C30" s="40">
        <f>SUMIF(MatchScoutingData!$E$2:$E$1000, $A30, MatchScoutingData!F$2:F$1000)</f>
        <v/>
      </c>
      <c r="D30" s="40">
        <f>SUMIF(MatchScoutingData!$E$2:$E$1000, $A30, MatchScoutingData!G$2:G$1000)</f>
        <v/>
      </c>
      <c r="E30" s="40">
        <f>SUMIF(MatchScoutingData!$E$2:$E$1000, $A30, MatchScoutingData!H$2:H$1000)</f>
        <v/>
      </c>
      <c r="F30" s="40">
        <f>SUMIF(MatchScoutingData!$E$2:$E$1000, $A30, MatchScoutingData!I$2:I$1000)</f>
        <v/>
      </c>
      <c r="G30" s="40">
        <f>SUMIF(MatchScoutingData!$E$2:$E$1000, $A30, MatchScoutingData!J$2:J$1000)</f>
        <v/>
      </c>
      <c r="H30" s="40">
        <f>SUMIF(MatchScoutingData!$E$2:$E$1000, $A30, MatchScoutingData!K$2:K$1000)</f>
        <v/>
      </c>
      <c r="I30" s="40">
        <f>SUMIF(MatchScoutingData!$E$2:$E$1000, $A30, MatchScoutingData!L$2:L$1000)</f>
        <v/>
      </c>
      <c r="J30" s="40">
        <f>SUMIF(MatchScoutingData!$E$2:$E$1000, $A30, MatchScoutingData!M$2:M$1000)</f>
        <v/>
      </c>
      <c r="K30" s="40">
        <f>SUMIF(MatchScoutingData!$E$2:$E$1000, $A30, MatchScoutingData!N$2:N$1000)</f>
        <v/>
      </c>
      <c r="L30" s="40">
        <f>SUMIF(MatchScoutingData!$E$2:$E$1000, $A30, MatchScoutingData!O$2:O$1000)</f>
        <v/>
      </c>
      <c r="M30" s="40">
        <f>SUMIF(MatchScoutingData!$E$2:$E$1000, $A30, MatchScoutingData!P$2:P$1000)</f>
        <v/>
      </c>
      <c r="N30" s="40">
        <f>SUMIF(MatchScoutingData!$E$2:$E$1000, $A30, MatchScoutingData!Q$2:Q$1000)</f>
        <v/>
      </c>
      <c r="O30" s="40">
        <f>SUMIF(MatchScoutingData!$E$2:$E$1000, $A30, MatchScoutingData!R$2:R$1000)</f>
        <v/>
      </c>
      <c r="P30" s="40">
        <f>SUMIF(MatchScoutingData!$E$2:$E$1000, $A30, MatchScoutingData!S$2:S$1000)</f>
        <v/>
      </c>
      <c r="Q30" s="40">
        <f>SUMIF(MatchScoutingData!$E$2:$E$1000, $A30, MatchScoutingData!T$2:T$1000)</f>
        <v/>
      </c>
      <c r="R30" s="40">
        <f>SUMIF(MatchScoutingData!$E$2:$E$1000, $A30, MatchScoutingData!U$2:U$1000)</f>
        <v/>
      </c>
      <c r="S30" s="40">
        <f>SUMIF(MatchScoutingData!$E$2:$E$1000, $A30, MatchScoutingData!V$2:V$1000)</f>
        <v/>
      </c>
      <c r="T30" s="40">
        <f>SUMIF(MatchScoutingData!$E$2:$E$1000, $A30, MatchScoutingData!W$2:W$1000)</f>
        <v/>
      </c>
      <c r="U30" s="40">
        <f>SUMIF(MatchScoutingData!$E$2:$E$1000, $A30, MatchScoutingData!X$2:X$1000)</f>
        <v/>
      </c>
      <c r="V30" s="40">
        <f>SUMIF(MatchScoutingData!$E$2:$E$1000, $A30, MatchScoutingData!AB$2:AB$1000)</f>
        <v/>
      </c>
      <c r="W30" s="40">
        <f>SUMIF(MatchScoutingData!$E$2:$E$1000, $A30, MatchScoutingData!Y$2:Y$1000)</f>
        <v/>
      </c>
      <c r="X30" s="40">
        <f>SUMIF(MatchScoutingData!$E$2:$E$1000, $A30, MatchScoutingData!Z$2:Z$1000)</f>
        <v/>
      </c>
      <c r="Y30" s="40">
        <f>SUMIF(MatchScoutingData!$E$2:$E$1000, $A30, MatchScoutingData!AA$2:AA$1000)</f>
        <v/>
      </c>
      <c r="Z30" s="40">
        <f>SUM(W30:Y30)</f>
        <v/>
      </c>
    </row>
    <row r="31">
      <c r="A31" s="11" t="n">
        <v>3624</v>
      </c>
      <c r="B31" s="40">
        <f>COUNTIF(MatchScoutingData!E$2:E$1000, $A31)</f>
        <v/>
      </c>
      <c r="C31" s="40">
        <f>SUMIF(MatchScoutingData!$E$2:$E$1000, $A31, MatchScoutingData!F$2:F$1000)</f>
        <v/>
      </c>
      <c r="D31" s="40">
        <f>SUMIF(MatchScoutingData!$E$2:$E$1000, $A31, MatchScoutingData!G$2:G$1000)</f>
        <v/>
      </c>
      <c r="E31" s="40">
        <f>SUMIF(MatchScoutingData!$E$2:$E$1000, $A31, MatchScoutingData!H$2:H$1000)</f>
        <v/>
      </c>
      <c r="F31" s="40">
        <f>SUMIF(MatchScoutingData!$E$2:$E$1000, $A31, MatchScoutingData!I$2:I$1000)</f>
        <v/>
      </c>
      <c r="G31" s="40">
        <f>SUMIF(MatchScoutingData!$E$2:$E$1000, $A31, MatchScoutingData!J$2:J$1000)</f>
        <v/>
      </c>
      <c r="H31" s="40">
        <f>SUMIF(MatchScoutingData!$E$2:$E$1000, $A31, MatchScoutingData!K$2:K$1000)</f>
        <v/>
      </c>
      <c r="I31" s="40">
        <f>SUMIF(MatchScoutingData!$E$2:$E$1000, $A31, MatchScoutingData!L$2:L$1000)</f>
        <v/>
      </c>
      <c r="J31" s="40">
        <f>SUMIF(MatchScoutingData!$E$2:$E$1000, $A31, MatchScoutingData!M$2:M$1000)</f>
        <v/>
      </c>
      <c r="K31" s="40">
        <f>SUMIF(MatchScoutingData!$E$2:$E$1000, $A31, MatchScoutingData!N$2:N$1000)</f>
        <v/>
      </c>
      <c r="L31" s="40">
        <f>SUMIF(MatchScoutingData!$E$2:$E$1000, $A31, MatchScoutingData!O$2:O$1000)</f>
        <v/>
      </c>
      <c r="M31" s="40">
        <f>SUMIF(MatchScoutingData!$E$2:$E$1000, $A31, MatchScoutingData!P$2:P$1000)</f>
        <v/>
      </c>
      <c r="N31" s="40">
        <f>SUMIF(MatchScoutingData!$E$2:$E$1000, $A31, MatchScoutingData!Q$2:Q$1000)</f>
        <v/>
      </c>
      <c r="O31" s="40">
        <f>SUMIF(MatchScoutingData!$E$2:$E$1000, $A31, MatchScoutingData!R$2:R$1000)</f>
        <v/>
      </c>
      <c r="P31" s="40">
        <f>SUMIF(MatchScoutingData!$E$2:$E$1000, $A31, MatchScoutingData!S$2:S$1000)</f>
        <v/>
      </c>
      <c r="Q31" s="40">
        <f>SUMIF(MatchScoutingData!$E$2:$E$1000, $A31, MatchScoutingData!T$2:T$1000)</f>
        <v/>
      </c>
      <c r="R31" s="40">
        <f>SUMIF(MatchScoutingData!$E$2:$E$1000, $A31, MatchScoutingData!U$2:U$1000)</f>
        <v/>
      </c>
      <c r="S31" s="40">
        <f>SUMIF(MatchScoutingData!$E$2:$E$1000, $A31, MatchScoutingData!V$2:V$1000)</f>
        <v/>
      </c>
      <c r="T31" s="40">
        <f>SUMIF(MatchScoutingData!$E$2:$E$1000, $A31, MatchScoutingData!W$2:W$1000)</f>
        <v/>
      </c>
      <c r="U31" s="40">
        <f>SUMIF(MatchScoutingData!$E$2:$E$1000, $A31, MatchScoutingData!X$2:X$1000)</f>
        <v/>
      </c>
      <c r="V31" s="40">
        <f>SUMIF(MatchScoutingData!$E$2:$E$1000, $A31, MatchScoutingData!AB$2:AB$1000)</f>
        <v/>
      </c>
      <c r="W31" s="40">
        <f>SUMIF(MatchScoutingData!$E$2:$E$1000, $A31, MatchScoutingData!Y$2:Y$1000)</f>
        <v/>
      </c>
      <c r="X31" s="40">
        <f>SUMIF(MatchScoutingData!$E$2:$E$1000, $A31, MatchScoutingData!Z$2:Z$1000)</f>
        <v/>
      </c>
      <c r="Y31" s="40">
        <f>SUMIF(MatchScoutingData!$E$2:$E$1000, $A31, MatchScoutingData!AA$2:AA$1000)</f>
        <v/>
      </c>
      <c r="Z31" s="40">
        <f>SUM(W31:Y31)</f>
        <v/>
      </c>
    </row>
    <row r="32">
      <c r="A32" s="11" t="n">
        <v>4121</v>
      </c>
      <c r="B32" s="40">
        <f>COUNTIF(MatchScoutingData!E$2:E$1000, $A32)</f>
        <v/>
      </c>
      <c r="C32" s="40">
        <f>SUMIF(MatchScoutingData!$E$2:$E$1000, $A32, MatchScoutingData!F$2:F$1000)</f>
        <v/>
      </c>
      <c r="D32" s="40">
        <f>SUMIF(MatchScoutingData!$E$2:$E$1000, $A32, MatchScoutingData!G$2:G$1000)</f>
        <v/>
      </c>
      <c r="E32" s="40">
        <f>SUMIF(MatchScoutingData!$E$2:$E$1000, $A32, MatchScoutingData!H$2:H$1000)</f>
        <v/>
      </c>
      <c r="F32" s="40">
        <f>SUMIF(MatchScoutingData!$E$2:$E$1000, $A32, MatchScoutingData!I$2:I$1000)</f>
        <v/>
      </c>
      <c r="G32" s="40">
        <f>SUMIF(MatchScoutingData!$E$2:$E$1000, $A32, MatchScoutingData!J$2:J$1000)</f>
        <v/>
      </c>
      <c r="H32" s="40">
        <f>SUMIF(MatchScoutingData!$E$2:$E$1000, $A32, MatchScoutingData!K$2:K$1000)</f>
        <v/>
      </c>
      <c r="I32" s="40">
        <f>SUMIF(MatchScoutingData!$E$2:$E$1000, $A32, MatchScoutingData!L$2:L$1000)</f>
        <v/>
      </c>
      <c r="J32" s="40">
        <f>SUMIF(MatchScoutingData!$E$2:$E$1000, $A32, MatchScoutingData!M$2:M$1000)</f>
        <v/>
      </c>
      <c r="K32" s="40">
        <f>SUMIF(MatchScoutingData!$E$2:$E$1000, $A32, MatchScoutingData!N$2:N$1000)</f>
        <v/>
      </c>
      <c r="L32" s="40">
        <f>SUMIF(MatchScoutingData!$E$2:$E$1000, $A32, MatchScoutingData!O$2:O$1000)</f>
        <v/>
      </c>
      <c r="M32" s="40">
        <f>SUMIF(MatchScoutingData!$E$2:$E$1000, $A32, MatchScoutingData!P$2:P$1000)</f>
        <v/>
      </c>
      <c r="N32" s="40">
        <f>SUMIF(MatchScoutingData!$E$2:$E$1000, $A32, MatchScoutingData!Q$2:Q$1000)</f>
        <v/>
      </c>
      <c r="O32" s="40">
        <f>SUMIF(MatchScoutingData!$E$2:$E$1000, $A32, MatchScoutingData!R$2:R$1000)</f>
        <v/>
      </c>
      <c r="P32" s="40">
        <f>SUMIF(MatchScoutingData!$E$2:$E$1000, $A32, MatchScoutingData!S$2:S$1000)</f>
        <v/>
      </c>
      <c r="Q32" s="40">
        <f>SUMIF(MatchScoutingData!$E$2:$E$1000, $A32, MatchScoutingData!T$2:T$1000)</f>
        <v/>
      </c>
      <c r="R32" s="40">
        <f>SUMIF(MatchScoutingData!$E$2:$E$1000, $A32, MatchScoutingData!U$2:U$1000)</f>
        <v/>
      </c>
      <c r="S32" s="40">
        <f>SUMIF(MatchScoutingData!$E$2:$E$1000, $A32, MatchScoutingData!V$2:V$1000)</f>
        <v/>
      </c>
      <c r="T32" s="40">
        <f>SUMIF(MatchScoutingData!$E$2:$E$1000, $A32, MatchScoutingData!W$2:W$1000)</f>
        <v/>
      </c>
      <c r="U32" s="40">
        <f>SUMIF(MatchScoutingData!$E$2:$E$1000, $A32, MatchScoutingData!X$2:X$1000)</f>
        <v/>
      </c>
      <c r="V32" s="40">
        <f>SUMIF(MatchScoutingData!$E$2:$E$1000, $A32, MatchScoutingData!AB$2:AB$1000)</f>
        <v/>
      </c>
      <c r="W32" s="40">
        <f>SUMIF(MatchScoutingData!$E$2:$E$1000, $A32, MatchScoutingData!Y$2:Y$1000)</f>
        <v/>
      </c>
      <c r="X32" s="40">
        <f>SUMIF(MatchScoutingData!$E$2:$E$1000, $A32, MatchScoutingData!Z$2:Z$1000)</f>
        <v/>
      </c>
      <c r="Y32" s="40">
        <f>SUMIF(MatchScoutingData!$E$2:$E$1000, $A32, MatchScoutingData!AA$2:AA$1000)</f>
        <v/>
      </c>
      <c r="Z32" s="40">
        <f>SUM(W32:Y32)</f>
        <v/>
      </c>
    </row>
    <row r="33">
      <c r="A33" s="11" t="n">
        <v>4122</v>
      </c>
      <c r="B33" s="40">
        <f>COUNTIF(MatchScoutingData!E$2:E$1000, $A33)</f>
        <v/>
      </c>
      <c r="C33" s="40">
        <f>SUMIF(MatchScoutingData!$E$2:$E$1000, $A33, MatchScoutingData!F$2:F$1000)</f>
        <v/>
      </c>
      <c r="D33" s="40">
        <f>SUMIF(MatchScoutingData!$E$2:$E$1000, $A33, MatchScoutingData!G$2:G$1000)</f>
        <v/>
      </c>
      <c r="E33" s="40">
        <f>SUMIF(MatchScoutingData!$E$2:$E$1000, $A33, MatchScoutingData!H$2:H$1000)</f>
        <v/>
      </c>
      <c r="F33" s="40">
        <f>SUMIF(MatchScoutingData!$E$2:$E$1000, $A33, MatchScoutingData!I$2:I$1000)</f>
        <v/>
      </c>
      <c r="G33" s="40">
        <f>SUMIF(MatchScoutingData!$E$2:$E$1000, $A33, MatchScoutingData!J$2:J$1000)</f>
        <v/>
      </c>
      <c r="H33" s="40">
        <f>SUMIF(MatchScoutingData!$E$2:$E$1000, $A33, MatchScoutingData!K$2:K$1000)</f>
        <v/>
      </c>
      <c r="I33" s="40">
        <f>SUMIF(MatchScoutingData!$E$2:$E$1000, $A33, MatchScoutingData!L$2:L$1000)</f>
        <v/>
      </c>
      <c r="J33" s="40">
        <f>SUMIF(MatchScoutingData!$E$2:$E$1000, $A33, MatchScoutingData!M$2:M$1000)</f>
        <v/>
      </c>
      <c r="K33" s="40">
        <f>SUMIF(MatchScoutingData!$E$2:$E$1000, $A33, MatchScoutingData!N$2:N$1000)</f>
        <v/>
      </c>
      <c r="L33" s="40">
        <f>SUMIF(MatchScoutingData!$E$2:$E$1000, $A33, MatchScoutingData!O$2:O$1000)</f>
        <v/>
      </c>
      <c r="M33" s="40">
        <f>SUMIF(MatchScoutingData!$E$2:$E$1000, $A33, MatchScoutingData!P$2:P$1000)</f>
        <v/>
      </c>
      <c r="N33" s="40">
        <f>SUMIF(MatchScoutingData!$E$2:$E$1000, $A33, MatchScoutingData!Q$2:Q$1000)</f>
        <v/>
      </c>
      <c r="O33" s="40">
        <f>SUMIF(MatchScoutingData!$E$2:$E$1000, $A33, MatchScoutingData!R$2:R$1000)</f>
        <v/>
      </c>
      <c r="P33" s="40">
        <f>SUMIF(MatchScoutingData!$E$2:$E$1000, $A33, MatchScoutingData!S$2:S$1000)</f>
        <v/>
      </c>
      <c r="Q33" s="40">
        <f>SUMIF(MatchScoutingData!$E$2:$E$1000, $A33, MatchScoutingData!T$2:T$1000)</f>
        <v/>
      </c>
      <c r="R33" s="40">
        <f>SUMIF(MatchScoutingData!$E$2:$E$1000, $A33, MatchScoutingData!U$2:U$1000)</f>
        <v/>
      </c>
      <c r="S33" s="40">
        <f>SUMIF(MatchScoutingData!$E$2:$E$1000, $A33, MatchScoutingData!V$2:V$1000)</f>
        <v/>
      </c>
      <c r="T33" s="40">
        <f>SUMIF(MatchScoutingData!$E$2:$E$1000, $A33, MatchScoutingData!W$2:W$1000)</f>
        <v/>
      </c>
      <c r="U33" s="40">
        <f>SUMIF(MatchScoutingData!$E$2:$E$1000, $A33, MatchScoutingData!X$2:X$1000)</f>
        <v/>
      </c>
      <c r="V33" s="40">
        <f>SUMIF(MatchScoutingData!$E$2:$E$1000, $A33, MatchScoutingData!AB$2:AB$1000)</f>
        <v/>
      </c>
      <c r="W33" s="40">
        <f>SUMIF(MatchScoutingData!$E$2:$E$1000, $A33, MatchScoutingData!Y$2:Y$1000)</f>
        <v/>
      </c>
      <c r="X33" s="40">
        <f>SUMIF(MatchScoutingData!$E$2:$E$1000, $A33, MatchScoutingData!Z$2:Z$1000)</f>
        <v/>
      </c>
      <c r="Y33" s="40">
        <f>SUMIF(MatchScoutingData!$E$2:$E$1000, $A33, MatchScoutingData!AA$2:AA$1000)</f>
        <v/>
      </c>
      <c r="Z33" s="40">
        <f>SUM(W33:Y33)</f>
        <v/>
      </c>
    </row>
    <row r="34">
      <c r="A34" s="11" t="n">
        <v>4601</v>
      </c>
      <c r="B34" s="40">
        <f>COUNTIF(MatchScoutingData!E$2:E$1000, $A34)</f>
        <v/>
      </c>
      <c r="C34" s="40">
        <f>SUMIF(MatchScoutingData!$E$2:$E$1000, $A34, MatchScoutingData!F$2:F$1000)</f>
        <v/>
      </c>
      <c r="D34" s="40">
        <f>SUMIF(MatchScoutingData!$E$2:$E$1000, $A34, MatchScoutingData!G$2:G$1000)</f>
        <v/>
      </c>
      <c r="E34" s="40">
        <f>SUMIF(MatchScoutingData!$E$2:$E$1000, $A34, MatchScoutingData!H$2:H$1000)</f>
        <v/>
      </c>
      <c r="F34" s="40">
        <f>SUMIF(MatchScoutingData!$E$2:$E$1000, $A34, MatchScoutingData!I$2:I$1000)</f>
        <v/>
      </c>
      <c r="G34" s="40">
        <f>SUMIF(MatchScoutingData!$E$2:$E$1000, $A34, MatchScoutingData!J$2:J$1000)</f>
        <v/>
      </c>
      <c r="H34" s="40">
        <f>SUMIF(MatchScoutingData!$E$2:$E$1000, $A34, MatchScoutingData!K$2:K$1000)</f>
        <v/>
      </c>
      <c r="I34" s="40">
        <f>SUMIF(MatchScoutingData!$E$2:$E$1000, $A34, MatchScoutingData!L$2:L$1000)</f>
        <v/>
      </c>
      <c r="J34" s="40">
        <f>SUMIF(MatchScoutingData!$E$2:$E$1000, $A34, MatchScoutingData!M$2:M$1000)</f>
        <v/>
      </c>
      <c r="K34" s="40">
        <f>SUMIF(MatchScoutingData!$E$2:$E$1000, $A34, MatchScoutingData!N$2:N$1000)</f>
        <v/>
      </c>
      <c r="L34" s="40">
        <f>SUMIF(MatchScoutingData!$E$2:$E$1000, $A34, MatchScoutingData!O$2:O$1000)</f>
        <v/>
      </c>
      <c r="M34" s="40">
        <f>SUMIF(MatchScoutingData!$E$2:$E$1000, $A34, MatchScoutingData!P$2:P$1000)</f>
        <v/>
      </c>
      <c r="N34" s="40">
        <f>SUMIF(MatchScoutingData!$E$2:$E$1000, $A34, MatchScoutingData!Q$2:Q$1000)</f>
        <v/>
      </c>
      <c r="O34" s="40">
        <f>SUMIF(MatchScoutingData!$E$2:$E$1000, $A34, MatchScoutingData!R$2:R$1000)</f>
        <v/>
      </c>
      <c r="P34" s="40">
        <f>SUMIF(MatchScoutingData!$E$2:$E$1000, $A34, MatchScoutingData!S$2:S$1000)</f>
        <v/>
      </c>
      <c r="Q34" s="40">
        <f>SUMIF(MatchScoutingData!$E$2:$E$1000, $A34, MatchScoutingData!T$2:T$1000)</f>
        <v/>
      </c>
      <c r="R34" s="40">
        <f>SUMIF(MatchScoutingData!$E$2:$E$1000, $A34, MatchScoutingData!U$2:U$1000)</f>
        <v/>
      </c>
      <c r="S34" s="40">
        <f>SUMIF(MatchScoutingData!$E$2:$E$1000, $A34, MatchScoutingData!V$2:V$1000)</f>
        <v/>
      </c>
      <c r="T34" s="40">
        <f>SUMIF(MatchScoutingData!$E$2:$E$1000, $A34, MatchScoutingData!W$2:W$1000)</f>
        <v/>
      </c>
      <c r="U34" s="40">
        <f>SUMIF(MatchScoutingData!$E$2:$E$1000, $A34, MatchScoutingData!X$2:X$1000)</f>
        <v/>
      </c>
      <c r="V34" s="40">
        <f>SUMIF(MatchScoutingData!$E$2:$E$1000, $A34, MatchScoutingData!AB$2:AB$1000)</f>
        <v/>
      </c>
      <c r="W34" s="40">
        <f>SUMIF(MatchScoutingData!$E$2:$E$1000, $A34, MatchScoutingData!Y$2:Y$1000)</f>
        <v/>
      </c>
      <c r="X34" s="40">
        <f>SUMIF(MatchScoutingData!$E$2:$E$1000, $A34, MatchScoutingData!Z$2:Z$1000)</f>
        <v/>
      </c>
      <c r="Y34" s="40">
        <f>SUMIF(MatchScoutingData!$E$2:$E$1000, $A34, MatchScoutingData!AA$2:AA$1000)</f>
        <v/>
      </c>
      <c r="Z34" s="40">
        <f>SUM(W34:Y34)</f>
        <v/>
      </c>
    </row>
    <row r="35">
      <c r="A35" s="11" t="n">
        <v>4930</v>
      </c>
      <c r="B35" s="40">
        <f>COUNTIF(MatchScoutingData!E$2:E$1000, $A35)</f>
        <v/>
      </c>
      <c r="C35" s="40">
        <f>SUMIF(MatchScoutingData!$E$2:$E$1000, $A35, MatchScoutingData!F$2:F$1000)</f>
        <v/>
      </c>
      <c r="D35" s="40">
        <f>SUMIF(MatchScoutingData!$E$2:$E$1000, $A35, MatchScoutingData!G$2:G$1000)</f>
        <v/>
      </c>
      <c r="E35" s="40">
        <f>SUMIF(MatchScoutingData!$E$2:$E$1000, $A35, MatchScoutingData!H$2:H$1000)</f>
        <v/>
      </c>
      <c r="F35" s="40">
        <f>SUMIF(MatchScoutingData!$E$2:$E$1000, $A35, MatchScoutingData!I$2:I$1000)</f>
        <v/>
      </c>
      <c r="G35" s="40">
        <f>SUMIF(MatchScoutingData!$E$2:$E$1000, $A35, MatchScoutingData!J$2:J$1000)</f>
        <v/>
      </c>
      <c r="H35" s="40">
        <f>SUMIF(MatchScoutingData!$E$2:$E$1000, $A35, MatchScoutingData!K$2:K$1000)</f>
        <v/>
      </c>
      <c r="I35" s="40">
        <f>SUMIF(MatchScoutingData!$E$2:$E$1000, $A35, MatchScoutingData!L$2:L$1000)</f>
        <v/>
      </c>
      <c r="J35" s="40">
        <f>SUMIF(MatchScoutingData!$E$2:$E$1000, $A35, MatchScoutingData!M$2:M$1000)</f>
        <v/>
      </c>
      <c r="K35" s="40">
        <f>SUMIF(MatchScoutingData!$E$2:$E$1000, $A35, MatchScoutingData!N$2:N$1000)</f>
        <v/>
      </c>
      <c r="L35" s="40">
        <f>SUMIF(MatchScoutingData!$E$2:$E$1000, $A35, MatchScoutingData!O$2:O$1000)</f>
        <v/>
      </c>
      <c r="M35" s="40">
        <f>SUMIF(MatchScoutingData!$E$2:$E$1000, $A35, MatchScoutingData!P$2:P$1000)</f>
        <v/>
      </c>
      <c r="N35" s="40">
        <f>SUMIF(MatchScoutingData!$E$2:$E$1000, $A35, MatchScoutingData!Q$2:Q$1000)</f>
        <v/>
      </c>
      <c r="O35" s="40">
        <f>SUMIF(MatchScoutingData!$E$2:$E$1000, $A35, MatchScoutingData!R$2:R$1000)</f>
        <v/>
      </c>
      <c r="P35" s="40">
        <f>SUMIF(MatchScoutingData!$E$2:$E$1000, $A35, MatchScoutingData!S$2:S$1000)</f>
        <v/>
      </c>
      <c r="Q35" s="40">
        <f>SUMIF(MatchScoutingData!$E$2:$E$1000, $A35, MatchScoutingData!T$2:T$1000)</f>
        <v/>
      </c>
      <c r="R35" s="40">
        <f>SUMIF(MatchScoutingData!$E$2:$E$1000, $A35, MatchScoutingData!U$2:U$1000)</f>
        <v/>
      </c>
      <c r="S35" s="40">
        <f>SUMIF(MatchScoutingData!$E$2:$E$1000, $A35, MatchScoutingData!V$2:V$1000)</f>
        <v/>
      </c>
      <c r="T35" s="40">
        <f>SUMIF(MatchScoutingData!$E$2:$E$1000, $A35, MatchScoutingData!W$2:W$1000)</f>
        <v/>
      </c>
      <c r="U35" s="40">
        <f>SUMIF(MatchScoutingData!$E$2:$E$1000, $A35, MatchScoutingData!X$2:X$1000)</f>
        <v/>
      </c>
      <c r="V35" s="40">
        <f>SUMIF(MatchScoutingData!$E$2:$E$1000, $A35, MatchScoutingData!AB$2:AB$1000)</f>
        <v/>
      </c>
      <c r="W35" s="40">
        <f>SUMIF(MatchScoutingData!$E$2:$E$1000, $A35, MatchScoutingData!Y$2:Y$1000)</f>
        <v/>
      </c>
      <c r="X35" s="40">
        <f>SUMIF(MatchScoutingData!$E$2:$E$1000, $A35, MatchScoutingData!Z$2:Z$1000)</f>
        <v/>
      </c>
      <c r="Y35" s="40">
        <f>SUMIF(MatchScoutingData!$E$2:$E$1000, $A35, MatchScoutingData!AA$2:AA$1000)</f>
        <v/>
      </c>
      <c r="Z35" s="40">
        <f>SUM(W35:Y35)</f>
        <v/>
      </c>
    </row>
    <row r="36">
      <c r="A36" s="11" t="n">
        <v>5016</v>
      </c>
      <c r="B36" s="40">
        <f>COUNTIF(MatchScoutingData!E$2:E$1000, $A36)</f>
        <v/>
      </c>
      <c r="C36" s="40">
        <f>SUMIF(MatchScoutingData!$E$2:$E$1000, $A36, MatchScoutingData!F$2:F$1000)</f>
        <v/>
      </c>
      <c r="D36" s="40">
        <f>SUMIF(MatchScoutingData!$E$2:$E$1000, $A36, MatchScoutingData!G$2:G$1000)</f>
        <v/>
      </c>
      <c r="E36" s="40">
        <f>SUMIF(MatchScoutingData!$E$2:$E$1000, $A36, MatchScoutingData!H$2:H$1000)</f>
        <v/>
      </c>
      <c r="F36" s="40">
        <f>SUMIF(MatchScoutingData!$E$2:$E$1000, $A36, MatchScoutingData!I$2:I$1000)</f>
        <v/>
      </c>
      <c r="G36" s="40">
        <f>SUMIF(MatchScoutingData!$E$2:$E$1000, $A36, MatchScoutingData!J$2:J$1000)</f>
        <v/>
      </c>
      <c r="H36" s="40">
        <f>SUMIF(MatchScoutingData!$E$2:$E$1000, $A36, MatchScoutingData!K$2:K$1000)</f>
        <v/>
      </c>
      <c r="I36" s="40">
        <f>SUMIF(MatchScoutingData!$E$2:$E$1000, $A36, MatchScoutingData!L$2:L$1000)</f>
        <v/>
      </c>
      <c r="J36" s="40">
        <f>SUMIF(MatchScoutingData!$E$2:$E$1000, $A36, MatchScoutingData!M$2:M$1000)</f>
        <v/>
      </c>
      <c r="K36" s="40">
        <f>SUMIF(MatchScoutingData!$E$2:$E$1000, $A36, MatchScoutingData!N$2:N$1000)</f>
        <v/>
      </c>
      <c r="L36" s="40">
        <f>SUMIF(MatchScoutingData!$E$2:$E$1000, $A36, MatchScoutingData!O$2:O$1000)</f>
        <v/>
      </c>
      <c r="M36" s="40">
        <f>SUMIF(MatchScoutingData!$E$2:$E$1000, $A36, MatchScoutingData!P$2:P$1000)</f>
        <v/>
      </c>
      <c r="N36" s="40">
        <f>SUMIF(MatchScoutingData!$E$2:$E$1000, $A36, MatchScoutingData!Q$2:Q$1000)</f>
        <v/>
      </c>
      <c r="O36" s="40">
        <f>SUMIF(MatchScoutingData!$E$2:$E$1000, $A36, MatchScoutingData!R$2:R$1000)</f>
        <v/>
      </c>
      <c r="P36" s="40">
        <f>SUMIF(MatchScoutingData!$E$2:$E$1000, $A36, MatchScoutingData!S$2:S$1000)</f>
        <v/>
      </c>
      <c r="Q36" s="40">
        <f>SUMIF(MatchScoutingData!$E$2:$E$1000, $A36, MatchScoutingData!T$2:T$1000)</f>
        <v/>
      </c>
      <c r="R36" s="40">
        <f>SUMIF(MatchScoutingData!$E$2:$E$1000, $A36, MatchScoutingData!U$2:U$1000)</f>
        <v/>
      </c>
      <c r="S36" s="40">
        <f>SUMIF(MatchScoutingData!$E$2:$E$1000, $A36, MatchScoutingData!V$2:V$1000)</f>
        <v/>
      </c>
      <c r="T36" s="40">
        <f>SUMIF(MatchScoutingData!$E$2:$E$1000, $A36, MatchScoutingData!W$2:W$1000)</f>
        <v/>
      </c>
      <c r="U36" s="40">
        <f>SUMIF(MatchScoutingData!$E$2:$E$1000, $A36, MatchScoutingData!X$2:X$1000)</f>
        <v/>
      </c>
      <c r="V36" s="40">
        <f>SUMIF(MatchScoutingData!$E$2:$E$1000, $A36, MatchScoutingData!AB$2:AB$1000)</f>
        <v/>
      </c>
      <c r="W36" s="40">
        <f>SUMIF(MatchScoutingData!$E$2:$E$1000, $A36, MatchScoutingData!Y$2:Y$1000)</f>
        <v/>
      </c>
      <c r="X36" s="40">
        <f>SUMIF(MatchScoutingData!$E$2:$E$1000, $A36, MatchScoutingData!Z$2:Z$1000)</f>
        <v/>
      </c>
      <c r="Y36" s="40">
        <f>SUMIF(MatchScoutingData!$E$2:$E$1000, $A36, MatchScoutingData!AA$2:AA$1000)</f>
        <v/>
      </c>
      <c r="Z36" s="40">
        <f>SUM(W36:Y36)</f>
        <v/>
      </c>
    </row>
    <row r="37">
      <c r="A37" s="11" t="n">
        <v>5149</v>
      </c>
      <c r="B37" s="40">
        <f>COUNTIF(MatchScoutingData!E$2:E$1000, $A37)</f>
        <v/>
      </c>
      <c r="C37" s="40">
        <f>SUMIF(MatchScoutingData!$E$2:$E$1000, $A37, MatchScoutingData!F$2:F$1000)</f>
        <v/>
      </c>
      <c r="D37" s="40">
        <f>SUMIF(MatchScoutingData!$E$2:$E$1000, $A37, MatchScoutingData!G$2:G$1000)</f>
        <v/>
      </c>
      <c r="E37" s="40">
        <f>SUMIF(MatchScoutingData!$E$2:$E$1000, $A37, MatchScoutingData!H$2:H$1000)</f>
        <v/>
      </c>
      <c r="F37" s="40">
        <f>SUMIF(MatchScoutingData!$E$2:$E$1000, $A37, MatchScoutingData!I$2:I$1000)</f>
        <v/>
      </c>
      <c r="G37" s="40">
        <f>SUMIF(MatchScoutingData!$E$2:$E$1000, $A37, MatchScoutingData!J$2:J$1000)</f>
        <v/>
      </c>
      <c r="H37" s="40">
        <f>SUMIF(MatchScoutingData!$E$2:$E$1000, $A37, MatchScoutingData!K$2:K$1000)</f>
        <v/>
      </c>
      <c r="I37" s="40">
        <f>SUMIF(MatchScoutingData!$E$2:$E$1000, $A37, MatchScoutingData!L$2:L$1000)</f>
        <v/>
      </c>
      <c r="J37" s="40">
        <f>SUMIF(MatchScoutingData!$E$2:$E$1000, $A37, MatchScoutingData!M$2:M$1000)</f>
        <v/>
      </c>
      <c r="K37" s="40">
        <f>SUMIF(MatchScoutingData!$E$2:$E$1000, $A37, MatchScoutingData!N$2:N$1000)</f>
        <v/>
      </c>
      <c r="L37" s="40">
        <f>SUMIF(MatchScoutingData!$E$2:$E$1000, $A37, MatchScoutingData!O$2:O$1000)</f>
        <v/>
      </c>
      <c r="M37" s="40">
        <f>SUMIF(MatchScoutingData!$E$2:$E$1000, $A37, MatchScoutingData!P$2:P$1000)</f>
        <v/>
      </c>
      <c r="N37" s="40">
        <f>SUMIF(MatchScoutingData!$E$2:$E$1000, $A37, MatchScoutingData!Q$2:Q$1000)</f>
        <v/>
      </c>
      <c r="O37" s="40">
        <f>SUMIF(MatchScoutingData!$E$2:$E$1000, $A37, MatchScoutingData!R$2:R$1000)</f>
        <v/>
      </c>
      <c r="P37" s="40">
        <f>SUMIF(MatchScoutingData!$E$2:$E$1000, $A37, MatchScoutingData!S$2:S$1000)</f>
        <v/>
      </c>
      <c r="Q37" s="40">
        <f>SUMIF(MatchScoutingData!$E$2:$E$1000, $A37, MatchScoutingData!T$2:T$1000)</f>
        <v/>
      </c>
      <c r="R37" s="40">
        <f>SUMIF(MatchScoutingData!$E$2:$E$1000, $A37, MatchScoutingData!U$2:U$1000)</f>
        <v/>
      </c>
      <c r="S37" s="40">
        <f>SUMIF(MatchScoutingData!$E$2:$E$1000, $A37, MatchScoutingData!V$2:V$1000)</f>
        <v/>
      </c>
      <c r="T37" s="40">
        <f>SUMIF(MatchScoutingData!$E$2:$E$1000, $A37, MatchScoutingData!W$2:W$1000)</f>
        <v/>
      </c>
      <c r="U37" s="40">
        <f>SUMIF(MatchScoutingData!$E$2:$E$1000, $A37, MatchScoutingData!X$2:X$1000)</f>
        <v/>
      </c>
      <c r="V37" s="40">
        <f>SUMIF(MatchScoutingData!$E$2:$E$1000, $A37, MatchScoutingData!AB$2:AB$1000)</f>
        <v/>
      </c>
      <c r="W37" s="40">
        <f>SUMIF(MatchScoutingData!$E$2:$E$1000, $A37, MatchScoutingData!Y$2:Y$1000)</f>
        <v/>
      </c>
      <c r="X37" s="40">
        <f>SUMIF(MatchScoutingData!$E$2:$E$1000, $A37, MatchScoutingData!Z$2:Z$1000)</f>
        <v/>
      </c>
      <c r="Y37" s="40">
        <f>SUMIF(MatchScoutingData!$E$2:$E$1000, $A37, MatchScoutingData!AA$2:AA$1000)</f>
        <v/>
      </c>
      <c r="Z37" s="40">
        <f>SUM(W37:Y37)</f>
        <v/>
      </c>
    </row>
    <row r="38">
      <c r="A38" s="11" t="n">
        <v>5590</v>
      </c>
      <c r="B38" s="40">
        <f>COUNTIF(MatchScoutingData!E$2:E$1000, $A38)</f>
        <v/>
      </c>
      <c r="C38" s="40">
        <f>SUMIF(MatchScoutingData!$E$2:$E$1000, $A38, MatchScoutingData!F$2:F$1000)</f>
        <v/>
      </c>
      <c r="D38" s="40">
        <f>SUMIF(MatchScoutingData!$E$2:$E$1000, $A38, MatchScoutingData!G$2:G$1000)</f>
        <v/>
      </c>
      <c r="E38" s="40">
        <f>SUMIF(MatchScoutingData!$E$2:$E$1000, $A38, MatchScoutingData!H$2:H$1000)</f>
        <v/>
      </c>
      <c r="F38" s="40">
        <f>SUMIF(MatchScoutingData!$E$2:$E$1000, $A38, MatchScoutingData!I$2:I$1000)</f>
        <v/>
      </c>
      <c r="G38" s="40">
        <f>SUMIF(MatchScoutingData!$E$2:$E$1000, $A38, MatchScoutingData!J$2:J$1000)</f>
        <v/>
      </c>
      <c r="H38" s="40">
        <f>SUMIF(MatchScoutingData!$E$2:$E$1000, $A38, MatchScoutingData!K$2:K$1000)</f>
        <v/>
      </c>
      <c r="I38" s="40">
        <f>SUMIF(MatchScoutingData!$E$2:$E$1000, $A38, MatchScoutingData!L$2:L$1000)</f>
        <v/>
      </c>
      <c r="J38" s="40">
        <f>SUMIF(MatchScoutingData!$E$2:$E$1000, $A38, MatchScoutingData!M$2:M$1000)</f>
        <v/>
      </c>
      <c r="K38" s="40">
        <f>SUMIF(MatchScoutingData!$E$2:$E$1000, $A38, MatchScoutingData!N$2:N$1000)</f>
        <v/>
      </c>
      <c r="L38" s="40">
        <f>SUMIF(MatchScoutingData!$E$2:$E$1000, $A38, MatchScoutingData!O$2:O$1000)</f>
        <v/>
      </c>
      <c r="M38" s="40">
        <f>SUMIF(MatchScoutingData!$E$2:$E$1000, $A38, MatchScoutingData!P$2:P$1000)</f>
        <v/>
      </c>
      <c r="N38" s="40">
        <f>SUMIF(MatchScoutingData!$E$2:$E$1000, $A38, MatchScoutingData!Q$2:Q$1000)</f>
        <v/>
      </c>
      <c r="O38" s="40">
        <f>SUMIF(MatchScoutingData!$E$2:$E$1000, $A38, MatchScoutingData!R$2:R$1000)</f>
        <v/>
      </c>
      <c r="P38" s="40">
        <f>SUMIF(MatchScoutingData!$E$2:$E$1000, $A38, MatchScoutingData!S$2:S$1000)</f>
        <v/>
      </c>
      <c r="Q38" s="40">
        <f>SUMIF(MatchScoutingData!$E$2:$E$1000, $A38, MatchScoutingData!T$2:T$1000)</f>
        <v/>
      </c>
      <c r="R38" s="40">
        <f>SUMIF(MatchScoutingData!$E$2:$E$1000, $A38, MatchScoutingData!U$2:U$1000)</f>
        <v/>
      </c>
      <c r="S38" s="40">
        <f>SUMIF(MatchScoutingData!$E$2:$E$1000, $A38, MatchScoutingData!V$2:V$1000)</f>
        <v/>
      </c>
      <c r="T38" s="40">
        <f>SUMIF(MatchScoutingData!$E$2:$E$1000, $A38, MatchScoutingData!W$2:W$1000)</f>
        <v/>
      </c>
      <c r="U38" s="40">
        <f>SUMIF(MatchScoutingData!$E$2:$E$1000, $A38, MatchScoutingData!X$2:X$1000)</f>
        <v/>
      </c>
      <c r="V38" s="40">
        <f>SUMIF(MatchScoutingData!$E$2:$E$1000, $A38, MatchScoutingData!AB$2:AB$1000)</f>
        <v/>
      </c>
      <c r="W38" s="40">
        <f>SUMIF(MatchScoutingData!$E$2:$E$1000, $A38, MatchScoutingData!Y$2:Y$1000)</f>
        <v/>
      </c>
      <c r="X38" s="40">
        <f>SUMIF(MatchScoutingData!$E$2:$E$1000, $A38, MatchScoutingData!Z$2:Z$1000)</f>
        <v/>
      </c>
      <c r="Y38" s="40">
        <f>SUMIF(MatchScoutingData!$E$2:$E$1000, $A38, MatchScoutingData!AA$2:AA$1000)</f>
        <v/>
      </c>
      <c r="Z38" s="40">
        <f>SUM(W38:Y38)</f>
        <v/>
      </c>
    </row>
    <row r="39">
      <c r="A39" s="11" t="n">
        <v>5736</v>
      </c>
      <c r="B39" s="40">
        <f>COUNTIF(MatchScoutingData!E$2:E$1000, $A39)</f>
        <v/>
      </c>
      <c r="C39" s="40">
        <f>SUMIF(MatchScoutingData!$E$2:$E$1000, $A39, MatchScoutingData!F$2:F$1000)</f>
        <v/>
      </c>
      <c r="D39" s="40">
        <f>SUMIF(MatchScoutingData!$E$2:$E$1000, $A39, MatchScoutingData!G$2:G$1000)</f>
        <v/>
      </c>
      <c r="E39" s="40">
        <f>SUMIF(MatchScoutingData!$E$2:$E$1000, $A39, MatchScoutingData!H$2:H$1000)</f>
        <v/>
      </c>
      <c r="F39" s="40">
        <f>SUMIF(MatchScoutingData!$E$2:$E$1000, $A39, MatchScoutingData!I$2:I$1000)</f>
        <v/>
      </c>
      <c r="G39" s="40">
        <f>SUMIF(MatchScoutingData!$E$2:$E$1000, $A39, MatchScoutingData!J$2:J$1000)</f>
        <v/>
      </c>
      <c r="H39" s="40">
        <f>SUMIF(MatchScoutingData!$E$2:$E$1000, $A39, MatchScoutingData!K$2:K$1000)</f>
        <v/>
      </c>
      <c r="I39" s="40">
        <f>SUMIF(MatchScoutingData!$E$2:$E$1000, $A39, MatchScoutingData!L$2:L$1000)</f>
        <v/>
      </c>
      <c r="J39" s="40">
        <f>SUMIF(MatchScoutingData!$E$2:$E$1000, $A39, MatchScoutingData!M$2:M$1000)</f>
        <v/>
      </c>
      <c r="K39" s="40">
        <f>SUMIF(MatchScoutingData!$E$2:$E$1000, $A39, MatchScoutingData!N$2:N$1000)</f>
        <v/>
      </c>
      <c r="L39" s="40">
        <f>SUMIF(MatchScoutingData!$E$2:$E$1000, $A39, MatchScoutingData!O$2:O$1000)</f>
        <v/>
      </c>
      <c r="M39" s="40">
        <f>SUMIF(MatchScoutingData!$E$2:$E$1000, $A39, MatchScoutingData!P$2:P$1000)</f>
        <v/>
      </c>
      <c r="N39" s="40">
        <f>SUMIF(MatchScoutingData!$E$2:$E$1000, $A39, MatchScoutingData!Q$2:Q$1000)</f>
        <v/>
      </c>
      <c r="O39" s="40">
        <f>SUMIF(MatchScoutingData!$E$2:$E$1000, $A39, MatchScoutingData!R$2:R$1000)</f>
        <v/>
      </c>
      <c r="P39" s="40">
        <f>SUMIF(MatchScoutingData!$E$2:$E$1000, $A39, MatchScoutingData!S$2:S$1000)</f>
        <v/>
      </c>
      <c r="Q39" s="40">
        <f>SUMIF(MatchScoutingData!$E$2:$E$1000, $A39, MatchScoutingData!T$2:T$1000)</f>
        <v/>
      </c>
      <c r="R39" s="40">
        <f>SUMIF(MatchScoutingData!$E$2:$E$1000, $A39, MatchScoutingData!U$2:U$1000)</f>
        <v/>
      </c>
      <c r="S39" s="40">
        <f>SUMIF(MatchScoutingData!$E$2:$E$1000, $A39, MatchScoutingData!V$2:V$1000)</f>
        <v/>
      </c>
      <c r="T39" s="40">
        <f>SUMIF(MatchScoutingData!$E$2:$E$1000, $A39, MatchScoutingData!W$2:W$1000)</f>
        <v/>
      </c>
      <c r="U39" s="40">
        <f>SUMIF(MatchScoutingData!$E$2:$E$1000, $A39, MatchScoutingData!X$2:X$1000)</f>
        <v/>
      </c>
      <c r="V39" s="40">
        <f>SUMIF(MatchScoutingData!$E$2:$E$1000, $A39, MatchScoutingData!AB$2:AB$1000)</f>
        <v/>
      </c>
      <c r="W39" s="40">
        <f>SUMIF(MatchScoutingData!$E$2:$E$1000, $A39, MatchScoutingData!Y$2:Y$1000)</f>
        <v/>
      </c>
      <c r="X39" s="40">
        <f>SUMIF(MatchScoutingData!$E$2:$E$1000, $A39, MatchScoutingData!Z$2:Z$1000)</f>
        <v/>
      </c>
      <c r="Y39" s="40">
        <f>SUMIF(MatchScoutingData!$E$2:$E$1000, $A39, MatchScoutingData!AA$2:AA$1000)</f>
        <v/>
      </c>
      <c r="Z39" s="40">
        <f>SUM(W39:Y39)</f>
        <v/>
      </c>
    </row>
    <row r="40">
      <c r="A40" s="11" t="n">
        <v>5881</v>
      </c>
      <c r="B40" s="40">
        <f>COUNTIF(MatchScoutingData!E$2:E$1000, $A40)</f>
        <v/>
      </c>
      <c r="C40" s="40">
        <f>SUMIF(MatchScoutingData!$E$2:$E$1000, $A40, MatchScoutingData!F$2:F$1000)</f>
        <v/>
      </c>
      <c r="D40" s="40">
        <f>SUMIF(MatchScoutingData!$E$2:$E$1000, $A40, MatchScoutingData!G$2:G$1000)</f>
        <v/>
      </c>
      <c r="E40" s="40">
        <f>SUMIF(MatchScoutingData!$E$2:$E$1000, $A40, MatchScoutingData!H$2:H$1000)</f>
        <v/>
      </c>
      <c r="F40" s="40">
        <f>SUMIF(MatchScoutingData!$E$2:$E$1000, $A40, MatchScoutingData!I$2:I$1000)</f>
        <v/>
      </c>
      <c r="G40" s="40">
        <f>SUMIF(MatchScoutingData!$E$2:$E$1000, $A40, MatchScoutingData!J$2:J$1000)</f>
        <v/>
      </c>
      <c r="H40" s="40">
        <f>SUMIF(MatchScoutingData!$E$2:$E$1000, $A40, MatchScoutingData!K$2:K$1000)</f>
        <v/>
      </c>
      <c r="I40" s="40">
        <f>SUMIF(MatchScoutingData!$E$2:$E$1000, $A40, MatchScoutingData!L$2:L$1000)</f>
        <v/>
      </c>
      <c r="J40" s="40">
        <f>SUMIF(MatchScoutingData!$E$2:$E$1000, $A40, MatchScoutingData!M$2:M$1000)</f>
        <v/>
      </c>
      <c r="K40" s="40">
        <f>SUMIF(MatchScoutingData!$E$2:$E$1000, $A40, MatchScoutingData!N$2:N$1000)</f>
        <v/>
      </c>
      <c r="L40" s="40">
        <f>SUMIF(MatchScoutingData!$E$2:$E$1000, $A40, MatchScoutingData!O$2:O$1000)</f>
        <v/>
      </c>
      <c r="M40" s="40">
        <f>SUMIF(MatchScoutingData!$E$2:$E$1000, $A40, MatchScoutingData!P$2:P$1000)</f>
        <v/>
      </c>
      <c r="N40" s="40">
        <f>SUMIF(MatchScoutingData!$E$2:$E$1000, $A40, MatchScoutingData!Q$2:Q$1000)</f>
        <v/>
      </c>
      <c r="O40" s="40">
        <f>SUMIF(MatchScoutingData!$E$2:$E$1000, $A40, MatchScoutingData!R$2:R$1000)</f>
        <v/>
      </c>
      <c r="P40" s="40">
        <f>SUMIF(MatchScoutingData!$E$2:$E$1000, $A40, MatchScoutingData!S$2:S$1000)</f>
        <v/>
      </c>
      <c r="Q40" s="40">
        <f>SUMIF(MatchScoutingData!$E$2:$E$1000, $A40, MatchScoutingData!T$2:T$1000)</f>
        <v/>
      </c>
      <c r="R40" s="40">
        <f>SUMIF(MatchScoutingData!$E$2:$E$1000, $A40, MatchScoutingData!U$2:U$1000)</f>
        <v/>
      </c>
      <c r="S40" s="40">
        <f>SUMIF(MatchScoutingData!$E$2:$E$1000, $A40, MatchScoutingData!V$2:V$1000)</f>
        <v/>
      </c>
      <c r="T40" s="40">
        <f>SUMIF(MatchScoutingData!$E$2:$E$1000, $A40, MatchScoutingData!W$2:W$1000)</f>
        <v/>
      </c>
      <c r="U40" s="40">
        <f>SUMIF(MatchScoutingData!$E$2:$E$1000, $A40, MatchScoutingData!X$2:X$1000)</f>
        <v/>
      </c>
      <c r="V40" s="40">
        <f>SUMIF(MatchScoutingData!$E$2:$E$1000, $A40, MatchScoutingData!AB$2:AB$1000)</f>
        <v/>
      </c>
      <c r="W40" s="40">
        <f>SUMIF(MatchScoutingData!$E$2:$E$1000, $A40, MatchScoutingData!Y$2:Y$1000)</f>
        <v/>
      </c>
      <c r="X40" s="40">
        <f>SUMIF(MatchScoutingData!$E$2:$E$1000, $A40, MatchScoutingData!Z$2:Z$1000)</f>
        <v/>
      </c>
      <c r="Y40" s="40">
        <f>SUMIF(MatchScoutingData!$E$2:$E$1000, $A40, MatchScoutingData!AA$2:AA$1000)</f>
        <v/>
      </c>
      <c r="Z40" s="40">
        <f>SUM(W40:Y40)</f>
        <v/>
      </c>
    </row>
    <row r="41">
      <c r="A41" s="11" t="n">
        <v>6300</v>
      </c>
      <c r="B41" s="40">
        <f>COUNTIF(MatchScoutingData!E$2:E$1000, $A41)</f>
        <v/>
      </c>
      <c r="C41" s="40">
        <f>SUMIF(MatchScoutingData!$E$2:$E$1000, $A41, MatchScoutingData!F$2:F$1000)</f>
        <v/>
      </c>
      <c r="D41" s="40">
        <f>SUMIF(MatchScoutingData!$E$2:$E$1000, $A41, MatchScoutingData!G$2:G$1000)</f>
        <v/>
      </c>
      <c r="E41" s="40">
        <f>SUMIF(MatchScoutingData!$E$2:$E$1000, $A41, MatchScoutingData!H$2:H$1000)</f>
        <v/>
      </c>
      <c r="F41" s="40">
        <f>SUMIF(MatchScoutingData!$E$2:$E$1000, $A41, MatchScoutingData!I$2:I$1000)</f>
        <v/>
      </c>
      <c r="G41" s="40">
        <f>SUMIF(MatchScoutingData!$E$2:$E$1000, $A41, MatchScoutingData!J$2:J$1000)</f>
        <v/>
      </c>
      <c r="H41" s="40">
        <f>SUMIF(MatchScoutingData!$E$2:$E$1000, $A41, MatchScoutingData!K$2:K$1000)</f>
        <v/>
      </c>
      <c r="I41" s="40">
        <f>SUMIF(MatchScoutingData!$E$2:$E$1000, $A41, MatchScoutingData!L$2:L$1000)</f>
        <v/>
      </c>
      <c r="J41" s="40">
        <f>SUMIF(MatchScoutingData!$E$2:$E$1000, $A41, MatchScoutingData!M$2:M$1000)</f>
        <v/>
      </c>
      <c r="K41" s="40">
        <f>SUMIF(MatchScoutingData!$E$2:$E$1000, $A41, MatchScoutingData!N$2:N$1000)</f>
        <v/>
      </c>
      <c r="L41" s="40">
        <f>SUMIF(MatchScoutingData!$E$2:$E$1000, $A41, MatchScoutingData!O$2:O$1000)</f>
        <v/>
      </c>
      <c r="M41" s="40">
        <f>SUMIF(MatchScoutingData!$E$2:$E$1000, $A41, MatchScoutingData!P$2:P$1000)</f>
        <v/>
      </c>
      <c r="N41" s="40">
        <f>SUMIF(MatchScoutingData!$E$2:$E$1000, $A41, MatchScoutingData!Q$2:Q$1000)</f>
        <v/>
      </c>
      <c r="O41" s="40">
        <f>SUMIF(MatchScoutingData!$E$2:$E$1000, $A41, MatchScoutingData!R$2:R$1000)</f>
        <v/>
      </c>
      <c r="P41" s="40">
        <f>SUMIF(MatchScoutingData!$E$2:$E$1000, $A41, MatchScoutingData!S$2:S$1000)</f>
        <v/>
      </c>
      <c r="Q41" s="40">
        <f>SUMIF(MatchScoutingData!$E$2:$E$1000, $A41, MatchScoutingData!T$2:T$1000)</f>
        <v/>
      </c>
      <c r="R41" s="40">
        <f>SUMIF(MatchScoutingData!$E$2:$E$1000, $A41, MatchScoutingData!U$2:U$1000)</f>
        <v/>
      </c>
      <c r="S41" s="40">
        <f>SUMIF(MatchScoutingData!$E$2:$E$1000, $A41, MatchScoutingData!V$2:V$1000)</f>
        <v/>
      </c>
      <c r="T41" s="40">
        <f>SUMIF(MatchScoutingData!$E$2:$E$1000, $A41, MatchScoutingData!W$2:W$1000)</f>
        <v/>
      </c>
      <c r="U41" s="40">
        <f>SUMIF(MatchScoutingData!$E$2:$E$1000, $A41, MatchScoutingData!X$2:X$1000)</f>
        <v/>
      </c>
      <c r="V41" s="40">
        <f>SUMIF(MatchScoutingData!$E$2:$E$1000, $A41, MatchScoutingData!AB$2:AB$1000)</f>
        <v/>
      </c>
      <c r="W41" s="40">
        <f>SUMIF(MatchScoutingData!$E$2:$E$1000, $A41, MatchScoutingData!Y$2:Y$1000)</f>
        <v/>
      </c>
      <c r="X41" s="40">
        <f>SUMIF(MatchScoutingData!$E$2:$E$1000, $A41, MatchScoutingData!Z$2:Z$1000)</f>
        <v/>
      </c>
      <c r="Y41" s="40">
        <f>SUMIF(MatchScoutingData!$E$2:$E$1000, $A41, MatchScoutingData!AA$2:AA$1000)</f>
        <v/>
      </c>
      <c r="Z41" s="40">
        <f>SUM(W41:Y41)</f>
        <v/>
      </c>
    </row>
    <row r="42">
      <c r="A42" s="11" t="n">
        <v>6436</v>
      </c>
      <c r="B42" s="40">
        <f>COUNTIF(MatchScoutingData!E$2:E$1000, $A42)</f>
        <v/>
      </c>
      <c r="C42" s="40">
        <f>SUMIF(MatchScoutingData!$E$2:$E$1000, $A42, MatchScoutingData!F$2:F$1000)</f>
        <v/>
      </c>
      <c r="D42" s="40">
        <f>SUMIF(MatchScoutingData!$E$2:$E$1000, $A42, MatchScoutingData!G$2:G$1000)</f>
        <v/>
      </c>
      <c r="E42" s="40">
        <f>SUMIF(MatchScoutingData!$E$2:$E$1000, $A42, MatchScoutingData!H$2:H$1000)</f>
        <v/>
      </c>
      <c r="F42" s="40">
        <f>SUMIF(MatchScoutingData!$E$2:$E$1000, $A42, MatchScoutingData!I$2:I$1000)</f>
        <v/>
      </c>
      <c r="G42" s="40">
        <f>SUMIF(MatchScoutingData!$E$2:$E$1000, $A42, MatchScoutingData!J$2:J$1000)</f>
        <v/>
      </c>
      <c r="H42" s="40">
        <f>SUMIF(MatchScoutingData!$E$2:$E$1000, $A42, MatchScoutingData!K$2:K$1000)</f>
        <v/>
      </c>
      <c r="I42" s="40">
        <f>SUMIF(MatchScoutingData!$E$2:$E$1000, $A42, MatchScoutingData!L$2:L$1000)</f>
        <v/>
      </c>
      <c r="J42" s="40">
        <f>SUMIF(MatchScoutingData!$E$2:$E$1000, $A42, MatchScoutingData!M$2:M$1000)</f>
        <v/>
      </c>
      <c r="K42" s="40">
        <f>SUMIF(MatchScoutingData!$E$2:$E$1000, $A42, MatchScoutingData!N$2:N$1000)</f>
        <v/>
      </c>
      <c r="L42" s="40">
        <f>SUMIF(MatchScoutingData!$E$2:$E$1000, $A42, MatchScoutingData!O$2:O$1000)</f>
        <v/>
      </c>
      <c r="M42" s="40">
        <f>SUMIF(MatchScoutingData!$E$2:$E$1000, $A42, MatchScoutingData!P$2:P$1000)</f>
        <v/>
      </c>
      <c r="N42" s="40">
        <f>SUMIF(MatchScoutingData!$E$2:$E$1000, $A42, MatchScoutingData!Q$2:Q$1000)</f>
        <v/>
      </c>
      <c r="O42" s="40">
        <f>SUMIF(MatchScoutingData!$E$2:$E$1000, $A42, MatchScoutingData!R$2:R$1000)</f>
        <v/>
      </c>
      <c r="P42" s="40">
        <f>SUMIF(MatchScoutingData!$E$2:$E$1000, $A42, MatchScoutingData!S$2:S$1000)</f>
        <v/>
      </c>
      <c r="Q42" s="40">
        <f>SUMIF(MatchScoutingData!$E$2:$E$1000, $A42, MatchScoutingData!T$2:T$1000)</f>
        <v/>
      </c>
      <c r="R42" s="40">
        <f>SUMIF(MatchScoutingData!$E$2:$E$1000, $A42, MatchScoutingData!U$2:U$1000)</f>
        <v/>
      </c>
      <c r="S42" s="40">
        <f>SUMIF(MatchScoutingData!$E$2:$E$1000, $A42, MatchScoutingData!V$2:V$1000)</f>
        <v/>
      </c>
      <c r="T42" s="40">
        <f>SUMIF(MatchScoutingData!$E$2:$E$1000, $A42, MatchScoutingData!W$2:W$1000)</f>
        <v/>
      </c>
      <c r="U42" s="40">
        <f>SUMIF(MatchScoutingData!$E$2:$E$1000, $A42, MatchScoutingData!X$2:X$1000)</f>
        <v/>
      </c>
      <c r="V42" s="40">
        <f>SUMIF(MatchScoutingData!$E$2:$E$1000, $A42, MatchScoutingData!AB$2:AB$1000)</f>
        <v/>
      </c>
      <c r="W42" s="40">
        <f>SUMIF(MatchScoutingData!$E$2:$E$1000, $A42, MatchScoutingData!Y$2:Y$1000)</f>
        <v/>
      </c>
      <c r="X42" s="40">
        <f>SUMIF(MatchScoutingData!$E$2:$E$1000, $A42, MatchScoutingData!Z$2:Z$1000)</f>
        <v/>
      </c>
      <c r="Y42" s="40">
        <f>SUMIF(MatchScoutingData!$E$2:$E$1000, $A42, MatchScoutingData!AA$2:AA$1000)</f>
        <v/>
      </c>
      <c r="Z42" s="40">
        <f>SUM(W42:Y42)</f>
        <v/>
      </c>
    </row>
    <row r="43">
      <c r="A43" s="11" t="n">
        <v>6463</v>
      </c>
      <c r="B43" s="40">
        <f>COUNTIF(MatchScoutingData!E$2:E$1000, $A43)</f>
        <v/>
      </c>
      <c r="C43" s="40">
        <f>SUMIF(MatchScoutingData!$E$2:$E$1000, $A43, MatchScoutingData!F$2:F$1000)</f>
        <v/>
      </c>
      <c r="D43" s="40">
        <f>SUMIF(MatchScoutingData!$E$2:$E$1000, $A43, MatchScoutingData!G$2:G$1000)</f>
        <v/>
      </c>
      <c r="E43" s="40">
        <f>SUMIF(MatchScoutingData!$E$2:$E$1000, $A43, MatchScoutingData!H$2:H$1000)</f>
        <v/>
      </c>
      <c r="F43" s="40">
        <f>SUMIF(MatchScoutingData!$E$2:$E$1000, $A43, MatchScoutingData!I$2:I$1000)</f>
        <v/>
      </c>
      <c r="G43" s="40">
        <f>SUMIF(MatchScoutingData!$E$2:$E$1000, $A43, MatchScoutingData!J$2:J$1000)</f>
        <v/>
      </c>
      <c r="H43" s="40">
        <f>SUMIF(MatchScoutingData!$E$2:$E$1000, $A43, MatchScoutingData!K$2:K$1000)</f>
        <v/>
      </c>
      <c r="I43" s="40">
        <f>SUMIF(MatchScoutingData!$E$2:$E$1000, $A43, MatchScoutingData!L$2:L$1000)</f>
        <v/>
      </c>
      <c r="J43" s="40">
        <f>SUMIF(MatchScoutingData!$E$2:$E$1000, $A43, MatchScoutingData!M$2:M$1000)</f>
        <v/>
      </c>
      <c r="K43" s="40">
        <f>SUMIF(MatchScoutingData!$E$2:$E$1000, $A43, MatchScoutingData!N$2:N$1000)</f>
        <v/>
      </c>
      <c r="L43" s="40">
        <f>SUMIF(MatchScoutingData!$E$2:$E$1000, $A43, MatchScoutingData!O$2:O$1000)</f>
        <v/>
      </c>
      <c r="M43" s="40">
        <f>SUMIF(MatchScoutingData!$E$2:$E$1000, $A43, MatchScoutingData!P$2:P$1000)</f>
        <v/>
      </c>
      <c r="N43" s="40">
        <f>SUMIF(MatchScoutingData!$E$2:$E$1000, $A43, MatchScoutingData!Q$2:Q$1000)</f>
        <v/>
      </c>
      <c r="O43" s="40">
        <f>SUMIF(MatchScoutingData!$E$2:$E$1000, $A43, MatchScoutingData!R$2:R$1000)</f>
        <v/>
      </c>
      <c r="P43" s="40">
        <f>SUMIF(MatchScoutingData!$E$2:$E$1000, $A43, MatchScoutingData!S$2:S$1000)</f>
        <v/>
      </c>
      <c r="Q43" s="40">
        <f>SUMIF(MatchScoutingData!$E$2:$E$1000, $A43, MatchScoutingData!T$2:T$1000)</f>
        <v/>
      </c>
      <c r="R43" s="40">
        <f>SUMIF(MatchScoutingData!$E$2:$E$1000, $A43, MatchScoutingData!U$2:U$1000)</f>
        <v/>
      </c>
      <c r="S43" s="40">
        <f>SUMIF(MatchScoutingData!$E$2:$E$1000, $A43, MatchScoutingData!V$2:V$1000)</f>
        <v/>
      </c>
      <c r="T43" s="40">
        <f>SUMIF(MatchScoutingData!$E$2:$E$1000, $A43, MatchScoutingData!W$2:W$1000)</f>
        <v/>
      </c>
      <c r="U43" s="40">
        <f>SUMIF(MatchScoutingData!$E$2:$E$1000, $A43, MatchScoutingData!X$2:X$1000)</f>
        <v/>
      </c>
      <c r="V43" s="40">
        <f>SUMIF(MatchScoutingData!$E$2:$E$1000, $A43, MatchScoutingData!AB$2:AB$1000)</f>
        <v/>
      </c>
      <c r="W43" s="40">
        <f>SUMIF(MatchScoutingData!$E$2:$E$1000, $A43, MatchScoutingData!Y$2:Y$1000)</f>
        <v/>
      </c>
      <c r="X43" s="40">
        <f>SUMIF(MatchScoutingData!$E$2:$E$1000, $A43, MatchScoutingData!Z$2:Z$1000)</f>
        <v/>
      </c>
      <c r="Y43" s="40">
        <f>SUMIF(MatchScoutingData!$E$2:$E$1000, $A43, MatchScoutingData!AA$2:AA$1000)</f>
        <v/>
      </c>
      <c r="Z43" s="40">
        <f>SUM(W43:Y43)</f>
        <v/>
      </c>
    </row>
    <row r="44">
      <c r="A44" s="11" t="n">
        <v>6621</v>
      </c>
      <c r="B44" s="40">
        <f>COUNTIF(MatchScoutingData!E$2:E$1000, $A44)</f>
        <v/>
      </c>
      <c r="C44" s="40">
        <f>SUMIF(MatchScoutingData!$E$2:$E$1000, $A44, MatchScoutingData!F$2:F$1000)</f>
        <v/>
      </c>
      <c r="D44" s="40">
        <f>SUMIF(MatchScoutingData!$E$2:$E$1000, $A44, MatchScoutingData!G$2:G$1000)</f>
        <v/>
      </c>
      <c r="E44" s="40">
        <f>SUMIF(MatchScoutingData!$E$2:$E$1000, $A44, MatchScoutingData!H$2:H$1000)</f>
        <v/>
      </c>
      <c r="F44" s="40">
        <f>SUMIF(MatchScoutingData!$E$2:$E$1000, $A44, MatchScoutingData!I$2:I$1000)</f>
        <v/>
      </c>
      <c r="G44" s="40">
        <f>SUMIF(MatchScoutingData!$E$2:$E$1000, $A44, MatchScoutingData!J$2:J$1000)</f>
        <v/>
      </c>
      <c r="H44" s="40">
        <f>SUMIF(MatchScoutingData!$E$2:$E$1000, $A44, MatchScoutingData!K$2:K$1000)</f>
        <v/>
      </c>
      <c r="I44" s="40">
        <f>SUMIF(MatchScoutingData!$E$2:$E$1000, $A44, MatchScoutingData!L$2:L$1000)</f>
        <v/>
      </c>
      <c r="J44" s="40">
        <f>SUMIF(MatchScoutingData!$E$2:$E$1000, $A44, MatchScoutingData!M$2:M$1000)</f>
        <v/>
      </c>
      <c r="K44" s="40">
        <f>SUMIF(MatchScoutingData!$E$2:$E$1000, $A44, MatchScoutingData!N$2:N$1000)</f>
        <v/>
      </c>
      <c r="L44" s="40">
        <f>SUMIF(MatchScoutingData!$E$2:$E$1000, $A44, MatchScoutingData!O$2:O$1000)</f>
        <v/>
      </c>
      <c r="M44" s="40">
        <f>SUMIF(MatchScoutingData!$E$2:$E$1000, $A44, MatchScoutingData!P$2:P$1000)</f>
        <v/>
      </c>
      <c r="N44" s="40">
        <f>SUMIF(MatchScoutingData!$E$2:$E$1000, $A44, MatchScoutingData!Q$2:Q$1000)</f>
        <v/>
      </c>
      <c r="O44" s="40">
        <f>SUMIF(MatchScoutingData!$E$2:$E$1000, $A44, MatchScoutingData!R$2:R$1000)</f>
        <v/>
      </c>
      <c r="P44" s="40">
        <f>SUMIF(MatchScoutingData!$E$2:$E$1000, $A44, MatchScoutingData!S$2:S$1000)</f>
        <v/>
      </c>
      <c r="Q44" s="40">
        <f>SUMIF(MatchScoutingData!$E$2:$E$1000, $A44, MatchScoutingData!T$2:T$1000)</f>
        <v/>
      </c>
      <c r="R44" s="40">
        <f>SUMIF(MatchScoutingData!$E$2:$E$1000, $A44, MatchScoutingData!U$2:U$1000)</f>
        <v/>
      </c>
      <c r="S44" s="40">
        <f>SUMIF(MatchScoutingData!$E$2:$E$1000, $A44, MatchScoutingData!V$2:V$1000)</f>
        <v/>
      </c>
      <c r="T44" s="40">
        <f>SUMIF(MatchScoutingData!$E$2:$E$1000, $A44, MatchScoutingData!W$2:W$1000)</f>
        <v/>
      </c>
      <c r="U44" s="40">
        <f>SUMIF(MatchScoutingData!$E$2:$E$1000, $A44, MatchScoutingData!X$2:X$1000)</f>
        <v/>
      </c>
      <c r="V44" s="40">
        <f>SUMIF(MatchScoutingData!$E$2:$E$1000, $A44, MatchScoutingData!AB$2:AB$1000)</f>
        <v/>
      </c>
      <c r="W44" s="40">
        <f>SUMIF(MatchScoutingData!$E$2:$E$1000, $A44, MatchScoutingData!Y$2:Y$1000)</f>
        <v/>
      </c>
      <c r="X44" s="40">
        <f>SUMIF(MatchScoutingData!$E$2:$E$1000, $A44, MatchScoutingData!Z$2:Z$1000)</f>
        <v/>
      </c>
      <c r="Y44" s="40">
        <f>SUMIF(MatchScoutingData!$E$2:$E$1000, $A44, MatchScoutingData!AA$2:AA$1000)</f>
        <v/>
      </c>
      <c r="Z44" s="40">
        <f>SUM(W44:Y44)</f>
        <v/>
      </c>
    </row>
    <row r="45">
      <c r="A45" s="11" t="n">
        <v>6648</v>
      </c>
      <c r="B45" s="40">
        <f>COUNTIF(MatchScoutingData!E$2:E$1000, $A45)</f>
        <v/>
      </c>
      <c r="C45" s="40">
        <f>SUMIF(MatchScoutingData!$E$2:$E$1000, $A45, MatchScoutingData!F$2:F$1000)</f>
        <v/>
      </c>
      <c r="D45" s="40">
        <f>SUMIF(MatchScoutingData!$E$2:$E$1000, $A45, MatchScoutingData!G$2:G$1000)</f>
        <v/>
      </c>
      <c r="E45" s="40">
        <f>SUMIF(MatchScoutingData!$E$2:$E$1000, $A45, MatchScoutingData!H$2:H$1000)</f>
        <v/>
      </c>
      <c r="F45" s="40">
        <f>SUMIF(MatchScoutingData!$E$2:$E$1000, $A45, MatchScoutingData!I$2:I$1000)</f>
        <v/>
      </c>
      <c r="G45" s="40">
        <f>SUMIF(MatchScoutingData!$E$2:$E$1000, $A45, MatchScoutingData!J$2:J$1000)</f>
        <v/>
      </c>
      <c r="H45" s="40">
        <f>SUMIF(MatchScoutingData!$E$2:$E$1000, $A45, MatchScoutingData!K$2:K$1000)</f>
        <v/>
      </c>
      <c r="I45" s="40">
        <f>SUMIF(MatchScoutingData!$E$2:$E$1000, $A45, MatchScoutingData!L$2:L$1000)</f>
        <v/>
      </c>
      <c r="J45" s="40">
        <f>SUMIF(MatchScoutingData!$E$2:$E$1000, $A45, MatchScoutingData!M$2:M$1000)</f>
        <v/>
      </c>
      <c r="K45" s="40">
        <f>SUMIF(MatchScoutingData!$E$2:$E$1000, $A45, MatchScoutingData!N$2:N$1000)</f>
        <v/>
      </c>
      <c r="L45" s="40">
        <f>SUMIF(MatchScoutingData!$E$2:$E$1000, $A45, MatchScoutingData!O$2:O$1000)</f>
        <v/>
      </c>
      <c r="M45" s="40">
        <f>SUMIF(MatchScoutingData!$E$2:$E$1000, $A45, MatchScoutingData!P$2:P$1000)</f>
        <v/>
      </c>
      <c r="N45" s="40">
        <f>SUMIF(MatchScoutingData!$E$2:$E$1000, $A45, MatchScoutingData!Q$2:Q$1000)</f>
        <v/>
      </c>
      <c r="O45" s="40">
        <f>SUMIF(MatchScoutingData!$E$2:$E$1000, $A45, MatchScoutingData!R$2:R$1000)</f>
        <v/>
      </c>
      <c r="P45" s="40">
        <f>SUMIF(MatchScoutingData!$E$2:$E$1000, $A45, MatchScoutingData!S$2:S$1000)</f>
        <v/>
      </c>
      <c r="Q45" s="40">
        <f>SUMIF(MatchScoutingData!$E$2:$E$1000, $A45, MatchScoutingData!T$2:T$1000)</f>
        <v/>
      </c>
      <c r="R45" s="40">
        <f>SUMIF(MatchScoutingData!$E$2:$E$1000, $A45, MatchScoutingData!U$2:U$1000)</f>
        <v/>
      </c>
      <c r="S45" s="40">
        <f>SUMIF(MatchScoutingData!$E$2:$E$1000, $A45, MatchScoutingData!V$2:V$1000)</f>
        <v/>
      </c>
      <c r="T45" s="40">
        <f>SUMIF(MatchScoutingData!$E$2:$E$1000, $A45, MatchScoutingData!W$2:W$1000)</f>
        <v/>
      </c>
      <c r="U45" s="40">
        <f>SUMIF(MatchScoutingData!$E$2:$E$1000, $A45, MatchScoutingData!X$2:X$1000)</f>
        <v/>
      </c>
      <c r="V45" s="40">
        <f>SUMIF(MatchScoutingData!$E$2:$E$1000, $A45, MatchScoutingData!AB$2:AB$1000)</f>
        <v/>
      </c>
      <c r="W45" s="40">
        <f>SUMIF(MatchScoutingData!$E$2:$E$1000, $A45, MatchScoutingData!Y$2:Y$1000)</f>
        <v/>
      </c>
      <c r="X45" s="40">
        <f>SUMIF(MatchScoutingData!$E$2:$E$1000, $A45, MatchScoutingData!Z$2:Z$1000)</f>
        <v/>
      </c>
      <c r="Y45" s="40">
        <f>SUMIF(MatchScoutingData!$E$2:$E$1000, $A45, MatchScoutingData!AA$2:AA$1000)</f>
        <v/>
      </c>
      <c r="Z45" s="40">
        <f>SUM(W45:Y45)</f>
        <v/>
      </c>
    </row>
    <row r="46">
      <c r="A46" s="11" t="n">
        <v>6806</v>
      </c>
      <c r="B46" s="40">
        <f>COUNTIF(MatchScoutingData!E$2:E$1000, $A46)</f>
        <v/>
      </c>
      <c r="C46" s="40">
        <f>SUMIF(MatchScoutingData!$E$2:$E$1000, $A46, MatchScoutingData!F$2:F$1000)</f>
        <v/>
      </c>
      <c r="D46" s="40">
        <f>SUMIF(MatchScoutingData!$E$2:$E$1000, $A46, MatchScoutingData!G$2:G$1000)</f>
        <v/>
      </c>
      <c r="E46" s="40">
        <f>SUMIF(MatchScoutingData!$E$2:$E$1000, $A46, MatchScoutingData!H$2:H$1000)</f>
        <v/>
      </c>
      <c r="F46" s="40">
        <f>SUMIF(MatchScoutingData!$E$2:$E$1000, $A46, MatchScoutingData!I$2:I$1000)</f>
        <v/>
      </c>
      <c r="G46" s="40">
        <f>SUMIF(MatchScoutingData!$E$2:$E$1000, $A46, MatchScoutingData!J$2:J$1000)</f>
        <v/>
      </c>
      <c r="H46" s="40">
        <f>SUMIF(MatchScoutingData!$E$2:$E$1000, $A46, MatchScoutingData!K$2:K$1000)</f>
        <v/>
      </c>
      <c r="I46" s="40">
        <f>SUMIF(MatchScoutingData!$E$2:$E$1000, $A46, MatchScoutingData!L$2:L$1000)</f>
        <v/>
      </c>
      <c r="J46" s="40">
        <f>SUMIF(MatchScoutingData!$E$2:$E$1000, $A46, MatchScoutingData!M$2:M$1000)</f>
        <v/>
      </c>
      <c r="K46" s="40">
        <f>SUMIF(MatchScoutingData!$E$2:$E$1000, $A46, MatchScoutingData!N$2:N$1000)</f>
        <v/>
      </c>
      <c r="L46" s="40">
        <f>SUMIF(MatchScoutingData!$E$2:$E$1000, $A46, MatchScoutingData!O$2:O$1000)</f>
        <v/>
      </c>
      <c r="M46" s="40">
        <f>SUMIF(MatchScoutingData!$E$2:$E$1000, $A46, MatchScoutingData!P$2:P$1000)</f>
        <v/>
      </c>
      <c r="N46" s="40">
        <f>SUMIF(MatchScoutingData!$E$2:$E$1000, $A46, MatchScoutingData!Q$2:Q$1000)</f>
        <v/>
      </c>
      <c r="O46" s="40">
        <f>SUMIF(MatchScoutingData!$E$2:$E$1000, $A46, MatchScoutingData!R$2:R$1000)</f>
        <v/>
      </c>
      <c r="P46" s="40">
        <f>SUMIF(MatchScoutingData!$E$2:$E$1000, $A46, MatchScoutingData!S$2:S$1000)</f>
        <v/>
      </c>
      <c r="Q46" s="40">
        <f>SUMIF(MatchScoutingData!$E$2:$E$1000, $A46, MatchScoutingData!T$2:T$1000)</f>
        <v/>
      </c>
      <c r="R46" s="40">
        <f>SUMIF(MatchScoutingData!$E$2:$E$1000, $A46, MatchScoutingData!U$2:U$1000)</f>
        <v/>
      </c>
      <c r="S46" s="40">
        <f>SUMIF(MatchScoutingData!$E$2:$E$1000, $A46, MatchScoutingData!V$2:V$1000)</f>
        <v/>
      </c>
      <c r="T46" s="40">
        <f>SUMIF(MatchScoutingData!$E$2:$E$1000, $A46, MatchScoutingData!W$2:W$1000)</f>
        <v/>
      </c>
      <c r="U46" s="40">
        <f>SUMIF(MatchScoutingData!$E$2:$E$1000, $A46, MatchScoutingData!X$2:X$1000)</f>
        <v/>
      </c>
      <c r="V46" s="40">
        <f>SUMIF(MatchScoutingData!$E$2:$E$1000, $A46, MatchScoutingData!AB$2:AB$1000)</f>
        <v/>
      </c>
      <c r="W46" s="40">
        <f>SUMIF(MatchScoutingData!$E$2:$E$1000, $A46, MatchScoutingData!Y$2:Y$1000)</f>
        <v/>
      </c>
      <c r="X46" s="40">
        <f>SUMIF(MatchScoutingData!$E$2:$E$1000, $A46, MatchScoutingData!Z$2:Z$1000)</f>
        <v/>
      </c>
      <c r="Y46" s="40">
        <f>SUMIF(MatchScoutingData!$E$2:$E$1000, $A46, MatchScoutingData!AA$2:AA$1000)</f>
        <v/>
      </c>
      <c r="Z46" s="40">
        <f>SUM(W46:Y46)</f>
        <v/>
      </c>
    </row>
    <row r="47">
      <c r="A47" s="11" t="n">
        <v>7031</v>
      </c>
      <c r="B47" s="40">
        <f>COUNTIF(MatchScoutingData!E$2:E$1000, $A47)</f>
        <v/>
      </c>
      <c r="C47" s="40">
        <f>SUMIF(MatchScoutingData!$E$2:$E$1000, $A47, MatchScoutingData!F$2:F$1000)</f>
        <v/>
      </c>
      <c r="D47" s="40">
        <f>SUMIF(MatchScoutingData!$E$2:$E$1000, $A47, MatchScoutingData!G$2:G$1000)</f>
        <v/>
      </c>
      <c r="E47" s="40">
        <f>SUMIF(MatchScoutingData!$E$2:$E$1000, $A47, MatchScoutingData!H$2:H$1000)</f>
        <v/>
      </c>
      <c r="F47" s="40">
        <f>SUMIF(MatchScoutingData!$E$2:$E$1000, $A47, MatchScoutingData!I$2:I$1000)</f>
        <v/>
      </c>
      <c r="G47" s="40">
        <f>SUMIF(MatchScoutingData!$E$2:$E$1000, $A47, MatchScoutingData!J$2:J$1000)</f>
        <v/>
      </c>
      <c r="H47" s="40">
        <f>SUMIF(MatchScoutingData!$E$2:$E$1000, $A47, MatchScoutingData!K$2:K$1000)</f>
        <v/>
      </c>
      <c r="I47" s="40">
        <f>SUMIF(MatchScoutingData!$E$2:$E$1000, $A47, MatchScoutingData!L$2:L$1000)</f>
        <v/>
      </c>
      <c r="J47" s="40">
        <f>SUMIF(MatchScoutingData!$E$2:$E$1000, $A47, MatchScoutingData!M$2:M$1000)</f>
        <v/>
      </c>
      <c r="K47" s="40">
        <f>SUMIF(MatchScoutingData!$E$2:$E$1000, $A47, MatchScoutingData!N$2:N$1000)</f>
        <v/>
      </c>
      <c r="L47" s="40">
        <f>SUMIF(MatchScoutingData!$E$2:$E$1000, $A47, MatchScoutingData!O$2:O$1000)</f>
        <v/>
      </c>
      <c r="M47" s="40">
        <f>SUMIF(MatchScoutingData!$E$2:$E$1000, $A47, MatchScoutingData!P$2:P$1000)</f>
        <v/>
      </c>
      <c r="N47" s="40">
        <f>SUMIF(MatchScoutingData!$E$2:$E$1000, $A47, MatchScoutingData!Q$2:Q$1000)</f>
        <v/>
      </c>
      <c r="O47" s="40">
        <f>SUMIF(MatchScoutingData!$E$2:$E$1000, $A47, MatchScoutingData!R$2:R$1000)</f>
        <v/>
      </c>
      <c r="P47" s="40">
        <f>SUMIF(MatchScoutingData!$E$2:$E$1000, $A47, MatchScoutingData!S$2:S$1000)</f>
        <v/>
      </c>
      <c r="Q47" s="40">
        <f>SUMIF(MatchScoutingData!$E$2:$E$1000, $A47, MatchScoutingData!T$2:T$1000)</f>
        <v/>
      </c>
      <c r="R47" s="40">
        <f>SUMIF(MatchScoutingData!$E$2:$E$1000, $A47, MatchScoutingData!U$2:U$1000)</f>
        <v/>
      </c>
      <c r="S47" s="40">
        <f>SUMIF(MatchScoutingData!$E$2:$E$1000, $A47, MatchScoutingData!V$2:V$1000)</f>
        <v/>
      </c>
      <c r="T47" s="40">
        <f>SUMIF(MatchScoutingData!$E$2:$E$1000, $A47, MatchScoutingData!W$2:W$1000)</f>
        <v/>
      </c>
      <c r="U47" s="40">
        <f>SUMIF(MatchScoutingData!$E$2:$E$1000, $A47, MatchScoutingData!X$2:X$1000)</f>
        <v/>
      </c>
      <c r="V47" s="40">
        <f>SUMIF(MatchScoutingData!$E$2:$E$1000, $A47, MatchScoutingData!AB$2:AB$1000)</f>
        <v/>
      </c>
      <c r="W47" s="40">
        <f>SUMIF(MatchScoutingData!$E$2:$E$1000, $A47, MatchScoutingData!Y$2:Y$1000)</f>
        <v/>
      </c>
      <c r="X47" s="40">
        <f>SUMIF(MatchScoutingData!$E$2:$E$1000, $A47, MatchScoutingData!Z$2:Z$1000)</f>
        <v/>
      </c>
      <c r="Y47" s="40">
        <f>SUMIF(MatchScoutingData!$E$2:$E$1000, $A47, MatchScoutingData!AA$2:AA$1000)</f>
        <v/>
      </c>
      <c r="Z47" s="40">
        <f>SUM(W47:Y47)</f>
        <v/>
      </c>
    </row>
    <row r="48">
      <c r="A48" s="11" t="n">
        <v>7504</v>
      </c>
      <c r="B48" s="40">
        <f>COUNTIF(MatchScoutingData!E$2:E$1000, $A48)</f>
        <v/>
      </c>
      <c r="C48" s="40">
        <f>SUMIF(MatchScoutingData!$E$2:$E$1000, $A48, MatchScoutingData!F$2:F$1000)</f>
        <v/>
      </c>
      <c r="D48" s="40">
        <f>SUMIF(MatchScoutingData!$E$2:$E$1000, $A48, MatchScoutingData!G$2:G$1000)</f>
        <v/>
      </c>
      <c r="E48" s="40">
        <f>SUMIF(MatchScoutingData!$E$2:$E$1000, $A48, MatchScoutingData!H$2:H$1000)</f>
        <v/>
      </c>
      <c r="F48" s="40">
        <f>SUMIF(MatchScoutingData!$E$2:$E$1000, $A48, MatchScoutingData!I$2:I$1000)</f>
        <v/>
      </c>
      <c r="G48" s="40">
        <f>SUMIF(MatchScoutingData!$E$2:$E$1000, $A48, MatchScoutingData!J$2:J$1000)</f>
        <v/>
      </c>
      <c r="H48" s="40">
        <f>SUMIF(MatchScoutingData!$E$2:$E$1000, $A48, MatchScoutingData!K$2:K$1000)</f>
        <v/>
      </c>
      <c r="I48" s="40">
        <f>SUMIF(MatchScoutingData!$E$2:$E$1000, $A48, MatchScoutingData!L$2:L$1000)</f>
        <v/>
      </c>
      <c r="J48" s="40">
        <f>SUMIF(MatchScoutingData!$E$2:$E$1000, $A48, MatchScoutingData!M$2:M$1000)</f>
        <v/>
      </c>
      <c r="K48" s="40">
        <f>SUMIF(MatchScoutingData!$E$2:$E$1000, $A48, MatchScoutingData!N$2:N$1000)</f>
        <v/>
      </c>
      <c r="L48" s="40">
        <f>SUMIF(MatchScoutingData!$E$2:$E$1000, $A48, MatchScoutingData!O$2:O$1000)</f>
        <v/>
      </c>
      <c r="M48" s="40">
        <f>SUMIF(MatchScoutingData!$E$2:$E$1000, $A48, MatchScoutingData!P$2:P$1000)</f>
        <v/>
      </c>
      <c r="N48" s="40">
        <f>SUMIF(MatchScoutingData!$E$2:$E$1000, $A48, MatchScoutingData!Q$2:Q$1000)</f>
        <v/>
      </c>
      <c r="O48" s="40">
        <f>SUMIF(MatchScoutingData!$E$2:$E$1000, $A48, MatchScoutingData!R$2:R$1000)</f>
        <v/>
      </c>
      <c r="P48" s="40">
        <f>SUMIF(MatchScoutingData!$E$2:$E$1000, $A48, MatchScoutingData!S$2:S$1000)</f>
        <v/>
      </c>
      <c r="Q48" s="40">
        <f>SUMIF(MatchScoutingData!$E$2:$E$1000, $A48, MatchScoutingData!T$2:T$1000)</f>
        <v/>
      </c>
      <c r="R48" s="40">
        <f>SUMIF(MatchScoutingData!$E$2:$E$1000, $A48, MatchScoutingData!U$2:U$1000)</f>
        <v/>
      </c>
      <c r="S48" s="40">
        <f>SUMIF(MatchScoutingData!$E$2:$E$1000, $A48, MatchScoutingData!V$2:V$1000)</f>
        <v/>
      </c>
      <c r="T48" s="40">
        <f>SUMIF(MatchScoutingData!$E$2:$E$1000, $A48, MatchScoutingData!W$2:W$1000)</f>
        <v/>
      </c>
      <c r="U48" s="40">
        <f>SUMIF(MatchScoutingData!$E$2:$E$1000, $A48, MatchScoutingData!X$2:X$1000)</f>
        <v/>
      </c>
      <c r="V48" s="40">
        <f>SUMIF(MatchScoutingData!$E$2:$E$1000, $A48, MatchScoutingData!AB$2:AB$1000)</f>
        <v/>
      </c>
      <c r="W48" s="40">
        <f>SUMIF(MatchScoutingData!$E$2:$E$1000, $A48, MatchScoutingData!Y$2:Y$1000)</f>
        <v/>
      </c>
      <c r="X48" s="40">
        <f>SUMIF(MatchScoutingData!$E$2:$E$1000, $A48, MatchScoutingData!Z$2:Z$1000)</f>
        <v/>
      </c>
      <c r="Y48" s="40">
        <f>SUMIF(MatchScoutingData!$E$2:$E$1000, $A48, MatchScoutingData!AA$2:AA$1000)</f>
        <v/>
      </c>
      <c r="Z48" s="40">
        <f>SUM(W48:Y48)</f>
        <v/>
      </c>
    </row>
    <row r="49">
      <c r="A49" s="11" t="n">
        <v>7605</v>
      </c>
      <c r="B49" s="40">
        <f>COUNTIF(MatchScoutingData!E$2:E$1000, $A49)</f>
        <v/>
      </c>
      <c r="C49" s="40">
        <f>SUMIF(MatchScoutingData!$E$2:$E$1000, $A49, MatchScoutingData!F$2:F$1000)</f>
        <v/>
      </c>
      <c r="D49" s="40">
        <f>SUMIF(MatchScoutingData!$E$2:$E$1000, $A49, MatchScoutingData!G$2:G$1000)</f>
        <v/>
      </c>
      <c r="E49" s="40">
        <f>SUMIF(MatchScoutingData!$E$2:$E$1000, $A49, MatchScoutingData!H$2:H$1000)</f>
        <v/>
      </c>
      <c r="F49" s="40">
        <f>SUMIF(MatchScoutingData!$E$2:$E$1000, $A49, MatchScoutingData!I$2:I$1000)</f>
        <v/>
      </c>
      <c r="G49" s="40">
        <f>SUMIF(MatchScoutingData!$E$2:$E$1000, $A49, MatchScoutingData!J$2:J$1000)</f>
        <v/>
      </c>
      <c r="H49" s="40">
        <f>SUMIF(MatchScoutingData!$E$2:$E$1000, $A49, MatchScoutingData!K$2:K$1000)</f>
        <v/>
      </c>
      <c r="I49" s="40">
        <f>SUMIF(MatchScoutingData!$E$2:$E$1000, $A49, MatchScoutingData!L$2:L$1000)</f>
        <v/>
      </c>
      <c r="J49" s="40">
        <f>SUMIF(MatchScoutingData!$E$2:$E$1000, $A49, MatchScoutingData!M$2:M$1000)</f>
        <v/>
      </c>
      <c r="K49" s="40">
        <f>SUMIF(MatchScoutingData!$E$2:$E$1000, $A49, MatchScoutingData!N$2:N$1000)</f>
        <v/>
      </c>
      <c r="L49" s="40">
        <f>SUMIF(MatchScoutingData!$E$2:$E$1000, $A49, MatchScoutingData!O$2:O$1000)</f>
        <v/>
      </c>
      <c r="M49" s="40">
        <f>SUMIF(MatchScoutingData!$E$2:$E$1000, $A49, MatchScoutingData!P$2:P$1000)</f>
        <v/>
      </c>
      <c r="N49" s="40">
        <f>SUMIF(MatchScoutingData!$E$2:$E$1000, $A49, MatchScoutingData!Q$2:Q$1000)</f>
        <v/>
      </c>
      <c r="O49" s="40">
        <f>SUMIF(MatchScoutingData!$E$2:$E$1000, $A49, MatchScoutingData!R$2:R$1000)</f>
        <v/>
      </c>
      <c r="P49" s="40">
        <f>SUMIF(MatchScoutingData!$E$2:$E$1000, $A49, MatchScoutingData!S$2:S$1000)</f>
        <v/>
      </c>
      <c r="Q49" s="40">
        <f>SUMIF(MatchScoutingData!$E$2:$E$1000, $A49, MatchScoutingData!T$2:T$1000)</f>
        <v/>
      </c>
      <c r="R49" s="40">
        <f>SUMIF(MatchScoutingData!$E$2:$E$1000, $A49, MatchScoutingData!U$2:U$1000)</f>
        <v/>
      </c>
      <c r="S49" s="40">
        <f>SUMIF(MatchScoutingData!$E$2:$E$1000, $A49, MatchScoutingData!V$2:V$1000)</f>
        <v/>
      </c>
      <c r="T49" s="40">
        <f>SUMIF(MatchScoutingData!$E$2:$E$1000, $A49, MatchScoutingData!W$2:W$1000)</f>
        <v/>
      </c>
      <c r="U49" s="40">
        <f>SUMIF(MatchScoutingData!$E$2:$E$1000, $A49, MatchScoutingData!X$2:X$1000)</f>
        <v/>
      </c>
      <c r="V49" s="40">
        <f>SUMIF(MatchScoutingData!$E$2:$E$1000, $A49, MatchScoutingData!AB$2:AB$1000)</f>
        <v/>
      </c>
      <c r="W49" s="40">
        <f>SUMIF(MatchScoutingData!$E$2:$E$1000, $A49, MatchScoutingData!Y$2:Y$1000)</f>
        <v/>
      </c>
      <c r="X49" s="40">
        <f>SUMIF(MatchScoutingData!$E$2:$E$1000, $A49, MatchScoutingData!Z$2:Z$1000)</f>
        <v/>
      </c>
      <c r="Y49" s="40">
        <f>SUMIF(MatchScoutingData!$E$2:$E$1000, $A49, MatchScoutingData!AA$2:AA$1000)</f>
        <v/>
      </c>
      <c r="Z49" s="40">
        <f>SUM(W49:Y49)</f>
        <v/>
      </c>
    </row>
    <row r="50">
      <c r="A50" s="11" t="n">
        <v>7718</v>
      </c>
      <c r="B50" s="40">
        <f>COUNTIF(MatchScoutingData!E$2:E$1000, $A50)</f>
        <v/>
      </c>
      <c r="C50" s="40">
        <f>SUMIF(MatchScoutingData!$E$2:$E$1000, $A50, MatchScoutingData!F$2:F$1000)</f>
        <v/>
      </c>
      <c r="D50" s="40">
        <f>SUMIF(MatchScoutingData!$E$2:$E$1000, $A50, MatchScoutingData!G$2:G$1000)</f>
        <v/>
      </c>
      <c r="E50" s="40">
        <f>SUMIF(MatchScoutingData!$E$2:$E$1000, $A50, MatchScoutingData!H$2:H$1000)</f>
        <v/>
      </c>
      <c r="F50" s="40">
        <f>SUMIF(MatchScoutingData!$E$2:$E$1000, $A50, MatchScoutingData!I$2:I$1000)</f>
        <v/>
      </c>
      <c r="G50" s="40">
        <f>SUMIF(MatchScoutingData!$E$2:$E$1000, $A50, MatchScoutingData!J$2:J$1000)</f>
        <v/>
      </c>
      <c r="H50" s="40">
        <f>SUMIF(MatchScoutingData!$E$2:$E$1000, $A50, MatchScoutingData!K$2:K$1000)</f>
        <v/>
      </c>
      <c r="I50" s="40">
        <f>SUMIF(MatchScoutingData!$E$2:$E$1000, $A50, MatchScoutingData!L$2:L$1000)</f>
        <v/>
      </c>
      <c r="J50" s="40">
        <f>SUMIF(MatchScoutingData!$E$2:$E$1000, $A50, MatchScoutingData!M$2:M$1000)</f>
        <v/>
      </c>
      <c r="K50" s="40">
        <f>SUMIF(MatchScoutingData!$E$2:$E$1000, $A50, MatchScoutingData!N$2:N$1000)</f>
        <v/>
      </c>
      <c r="L50" s="40">
        <f>SUMIF(MatchScoutingData!$E$2:$E$1000, $A50, MatchScoutingData!O$2:O$1000)</f>
        <v/>
      </c>
      <c r="M50" s="40">
        <f>SUMIF(MatchScoutingData!$E$2:$E$1000, $A50, MatchScoutingData!P$2:P$1000)</f>
        <v/>
      </c>
      <c r="N50" s="40">
        <f>SUMIF(MatchScoutingData!$E$2:$E$1000, $A50, MatchScoutingData!Q$2:Q$1000)</f>
        <v/>
      </c>
      <c r="O50" s="40">
        <f>SUMIF(MatchScoutingData!$E$2:$E$1000, $A50, MatchScoutingData!R$2:R$1000)</f>
        <v/>
      </c>
      <c r="P50" s="40">
        <f>SUMIF(MatchScoutingData!$E$2:$E$1000, $A50, MatchScoutingData!S$2:S$1000)</f>
        <v/>
      </c>
      <c r="Q50" s="40">
        <f>SUMIF(MatchScoutingData!$E$2:$E$1000, $A50, MatchScoutingData!T$2:T$1000)</f>
        <v/>
      </c>
      <c r="R50" s="40">
        <f>SUMIF(MatchScoutingData!$E$2:$E$1000, $A50, MatchScoutingData!U$2:U$1000)</f>
        <v/>
      </c>
      <c r="S50" s="40">
        <f>SUMIF(MatchScoutingData!$E$2:$E$1000, $A50, MatchScoutingData!V$2:V$1000)</f>
        <v/>
      </c>
      <c r="T50" s="40">
        <f>SUMIF(MatchScoutingData!$E$2:$E$1000, $A50, MatchScoutingData!W$2:W$1000)</f>
        <v/>
      </c>
      <c r="U50" s="40">
        <f>SUMIF(MatchScoutingData!$E$2:$E$1000, $A50, MatchScoutingData!X$2:X$1000)</f>
        <v/>
      </c>
      <c r="V50" s="40">
        <f>SUMIF(MatchScoutingData!$E$2:$E$1000, $A50, MatchScoutingData!AB$2:AB$1000)</f>
        <v/>
      </c>
      <c r="W50" s="40">
        <f>SUMIF(MatchScoutingData!$E$2:$E$1000, $A50, MatchScoutingData!Y$2:Y$1000)</f>
        <v/>
      </c>
      <c r="X50" s="40">
        <f>SUMIF(MatchScoutingData!$E$2:$E$1000, $A50, MatchScoutingData!Z$2:Z$1000)</f>
        <v/>
      </c>
      <c r="Y50" s="40">
        <f>SUMIF(MatchScoutingData!$E$2:$E$1000, $A50, MatchScoutingData!AA$2:AA$1000)</f>
        <v/>
      </c>
      <c r="Z50" s="40">
        <f>SUM(W50:Y50)</f>
        <v/>
      </c>
    </row>
    <row r="51">
      <c r="A51" s="11" t="n">
        <v>7759</v>
      </c>
      <c r="B51" s="40">
        <f>COUNTIF(MatchScoutingData!E$2:E$1000, $A51)</f>
        <v/>
      </c>
      <c r="C51" s="40">
        <f>SUMIF(MatchScoutingData!$E$2:$E$1000, $A51, MatchScoutingData!F$2:F$1000)</f>
        <v/>
      </c>
      <c r="D51" s="40">
        <f>SUMIF(MatchScoutingData!$E$2:$E$1000, $A51, MatchScoutingData!G$2:G$1000)</f>
        <v/>
      </c>
      <c r="E51" s="40">
        <f>SUMIF(MatchScoutingData!$E$2:$E$1000, $A51, MatchScoutingData!H$2:H$1000)</f>
        <v/>
      </c>
      <c r="F51" s="40">
        <f>SUMIF(MatchScoutingData!$E$2:$E$1000, $A51, MatchScoutingData!I$2:I$1000)</f>
        <v/>
      </c>
      <c r="G51" s="40">
        <f>SUMIF(MatchScoutingData!$E$2:$E$1000, $A51, MatchScoutingData!J$2:J$1000)</f>
        <v/>
      </c>
      <c r="H51" s="40">
        <f>SUMIF(MatchScoutingData!$E$2:$E$1000, $A51, MatchScoutingData!K$2:K$1000)</f>
        <v/>
      </c>
      <c r="I51" s="40">
        <f>SUMIF(MatchScoutingData!$E$2:$E$1000, $A51, MatchScoutingData!L$2:L$1000)</f>
        <v/>
      </c>
      <c r="J51" s="40">
        <f>SUMIF(MatchScoutingData!$E$2:$E$1000, $A51, MatchScoutingData!M$2:M$1000)</f>
        <v/>
      </c>
      <c r="K51" s="40">
        <f>SUMIF(MatchScoutingData!$E$2:$E$1000, $A51, MatchScoutingData!N$2:N$1000)</f>
        <v/>
      </c>
      <c r="L51" s="40">
        <f>SUMIF(MatchScoutingData!$E$2:$E$1000, $A51, MatchScoutingData!O$2:O$1000)</f>
        <v/>
      </c>
      <c r="M51" s="40">
        <f>SUMIF(MatchScoutingData!$E$2:$E$1000, $A51, MatchScoutingData!P$2:P$1000)</f>
        <v/>
      </c>
      <c r="N51" s="40">
        <f>SUMIF(MatchScoutingData!$E$2:$E$1000, $A51, MatchScoutingData!Q$2:Q$1000)</f>
        <v/>
      </c>
      <c r="O51" s="40">
        <f>SUMIF(MatchScoutingData!$E$2:$E$1000, $A51, MatchScoutingData!R$2:R$1000)</f>
        <v/>
      </c>
      <c r="P51" s="40">
        <f>SUMIF(MatchScoutingData!$E$2:$E$1000, $A51, MatchScoutingData!S$2:S$1000)</f>
        <v/>
      </c>
      <c r="Q51" s="40">
        <f>SUMIF(MatchScoutingData!$E$2:$E$1000, $A51, MatchScoutingData!T$2:T$1000)</f>
        <v/>
      </c>
      <c r="R51" s="40">
        <f>SUMIF(MatchScoutingData!$E$2:$E$1000, $A51, MatchScoutingData!U$2:U$1000)</f>
        <v/>
      </c>
      <c r="S51" s="40">
        <f>SUMIF(MatchScoutingData!$E$2:$E$1000, $A51, MatchScoutingData!V$2:V$1000)</f>
        <v/>
      </c>
      <c r="T51" s="40">
        <f>SUMIF(MatchScoutingData!$E$2:$E$1000, $A51, MatchScoutingData!W$2:W$1000)</f>
        <v/>
      </c>
      <c r="U51" s="40">
        <f>SUMIF(MatchScoutingData!$E$2:$E$1000, $A51, MatchScoutingData!X$2:X$1000)</f>
        <v/>
      </c>
      <c r="V51" s="40">
        <f>SUMIF(MatchScoutingData!$E$2:$E$1000, $A51, MatchScoutingData!AB$2:AB$1000)</f>
        <v/>
      </c>
      <c r="W51" s="40">
        <f>SUMIF(MatchScoutingData!$E$2:$E$1000, $A51, MatchScoutingData!Y$2:Y$1000)</f>
        <v/>
      </c>
      <c r="X51" s="40">
        <f>SUMIF(MatchScoutingData!$E$2:$E$1000, $A51, MatchScoutingData!Z$2:Z$1000)</f>
        <v/>
      </c>
      <c r="Y51" s="40">
        <f>SUMIF(MatchScoutingData!$E$2:$E$1000, $A51, MatchScoutingData!AA$2:AA$1000)</f>
        <v/>
      </c>
      <c r="Z51" s="40">
        <f>SUM(W51:Y51)</f>
        <v/>
      </c>
    </row>
    <row r="52">
      <c r="A52" s="11" t="n">
        <v>7903</v>
      </c>
      <c r="B52" s="40">
        <f>COUNTIF(MatchScoutingData!E$2:E$1000, $A52)</f>
        <v/>
      </c>
      <c r="C52" s="40">
        <f>SUMIF(MatchScoutingData!$E$2:$E$1000, $A52, MatchScoutingData!F$2:F$1000)</f>
        <v/>
      </c>
      <c r="D52" s="40">
        <f>SUMIF(MatchScoutingData!$E$2:$E$1000, $A52, MatchScoutingData!G$2:G$1000)</f>
        <v/>
      </c>
      <c r="E52" s="40">
        <f>SUMIF(MatchScoutingData!$E$2:$E$1000, $A52, MatchScoutingData!H$2:H$1000)</f>
        <v/>
      </c>
      <c r="F52" s="40">
        <f>SUMIF(MatchScoutingData!$E$2:$E$1000, $A52, MatchScoutingData!I$2:I$1000)</f>
        <v/>
      </c>
      <c r="G52" s="40">
        <f>SUMIF(MatchScoutingData!$E$2:$E$1000, $A52, MatchScoutingData!J$2:J$1000)</f>
        <v/>
      </c>
      <c r="H52" s="40">
        <f>SUMIF(MatchScoutingData!$E$2:$E$1000, $A52, MatchScoutingData!K$2:K$1000)</f>
        <v/>
      </c>
      <c r="I52" s="40">
        <f>SUMIF(MatchScoutingData!$E$2:$E$1000, $A52, MatchScoutingData!L$2:L$1000)</f>
        <v/>
      </c>
      <c r="J52" s="40">
        <f>SUMIF(MatchScoutingData!$E$2:$E$1000, $A52, MatchScoutingData!M$2:M$1000)</f>
        <v/>
      </c>
      <c r="K52" s="40">
        <f>SUMIF(MatchScoutingData!$E$2:$E$1000, $A52, MatchScoutingData!N$2:N$1000)</f>
        <v/>
      </c>
      <c r="L52" s="40">
        <f>SUMIF(MatchScoutingData!$E$2:$E$1000, $A52, MatchScoutingData!O$2:O$1000)</f>
        <v/>
      </c>
      <c r="M52" s="40">
        <f>SUMIF(MatchScoutingData!$E$2:$E$1000, $A52, MatchScoutingData!P$2:P$1000)</f>
        <v/>
      </c>
      <c r="N52" s="40">
        <f>SUMIF(MatchScoutingData!$E$2:$E$1000, $A52, MatchScoutingData!Q$2:Q$1000)</f>
        <v/>
      </c>
      <c r="O52" s="40">
        <f>SUMIF(MatchScoutingData!$E$2:$E$1000, $A52, MatchScoutingData!R$2:R$1000)</f>
        <v/>
      </c>
      <c r="P52" s="40">
        <f>SUMIF(MatchScoutingData!$E$2:$E$1000, $A52, MatchScoutingData!S$2:S$1000)</f>
        <v/>
      </c>
      <c r="Q52" s="40">
        <f>SUMIF(MatchScoutingData!$E$2:$E$1000, $A52, MatchScoutingData!T$2:T$1000)</f>
        <v/>
      </c>
      <c r="R52" s="40">
        <f>SUMIF(MatchScoutingData!$E$2:$E$1000, $A52, MatchScoutingData!U$2:U$1000)</f>
        <v/>
      </c>
      <c r="S52" s="40">
        <f>SUMIF(MatchScoutingData!$E$2:$E$1000, $A52, MatchScoutingData!V$2:V$1000)</f>
        <v/>
      </c>
      <c r="T52" s="40">
        <f>SUMIF(MatchScoutingData!$E$2:$E$1000, $A52, MatchScoutingData!W$2:W$1000)</f>
        <v/>
      </c>
      <c r="U52" s="40">
        <f>SUMIF(MatchScoutingData!$E$2:$E$1000, $A52, MatchScoutingData!X$2:X$1000)</f>
        <v/>
      </c>
      <c r="V52" s="40">
        <f>SUMIF(MatchScoutingData!$E$2:$E$1000, $A52, MatchScoutingData!AB$2:AB$1000)</f>
        <v/>
      </c>
      <c r="W52" s="40">
        <f>SUMIF(MatchScoutingData!$E$2:$E$1000, $A52, MatchScoutingData!Y$2:Y$1000)</f>
        <v/>
      </c>
      <c r="X52" s="40">
        <f>SUMIF(MatchScoutingData!$E$2:$E$1000, $A52, MatchScoutingData!Z$2:Z$1000)</f>
        <v/>
      </c>
      <c r="Y52" s="40">
        <f>SUMIF(MatchScoutingData!$E$2:$E$1000, $A52, MatchScoutingData!AA$2:AA$1000)</f>
        <v/>
      </c>
      <c r="Z52" s="40">
        <f>SUM(W52:Y52)</f>
        <v/>
      </c>
    </row>
    <row r="53">
      <c r="A53" s="11" t="n">
        <v>8222</v>
      </c>
      <c r="B53" s="40">
        <f>COUNTIF(MatchScoutingData!E$2:E$1000, $A53)</f>
        <v/>
      </c>
      <c r="C53" s="40">
        <f>SUMIF(MatchScoutingData!$E$2:$E$1000, $A53, MatchScoutingData!F$2:F$1000)</f>
        <v/>
      </c>
      <c r="D53" s="40">
        <f>SUMIF(MatchScoutingData!$E$2:$E$1000, $A53, MatchScoutingData!G$2:G$1000)</f>
        <v/>
      </c>
      <c r="E53" s="40">
        <f>SUMIF(MatchScoutingData!$E$2:$E$1000, $A53, MatchScoutingData!H$2:H$1000)</f>
        <v/>
      </c>
      <c r="F53" s="40">
        <f>SUMIF(MatchScoutingData!$E$2:$E$1000, $A53, MatchScoutingData!I$2:I$1000)</f>
        <v/>
      </c>
      <c r="G53" s="40">
        <f>SUMIF(MatchScoutingData!$E$2:$E$1000, $A53, MatchScoutingData!J$2:J$1000)</f>
        <v/>
      </c>
      <c r="H53" s="40">
        <f>SUMIF(MatchScoutingData!$E$2:$E$1000, $A53, MatchScoutingData!K$2:K$1000)</f>
        <v/>
      </c>
      <c r="I53" s="40">
        <f>SUMIF(MatchScoutingData!$E$2:$E$1000, $A53, MatchScoutingData!L$2:L$1000)</f>
        <v/>
      </c>
      <c r="J53" s="40">
        <f>SUMIF(MatchScoutingData!$E$2:$E$1000, $A53, MatchScoutingData!M$2:M$1000)</f>
        <v/>
      </c>
      <c r="K53" s="40">
        <f>SUMIF(MatchScoutingData!$E$2:$E$1000, $A53, MatchScoutingData!N$2:N$1000)</f>
        <v/>
      </c>
      <c r="L53" s="40">
        <f>SUMIF(MatchScoutingData!$E$2:$E$1000, $A53, MatchScoutingData!O$2:O$1000)</f>
        <v/>
      </c>
      <c r="M53" s="40">
        <f>SUMIF(MatchScoutingData!$E$2:$E$1000, $A53, MatchScoutingData!P$2:P$1000)</f>
        <v/>
      </c>
      <c r="N53" s="40">
        <f>SUMIF(MatchScoutingData!$E$2:$E$1000, $A53, MatchScoutingData!Q$2:Q$1000)</f>
        <v/>
      </c>
      <c r="O53" s="40">
        <f>SUMIF(MatchScoutingData!$E$2:$E$1000, $A53, MatchScoutingData!R$2:R$1000)</f>
        <v/>
      </c>
      <c r="P53" s="40">
        <f>SUMIF(MatchScoutingData!$E$2:$E$1000, $A53, MatchScoutingData!S$2:S$1000)</f>
        <v/>
      </c>
      <c r="Q53" s="40">
        <f>SUMIF(MatchScoutingData!$E$2:$E$1000, $A53, MatchScoutingData!T$2:T$1000)</f>
        <v/>
      </c>
      <c r="R53" s="40">
        <f>SUMIF(MatchScoutingData!$E$2:$E$1000, $A53, MatchScoutingData!U$2:U$1000)</f>
        <v/>
      </c>
      <c r="S53" s="40">
        <f>SUMIF(MatchScoutingData!$E$2:$E$1000, $A53, MatchScoutingData!V$2:V$1000)</f>
        <v/>
      </c>
      <c r="T53" s="40">
        <f>SUMIF(MatchScoutingData!$E$2:$E$1000, $A53, MatchScoutingData!W$2:W$1000)</f>
        <v/>
      </c>
      <c r="U53" s="40">
        <f>SUMIF(MatchScoutingData!$E$2:$E$1000, $A53, MatchScoutingData!X$2:X$1000)</f>
        <v/>
      </c>
      <c r="V53" s="40">
        <f>SUMIF(MatchScoutingData!$E$2:$E$1000, $A53, MatchScoutingData!AB$2:AB$1000)</f>
        <v/>
      </c>
      <c r="W53" s="40">
        <f>SUMIF(MatchScoutingData!$E$2:$E$1000, $A53, MatchScoutingData!Y$2:Y$1000)</f>
        <v/>
      </c>
      <c r="X53" s="40">
        <f>SUMIF(MatchScoutingData!$E$2:$E$1000, $A53, MatchScoutingData!Z$2:Z$1000)</f>
        <v/>
      </c>
      <c r="Y53" s="40">
        <f>SUMIF(MatchScoutingData!$E$2:$E$1000, $A53, MatchScoutingData!AA$2:AA$1000)</f>
        <v/>
      </c>
      <c r="Z53" s="40">
        <f>SUM(W53:Y53)</f>
        <v/>
      </c>
    </row>
    <row r="54">
      <c r="A54" s="11" t="n">
        <v>9194</v>
      </c>
      <c r="B54" s="40">
        <f>COUNTIF(MatchScoutingData!E$2:E$1000, $A54)</f>
        <v/>
      </c>
      <c r="C54" s="40">
        <f>SUMIF(MatchScoutingData!$E$2:$E$1000, $A54, MatchScoutingData!F$2:F$1000)</f>
        <v/>
      </c>
      <c r="D54" s="40">
        <f>SUMIF(MatchScoutingData!$E$2:$E$1000, $A54, MatchScoutingData!G$2:G$1000)</f>
        <v/>
      </c>
      <c r="E54" s="40">
        <f>SUMIF(MatchScoutingData!$E$2:$E$1000, $A54, MatchScoutingData!H$2:H$1000)</f>
        <v/>
      </c>
      <c r="F54" s="40">
        <f>SUMIF(MatchScoutingData!$E$2:$E$1000, $A54, MatchScoutingData!I$2:I$1000)</f>
        <v/>
      </c>
      <c r="G54" s="40">
        <f>SUMIF(MatchScoutingData!$E$2:$E$1000, $A54, MatchScoutingData!J$2:J$1000)</f>
        <v/>
      </c>
      <c r="H54" s="40">
        <f>SUMIF(MatchScoutingData!$E$2:$E$1000, $A54, MatchScoutingData!K$2:K$1000)</f>
        <v/>
      </c>
      <c r="I54" s="40">
        <f>SUMIF(MatchScoutingData!$E$2:$E$1000, $A54, MatchScoutingData!L$2:L$1000)</f>
        <v/>
      </c>
      <c r="J54" s="40">
        <f>SUMIF(MatchScoutingData!$E$2:$E$1000, $A54, MatchScoutingData!M$2:M$1000)</f>
        <v/>
      </c>
      <c r="K54" s="40">
        <f>SUMIF(MatchScoutingData!$E$2:$E$1000, $A54, MatchScoutingData!N$2:N$1000)</f>
        <v/>
      </c>
      <c r="L54" s="40">
        <f>SUMIF(MatchScoutingData!$E$2:$E$1000, $A54, MatchScoutingData!O$2:O$1000)</f>
        <v/>
      </c>
      <c r="M54" s="40">
        <f>SUMIF(MatchScoutingData!$E$2:$E$1000, $A54, MatchScoutingData!P$2:P$1000)</f>
        <v/>
      </c>
      <c r="N54" s="40">
        <f>SUMIF(MatchScoutingData!$E$2:$E$1000, $A54, MatchScoutingData!Q$2:Q$1000)</f>
        <v/>
      </c>
      <c r="O54" s="40">
        <f>SUMIF(MatchScoutingData!$E$2:$E$1000, $A54, MatchScoutingData!R$2:R$1000)</f>
        <v/>
      </c>
      <c r="P54" s="40">
        <f>SUMIF(MatchScoutingData!$E$2:$E$1000, $A54, MatchScoutingData!S$2:S$1000)</f>
        <v/>
      </c>
      <c r="Q54" s="40">
        <f>SUMIF(MatchScoutingData!$E$2:$E$1000, $A54, MatchScoutingData!T$2:T$1000)</f>
        <v/>
      </c>
      <c r="R54" s="40">
        <f>SUMIF(MatchScoutingData!$E$2:$E$1000, $A54, MatchScoutingData!U$2:U$1000)</f>
        <v/>
      </c>
      <c r="S54" s="40">
        <f>SUMIF(MatchScoutingData!$E$2:$E$1000, $A54, MatchScoutingData!V$2:V$1000)</f>
        <v/>
      </c>
      <c r="T54" s="40">
        <f>SUMIF(MatchScoutingData!$E$2:$E$1000, $A54, MatchScoutingData!W$2:W$1000)</f>
        <v/>
      </c>
      <c r="U54" s="40">
        <f>SUMIF(MatchScoutingData!$E$2:$E$1000, $A54, MatchScoutingData!X$2:X$1000)</f>
        <v/>
      </c>
      <c r="V54" s="40">
        <f>SUMIF(MatchScoutingData!$E$2:$E$1000, $A54, MatchScoutingData!AB$2:AB$1000)</f>
        <v/>
      </c>
      <c r="W54" s="40">
        <f>SUMIF(MatchScoutingData!$E$2:$E$1000, $A54, MatchScoutingData!Y$2:Y$1000)</f>
        <v/>
      </c>
      <c r="X54" s="40">
        <f>SUMIF(MatchScoutingData!$E$2:$E$1000, $A54, MatchScoutingData!Z$2:Z$1000)</f>
        <v/>
      </c>
      <c r="Y54" s="40">
        <f>SUMIF(MatchScoutingData!$E$2:$E$1000, $A54, MatchScoutingData!AA$2:AA$1000)</f>
        <v/>
      </c>
      <c r="Z54" s="40">
        <f>SUM(W54:Y54)</f>
        <v/>
      </c>
    </row>
    <row r="55">
      <c r="A55" s="11" t="n">
        <v>9545</v>
      </c>
      <c r="B55" s="40">
        <f>COUNTIF(MatchScoutingData!E$2:E$1000, $A55)</f>
        <v/>
      </c>
      <c r="C55" s="40">
        <f>SUMIF(MatchScoutingData!$E$2:$E$1000, $A55, MatchScoutingData!F$2:F$1000)</f>
        <v/>
      </c>
      <c r="D55" s="40">
        <f>SUMIF(MatchScoutingData!$E$2:$E$1000, $A55, MatchScoutingData!G$2:G$1000)</f>
        <v/>
      </c>
      <c r="E55" s="40">
        <f>SUMIF(MatchScoutingData!$E$2:$E$1000, $A55, MatchScoutingData!H$2:H$1000)</f>
        <v/>
      </c>
      <c r="F55" s="40">
        <f>SUMIF(MatchScoutingData!$E$2:$E$1000, $A55, MatchScoutingData!I$2:I$1000)</f>
        <v/>
      </c>
      <c r="G55" s="40">
        <f>SUMIF(MatchScoutingData!$E$2:$E$1000, $A55, MatchScoutingData!J$2:J$1000)</f>
        <v/>
      </c>
      <c r="H55" s="40">
        <f>SUMIF(MatchScoutingData!$E$2:$E$1000, $A55, MatchScoutingData!K$2:K$1000)</f>
        <v/>
      </c>
      <c r="I55" s="40">
        <f>SUMIF(MatchScoutingData!$E$2:$E$1000, $A55, MatchScoutingData!L$2:L$1000)</f>
        <v/>
      </c>
      <c r="J55" s="40">
        <f>SUMIF(MatchScoutingData!$E$2:$E$1000, $A55, MatchScoutingData!M$2:M$1000)</f>
        <v/>
      </c>
      <c r="K55" s="40">
        <f>SUMIF(MatchScoutingData!$E$2:$E$1000, $A55, MatchScoutingData!N$2:N$1000)</f>
        <v/>
      </c>
      <c r="L55" s="40">
        <f>SUMIF(MatchScoutingData!$E$2:$E$1000, $A55, MatchScoutingData!O$2:O$1000)</f>
        <v/>
      </c>
      <c r="M55" s="40">
        <f>SUMIF(MatchScoutingData!$E$2:$E$1000, $A55, MatchScoutingData!P$2:P$1000)</f>
        <v/>
      </c>
      <c r="N55" s="40">
        <f>SUMIF(MatchScoutingData!$E$2:$E$1000, $A55, MatchScoutingData!Q$2:Q$1000)</f>
        <v/>
      </c>
      <c r="O55" s="40">
        <f>SUMIF(MatchScoutingData!$E$2:$E$1000, $A55, MatchScoutingData!R$2:R$1000)</f>
        <v/>
      </c>
      <c r="P55" s="40">
        <f>SUMIF(MatchScoutingData!$E$2:$E$1000, $A55, MatchScoutingData!S$2:S$1000)</f>
        <v/>
      </c>
      <c r="Q55" s="40">
        <f>SUMIF(MatchScoutingData!$E$2:$E$1000, $A55, MatchScoutingData!T$2:T$1000)</f>
        <v/>
      </c>
      <c r="R55" s="40">
        <f>SUMIF(MatchScoutingData!$E$2:$E$1000, $A55, MatchScoutingData!U$2:U$1000)</f>
        <v/>
      </c>
      <c r="S55" s="40">
        <f>SUMIF(MatchScoutingData!$E$2:$E$1000, $A55, MatchScoutingData!V$2:V$1000)</f>
        <v/>
      </c>
      <c r="T55" s="40">
        <f>SUMIF(MatchScoutingData!$E$2:$E$1000, $A55, MatchScoutingData!W$2:W$1000)</f>
        <v/>
      </c>
      <c r="U55" s="40">
        <f>SUMIF(MatchScoutingData!$E$2:$E$1000, $A55, MatchScoutingData!X$2:X$1000)</f>
        <v/>
      </c>
      <c r="V55" s="40">
        <f>SUMIF(MatchScoutingData!$E$2:$E$1000, $A55, MatchScoutingData!AB$2:AB$1000)</f>
        <v/>
      </c>
      <c r="W55" s="40">
        <f>SUMIF(MatchScoutingData!$E$2:$E$1000, $A55, MatchScoutingData!Y$2:Y$1000)</f>
        <v/>
      </c>
      <c r="X55" s="40">
        <f>SUMIF(MatchScoutingData!$E$2:$E$1000, $A55, MatchScoutingData!Z$2:Z$1000)</f>
        <v/>
      </c>
      <c r="Y55" s="40">
        <f>SUMIF(MatchScoutingData!$E$2:$E$1000, $A55, MatchScoutingData!AA$2:AA$1000)</f>
        <v/>
      </c>
      <c r="Z55" s="40">
        <f>SUM(W55:Y55)</f>
        <v/>
      </c>
    </row>
    <row r="56">
      <c r="A56" s="11" t="n">
        <v>9624</v>
      </c>
      <c r="B56" s="40">
        <f>COUNTIF(MatchScoutingData!E$2:E$1000, $A56)</f>
        <v/>
      </c>
      <c r="C56" s="40">
        <f>SUMIF(MatchScoutingData!$E$2:$E$1000, $A56, MatchScoutingData!F$2:F$1000)</f>
        <v/>
      </c>
      <c r="D56" s="40">
        <f>SUMIF(MatchScoutingData!$E$2:$E$1000, $A56, MatchScoutingData!G$2:G$1000)</f>
        <v/>
      </c>
      <c r="E56" s="40">
        <f>SUMIF(MatchScoutingData!$E$2:$E$1000, $A56, MatchScoutingData!H$2:H$1000)</f>
        <v/>
      </c>
      <c r="F56" s="40">
        <f>SUMIF(MatchScoutingData!$E$2:$E$1000, $A56, MatchScoutingData!I$2:I$1000)</f>
        <v/>
      </c>
      <c r="G56" s="40">
        <f>SUMIF(MatchScoutingData!$E$2:$E$1000, $A56, MatchScoutingData!J$2:J$1000)</f>
        <v/>
      </c>
      <c r="H56" s="40">
        <f>SUMIF(MatchScoutingData!$E$2:$E$1000, $A56, MatchScoutingData!K$2:K$1000)</f>
        <v/>
      </c>
      <c r="I56" s="40">
        <f>SUMIF(MatchScoutingData!$E$2:$E$1000, $A56, MatchScoutingData!L$2:L$1000)</f>
        <v/>
      </c>
      <c r="J56" s="40">
        <f>SUMIF(MatchScoutingData!$E$2:$E$1000, $A56, MatchScoutingData!M$2:M$1000)</f>
        <v/>
      </c>
      <c r="K56" s="40">
        <f>SUMIF(MatchScoutingData!$E$2:$E$1000, $A56, MatchScoutingData!N$2:N$1000)</f>
        <v/>
      </c>
      <c r="L56" s="40">
        <f>SUMIF(MatchScoutingData!$E$2:$E$1000, $A56, MatchScoutingData!O$2:O$1000)</f>
        <v/>
      </c>
      <c r="M56" s="40">
        <f>SUMIF(MatchScoutingData!$E$2:$E$1000, $A56, MatchScoutingData!P$2:P$1000)</f>
        <v/>
      </c>
      <c r="N56" s="40">
        <f>SUMIF(MatchScoutingData!$E$2:$E$1000, $A56, MatchScoutingData!Q$2:Q$1000)</f>
        <v/>
      </c>
      <c r="O56" s="40">
        <f>SUMIF(MatchScoutingData!$E$2:$E$1000, $A56, MatchScoutingData!R$2:R$1000)</f>
        <v/>
      </c>
      <c r="P56" s="40">
        <f>SUMIF(MatchScoutingData!$E$2:$E$1000, $A56, MatchScoutingData!S$2:S$1000)</f>
        <v/>
      </c>
      <c r="Q56" s="40">
        <f>SUMIF(MatchScoutingData!$E$2:$E$1000, $A56, MatchScoutingData!T$2:T$1000)</f>
        <v/>
      </c>
      <c r="R56" s="40">
        <f>SUMIF(MatchScoutingData!$E$2:$E$1000, $A56, MatchScoutingData!U$2:U$1000)</f>
        <v/>
      </c>
      <c r="S56" s="40">
        <f>SUMIF(MatchScoutingData!$E$2:$E$1000, $A56, MatchScoutingData!V$2:V$1000)</f>
        <v/>
      </c>
      <c r="T56" s="40">
        <f>SUMIF(MatchScoutingData!$E$2:$E$1000, $A56, MatchScoutingData!W$2:W$1000)</f>
        <v/>
      </c>
      <c r="U56" s="40">
        <f>SUMIF(MatchScoutingData!$E$2:$E$1000, $A56, MatchScoutingData!X$2:X$1000)</f>
        <v/>
      </c>
      <c r="V56" s="40">
        <f>SUMIF(MatchScoutingData!$E$2:$E$1000, $A56, MatchScoutingData!AB$2:AB$1000)</f>
        <v/>
      </c>
      <c r="W56" s="40">
        <f>SUMIF(MatchScoutingData!$E$2:$E$1000, $A56, MatchScoutingData!Y$2:Y$1000)</f>
        <v/>
      </c>
      <c r="X56" s="40">
        <f>SUMIF(MatchScoutingData!$E$2:$E$1000, $A56, MatchScoutingData!Z$2:Z$1000)</f>
        <v/>
      </c>
      <c r="Y56" s="40">
        <f>SUMIF(MatchScoutingData!$E$2:$E$1000, $A56, MatchScoutingData!AA$2:AA$1000)</f>
        <v/>
      </c>
      <c r="Z56" s="40">
        <f>SUM(W56:Y56)</f>
        <v/>
      </c>
    </row>
    <row r="57">
      <c r="A57" s="11" t="n">
        <v>10202</v>
      </c>
      <c r="B57" s="40">
        <f>COUNTIF(MatchScoutingData!E$2:E$1000, $A57)</f>
        <v/>
      </c>
      <c r="C57" s="40">
        <f>SUMIF(MatchScoutingData!$E$2:$E$1000, $A57, MatchScoutingData!F$2:F$1000)</f>
        <v/>
      </c>
      <c r="D57" s="40">
        <f>SUMIF(MatchScoutingData!$E$2:$E$1000, $A57, MatchScoutingData!G$2:G$1000)</f>
        <v/>
      </c>
      <c r="E57" s="40">
        <f>SUMIF(MatchScoutingData!$E$2:$E$1000, $A57, MatchScoutingData!H$2:H$1000)</f>
        <v/>
      </c>
      <c r="F57" s="40">
        <f>SUMIF(MatchScoutingData!$E$2:$E$1000, $A57, MatchScoutingData!I$2:I$1000)</f>
        <v/>
      </c>
      <c r="G57" s="40">
        <f>SUMIF(MatchScoutingData!$E$2:$E$1000, $A57, MatchScoutingData!J$2:J$1000)</f>
        <v/>
      </c>
      <c r="H57" s="40">
        <f>SUMIF(MatchScoutingData!$E$2:$E$1000, $A57, MatchScoutingData!K$2:K$1000)</f>
        <v/>
      </c>
      <c r="I57" s="40">
        <f>SUMIF(MatchScoutingData!$E$2:$E$1000, $A57, MatchScoutingData!L$2:L$1000)</f>
        <v/>
      </c>
      <c r="J57" s="40">
        <f>SUMIF(MatchScoutingData!$E$2:$E$1000, $A57, MatchScoutingData!M$2:M$1000)</f>
        <v/>
      </c>
      <c r="K57" s="40">
        <f>SUMIF(MatchScoutingData!$E$2:$E$1000, $A57, MatchScoutingData!N$2:N$1000)</f>
        <v/>
      </c>
      <c r="L57" s="40">
        <f>SUMIF(MatchScoutingData!$E$2:$E$1000, $A57, MatchScoutingData!O$2:O$1000)</f>
        <v/>
      </c>
      <c r="M57" s="40">
        <f>SUMIF(MatchScoutingData!$E$2:$E$1000, $A57, MatchScoutingData!P$2:P$1000)</f>
        <v/>
      </c>
      <c r="N57" s="40">
        <f>SUMIF(MatchScoutingData!$E$2:$E$1000, $A57, MatchScoutingData!Q$2:Q$1000)</f>
        <v/>
      </c>
      <c r="O57" s="40">
        <f>SUMIF(MatchScoutingData!$E$2:$E$1000, $A57, MatchScoutingData!R$2:R$1000)</f>
        <v/>
      </c>
      <c r="P57" s="40">
        <f>SUMIF(MatchScoutingData!$E$2:$E$1000, $A57, MatchScoutingData!S$2:S$1000)</f>
        <v/>
      </c>
      <c r="Q57" s="40">
        <f>SUMIF(MatchScoutingData!$E$2:$E$1000, $A57, MatchScoutingData!T$2:T$1000)</f>
        <v/>
      </c>
      <c r="R57" s="40">
        <f>SUMIF(MatchScoutingData!$E$2:$E$1000, $A57, MatchScoutingData!U$2:U$1000)</f>
        <v/>
      </c>
      <c r="S57" s="40">
        <f>SUMIF(MatchScoutingData!$E$2:$E$1000, $A57, MatchScoutingData!V$2:V$1000)</f>
        <v/>
      </c>
      <c r="T57" s="40">
        <f>SUMIF(MatchScoutingData!$E$2:$E$1000, $A57, MatchScoutingData!W$2:W$1000)</f>
        <v/>
      </c>
      <c r="U57" s="40">
        <f>SUMIF(MatchScoutingData!$E$2:$E$1000, $A57, MatchScoutingData!X$2:X$1000)</f>
        <v/>
      </c>
      <c r="V57" s="40">
        <f>SUMIF(MatchScoutingData!$E$2:$E$1000, $A57, MatchScoutingData!AB$2:AB$1000)</f>
        <v/>
      </c>
      <c r="W57" s="40">
        <f>SUMIF(MatchScoutingData!$E$2:$E$1000, $A57, MatchScoutingData!Y$2:Y$1000)</f>
        <v/>
      </c>
      <c r="X57" s="40">
        <f>SUMIF(MatchScoutingData!$E$2:$E$1000, $A57, MatchScoutingData!Z$2:Z$1000)</f>
        <v/>
      </c>
      <c r="Y57" s="40">
        <f>SUMIF(MatchScoutingData!$E$2:$E$1000, $A57, MatchScoutingData!AA$2:AA$1000)</f>
        <v/>
      </c>
      <c r="Z57" s="40">
        <f>SUM(W57:Y57)</f>
        <v/>
      </c>
    </row>
    <row r="58">
      <c r="A58" s="11" t="n">
        <v>10413</v>
      </c>
      <c r="B58" s="40">
        <f>COUNTIF(MatchScoutingData!E$2:E$1000, $A58)</f>
        <v/>
      </c>
      <c r="C58" s="40">
        <f>SUMIF(MatchScoutingData!$E$2:$E$1000, $A58, MatchScoutingData!F$2:F$1000)</f>
        <v/>
      </c>
      <c r="D58" s="40">
        <f>SUMIF(MatchScoutingData!$E$2:$E$1000, $A58, MatchScoutingData!G$2:G$1000)</f>
        <v/>
      </c>
      <c r="E58" s="40">
        <f>SUMIF(MatchScoutingData!$E$2:$E$1000, $A58, MatchScoutingData!H$2:H$1000)</f>
        <v/>
      </c>
      <c r="F58" s="40">
        <f>SUMIF(MatchScoutingData!$E$2:$E$1000, $A58, MatchScoutingData!I$2:I$1000)</f>
        <v/>
      </c>
      <c r="G58" s="40">
        <f>SUMIF(MatchScoutingData!$E$2:$E$1000, $A58, MatchScoutingData!J$2:J$1000)</f>
        <v/>
      </c>
      <c r="H58" s="40">
        <f>SUMIF(MatchScoutingData!$E$2:$E$1000, $A58, MatchScoutingData!K$2:K$1000)</f>
        <v/>
      </c>
      <c r="I58" s="40">
        <f>SUMIF(MatchScoutingData!$E$2:$E$1000, $A58, MatchScoutingData!L$2:L$1000)</f>
        <v/>
      </c>
      <c r="J58" s="40">
        <f>SUMIF(MatchScoutingData!$E$2:$E$1000, $A58, MatchScoutingData!M$2:M$1000)</f>
        <v/>
      </c>
      <c r="K58" s="40">
        <f>SUMIF(MatchScoutingData!$E$2:$E$1000, $A58, MatchScoutingData!N$2:N$1000)</f>
        <v/>
      </c>
      <c r="L58" s="40">
        <f>SUMIF(MatchScoutingData!$E$2:$E$1000, $A58, MatchScoutingData!O$2:O$1000)</f>
        <v/>
      </c>
      <c r="M58" s="40">
        <f>SUMIF(MatchScoutingData!$E$2:$E$1000, $A58, MatchScoutingData!P$2:P$1000)</f>
        <v/>
      </c>
      <c r="N58" s="40">
        <f>SUMIF(MatchScoutingData!$E$2:$E$1000, $A58, MatchScoutingData!Q$2:Q$1000)</f>
        <v/>
      </c>
      <c r="O58" s="40">
        <f>SUMIF(MatchScoutingData!$E$2:$E$1000, $A58, MatchScoutingData!R$2:R$1000)</f>
        <v/>
      </c>
      <c r="P58" s="40">
        <f>SUMIF(MatchScoutingData!$E$2:$E$1000, $A58, MatchScoutingData!S$2:S$1000)</f>
        <v/>
      </c>
      <c r="Q58" s="40">
        <f>SUMIF(MatchScoutingData!$E$2:$E$1000, $A58, MatchScoutingData!T$2:T$1000)</f>
        <v/>
      </c>
      <c r="R58" s="40">
        <f>SUMIF(MatchScoutingData!$E$2:$E$1000, $A58, MatchScoutingData!U$2:U$1000)</f>
        <v/>
      </c>
      <c r="S58" s="40">
        <f>SUMIF(MatchScoutingData!$E$2:$E$1000, $A58, MatchScoutingData!V$2:V$1000)</f>
        <v/>
      </c>
      <c r="T58" s="40">
        <f>SUMIF(MatchScoutingData!$E$2:$E$1000, $A58, MatchScoutingData!W$2:W$1000)</f>
        <v/>
      </c>
      <c r="U58" s="40">
        <f>SUMIF(MatchScoutingData!$E$2:$E$1000, $A58, MatchScoutingData!X$2:X$1000)</f>
        <v/>
      </c>
      <c r="V58" s="40">
        <f>SUMIF(MatchScoutingData!$E$2:$E$1000, $A58, MatchScoutingData!AB$2:AB$1000)</f>
        <v/>
      </c>
      <c r="W58" s="40">
        <f>SUMIF(MatchScoutingData!$E$2:$E$1000, $A58, MatchScoutingData!Y$2:Y$1000)</f>
        <v/>
      </c>
      <c r="X58" s="40">
        <f>SUMIF(MatchScoutingData!$E$2:$E$1000, $A58, MatchScoutingData!Z$2:Z$1000)</f>
        <v/>
      </c>
      <c r="Y58" s="40">
        <f>SUMIF(MatchScoutingData!$E$2:$E$1000, $A58, MatchScoutingData!AA$2:AA$1000)</f>
        <v/>
      </c>
      <c r="Z58" s="40">
        <f>SUM(W58:Y58)</f>
        <v/>
      </c>
    </row>
    <row r="59">
      <c r="A59" s="11" t="n">
        <v>10582</v>
      </c>
      <c r="B59" s="40">
        <f>COUNTIF(MatchScoutingData!E$2:E$1000, $A59)</f>
        <v/>
      </c>
      <c r="C59" s="40">
        <f>SUMIF(MatchScoutingData!$E$2:$E$1000, $A59, MatchScoutingData!F$2:F$1000)</f>
        <v/>
      </c>
      <c r="D59" s="40">
        <f>SUMIF(MatchScoutingData!$E$2:$E$1000, $A59, MatchScoutingData!G$2:G$1000)</f>
        <v/>
      </c>
      <c r="E59" s="40">
        <f>SUMIF(MatchScoutingData!$E$2:$E$1000, $A59, MatchScoutingData!H$2:H$1000)</f>
        <v/>
      </c>
      <c r="F59" s="40">
        <f>SUMIF(MatchScoutingData!$E$2:$E$1000, $A59, MatchScoutingData!I$2:I$1000)</f>
        <v/>
      </c>
      <c r="G59" s="40">
        <f>SUMIF(MatchScoutingData!$E$2:$E$1000, $A59, MatchScoutingData!J$2:J$1000)</f>
        <v/>
      </c>
      <c r="H59" s="40">
        <f>SUMIF(MatchScoutingData!$E$2:$E$1000, $A59, MatchScoutingData!K$2:K$1000)</f>
        <v/>
      </c>
      <c r="I59" s="40">
        <f>SUMIF(MatchScoutingData!$E$2:$E$1000, $A59, MatchScoutingData!L$2:L$1000)</f>
        <v/>
      </c>
      <c r="J59" s="40">
        <f>SUMIF(MatchScoutingData!$E$2:$E$1000, $A59, MatchScoutingData!M$2:M$1000)</f>
        <v/>
      </c>
      <c r="K59" s="40">
        <f>SUMIF(MatchScoutingData!$E$2:$E$1000, $A59, MatchScoutingData!N$2:N$1000)</f>
        <v/>
      </c>
      <c r="L59" s="40">
        <f>SUMIF(MatchScoutingData!$E$2:$E$1000, $A59, MatchScoutingData!O$2:O$1000)</f>
        <v/>
      </c>
      <c r="M59" s="40">
        <f>SUMIF(MatchScoutingData!$E$2:$E$1000, $A59, MatchScoutingData!P$2:P$1000)</f>
        <v/>
      </c>
      <c r="N59" s="40">
        <f>SUMIF(MatchScoutingData!$E$2:$E$1000, $A59, MatchScoutingData!Q$2:Q$1000)</f>
        <v/>
      </c>
      <c r="O59" s="40">
        <f>SUMIF(MatchScoutingData!$E$2:$E$1000, $A59, MatchScoutingData!R$2:R$1000)</f>
        <v/>
      </c>
      <c r="P59" s="40">
        <f>SUMIF(MatchScoutingData!$E$2:$E$1000, $A59, MatchScoutingData!S$2:S$1000)</f>
        <v/>
      </c>
      <c r="Q59" s="40">
        <f>SUMIF(MatchScoutingData!$E$2:$E$1000, $A59, MatchScoutingData!T$2:T$1000)</f>
        <v/>
      </c>
      <c r="R59" s="40">
        <f>SUMIF(MatchScoutingData!$E$2:$E$1000, $A59, MatchScoutingData!U$2:U$1000)</f>
        <v/>
      </c>
      <c r="S59" s="40">
        <f>SUMIF(MatchScoutingData!$E$2:$E$1000, $A59, MatchScoutingData!V$2:V$1000)</f>
        <v/>
      </c>
      <c r="T59" s="40">
        <f>SUMIF(MatchScoutingData!$E$2:$E$1000, $A59, MatchScoutingData!W$2:W$1000)</f>
        <v/>
      </c>
      <c r="U59" s="40">
        <f>SUMIF(MatchScoutingData!$E$2:$E$1000, $A59, MatchScoutingData!X$2:X$1000)</f>
        <v/>
      </c>
      <c r="V59" s="40">
        <f>SUMIF(MatchScoutingData!$E$2:$E$1000, $A59, MatchScoutingData!AB$2:AB$1000)</f>
        <v/>
      </c>
      <c r="W59" s="40">
        <f>SUMIF(MatchScoutingData!$E$2:$E$1000, $A59, MatchScoutingData!Y$2:Y$1000)</f>
        <v/>
      </c>
      <c r="X59" s="40">
        <f>SUMIF(MatchScoutingData!$E$2:$E$1000, $A59, MatchScoutingData!Z$2:Z$1000)</f>
        <v/>
      </c>
      <c r="Y59" s="40">
        <f>SUMIF(MatchScoutingData!$E$2:$E$1000, $A59, MatchScoutingData!AA$2:AA$1000)</f>
        <v/>
      </c>
      <c r="Z59" s="40">
        <f>SUM(W59:Y59)</f>
        <v/>
      </c>
    </row>
    <row r="60">
      <c r="A60" s="11" t="n">
        <v>10604</v>
      </c>
      <c r="B60" s="40">
        <f>COUNTIF(MatchScoutingData!E$2:E$1000, $A60)</f>
        <v/>
      </c>
      <c r="C60" s="40">
        <f>SUMIF(MatchScoutingData!$E$2:$E$1000, $A60, MatchScoutingData!F$2:F$1000)</f>
        <v/>
      </c>
      <c r="D60" s="40">
        <f>SUMIF(MatchScoutingData!$E$2:$E$1000, $A60, MatchScoutingData!G$2:G$1000)</f>
        <v/>
      </c>
      <c r="E60" s="40">
        <f>SUMIF(MatchScoutingData!$E$2:$E$1000, $A60, MatchScoutingData!H$2:H$1000)</f>
        <v/>
      </c>
      <c r="F60" s="40">
        <f>SUMIF(MatchScoutingData!$E$2:$E$1000, $A60, MatchScoutingData!I$2:I$1000)</f>
        <v/>
      </c>
      <c r="G60" s="40">
        <f>SUMIF(MatchScoutingData!$E$2:$E$1000, $A60, MatchScoutingData!J$2:J$1000)</f>
        <v/>
      </c>
      <c r="H60" s="40">
        <f>SUMIF(MatchScoutingData!$E$2:$E$1000, $A60, MatchScoutingData!K$2:K$1000)</f>
        <v/>
      </c>
      <c r="I60" s="40">
        <f>SUMIF(MatchScoutingData!$E$2:$E$1000, $A60, MatchScoutingData!L$2:L$1000)</f>
        <v/>
      </c>
      <c r="J60" s="40">
        <f>SUMIF(MatchScoutingData!$E$2:$E$1000, $A60, MatchScoutingData!M$2:M$1000)</f>
        <v/>
      </c>
      <c r="K60" s="40">
        <f>SUMIF(MatchScoutingData!$E$2:$E$1000, $A60, MatchScoutingData!N$2:N$1000)</f>
        <v/>
      </c>
      <c r="L60" s="40">
        <f>SUMIF(MatchScoutingData!$E$2:$E$1000, $A60, MatchScoutingData!O$2:O$1000)</f>
        <v/>
      </c>
      <c r="M60" s="40">
        <f>SUMIF(MatchScoutingData!$E$2:$E$1000, $A60, MatchScoutingData!P$2:P$1000)</f>
        <v/>
      </c>
      <c r="N60" s="40">
        <f>SUMIF(MatchScoutingData!$E$2:$E$1000, $A60, MatchScoutingData!Q$2:Q$1000)</f>
        <v/>
      </c>
      <c r="O60" s="40">
        <f>SUMIF(MatchScoutingData!$E$2:$E$1000, $A60, MatchScoutingData!R$2:R$1000)</f>
        <v/>
      </c>
      <c r="P60" s="40">
        <f>SUMIF(MatchScoutingData!$E$2:$E$1000, $A60, MatchScoutingData!S$2:S$1000)</f>
        <v/>
      </c>
      <c r="Q60" s="40">
        <f>SUMIF(MatchScoutingData!$E$2:$E$1000, $A60, MatchScoutingData!T$2:T$1000)</f>
        <v/>
      </c>
      <c r="R60" s="40">
        <f>SUMIF(MatchScoutingData!$E$2:$E$1000, $A60, MatchScoutingData!U$2:U$1000)</f>
        <v/>
      </c>
      <c r="S60" s="40">
        <f>SUMIF(MatchScoutingData!$E$2:$E$1000, $A60, MatchScoutingData!V$2:V$1000)</f>
        <v/>
      </c>
      <c r="T60" s="40">
        <f>SUMIF(MatchScoutingData!$E$2:$E$1000, $A60, MatchScoutingData!W$2:W$1000)</f>
        <v/>
      </c>
      <c r="U60" s="40">
        <f>SUMIF(MatchScoutingData!$E$2:$E$1000, $A60, MatchScoutingData!X$2:X$1000)</f>
        <v/>
      </c>
      <c r="V60" s="40">
        <f>SUMIF(MatchScoutingData!$E$2:$E$1000, $A60, MatchScoutingData!AB$2:AB$1000)</f>
        <v/>
      </c>
      <c r="W60" s="40">
        <f>SUMIF(MatchScoutingData!$E$2:$E$1000, $A60, MatchScoutingData!Y$2:Y$1000)</f>
        <v/>
      </c>
      <c r="X60" s="40">
        <f>SUMIF(MatchScoutingData!$E$2:$E$1000, $A60, MatchScoutingData!Z$2:Z$1000)</f>
        <v/>
      </c>
      <c r="Y60" s="40">
        <f>SUMIF(MatchScoutingData!$E$2:$E$1000, $A60, MatchScoutingData!AA$2:AA$1000)</f>
        <v/>
      </c>
      <c r="Z60" s="40">
        <f>SUM(W60:Y60)</f>
        <v/>
      </c>
    </row>
    <row r="61">
      <c r="A61" s="11" t="n">
        <v>10714</v>
      </c>
      <c r="B61" s="40">
        <f>COUNTIF(MatchScoutingData!E$2:E$1000, $A61)</f>
        <v/>
      </c>
      <c r="C61" s="40">
        <f>SUMIF(MatchScoutingData!$E$2:$E$1000, $A61, MatchScoutingData!F$2:F$1000)</f>
        <v/>
      </c>
      <c r="D61" s="40">
        <f>SUMIF(MatchScoutingData!$E$2:$E$1000, $A61, MatchScoutingData!G$2:G$1000)</f>
        <v/>
      </c>
      <c r="E61" s="40">
        <f>SUMIF(MatchScoutingData!$E$2:$E$1000, $A61, MatchScoutingData!H$2:H$1000)</f>
        <v/>
      </c>
      <c r="F61" s="40">
        <f>SUMIF(MatchScoutingData!$E$2:$E$1000, $A61, MatchScoutingData!I$2:I$1000)</f>
        <v/>
      </c>
      <c r="G61" s="40">
        <f>SUMIF(MatchScoutingData!$E$2:$E$1000, $A61, MatchScoutingData!J$2:J$1000)</f>
        <v/>
      </c>
      <c r="H61" s="40">
        <f>SUMIF(MatchScoutingData!$E$2:$E$1000, $A61, MatchScoutingData!K$2:K$1000)</f>
        <v/>
      </c>
      <c r="I61" s="40">
        <f>SUMIF(MatchScoutingData!$E$2:$E$1000, $A61, MatchScoutingData!L$2:L$1000)</f>
        <v/>
      </c>
      <c r="J61" s="40">
        <f>SUMIF(MatchScoutingData!$E$2:$E$1000, $A61, MatchScoutingData!M$2:M$1000)</f>
        <v/>
      </c>
      <c r="K61" s="40">
        <f>SUMIF(MatchScoutingData!$E$2:$E$1000, $A61, MatchScoutingData!N$2:N$1000)</f>
        <v/>
      </c>
      <c r="L61" s="40">
        <f>SUMIF(MatchScoutingData!$E$2:$E$1000, $A61, MatchScoutingData!O$2:O$1000)</f>
        <v/>
      </c>
      <c r="M61" s="40">
        <f>SUMIF(MatchScoutingData!$E$2:$E$1000, $A61, MatchScoutingData!P$2:P$1000)</f>
        <v/>
      </c>
      <c r="N61" s="40">
        <f>SUMIF(MatchScoutingData!$E$2:$E$1000, $A61, MatchScoutingData!Q$2:Q$1000)</f>
        <v/>
      </c>
      <c r="O61" s="40">
        <f>SUMIF(MatchScoutingData!$E$2:$E$1000, $A61, MatchScoutingData!R$2:R$1000)</f>
        <v/>
      </c>
      <c r="P61" s="40">
        <f>SUMIF(MatchScoutingData!$E$2:$E$1000, $A61, MatchScoutingData!S$2:S$1000)</f>
        <v/>
      </c>
      <c r="Q61" s="40">
        <f>SUMIF(MatchScoutingData!$E$2:$E$1000, $A61, MatchScoutingData!T$2:T$1000)</f>
        <v/>
      </c>
      <c r="R61" s="40">
        <f>SUMIF(MatchScoutingData!$E$2:$E$1000, $A61, MatchScoutingData!U$2:U$1000)</f>
        <v/>
      </c>
      <c r="S61" s="40">
        <f>SUMIF(MatchScoutingData!$E$2:$E$1000, $A61, MatchScoutingData!V$2:V$1000)</f>
        <v/>
      </c>
      <c r="T61" s="40">
        <f>SUMIF(MatchScoutingData!$E$2:$E$1000, $A61, MatchScoutingData!W$2:W$1000)</f>
        <v/>
      </c>
      <c r="U61" s="40">
        <f>SUMIF(MatchScoutingData!$E$2:$E$1000, $A61, MatchScoutingData!X$2:X$1000)</f>
        <v/>
      </c>
      <c r="V61" s="40">
        <f>SUMIF(MatchScoutingData!$E$2:$E$1000, $A61, MatchScoutingData!AB$2:AB$1000)</f>
        <v/>
      </c>
      <c r="W61" s="40">
        <f>SUMIF(MatchScoutingData!$E$2:$E$1000, $A61, MatchScoutingData!Y$2:Y$1000)</f>
        <v/>
      </c>
      <c r="X61" s="40">
        <f>SUMIF(MatchScoutingData!$E$2:$E$1000, $A61, MatchScoutingData!Z$2:Z$1000)</f>
        <v/>
      </c>
      <c r="Y61" s="40">
        <f>SUMIF(MatchScoutingData!$E$2:$E$1000, $A61, MatchScoutingData!AA$2:AA$1000)</f>
        <v/>
      </c>
      <c r="Z61" s="40">
        <f>SUM(W61:Y61)</f>
        <v/>
      </c>
    </row>
    <row r="62">
      <c r="A62" s="11" t="n">
        <v>11010</v>
      </c>
      <c r="B62" s="40">
        <f>COUNTIF(MatchScoutingData!E$2:E$1000, $A62)</f>
        <v/>
      </c>
      <c r="C62" s="40">
        <f>SUMIF(MatchScoutingData!$E$2:$E$1000, $A62, MatchScoutingData!F$2:F$1000)</f>
        <v/>
      </c>
      <c r="D62" s="40">
        <f>SUMIF(MatchScoutingData!$E$2:$E$1000, $A62, MatchScoutingData!G$2:G$1000)</f>
        <v/>
      </c>
      <c r="E62" s="40">
        <f>SUMIF(MatchScoutingData!$E$2:$E$1000, $A62, MatchScoutingData!H$2:H$1000)</f>
        <v/>
      </c>
      <c r="F62" s="40">
        <f>SUMIF(MatchScoutingData!$E$2:$E$1000, $A62, MatchScoutingData!I$2:I$1000)</f>
        <v/>
      </c>
      <c r="G62" s="40">
        <f>SUMIF(MatchScoutingData!$E$2:$E$1000, $A62, MatchScoutingData!J$2:J$1000)</f>
        <v/>
      </c>
      <c r="H62" s="40">
        <f>SUMIF(MatchScoutingData!$E$2:$E$1000, $A62, MatchScoutingData!K$2:K$1000)</f>
        <v/>
      </c>
      <c r="I62" s="40">
        <f>SUMIF(MatchScoutingData!$E$2:$E$1000, $A62, MatchScoutingData!L$2:L$1000)</f>
        <v/>
      </c>
      <c r="J62" s="40">
        <f>SUMIF(MatchScoutingData!$E$2:$E$1000, $A62, MatchScoutingData!M$2:M$1000)</f>
        <v/>
      </c>
      <c r="K62" s="40">
        <f>SUMIF(MatchScoutingData!$E$2:$E$1000, $A62, MatchScoutingData!N$2:N$1000)</f>
        <v/>
      </c>
      <c r="L62" s="40">
        <f>SUMIF(MatchScoutingData!$E$2:$E$1000, $A62, MatchScoutingData!O$2:O$1000)</f>
        <v/>
      </c>
      <c r="M62" s="40">
        <f>SUMIF(MatchScoutingData!$E$2:$E$1000, $A62, MatchScoutingData!P$2:P$1000)</f>
        <v/>
      </c>
      <c r="N62" s="40">
        <f>SUMIF(MatchScoutingData!$E$2:$E$1000, $A62, MatchScoutingData!Q$2:Q$1000)</f>
        <v/>
      </c>
      <c r="O62" s="40">
        <f>SUMIF(MatchScoutingData!$E$2:$E$1000, $A62, MatchScoutingData!R$2:R$1000)</f>
        <v/>
      </c>
      <c r="P62" s="40">
        <f>SUMIF(MatchScoutingData!$E$2:$E$1000, $A62, MatchScoutingData!S$2:S$1000)</f>
        <v/>
      </c>
      <c r="Q62" s="40">
        <f>SUMIF(MatchScoutingData!$E$2:$E$1000, $A62, MatchScoutingData!T$2:T$1000)</f>
        <v/>
      </c>
      <c r="R62" s="40">
        <f>SUMIF(MatchScoutingData!$E$2:$E$1000, $A62, MatchScoutingData!U$2:U$1000)</f>
        <v/>
      </c>
      <c r="S62" s="40">
        <f>SUMIF(MatchScoutingData!$E$2:$E$1000, $A62, MatchScoutingData!V$2:V$1000)</f>
        <v/>
      </c>
      <c r="T62" s="40">
        <f>SUMIF(MatchScoutingData!$E$2:$E$1000, $A62, MatchScoutingData!W$2:W$1000)</f>
        <v/>
      </c>
      <c r="U62" s="40">
        <f>SUMIF(MatchScoutingData!$E$2:$E$1000, $A62, MatchScoutingData!X$2:X$1000)</f>
        <v/>
      </c>
      <c r="V62" s="40">
        <f>SUMIF(MatchScoutingData!$E$2:$E$1000, $A62, MatchScoutingData!AB$2:AB$1000)</f>
        <v/>
      </c>
      <c r="W62" s="40">
        <f>SUMIF(MatchScoutingData!$E$2:$E$1000, $A62, MatchScoutingData!Y$2:Y$1000)</f>
        <v/>
      </c>
      <c r="X62" s="40">
        <f>SUMIF(MatchScoutingData!$E$2:$E$1000, $A62, MatchScoutingData!Z$2:Z$1000)</f>
        <v/>
      </c>
      <c r="Y62" s="40">
        <f>SUMIF(MatchScoutingData!$E$2:$E$1000, $A62, MatchScoutingData!AA$2:AA$1000)</f>
        <v/>
      </c>
      <c r="Z62" s="40">
        <f>SUM(W62:Y62)</f>
        <v/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</sheetData>
  <autoFilter ref="A2:Z2"/>
  <mergeCells count="4">
    <mergeCell ref="C1:G1"/>
    <mergeCell ref="H1:O1"/>
    <mergeCell ref="U1:Z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2"/>
  <sheetViews>
    <sheetView zoomScale="150" zoomScaleNormal="15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outlineLevelCol="0"/>
  <cols>
    <col width="6.83203125" customWidth="1" min="2" max="31"/>
  </cols>
  <sheetData>
    <row r="1" ht="17" customHeight="1" thickBot="1">
      <c r="A1" s="6" t="n"/>
      <c r="B1" s="6" t="n"/>
      <c r="C1" s="14" t="inlineStr">
        <is>
          <t>Auto</t>
        </is>
      </c>
      <c r="D1" s="31" t="n"/>
      <c r="E1" s="31" t="n"/>
      <c r="F1" s="31" t="n"/>
      <c r="G1" s="31" t="n"/>
      <c r="H1" s="16" t="inlineStr">
        <is>
          <t>Teleop</t>
        </is>
      </c>
      <c r="I1" s="31" t="n"/>
      <c r="J1" s="31" t="n"/>
      <c r="K1" s="31" t="n"/>
      <c r="L1" s="31" t="n"/>
      <c r="M1" s="31" t="n"/>
      <c r="N1" s="31" t="n"/>
      <c r="O1" s="31" t="n"/>
      <c r="P1" s="18" t="inlineStr">
        <is>
          <t>Endgame</t>
        </is>
      </c>
      <c r="Q1" s="31" t="n"/>
      <c r="R1" s="31" t="n"/>
      <c r="S1" s="31" t="n"/>
      <c r="T1" s="31" t="n"/>
      <c r="U1" s="12" t="inlineStr">
        <is>
          <t>Post Match</t>
        </is>
      </c>
      <c r="V1" s="31" t="n"/>
      <c r="W1" s="31" t="n"/>
      <c r="X1" s="31" t="n"/>
      <c r="Y1" s="31" t="n"/>
      <c r="Z1" s="31" t="n"/>
      <c r="AA1" s="20" t="inlineStr">
        <is>
          <t>Overall</t>
        </is>
      </c>
    </row>
    <row r="2" ht="130" customHeight="1" thickBot="1">
      <c r="A2" s="22" t="inlineStr">
        <is>
          <t>Team</t>
        </is>
      </c>
      <c r="B2" s="23" t="inlineStr">
        <is>
          <t>Matches Scouted</t>
        </is>
      </c>
      <c r="C2" s="24" t="inlineStr">
        <is>
          <t>Climbed</t>
        </is>
      </c>
      <c r="D2" s="24" t="inlineStr">
        <is>
          <t>Level 1</t>
        </is>
      </c>
      <c r="E2" s="24" t="inlineStr">
        <is>
          <t>Moved</t>
        </is>
      </c>
      <c r="F2" s="24" t="inlineStr">
        <is>
          <t>A-Stop</t>
        </is>
      </c>
      <c r="G2" s="24" t="inlineStr">
        <is>
          <t>Fuel Scored</t>
        </is>
      </c>
      <c r="H2" s="25" t="inlineStr">
        <is>
          <t>Shoot Speed</t>
        </is>
      </c>
      <c r="I2" s="25" t="inlineStr">
        <is>
          <t>Accuracy</t>
        </is>
      </c>
      <c r="J2" s="25" t="inlineStr">
        <is>
          <t>Fuel Collected</t>
        </is>
      </c>
      <c r="K2" s="25" t="inlineStr">
        <is>
          <t>Collect Inactive</t>
        </is>
      </c>
      <c r="L2" s="25" t="inlineStr">
        <is>
          <t>Did Pass</t>
        </is>
      </c>
      <c r="M2" s="25" t="inlineStr">
        <is>
          <t>Collect Alliance Zone</t>
        </is>
      </c>
      <c r="N2" s="25" t="inlineStr">
        <is>
          <t>Collect Neutral Zone</t>
        </is>
      </c>
      <c r="O2" s="25" t="inlineStr">
        <is>
          <t>Was Intake Good</t>
        </is>
      </c>
      <c r="P2" s="26" t="inlineStr">
        <is>
          <t>Climb Success</t>
        </is>
      </c>
      <c r="Q2" s="26" t="inlineStr">
        <is>
          <t>Defense Whole Game</t>
        </is>
      </c>
      <c r="R2" s="26" t="inlineStr">
        <is>
          <t>Shot from Same Position</t>
        </is>
      </c>
      <c r="S2" s="26" t="inlineStr">
        <is>
          <t>Shoot to End</t>
        </is>
      </c>
      <c r="T2" s="26" t="inlineStr">
        <is>
          <t>Performance</t>
        </is>
      </c>
      <c r="U2" s="27" t="inlineStr">
        <is>
          <t>Match Results</t>
        </is>
      </c>
      <c r="V2" s="27" t="inlineStr">
        <is>
          <t>Total Points</t>
        </is>
      </c>
      <c r="W2" s="27" t="inlineStr">
        <is>
          <t>Energized Ranking</t>
        </is>
      </c>
      <c r="X2" s="27" t="inlineStr">
        <is>
          <t>Supercharged Ranking</t>
        </is>
      </c>
      <c r="Y2" s="27" t="inlineStr">
        <is>
          <t>Traversal Ranking</t>
        </is>
      </c>
      <c r="Z2" s="28" t="inlineStr">
        <is>
          <t>Total Ranking Points</t>
        </is>
      </c>
      <c r="AA2" s="24" t="inlineStr">
        <is>
          <t>Auto</t>
        </is>
      </c>
      <c r="AB2" s="25" t="inlineStr">
        <is>
          <t>Teleop</t>
        </is>
      </c>
      <c r="AC2" s="26" t="inlineStr">
        <is>
          <t>Endgame</t>
        </is>
      </c>
      <c r="AD2" s="29" t="inlineStr">
        <is>
          <t>Post Match</t>
        </is>
      </c>
      <c r="AE2" s="30" t="inlineStr">
        <is>
          <t>Complete</t>
        </is>
      </c>
    </row>
    <row r="3">
      <c r="A3" s="41" t="n">
        <v>20</v>
      </c>
      <c r="B3" s="42">
        <f>COUNTIF(MatchScoutingData!E$2:E$1000, $A3)</f>
        <v/>
      </c>
      <c r="C3" s="43">
        <f>PERCENTRANK('Team Scores'!$C$3:$C$1000, 'Team Scores'!$C3, 3)</f>
        <v/>
      </c>
      <c r="D3" s="43">
        <f>PERCENTRANK('Team Scores'!$D$3:$D$1000, 'Team Scores'!$D3, 3)</f>
        <v/>
      </c>
      <c r="E3" s="43">
        <f>PERCENTRANK('Team Scores'!$E$3:$E$1000, 'Team Scores'!$E3, 3)</f>
        <v/>
      </c>
      <c r="F3" s="43">
        <f>PERCENTRANK('Team Scores'!$F$3:$F$1000, 'Team Scores'!$F3, 3)</f>
        <v/>
      </c>
      <c r="G3" s="43">
        <f>PERCENTRANK('Team Scores'!$G$3:$G$1000, 'Team Scores'!$G3, 3)</f>
        <v/>
      </c>
      <c r="H3" s="43">
        <f>PERCENTRANK('Team Scores'!$H$3:$H$1000, 'Team Scores'!$H3, 3)</f>
        <v/>
      </c>
      <c r="I3" s="43">
        <f>PERCENTRANK('Team Scores'!$I$3:$I$1000, 'Team Scores'!$I3, 3)</f>
        <v/>
      </c>
      <c r="J3" s="43">
        <f>PERCENTRANK('Team Scores'!$J$3:$J$1000, 'Team Scores'!$J3, 3)</f>
        <v/>
      </c>
      <c r="K3" s="43">
        <f>PERCENTRANK('Team Scores'!$K$3:$K$1000, 'Team Scores'!$K3, 3)</f>
        <v/>
      </c>
      <c r="L3" s="43">
        <f>PERCENTRANK('Team Scores'!$L$3:$L$1000, 'Team Scores'!$L3, 3)</f>
        <v/>
      </c>
      <c r="M3" s="43">
        <f>PERCENTRANK('Team Scores'!$M$3:$M$1000, 'Team Scores'!$M3, 3)</f>
        <v/>
      </c>
      <c r="N3" s="43">
        <f>PERCENTRANK('Team Scores'!$N$3:$N$1000, 'Team Scores'!$N3, 3)</f>
        <v/>
      </c>
      <c r="O3" s="43">
        <f>PERCENTRANK('Team Scores'!$O$3:$O$1000, 'Team Scores'!$O3, 3)</f>
        <v/>
      </c>
      <c r="P3" s="43">
        <f>PERCENTRANK('Team Scores'!$P$3:$P$1000, 'Team Scores'!$P3, 3)</f>
        <v/>
      </c>
      <c r="Q3" s="43">
        <f>PERCENTRANK('Team Scores'!$Q$3:$Q$1000, 'Team Scores'!$Q3, 3)</f>
        <v/>
      </c>
      <c r="R3" s="43">
        <f>PERCENTRANK('Team Scores'!$R$3:$R$1000, 'Team Scores'!$R3, 3)</f>
        <v/>
      </c>
      <c r="S3" s="43">
        <f>PERCENTRANK('Team Scores'!$S$3:$S$1000, 'Team Scores'!$S3, 3)</f>
        <v/>
      </c>
      <c r="T3" s="43">
        <f>PERCENTRANK('Team Scores'!$T$3:$T$1000, 'Team Scores'!$T3, 3)</f>
        <v/>
      </c>
      <c r="U3" s="43">
        <f>PERCENTRANK('Team Scores'!$U$3:$U$1000, 'Team Scores'!$U3, 3)</f>
        <v/>
      </c>
      <c r="V3" s="43">
        <f>PERCENTRANK('Team Scores'!$V$3:$V$1000, 'Team Scores'!$V3, 3)</f>
        <v/>
      </c>
      <c r="W3" s="43">
        <f>PERCENTRANK('Team Scores'!$W$3:$W$1000, 'Team Scores'!$W3, 3)</f>
        <v/>
      </c>
      <c r="X3" s="43">
        <f>PERCENTRANK('Team Scores'!$X$3:$X$1000, 'Team Scores'!$X3, 3)</f>
        <v/>
      </c>
      <c r="Y3" s="43">
        <f>PERCENTRANK('Team Scores'!$Y$3:$Y$1000, 'Team Scores'!$Y3, 3)</f>
        <v/>
      </c>
      <c r="Z3" s="43">
        <f>PERCENTRANK('Team Scores'!$Z$3:$Z$1000, 'Team Scores'!$Z3, 3)</f>
        <v/>
      </c>
      <c r="AA3" s="43">
        <f>AVERAGE(C3:G3)</f>
        <v/>
      </c>
      <c r="AB3" s="43">
        <f>AVERAGE(H3:O3)</f>
        <v/>
      </c>
      <c r="AC3" s="43">
        <f>AVERAGE(P3:T3)</f>
        <v/>
      </c>
      <c r="AD3" s="43">
        <f>AVERAGE(U3:X3)</f>
        <v/>
      </c>
      <c r="AE3" s="43">
        <f>AVERAGE(AA3:AD3)</f>
        <v/>
      </c>
    </row>
    <row r="4">
      <c r="A4" s="41" t="n">
        <v>191</v>
      </c>
      <c r="B4" s="42">
        <f>COUNTIF(MatchScoutingData!E$2:E$1000, $A4)</f>
        <v/>
      </c>
      <c r="C4" s="43">
        <f>PERCENTRANK('Team Scores'!$C$3:$C$1000, 'Team Scores'!$C4, 3)</f>
        <v/>
      </c>
      <c r="D4" s="43">
        <f>PERCENTRANK('Team Scores'!$D$3:$D$1000, 'Team Scores'!$D4, 3)</f>
        <v/>
      </c>
      <c r="E4" s="43">
        <f>PERCENTRANK('Team Scores'!$E$3:$E$1000, 'Team Scores'!$E4, 3)</f>
        <v/>
      </c>
      <c r="F4" s="43">
        <f>PERCENTRANK('Team Scores'!$F$3:$F$1000, 'Team Scores'!$F4, 3)</f>
        <v/>
      </c>
      <c r="G4" s="43">
        <f>PERCENTRANK('Team Scores'!$G$3:$G$1000, 'Team Scores'!$G4, 3)</f>
        <v/>
      </c>
      <c r="H4" s="43">
        <f>PERCENTRANK('Team Scores'!$H$3:$H$1000, 'Team Scores'!$H4, 3)</f>
        <v/>
      </c>
      <c r="I4" s="43">
        <f>PERCENTRANK('Team Scores'!$I$3:$I$1000, 'Team Scores'!$I4, 3)</f>
        <v/>
      </c>
      <c r="J4" s="43">
        <f>PERCENTRANK('Team Scores'!$J$3:$J$1000, 'Team Scores'!$J4, 3)</f>
        <v/>
      </c>
      <c r="K4" s="43">
        <f>PERCENTRANK('Team Scores'!$K$3:$K$1000, 'Team Scores'!$K4, 3)</f>
        <v/>
      </c>
      <c r="L4" s="43">
        <f>PERCENTRANK('Team Scores'!$L$3:$L$1000, 'Team Scores'!$L4, 3)</f>
        <v/>
      </c>
      <c r="M4" s="43">
        <f>PERCENTRANK('Team Scores'!$M$3:$M$1000, 'Team Scores'!$M4, 3)</f>
        <v/>
      </c>
      <c r="N4" s="43">
        <f>PERCENTRANK('Team Scores'!$N$3:$N$1000, 'Team Scores'!$N4, 3)</f>
        <v/>
      </c>
      <c r="O4" s="43">
        <f>PERCENTRANK('Team Scores'!$O$3:$O$1000, 'Team Scores'!$O4, 3)</f>
        <v/>
      </c>
      <c r="P4" s="43">
        <f>PERCENTRANK('Team Scores'!$P$3:$P$1000, 'Team Scores'!$P4, 3)</f>
        <v/>
      </c>
      <c r="Q4" s="43">
        <f>PERCENTRANK('Team Scores'!$Q$3:$Q$1000, 'Team Scores'!$Q4, 3)</f>
        <v/>
      </c>
      <c r="R4" s="43">
        <f>PERCENTRANK('Team Scores'!$R$3:$R$1000, 'Team Scores'!$R4, 3)</f>
        <v/>
      </c>
      <c r="S4" s="43">
        <f>PERCENTRANK('Team Scores'!$S$3:$S$1000, 'Team Scores'!$S4, 3)</f>
        <v/>
      </c>
      <c r="T4" s="43">
        <f>PERCENTRANK('Team Scores'!$T$3:$T$1000, 'Team Scores'!$T4, 3)</f>
        <v/>
      </c>
      <c r="U4" s="43">
        <f>PERCENTRANK('Team Scores'!$U$3:$U$1000, 'Team Scores'!$U4, 3)</f>
        <v/>
      </c>
      <c r="V4" s="43">
        <f>PERCENTRANK('Team Scores'!$V$3:$V$1000, 'Team Scores'!$V4, 3)</f>
        <v/>
      </c>
      <c r="W4" s="43">
        <f>PERCENTRANK('Team Scores'!$W$3:$W$1000, 'Team Scores'!$W4, 3)</f>
        <v/>
      </c>
      <c r="X4" s="43">
        <f>PERCENTRANK('Team Scores'!$X$3:$X$1000, 'Team Scores'!$X4, 3)</f>
        <v/>
      </c>
      <c r="Y4" s="43">
        <f>PERCENTRANK('Team Scores'!$Y$3:$Y$1000, 'Team Scores'!$Y4, 3)</f>
        <v/>
      </c>
      <c r="Z4" s="43">
        <f>PERCENTRANK('Team Scores'!$Z$3:$Z$1000, 'Team Scores'!$Z4, 3)</f>
        <v/>
      </c>
      <c r="AA4" s="43">
        <f>AVERAGE(C4:G4)</f>
        <v/>
      </c>
      <c r="AB4" s="43">
        <f>AVERAGE(H4:O4)</f>
        <v/>
      </c>
      <c r="AC4" s="43">
        <f>AVERAGE(P4:T4)</f>
        <v/>
      </c>
      <c r="AD4" s="43">
        <f>AVERAGE(U4:X4)</f>
        <v/>
      </c>
      <c r="AE4" s="43">
        <f>AVERAGE(AA4:AD4)</f>
        <v/>
      </c>
    </row>
    <row r="5">
      <c r="A5" s="41" t="n">
        <v>229</v>
      </c>
      <c r="B5" s="42">
        <f>COUNTIF(MatchScoutingData!E$2:E$1000, $A5)</f>
        <v/>
      </c>
      <c r="C5" s="43">
        <f>PERCENTRANK('Team Scores'!$C$3:$C$1000, 'Team Scores'!$C5, 3)</f>
        <v/>
      </c>
      <c r="D5" s="43">
        <f>PERCENTRANK('Team Scores'!$D$3:$D$1000, 'Team Scores'!$D5, 3)</f>
        <v/>
      </c>
      <c r="E5" s="43">
        <f>PERCENTRANK('Team Scores'!$E$3:$E$1000, 'Team Scores'!$E5, 3)</f>
        <v/>
      </c>
      <c r="F5" s="43">
        <f>PERCENTRANK('Team Scores'!$F$3:$F$1000, 'Team Scores'!$F5, 3)</f>
        <v/>
      </c>
      <c r="G5" s="43">
        <f>PERCENTRANK('Team Scores'!$G$3:$G$1000, 'Team Scores'!$G5, 3)</f>
        <v/>
      </c>
      <c r="H5" s="43">
        <f>PERCENTRANK('Team Scores'!$H$3:$H$1000, 'Team Scores'!$H5, 3)</f>
        <v/>
      </c>
      <c r="I5" s="43">
        <f>PERCENTRANK('Team Scores'!$I$3:$I$1000, 'Team Scores'!$I5, 3)</f>
        <v/>
      </c>
      <c r="J5" s="43">
        <f>PERCENTRANK('Team Scores'!$J$3:$J$1000, 'Team Scores'!$J5, 3)</f>
        <v/>
      </c>
      <c r="K5" s="43">
        <f>PERCENTRANK('Team Scores'!$K$3:$K$1000, 'Team Scores'!$K5, 3)</f>
        <v/>
      </c>
      <c r="L5" s="43">
        <f>PERCENTRANK('Team Scores'!$L$3:$L$1000, 'Team Scores'!$L5, 3)</f>
        <v/>
      </c>
      <c r="M5" s="43">
        <f>PERCENTRANK('Team Scores'!$M$3:$M$1000, 'Team Scores'!$M5, 3)</f>
        <v/>
      </c>
      <c r="N5" s="43">
        <f>PERCENTRANK('Team Scores'!$N$3:$N$1000, 'Team Scores'!$N5, 3)</f>
        <v/>
      </c>
      <c r="O5" s="43">
        <f>PERCENTRANK('Team Scores'!$O$3:$O$1000, 'Team Scores'!$O5, 3)</f>
        <v/>
      </c>
      <c r="P5" s="43">
        <f>PERCENTRANK('Team Scores'!$P$3:$P$1000, 'Team Scores'!$P5, 3)</f>
        <v/>
      </c>
      <c r="Q5" s="43">
        <f>PERCENTRANK('Team Scores'!$Q$3:$Q$1000, 'Team Scores'!$Q5, 3)</f>
        <v/>
      </c>
      <c r="R5" s="43">
        <f>PERCENTRANK('Team Scores'!$R$3:$R$1000, 'Team Scores'!$R5, 3)</f>
        <v/>
      </c>
      <c r="S5" s="43">
        <f>PERCENTRANK('Team Scores'!$S$3:$S$1000, 'Team Scores'!$S5, 3)</f>
        <v/>
      </c>
      <c r="T5" s="43">
        <f>PERCENTRANK('Team Scores'!$T$3:$T$1000, 'Team Scores'!$T5, 3)</f>
        <v/>
      </c>
      <c r="U5" s="43">
        <f>PERCENTRANK('Team Scores'!$U$3:$U$1000, 'Team Scores'!$U5, 3)</f>
        <v/>
      </c>
      <c r="V5" s="43">
        <f>PERCENTRANK('Team Scores'!$V$3:$V$1000, 'Team Scores'!$V5, 3)</f>
        <v/>
      </c>
      <c r="W5" s="43">
        <f>PERCENTRANK('Team Scores'!$W$3:$W$1000, 'Team Scores'!$W5, 3)</f>
        <v/>
      </c>
      <c r="X5" s="43">
        <f>PERCENTRANK('Team Scores'!$X$3:$X$1000, 'Team Scores'!$X5, 3)</f>
        <v/>
      </c>
      <c r="Y5" s="43">
        <f>PERCENTRANK('Team Scores'!$Y$3:$Y$1000, 'Team Scores'!$Y5, 3)</f>
        <v/>
      </c>
      <c r="Z5" s="43">
        <f>PERCENTRANK('Team Scores'!$Z$3:$Z$1000, 'Team Scores'!$Z5, 3)</f>
        <v/>
      </c>
      <c r="AA5" s="43">
        <f>AVERAGE(C5:G5)</f>
        <v/>
      </c>
      <c r="AB5" s="43">
        <f>AVERAGE(H5:O5)</f>
        <v/>
      </c>
      <c r="AC5" s="43">
        <f>AVERAGE(P5:T5)</f>
        <v/>
      </c>
      <c r="AD5" s="43">
        <f>AVERAGE(U5:X5)</f>
        <v/>
      </c>
      <c r="AE5" s="43">
        <f>AVERAGE(AA5:AD5)</f>
        <v/>
      </c>
    </row>
    <row r="6">
      <c r="A6" s="41" t="n">
        <v>250</v>
      </c>
      <c r="B6" s="42">
        <f>COUNTIF(MatchScoutingData!E$2:E$1000, $A6)</f>
        <v/>
      </c>
      <c r="C6" s="43">
        <f>PERCENTRANK('Team Scores'!$C$3:$C$1000, 'Team Scores'!$C6, 3)</f>
        <v/>
      </c>
      <c r="D6" s="43">
        <f>PERCENTRANK('Team Scores'!$D$3:$D$1000, 'Team Scores'!$D6, 3)</f>
        <v/>
      </c>
      <c r="E6" s="43">
        <f>PERCENTRANK('Team Scores'!$E$3:$E$1000, 'Team Scores'!$E6, 3)</f>
        <v/>
      </c>
      <c r="F6" s="43">
        <f>PERCENTRANK('Team Scores'!$F$3:$F$1000, 'Team Scores'!$F6, 3)</f>
        <v/>
      </c>
      <c r="G6" s="43">
        <f>PERCENTRANK('Team Scores'!$G$3:$G$1000, 'Team Scores'!$G6, 3)</f>
        <v/>
      </c>
      <c r="H6" s="43">
        <f>PERCENTRANK('Team Scores'!$H$3:$H$1000, 'Team Scores'!$H6, 3)</f>
        <v/>
      </c>
      <c r="I6" s="43">
        <f>PERCENTRANK('Team Scores'!$I$3:$I$1000, 'Team Scores'!$I6, 3)</f>
        <v/>
      </c>
      <c r="J6" s="43">
        <f>PERCENTRANK('Team Scores'!$J$3:$J$1000, 'Team Scores'!$J6, 3)</f>
        <v/>
      </c>
      <c r="K6" s="43">
        <f>PERCENTRANK('Team Scores'!$K$3:$K$1000, 'Team Scores'!$K6, 3)</f>
        <v/>
      </c>
      <c r="L6" s="43">
        <f>PERCENTRANK('Team Scores'!$L$3:$L$1000, 'Team Scores'!$L6, 3)</f>
        <v/>
      </c>
      <c r="M6" s="43">
        <f>PERCENTRANK('Team Scores'!$M$3:$M$1000, 'Team Scores'!$M6, 3)</f>
        <v/>
      </c>
      <c r="N6" s="43">
        <f>PERCENTRANK('Team Scores'!$N$3:$N$1000, 'Team Scores'!$N6, 3)</f>
        <v/>
      </c>
      <c r="O6" s="43">
        <f>PERCENTRANK('Team Scores'!$O$3:$O$1000, 'Team Scores'!$O6, 3)</f>
        <v/>
      </c>
      <c r="P6" s="43">
        <f>PERCENTRANK('Team Scores'!$P$3:$P$1000, 'Team Scores'!$P6, 3)</f>
        <v/>
      </c>
      <c r="Q6" s="43">
        <f>PERCENTRANK('Team Scores'!$Q$3:$Q$1000, 'Team Scores'!$Q6, 3)</f>
        <v/>
      </c>
      <c r="R6" s="43">
        <f>PERCENTRANK('Team Scores'!$R$3:$R$1000, 'Team Scores'!$R6, 3)</f>
        <v/>
      </c>
      <c r="S6" s="43">
        <f>PERCENTRANK('Team Scores'!$S$3:$S$1000, 'Team Scores'!$S6, 3)</f>
        <v/>
      </c>
      <c r="T6" s="43">
        <f>PERCENTRANK('Team Scores'!$T$3:$T$1000, 'Team Scores'!$T6, 3)</f>
        <v/>
      </c>
      <c r="U6" s="43">
        <f>PERCENTRANK('Team Scores'!$U$3:$U$1000, 'Team Scores'!$U6, 3)</f>
        <v/>
      </c>
      <c r="V6" s="43">
        <f>PERCENTRANK('Team Scores'!$V$3:$V$1000, 'Team Scores'!$V6, 3)</f>
        <v/>
      </c>
      <c r="W6" s="43">
        <f>PERCENTRANK('Team Scores'!$W$3:$W$1000, 'Team Scores'!$W6, 3)</f>
        <v/>
      </c>
      <c r="X6" s="43">
        <f>PERCENTRANK('Team Scores'!$X$3:$X$1000, 'Team Scores'!$X6, 3)</f>
        <v/>
      </c>
      <c r="Y6" s="43">
        <f>PERCENTRANK('Team Scores'!$Y$3:$Y$1000, 'Team Scores'!$Y6, 3)</f>
        <v/>
      </c>
      <c r="Z6" s="43">
        <f>PERCENTRANK('Team Scores'!$Z$3:$Z$1000, 'Team Scores'!$Z6, 3)</f>
        <v/>
      </c>
      <c r="AA6" s="43">
        <f>AVERAGE(C6:G6)</f>
        <v/>
      </c>
      <c r="AB6" s="43">
        <f>AVERAGE(H6:O6)</f>
        <v/>
      </c>
      <c r="AC6" s="43">
        <f>AVERAGE(P6:T6)</f>
        <v/>
      </c>
      <c r="AD6" s="43">
        <f>AVERAGE(U6:X6)</f>
        <v/>
      </c>
      <c r="AE6" s="43">
        <f>AVERAGE(AA6:AD6)</f>
        <v/>
      </c>
    </row>
    <row r="7">
      <c r="A7" s="41" t="n">
        <v>263</v>
      </c>
      <c r="B7" s="42">
        <f>COUNTIF(MatchScoutingData!E$2:E$1000, $A7)</f>
        <v/>
      </c>
      <c r="C7" s="43">
        <f>PERCENTRANK('Team Scores'!$C$3:$C$1000, 'Team Scores'!$C7, 3)</f>
        <v/>
      </c>
      <c r="D7" s="43">
        <f>PERCENTRANK('Team Scores'!$D$3:$D$1000, 'Team Scores'!$D7, 3)</f>
        <v/>
      </c>
      <c r="E7" s="43">
        <f>PERCENTRANK('Team Scores'!$E$3:$E$1000, 'Team Scores'!$E7, 3)</f>
        <v/>
      </c>
      <c r="F7" s="43">
        <f>PERCENTRANK('Team Scores'!$F$3:$F$1000, 'Team Scores'!$F7, 3)</f>
        <v/>
      </c>
      <c r="G7" s="43">
        <f>PERCENTRANK('Team Scores'!$G$3:$G$1000, 'Team Scores'!$G7, 3)</f>
        <v/>
      </c>
      <c r="H7" s="43">
        <f>PERCENTRANK('Team Scores'!$H$3:$H$1000, 'Team Scores'!$H7, 3)</f>
        <v/>
      </c>
      <c r="I7" s="43">
        <f>PERCENTRANK('Team Scores'!$I$3:$I$1000, 'Team Scores'!$I7, 3)</f>
        <v/>
      </c>
      <c r="J7" s="43">
        <f>PERCENTRANK('Team Scores'!$J$3:$J$1000, 'Team Scores'!$J7, 3)</f>
        <v/>
      </c>
      <c r="K7" s="43">
        <f>PERCENTRANK('Team Scores'!$K$3:$K$1000, 'Team Scores'!$K7, 3)</f>
        <v/>
      </c>
      <c r="L7" s="43">
        <f>PERCENTRANK('Team Scores'!$L$3:$L$1000, 'Team Scores'!$L7, 3)</f>
        <v/>
      </c>
      <c r="M7" s="43">
        <f>PERCENTRANK('Team Scores'!$M$3:$M$1000, 'Team Scores'!$M7, 3)</f>
        <v/>
      </c>
      <c r="N7" s="43">
        <f>PERCENTRANK('Team Scores'!$N$3:$N$1000, 'Team Scores'!$N7, 3)</f>
        <v/>
      </c>
      <c r="O7" s="43">
        <f>PERCENTRANK('Team Scores'!$O$3:$O$1000, 'Team Scores'!$O7, 3)</f>
        <v/>
      </c>
      <c r="P7" s="43">
        <f>PERCENTRANK('Team Scores'!$P$3:$P$1000, 'Team Scores'!$P7, 3)</f>
        <v/>
      </c>
      <c r="Q7" s="43">
        <f>PERCENTRANK('Team Scores'!$Q$3:$Q$1000, 'Team Scores'!$Q7, 3)</f>
        <v/>
      </c>
      <c r="R7" s="43">
        <f>PERCENTRANK('Team Scores'!$R$3:$R$1000, 'Team Scores'!$R7, 3)</f>
        <v/>
      </c>
      <c r="S7" s="43">
        <f>PERCENTRANK('Team Scores'!$S$3:$S$1000, 'Team Scores'!$S7, 3)</f>
        <v/>
      </c>
      <c r="T7" s="43">
        <f>PERCENTRANK('Team Scores'!$T$3:$T$1000, 'Team Scores'!$T7, 3)</f>
        <v/>
      </c>
      <c r="U7" s="43">
        <f>PERCENTRANK('Team Scores'!$U$3:$U$1000, 'Team Scores'!$U7, 3)</f>
        <v/>
      </c>
      <c r="V7" s="43">
        <f>PERCENTRANK('Team Scores'!$V$3:$V$1000, 'Team Scores'!$V7, 3)</f>
        <v/>
      </c>
      <c r="W7" s="43">
        <f>PERCENTRANK('Team Scores'!$W$3:$W$1000, 'Team Scores'!$W7, 3)</f>
        <v/>
      </c>
      <c r="X7" s="43">
        <f>PERCENTRANK('Team Scores'!$X$3:$X$1000, 'Team Scores'!$X7, 3)</f>
        <v/>
      </c>
      <c r="Y7" s="43">
        <f>PERCENTRANK('Team Scores'!$Y$3:$Y$1000, 'Team Scores'!$Y7, 3)</f>
        <v/>
      </c>
      <c r="Z7" s="43">
        <f>PERCENTRANK('Team Scores'!$Z$3:$Z$1000, 'Team Scores'!$Z7, 3)</f>
        <v/>
      </c>
      <c r="AA7" s="43">
        <f>AVERAGE(C7:G7)</f>
        <v/>
      </c>
      <c r="AB7" s="43">
        <f>AVERAGE(H7:O7)</f>
        <v/>
      </c>
      <c r="AC7" s="43">
        <f>AVERAGE(P7:T7)</f>
        <v/>
      </c>
      <c r="AD7" s="43">
        <f>AVERAGE(U7:X7)</f>
        <v/>
      </c>
      <c r="AE7" s="43">
        <f>AVERAGE(AA7:AD7)</f>
        <v/>
      </c>
    </row>
    <row r="8">
      <c r="A8" s="41" t="n">
        <v>271</v>
      </c>
      <c r="B8" s="42">
        <f>COUNTIF(MatchScoutingData!E$2:E$1000, $A8)</f>
        <v/>
      </c>
      <c r="C8" s="43">
        <f>PERCENTRANK('Team Scores'!$C$3:$C$1000, 'Team Scores'!$C8, 3)</f>
        <v/>
      </c>
      <c r="D8" s="43">
        <f>PERCENTRANK('Team Scores'!$D$3:$D$1000, 'Team Scores'!$D8, 3)</f>
        <v/>
      </c>
      <c r="E8" s="43">
        <f>PERCENTRANK('Team Scores'!$E$3:$E$1000, 'Team Scores'!$E8, 3)</f>
        <v/>
      </c>
      <c r="F8" s="43">
        <f>PERCENTRANK('Team Scores'!$F$3:$F$1000, 'Team Scores'!$F8, 3)</f>
        <v/>
      </c>
      <c r="G8" s="43">
        <f>PERCENTRANK('Team Scores'!$G$3:$G$1000, 'Team Scores'!$G8, 3)</f>
        <v/>
      </c>
      <c r="H8" s="43">
        <f>PERCENTRANK('Team Scores'!$H$3:$H$1000, 'Team Scores'!$H8, 3)</f>
        <v/>
      </c>
      <c r="I8" s="43">
        <f>PERCENTRANK('Team Scores'!$I$3:$I$1000, 'Team Scores'!$I8, 3)</f>
        <v/>
      </c>
      <c r="J8" s="43">
        <f>PERCENTRANK('Team Scores'!$J$3:$J$1000, 'Team Scores'!$J8, 3)</f>
        <v/>
      </c>
      <c r="K8" s="43">
        <f>PERCENTRANK('Team Scores'!$K$3:$K$1000, 'Team Scores'!$K8, 3)</f>
        <v/>
      </c>
      <c r="L8" s="43">
        <f>PERCENTRANK('Team Scores'!$L$3:$L$1000, 'Team Scores'!$L8, 3)</f>
        <v/>
      </c>
      <c r="M8" s="43">
        <f>PERCENTRANK('Team Scores'!$M$3:$M$1000, 'Team Scores'!$M8, 3)</f>
        <v/>
      </c>
      <c r="N8" s="43">
        <f>PERCENTRANK('Team Scores'!$N$3:$N$1000, 'Team Scores'!$N8, 3)</f>
        <v/>
      </c>
      <c r="O8" s="43">
        <f>PERCENTRANK('Team Scores'!$O$3:$O$1000, 'Team Scores'!$O8, 3)</f>
        <v/>
      </c>
      <c r="P8" s="43">
        <f>PERCENTRANK('Team Scores'!$P$3:$P$1000, 'Team Scores'!$P8, 3)</f>
        <v/>
      </c>
      <c r="Q8" s="43">
        <f>PERCENTRANK('Team Scores'!$Q$3:$Q$1000, 'Team Scores'!$Q8, 3)</f>
        <v/>
      </c>
      <c r="R8" s="43">
        <f>PERCENTRANK('Team Scores'!$R$3:$R$1000, 'Team Scores'!$R8, 3)</f>
        <v/>
      </c>
      <c r="S8" s="43">
        <f>PERCENTRANK('Team Scores'!$S$3:$S$1000, 'Team Scores'!$S8, 3)</f>
        <v/>
      </c>
      <c r="T8" s="43">
        <f>PERCENTRANK('Team Scores'!$T$3:$T$1000, 'Team Scores'!$T8, 3)</f>
        <v/>
      </c>
      <c r="U8" s="43">
        <f>PERCENTRANK('Team Scores'!$U$3:$U$1000, 'Team Scores'!$U8, 3)</f>
        <v/>
      </c>
      <c r="V8" s="43">
        <f>PERCENTRANK('Team Scores'!$V$3:$V$1000, 'Team Scores'!$V8, 3)</f>
        <v/>
      </c>
      <c r="W8" s="43">
        <f>PERCENTRANK('Team Scores'!$W$3:$W$1000, 'Team Scores'!$W8, 3)</f>
        <v/>
      </c>
      <c r="X8" s="43">
        <f>PERCENTRANK('Team Scores'!$X$3:$X$1000, 'Team Scores'!$X8, 3)</f>
        <v/>
      </c>
      <c r="Y8" s="43">
        <f>PERCENTRANK('Team Scores'!$Y$3:$Y$1000, 'Team Scores'!$Y8, 3)</f>
        <v/>
      </c>
      <c r="Z8" s="43">
        <f>PERCENTRANK('Team Scores'!$Z$3:$Z$1000, 'Team Scores'!$Z8, 3)</f>
        <v/>
      </c>
      <c r="AA8" s="43">
        <f>AVERAGE(C8:G8)</f>
        <v/>
      </c>
      <c r="AB8" s="43">
        <f>AVERAGE(H8:O8)</f>
        <v/>
      </c>
      <c r="AC8" s="43">
        <f>AVERAGE(P8:T8)</f>
        <v/>
      </c>
      <c r="AD8" s="43">
        <f>AVERAGE(U8:X8)</f>
        <v/>
      </c>
      <c r="AE8" s="43">
        <f>AVERAGE(AA8:AD8)</f>
        <v/>
      </c>
    </row>
    <row r="9">
      <c r="A9" s="41" t="n">
        <v>287</v>
      </c>
      <c r="B9" s="42">
        <f>COUNTIF(MatchScoutingData!E$2:E$1000, $A9)</f>
        <v/>
      </c>
      <c r="C9" s="43">
        <f>PERCENTRANK('Team Scores'!$C$3:$C$1000, 'Team Scores'!$C9, 3)</f>
        <v/>
      </c>
      <c r="D9" s="43">
        <f>PERCENTRANK('Team Scores'!$D$3:$D$1000, 'Team Scores'!$D9, 3)</f>
        <v/>
      </c>
      <c r="E9" s="43">
        <f>PERCENTRANK('Team Scores'!$E$3:$E$1000, 'Team Scores'!$E9, 3)</f>
        <v/>
      </c>
      <c r="F9" s="43">
        <f>PERCENTRANK('Team Scores'!$F$3:$F$1000, 'Team Scores'!$F9, 3)</f>
        <v/>
      </c>
      <c r="G9" s="43">
        <f>PERCENTRANK('Team Scores'!$G$3:$G$1000, 'Team Scores'!$G9, 3)</f>
        <v/>
      </c>
      <c r="H9" s="43">
        <f>PERCENTRANK('Team Scores'!$H$3:$H$1000, 'Team Scores'!$H9, 3)</f>
        <v/>
      </c>
      <c r="I9" s="43">
        <f>PERCENTRANK('Team Scores'!$I$3:$I$1000, 'Team Scores'!$I9, 3)</f>
        <v/>
      </c>
      <c r="J9" s="43">
        <f>PERCENTRANK('Team Scores'!$J$3:$J$1000, 'Team Scores'!$J9, 3)</f>
        <v/>
      </c>
      <c r="K9" s="43">
        <f>PERCENTRANK('Team Scores'!$K$3:$K$1000, 'Team Scores'!$K9, 3)</f>
        <v/>
      </c>
      <c r="L9" s="43">
        <f>PERCENTRANK('Team Scores'!$L$3:$L$1000, 'Team Scores'!$L9, 3)</f>
        <v/>
      </c>
      <c r="M9" s="43">
        <f>PERCENTRANK('Team Scores'!$M$3:$M$1000, 'Team Scores'!$M9, 3)</f>
        <v/>
      </c>
      <c r="N9" s="43">
        <f>PERCENTRANK('Team Scores'!$N$3:$N$1000, 'Team Scores'!$N9, 3)</f>
        <v/>
      </c>
      <c r="O9" s="43">
        <f>PERCENTRANK('Team Scores'!$O$3:$O$1000, 'Team Scores'!$O9, 3)</f>
        <v/>
      </c>
      <c r="P9" s="43">
        <f>PERCENTRANK('Team Scores'!$P$3:$P$1000, 'Team Scores'!$P9, 3)</f>
        <v/>
      </c>
      <c r="Q9" s="43">
        <f>PERCENTRANK('Team Scores'!$Q$3:$Q$1000, 'Team Scores'!$Q9, 3)</f>
        <v/>
      </c>
      <c r="R9" s="43">
        <f>PERCENTRANK('Team Scores'!$R$3:$R$1000, 'Team Scores'!$R9, 3)</f>
        <v/>
      </c>
      <c r="S9" s="43">
        <f>PERCENTRANK('Team Scores'!$S$3:$S$1000, 'Team Scores'!$S9, 3)</f>
        <v/>
      </c>
      <c r="T9" s="43">
        <f>PERCENTRANK('Team Scores'!$T$3:$T$1000, 'Team Scores'!$T9, 3)</f>
        <v/>
      </c>
      <c r="U9" s="43">
        <f>PERCENTRANK('Team Scores'!$U$3:$U$1000, 'Team Scores'!$U9, 3)</f>
        <v/>
      </c>
      <c r="V9" s="43">
        <f>PERCENTRANK('Team Scores'!$V$3:$V$1000, 'Team Scores'!$V9, 3)</f>
        <v/>
      </c>
      <c r="W9" s="43">
        <f>PERCENTRANK('Team Scores'!$W$3:$W$1000, 'Team Scores'!$W9, 3)</f>
        <v/>
      </c>
      <c r="X9" s="43">
        <f>PERCENTRANK('Team Scores'!$X$3:$X$1000, 'Team Scores'!$X9, 3)</f>
        <v/>
      </c>
      <c r="Y9" s="43">
        <f>PERCENTRANK('Team Scores'!$Y$3:$Y$1000, 'Team Scores'!$Y9, 3)</f>
        <v/>
      </c>
      <c r="Z9" s="43">
        <f>PERCENTRANK('Team Scores'!$Z$3:$Z$1000, 'Team Scores'!$Z9, 3)</f>
        <v/>
      </c>
      <c r="AA9" s="43">
        <f>AVERAGE(C9:G9)</f>
        <v/>
      </c>
      <c r="AB9" s="43">
        <f>AVERAGE(H9:O9)</f>
        <v/>
      </c>
      <c r="AC9" s="43">
        <f>AVERAGE(P9:T9)</f>
        <v/>
      </c>
      <c r="AD9" s="43">
        <f>AVERAGE(U9:X9)</f>
        <v/>
      </c>
      <c r="AE9" s="43">
        <f>AVERAGE(AA9:AD9)</f>
        <v/>
      </c>
    </row>
    <row r="10">
      <c r="A10" s="41" t="n">
        <v>424</v>
      </c>
      <c r="B10" s="42">
        <f>COUNTIF(MatchScoutingData!E$2:E$1000, $A10)</f>
        <v/>
      </c>
      <c r="C10" s="43">
        <f>PERCENTRANK('Team Scores'!$C$3:$C$1000, 'Team Scores'!$C10, 3)</f>
        <v/>
      </c>
      <c r="D10" s="43">
        <f>PERCENTRANK('Team Scores'!$D$3:$D$1000, 'Team Scores'!$D10, 3)</f>
        <v/>
      </c>
      <c r="E10" s="43">
        <f>PERCENTRANK('Team Scores'!$E$3:$E$1000, 'Team Scores'!$E10, 3)</f>
        <v/>
      </c>
      <c r="F10" s="43">
        <f>PERCENTRANK('Team Scores'!$F$3:$F$1000, 'Team Scores'!$F10, 3)</f>
        <v/>
      </c>
      <c r="G10" s="43">
        <f>PERCENTRANK('Team Scores'!$G$3:$G$1000, 'Team Scores'!$G10, 3)</f>
        <v/>
      </c>
      <c r="H10" s="43">
        <f>PERCENTRANK('Team Scores'!$H$3:$H$1000, 'Team Scores'!$H10, 3)</f>
        <v/>
      </c>
      <c r="I10" s="43">
        <f>PERCENTRANK('Team Scores'!$I$3:$I$1000, 'Team Scores'!$I10, 3)</f>
        <v/>
      </c>
      <c r="J10" s="43">
        <f>PERCENTRANK('Team Scores'!$J$3:$J$1000, 'Team Scores'!$J10, 3)</f>
        <v/>
      </c>
      <c r="K10" s="43">
        <f>PERCENTRANK('Team Scores'!$K$3:$K$1000, 'Team Scores'!$K10, 3)</f>
        <v/>
      </c>
      <c r="L10" s="43">
        <f>PERCENTRANK('Team Scores'!$L$3:$L$1000, 'Team Scores'!$L10, 3)</f>
        <v/>
      </c>
      <c r="M10" s="43">
        <f>PERCENTRANK('Team Scores'!$M$3:$M$1000, 'Team Scores'!$M10, 3)</f>
        <v/>
      </c>
      <c r="N10" s="43">
        <f>PERCENTRANK('Team Scores'!$N$3:$N$1000, 'Team Scores'!$N10, 3)</f>
        <v/>
      </c>
      <c r="O10" s="43">
        <f>PERCENTRANK('Team Scores'!$O$3:$O$1000, 'Team Scores'!$O10, 3)</f>
        <v/>
      </c>
      <c r="P10" s="43">
        <f>PERCENTRANK('Team Scores'!$P$3:$P$1000, 'Team Scores'!$P10, 3)</f>
        <v/>
      </c>
      <c r="Q10" s="43">
        <f>PERCENTRANK('Team Scores'!$Q$3:$Q$1000, 'Team Scores'!$Q10, 3)</f>
        <v/>
      </c>
      <c r="R10" s="43">
        <f>PERCENTRANK('Team Scores'!$R$3:$R$1000, 'Team Scores'!$R10, 3)</f>
        <v/>
      </c>
      <c r="S10" s="43">
        <f>PERCENTRANK('Team Scores'!$S$3:$S$1000, 'Team Scores'!$S10, 3)</f>
        <v/>
      </c>
      <c r="T10" s="43">
        <f>PERCENTRANK('Team Scores'!$T$3:$T$1000, 'Team Scores'!$T10, 3)</f>
        <v/>
      </c>
      <c r="U10" s="43">
        <f>PERCENTRANK('Team Scores'!$U$3:$U$1000, 'Team Scores'!$U10, 3)</f>
        <v/>
      </c>
      <c r="V10" s="43">
        <f>PERCENTRANK('Team Scores'!$V$3:$V$1000, 'Team Scores'!$V10, 3)</f>
        <v/>
      </c>
      <c r="W10" s="43">
        <f>PERCENTRANK('Team Scores'!$W$3:$W$1000, 'Team Scores'!$W10, 3)</f>
        <v/>
      </c>
      <c r="X10" s="43">
        <f>PERCENTRANK('Team Scores'!$X$3:$X$1000, 'Team Scores'!$X10, 3)</f>
        <v/>
      </c>
      <c r="Y10" s="43">
        <f>PERCENTRANK('Team Scores'!$Y$3:$Y$1000, 'Team Scores'!$Y10, 3)</f>
        <v/>
      </c>
      <c r="Z10" s="43">
        <f>PERCENTRANK('Team Scores'!$Z$3:$Z$1000, 'Team Scores'!$Z10, 3)</f>
        <v/>
      </c>
      <c r="AA10" s="43">
        <f>AVERAGE(C10:G10)</f>
        <v/>
      </c>
      <c r="AB10" s="43">
        <f>AVERAGE(H10:O10)</f>
        <v/>
      </c>
      <c r="AC10" s="43">
        <f>AVERAGE(P10:T10)</f>
        <v/>
      </c>
      <c r="AD10" s="43">
        <f>AVERAGE(U10:X10)</f>
        <v/>
      </c>
      <c r="AE10" s="43">
        <f>AVERAGE(AA10:AD10)</f>
        <v/>
      </c>
    </row>
    <row r="11">
      <c r="A11" s="41" t="n">
        <v>533</v>
      </c>
      <c r="B11" s="42">
        <f>COUNTIF(MatchScoutingData!E$2:E$1000, $A11)</f>
        <v/>
      </c>
      <c r="C11" s="43">
        <f>PERCENTRANK('Team Scores'!$C$3:$C$1000, 'Team Scores'!$C11, 3)</f>
        <v/>
      </c>
      <c r="D11" s="43">
        <f>PERCENTRANK('Team Scores'!$D$3:$D$1000, 'Team Scores'!$D11, 3)</f>
        <v/>
      </c>
      <c r="E11" s="43">
        <f>PERCENTRANK('Team Scores'!$E$3:$E$1000, 'Team Scores'!$E11, 3)</f>
        <v/>
      </c>
      <c r="F11" s="43">
        <f>PERCENTRANK('Team Scores'!$F$3:$F$1000, 'Team Scores'!$F11, 3)</f>
        <v/>
      </c>
      <c r="G11" s="43">
        <f>PERCENTRANK('Team Scores'!$G$3:$G$1000, 'Team Scores'!$G11, 3)</f>
        <v/>
      </c>
      <c r="H11" s="43">
        <f>PERCENTRANK('Team Scores'!$H$3:$H$1000, 'Team Scores'!$H11, 3)</f>
        <v/>
      </c>
      <c r="I11" s="43">
        <f>PERCENTRANK('Team Scores'!$I$3:$I$1000, 'Team Scores'!$I11, 3)</f>
        <v/>
      </c>
      <c r="J11" s="43">
        <f>PERCENTRANK('Team Scores'!$J$3:$J$1000, 'Team Scores'!$J11, 3)</f>
        <v/>
      </c>
      <c r="K11" s="43">
        <f>PERCENTRANK('Team Scores'!$K$3:$K$1000, 'Team Scores'!$K11, 3)</f>
        <v/>
      </c>
      <c r="L11" s="43">
        <f>PERCENTRANK('Team Scores'!$L$3:$L$1000, 'Team Scores'!$L11, 3)</f>
        <v/>
      </c>
      <c r="M11" s="43">
        <f>PERCENTRANK('Team Scores'!$M$3:$M$1000, 'Team Scores'!$M11, 3)</f>
        <v/>
      </c>
      <c r="N11" s="43">
        <f>PERCENTRANK('Team Scores'!$N$3:$N$1000, 'Team Scores'!$N11, 3)</f>
        <v/>
      </c>
      <c r="O11" s="43">
        <f>PERCENTRANK('Team Scores'!$O$3:$O$1000, 'Team Scores'!$O11, 3)</f>
        <v/>
      </c>
      <c r="P11" s="43">
        <f>PERCENTRANK('Team Scores'!$P$3:$P$1000, 'Team Scores'!$P11, 3)</f>
        <v/>
      </c>
      <c r="Q11" s="43">
        <f>PERCENTRANK('Team Scores'!$Q$3:$Q$1000, 'Team Scores'!$Q11, 3)</f>
        <v/>
      </c>
      <c r="R11" s="43">
        <f>PERCENTRANK('Team Scores'!$R$3:$R$1000, 'Team Scores'!$R11, 3)</f>
        <v/>
      </c>
      <c r="S11" s="43">
        <f>PERCENTRANK('Team Scores'!$S$3:$S$1000, 'Team Scores'!$S11, 3)</f>
        <v/>
      </c>
      <c r="T11" s="43">
        <f>PERCENTRANK('Team Scores'!$T$3:$T$1000, 'Team Scores'!$T11, 3)</f>
        <v/>
      </c>
      <c r="U11" s="43">
        <f>PERCENTRANK('Team Scores'!$U$3:$U$1000, 'Team Scores'!$U11, 3)</f>
        <v/>
      </c>
      <c r="V11" s="43">
        <f>PERCENTRANK('Team Scores'!$V$3:$V$1000, 'Team Scores'!$V11, 3)</f>
        <v/>
      </c>
      <c r="W11" s="43">
        <f>PERCENTRANK('Team Scores'!$W$3:$W$1000, 'Team Scores'!$W11, 3)</f>
        <v/>
      </c>
      <c r="X11" s="43">
        <f>PERCENTRANK('Team Scores'!$X$3:$X$1000, 'Team Scores'!$X11, 3)</f>
        <v/>
      </c>
      <c r="Y11" s="43">
        <f>PERCENTRANK('Team Scores'!$Y$3:$Y$1000, 'Team Scores'!$Y11, 3)</f>
        <v/>
      </c>
      <c r="Z11" s="43">
        <f>PERCENTRANK('Team Scores'!$Z$3:$Z$1000, 'Team Scores'!$Z11, 3)</f>
        <v/>
      </c>
      <c r="AA11" s="43">
        <f>AVERAGE(C11:G11)</f>
        <v/>
      </c>
      <c r="AB11" s="43">
        <f>AVERAGE(H11:O11)</f>
        <v/>
      </c>
      <c r="AC11" s="43">
        <f>AVERAGE(P11:T11)</f>
        <v/>
      </c>
      <c r="AD11" s="43">
        <f>AVERAGE(U11:X11)</f>
        <v/>
      </c>
      <c r="AE11" s="43">
        <f>AVERAGE(AA11:AD11)</f>
        <v/>
      </c>
    </row>
    <row r="12">
      <c r="A12" s="41" t="n">
        <v>578</v>
      </c>
      <c r="B12" s="42">
        <f>COUNTIF(MatchScoutingData!E$2:E$1000, $A12)</f>
        <v/>
      </c>
      <c r="C12" s="43">
        <f>PERCENTRANK('Team Scores'!$C$3:$C$1000, 'Team Scores'!$C12, 3)</f>
        <v/>
      </c>
      <c r="D12" s="43">
        <f>PERCENTRANK('Team Scores'!$D$3:$D$1000, 'Team Scores'!$D12, 3)</f>
        <v/>
      </c>
      <c r="E12" s="43">
        <f>PERCENTRANK('Team Scores'!$E$3:$E$1000, 'Team Scores'!$E12, 3)</f>
        <v/>
      </c>
      <c r="F12" s="43">
        <f>PERCENTRANK('Team Scores'!$F$3:$F$1000, 'Team Scores'!$F12, 3)</f>
        <v/>
      </c>
      <c r="G12" s="43">
        <f>PERCENTRANK('Team Scores'!$G$3:$G$1000, 'Team Scores'!$G12, 3)</f>
        <v/>
      </c>
      <c r="H12" s="43">
        <f>PERCENTRANK('Team Scores'!$H$3:$H$1000, 'Team Scores'!$H12, 3)</f>
        <v/>
      </c>
      <c r="I12" s="43">
        <f>PERCENTRANK('Team Scores'!$I$3:$I$1000, 'Team Scores'!$I12, 3)</f>
        <v/>
      </c>
      <c r="J12" s="43">
        <f>PERCENTRANK('Team Scores'!$J$3:$J$1000, 'Team Scores'!$J12, 3)</f>
        <v/>
      </c>
      <c r="K12" s="43">
        <f>PERCENTRANK('Team Scores'!$K$3:$K$1000, 'Team Scores'!$K12, 3)</f>
        <v/>
      </c>
      <c r="L12" s="43">
        <f>PERCENTRANK('Team Scores'!$L$3:$L$1000, 'Team Scores'!$L12, 3)</f>
        <v/>
      </c>
      <c r="M12" s="43">
        <f>PERCENTRANK('Team Scores'!$M$3:$M$1000, 'Team Scores'!$M12, 3)</f>
        <v/>
      </c>
      <c r="N12" s="43">
        <f>PERCENTRANK('Team Scores'!$N$3:$N$1000, 'Team Scores'!$N12, 3)</f>
        <v/>
      </c>
      <c r="O12" s="43">
        <f>PERCENTRANK('Team Scores'!$O$3:$O$1000, 'Team Scores'!$O12, 3)</f>
        <v/>
      </c>
      <c r="P12" s="43">
        <f>PERCENTRANK('Team Scores'!$P$3:$P$1000, 'Team Scores'!$P12, 3)</f>
        <v/>
      </c>
      <c r="Q12" s="43">
        <f>PERCENTRANK('Team Scores'!$Q$3:$Q$1000, 'Team Scores'!$Q12, 3)</f>
        <v/>
      </c>
      <c r="R12" s="43">
        <f>PERCENTRANK('Team Scores'!$R$3:$R$1000, 'Team Scores'!$R12, 3)</f>
        <v/>
      </c>
      <c r="S12" s="43">
        <f>PERCENTRANK('Team Scores'!$S$3:$S$1000, 'Team Scores'!$S12, 3)</f>
        <v/>
      </c>
      <c r="T12" s="43">
        <f>PERCENTRANK('Team Scores'!$T$3:$T$1000, 'Team Scores'!$T12, 3)</f>
        <v/>
      </c>
      <c r="U12" s="43">
        <f>PERCENTRANK('Team Scores'!$U$3:$U$1000, 'Team Scores'!$U12, 3)</f>
        <v/>
      </c>
      <c r="V12" s="43">
        <f>PERCENTRANK('Team Scores'!$V$3:$V$1000, 'Team Scores'!$V12, 3)</f>
        <v/>
      </c>
      <c r="W12" s="43">
        <f>PERCENTRANK('Team Scores'!$W$3:$W$1000, 'Team Scores'!$W12, 3)</f>
        <v/>
      </c>
      <c r="X12" s="43">
        <f>PERCENTRANK('Team Scores'!$X$3:$X$1000, 'Team Scores'!$X12, 3)</f>
        <v/>
      </c>
      <c r="Y12" s="43">
        <f>PERCENTRANK('Team Scores'!$Y$3:$Y$1000, 'Team Scores'!$Y12, 3)</f>
        <v/>
      </c>
      <c r="Z12" s="43">
        <f>PERCENTRANK('Team Scores'!$Z$3:$Z$1000, 'Team Scores'!$Z12, 3)</f>
        <v/>
      </c>
      <c r="AA12" s="43">
        <f>AVERAGE(C12:G12)</f>
        <v/>
      </c>
      <c r="AB12" s="43">
        <f>AVERAGE(H12:O12)</f>
        <v/>
      </c>
      <c r="AC12" s="43">
        <f>AVERAGE(P12:T12)</f>
        <v/>
      </c>
      <c r="AD12" s="43">
        <f>AVERAGE(U12:X12)</f>
        <v/>
      </c>
      <c r="AE12" s="43">
        <f>AVERAGE(AA12:AD12)</f>
        <v/>
      </c>
    </row>
    <row r="13">
      <c r="A13" s="41" t="n">
        <v>677</v>
      </c>
      <c r="B13" s="42">
        <f>COUNTIF(MatchScoutingData!E$2:E$1000, $A13)</f>
        <v/>
      </c>
      <c r="C13" s="43">
        <f>PERCENTRANK('Team Scores'!$C$3:$C$1000, 'Team Scores'!$C13, 3)</f>
        <v/>
      </c>
      <c r="D13" s="43">
        <f>PERCENTRANK('Team Scores'!$D$3:$D$1000, 'Team Scores'!$D13, 3)</f>
        <v/>
      </c>
      <c r="E13" s="43">
        <f>PERCENTRANK('Team Scores'!$E$3:$E$1000, 'Team Scores'!$E13, 3)</f>
        <v/>
      </c>
      <c r="F13" s="43">
        <f>PERCENTRANK('Team Scores'!$F$3:$F$1000, 'Team Scores'!$F13, 3)</f>
        <v/>
      </c>
      <c r="G13" s="43">
        <f>PERCENTRANK('Team Scores'!$G$3:$G$1000, 'Team Scores'!$G13, 3)</f>
        <v/>
      </c>
      <c r="H13" s="43">
        <f>PERCENTRANK('Team Scores'!$H$3:$H$1000, 'Team Scores'!$H13, 3)</f>
        <v/>
      </c>
      <c r="I13" s="43">
        <f>PERCENTRANK('Team Scores'!$I$3:$I$1000, 'Team Scores'!$I13, 3)</f>
        <v/>
      </c>
      <c r="J13" s="43">
        <f>PERCENTRANK('Team Scores'!$J$3:$J$1000, 'Team Scores'!$J13, 3)</f>
        <v/>
      </c>
      <c r="K13" s="43">
        <f>PERCENTRANK('Team Scores'!$K$3:$K$1000, 'Team Scores'!$K13, 3)</f>
        <v/>
      </c>
      <c r="L13" s="43">
        <f>PERCENTRANK('Team Scores'!$L$3:$L$1000, 'Team Scores'!$L13, 3)</f>
        <v/>
      </c>
      <c r="M13" s="43">
        <f>PERCENTRANK('Team Scores'!$M$3:$M$1000, 'Team Scores'!$M13, 3)</f>
        <v/>
      </c>
      <c r="N13" s="43">
        <f>PERCENTRANK('Team Scores'!$N$3:$N$1000, 'Team Scores'!$N13, 3)</f>
        <v/>
      </c>
      <c r="O13" s="43">
        <f>PERCENTRANK('Team Scores'!$O$3:$O$1000, 'Team Scores'!$O13, 3)</f>
        <v/>
      </c>
      <c r="P13" s="43">
        <f>PERCENTRANK('Team Scores'!$P$3:$P$1000, 'Team Scores'!$P13, 3)</f>
        <v/>
      </c>
      <c r="Q13" s="43">
        <f>PERCENTRANK('Team Scores'!$Q$3:$Q$1000, 'Team Scores'!$Q13, 3)</f>
        <v/>
      </c>
      <c r="R13" s="43">
        <f>PERCENTRANK('Team Scores'!$R$3:$R$1000, 'Team Scores'!$R13, 3)</f>
        <v/>
      </c>
      <c r="S13" s="43">
        <f>PERCENTRANK('Team Scores'!$S$3:$S$1000, 'Team Scores'!$S13, 3)</f>
        <v/>
      </c>
      <c r="T13" s="43">
        <f>PERCENTRANK('Team Scores'!$T$3:$T$1000, 'Team Scores'!$T13, 3)</f>
        <v/>
      </c>
      <c r="U13" s="43">
        <f>PERCENTRANK('Team Scores'!$U$3:$U$1000, 'Team Scores'!$U13, 3)</f>
        <v/>
      </c>
      <c r="V13" s="43">
        <f>PERCENTRANK('Team Scores'!$V$3:$V$1000, 'Team Scores'!$V13, 3)</f>
        <v/>
      </c>
      <c r="W13" s="43">
        <f>PERCENTRANK('Team Scores'!$W$3:$W$1000, 'Team Scores'!$W13, 3)</f>
        <v/>
      </c>
      <c r="X13" s="43">
        <f>PERCENTRANK('Team Scores'!$X$3:$X$1000, 'Team Scores'!$X13, 3)</f>
        <v/>
      </c>
      <c r="Y13" s="43">
        <f>PERCENTRANK('Team Scores'!$Y$3:$Y$1000, 'Team Scores'!$Y13, 3)</f>
        <v/>
      </c>
      <c r="Z13" s="43">
        <f>PERCENTRANK('Team Scores'!$Z$3:$Z$1000, 'Team Scores'!$Z13, 3)</f>
        <v/>
      </c>
      <c r="AA13" s="43">
        <f>AVERAGE(C13:G13)</f>
        <v/>
      </c>
      <c r="AB13" s="43">
        <f>AVERAGE(H13:O13)</f>
        <v/>
      </c>
      <c r="AC13" s="43">
        <f>AVERAGE(P13:T13)</f>
        <v/>
      </c>
      <c r="AD13" s="43">
        <f>AVERAGE(U13:X13)</f>
        <v/>
      </c>
      <c r="AE13" s="43">
        <f>AVERAGE(AA13:AD13)</f>
        <v/>
      </c>
    </row>
    <row r="14">
      <c r="A14" s="41" t="n">
        <v>806</v>
      </c>
      <c r="B14" s="42">
        <f>COUNTIF(MatchScoutingData!E$2:E$1000, $A14)</f>
        <v/>
      </c>
      <c r="C14" s="43">
        <f>PERCENTRANK('Team Scores'!$C$3:$C$1000, 'Team Scores'!$C14, 3)</f>
        <v/>
      </c>
      <c r="D14" s="43">
        <f>PERCENTRANK('Team Scores'!$D$3:$D$1000, 'Team Scores'!$D14, 3)</f>
        <v/>
      </c>
      <c r="E14" s="43">
        <f>PERCENTRANK('Team Scores'!$E$3:$E$1000, 'Team Scores'!$E14, 3)</f>
        <v/>
      </c>
      <c r="F14" s="43">
        <f>PERCENTRANK('Team Scores'!$F$3:$F$1000, 'Team Scores'!$F14, 3)</f>
        <v/>
      </c>
      <c r="G14" s="43">
        <f>PERCENTRANK('Team Scores'!$G$3:$G$1000, 'Team Scores'!$G14, 3)</f>
        <v/>
      </c>
      <c r="H14" s="43">
        <f>PERCENTRANK('Team Scores'!$H$3:$H$1000, 'Team Scores'!$H14, 3)</f>
        <v/>
      </c>
      <c r="I14" s="43">
        <f>PERCENTRANK('Team Scores'!$I$3:$I$1000, 'Team Scores'!$I14, 3)</f>
        <v/>
      </c>
      <c r="J14" s="43">
        <f>PERCENTRANK('Team Scores'!$J$3:$J$1000, 'Team Scores'!$J14, 3)</f>
        <v/>
      </c>
      <c r="K14" s="43">
        <f>PERCENTRANK('Team Scores'!$K$3:$K$1000, 'Team Scores'!$K14, 3)</f>
        <v/>
      </c>
      <c r="L14" s="43">
        <f>PERCENTRANK('Team Scores'!$L$3:$L$1000, 'Team Scores'!$L14, 3)</f>
        <v/>
      </c>
      <c r="M14" s="43">
        <f>PERCENTRANK('Team Scores'!$M$3:$M$1000, 'Team Scores'!$M14, 3)</f>
        <v/>
      </c>
      <c r="N14" s="43">
        <f>PERCENTRANK('Team Scores'!$N$3:$N$1000, 'Team Scores'!$N14, 3)</f>
        <v/>
      </c>
      <c r="O14" s="43">
        <f>PERCENTRANK('Team Scores'!$O$3:$O$1000, 'Team Scores'!$O14, 3)</f>
        <v/>
      </c>
      <c r="P14" s="43">
        <f>PERCENTRANK('Team Scores'!$P$3:$P$1000, 'Team Scores'!$P14, 3)</f>
        <v/>
      </c>
      <c r="Q14" s="43">
        <f>PERCENTRANK('Team Scores'!$Q$3:$Q$1000, 'Team Scores'!$Q14, 3)</f>
        <v/>
      </c>
      <c r="R14" s="43">
        <f>PERCENTRANK('Team Scores'!$R$3:$R$1000, 'Team Scores'!$R14, 3)</f>
        <v/>
      </c>
      <c r="S14" s="43">
        <f>PERCENTRANK('Team Scores'!$S$3:$S$1000, 'Team Scores'!$S14, 3)</f>
        <v/>
      </c>
      <c r="T14" s="43">
        <f>PERCENTRANK('Team Scores'!$T$3:$T$1000, 'Team Scores'!$T14, 3)</f>
        <v/>
      </c>
      <c r="U14" s="43">
        <f>PERCENTRANK('Team Scores'!$U$3:$U$1000, 'Team Scores'!$U14, 3)</f>
        <v/>
      </c>
      <c r="V14" s="43">
        <f>PERCENTRANK('Team Scores'!$V$3:$V$1000, 'Team Scores'!$V14, 3)</f>
        <v/>
      </c>
      <c r="W14" s="43">
        <f>PERCENTRANK('Team Scores'!$W$3:$W$1000, 'Team Scores'!$W14, 3)</f>
        <v/>
      </c>
      <c r="X14" s="43">
        <f>PERCENTRANK('Team Scores'!$X$3:$X$1000, 'Team Scores'!$X14, 3)</f>
        <v/>
      </c>
      <c r="Y14" s="43">
        <f>PERCENTRANK('Team Scores'!$Y$3:$Y$1000, 'Team Scores'!$Y14, 3)</f>
        <v/>
      </c>
      <c r="Z14" s="43">
        <f>PERCENTRANK('Team Scores'!$Z$3:$Z$1000, 'Team Scores'!$Z14, 3)</f>
        <v/>
      </c>
      <c r="AA14" s="43">
        <f>AVERAGE(C14:G14)</f>
        <v/>
      </c>
      <c r="AB14" s="43">
        <f>AVERAGE(H14:O14)</f>
        <v/>
      </c>
      <c r="AC14" s="43">
        <f>AVERAGE(P14:T14)</f>
        <v/>
      </c>
      <c r="AD14" s="43">
        <f>AVERAGE(U14:X14)</f>
        <v/>
      </c>
      <c r="AE14" s="43">
        <f>AVERAGE(AA14:AD14)</f>
        <v/>
      </c>
    </row>
    <row r="15">
      <c r="A15" s="41" t="n">
        <v>870</v>
      </c>
      <c r="B15" s="42">
        <f>COUNTIF(MatchScoutingData!E$2:E$1000, $A15)</f>
        <v/>
      </c>
      <c r="C15" s="43">
        <f>PERCENTRANK('Team Scores'!$C$3:$C$1000, 'Team Scores'!$C15, 3)</f>
        <v/>
      </c>
      <c r="D15" s="43">
        <f>PERCENTRANK('Team Scores'!$D$3:$D$1000, 'Team Scores'!$D15, 3)</f>
        <v/>
      </c>
      <c r="E15" s="43">
        <f>PERCENTRANK('Team Scores'!$E$3:$E$1000, 'Team Scores'!$E15, 3)</f>
        <v/>
      </c>
      <c r="F15" s="43">
        <f>PERCENTRANK('Team Scores'!$F$3:$F$1000, 'Team Scores'!$F15, 3)</f>
        <v/>
      </c>
      <c r="G15" s="43">
        <f>PERCENTRANK('Team Scores'!$G$3:$G$1000, 'Team Scores'!$G15, 3)</f>
        <v/>
      </c>
      <c r="H15" s="43">
        <f>PERCENTRANK('Team Scores'!$H$3:$H$1000, 'Team Scores'!$H15, 3)</f>
        <v/>
      </c>
      <c r="I15" s="43">
        <f>PERCENTRANK('Team Scores'!$I$3:$I$1000, 'Team Scores'!$I15, 3)</f>
        <v/>
      </c>
      <c r="J15" s="43">
        <f>PERCENTRANK('Team Scores'!$J$3:$J$1000, 'Team Scores'!$J15, 3)</f>
        <v/>
      </c>
      <c r="K15" s="43">
        <f>PERCENTRANK('Team Scores'!$K$3:$K$1000, 'Team Scores'!$K15, 3)</f>
        <v/>
      </c>
      <c r="L15" s="43">
        <f>PERCENTRANK('Team Scores'!$L$3:$L$1000, 'Team Scores'!$L15, 3)</f>
        <v/>
      </c>
      <c r="M15" s="43">
        <f>PERCENTRANK('Team Scores'!$M$3:$M$1000, 'Team Scores'!$M15, 3)</f>
        <v/>
      </c>
      <c r="N15" s="43">
        <f>PERCENTRANK('Team Scores'!$N$3:$N$1000, 'Team Scores'!$N15, 3)</f>
        <v/>
      </c>
      <c r="O15" s="43">
        <f>PERCENTRANK('Team Scores'!$O$3:$O$1000, 'Team Scores'!$O15, 3)</f>
        <v/>
      </c>
      <c r="P15" s="43">
        <f>PERCENTRANK('Team Scores'!$P$3:$P$1000, 'Team Scores'!$P15, 3)</f>
        <v/>
      </c>
      <c r="Q15" s="43">
        <f>PERCENTRANK('Team Scores'!$Q$3:$Q$1000, 'Team Scores'!$Q15, 3)</f>
        <v/>
      </c>
      <c r="R15" s="43">
        <f>PERCENTRANK('Team Scores'!$R$3:$R$1000, 'Team Scores'!$R15, 3)</f>
        <v/>
      </c>
      <c r="S15" s="43">
        <f>PERCENTRANK('Team Scores'!$S$3:$S$1000, 'Team Scores'!$S15, 3)</f>
        <v/>
      </c>
      <c r="T15" s="43">
        <f>PERCENTRANK('Team Scores'!$T$3:$T$1000, 'Team Scores'!$T15, 3)</f>
        <v/>
      </c>
      <c r="U15" s="43">
        <f>PERCENTRANK('Team Scores'!$U$3:$U$1000, 'Team Scores'!$U15, 3)</f>
        <v/>
      </c>
      <c r="V15" s="43">
        <f>PERCENTRANK('Team Scores'!$V$3:$V$1000, 'Team Scores'!$V15, 3)</f>
        <v/>
      </c>
      <c r="W15" s="43">
        <f>PERCENTRANK('Team Scores'!$W$3:$W$1000, 'Team Scores'!$W15, 3)</f>
        <v/>
      </c>
      <c r="X15" s="43">
        <f>PERCENTRANK('Team Scores'!$X$3:$X$1000, 'Team Scores'!$X15, 3)</f>
        <v/>
      </c>
      <c r="Y15" s="43">
        <f>PERCENTRANK('Team Scores'!$Y$3:$Y$1000, 'Team Scores'!$Y15, 3)</f>
        <v/>
      </c>
      <c r="Z15" s="43">
        <f>PERCENTRANK('Team Scores'!$Z$3:$Z$1000, 'Team Scores'!$Z15, 3)</f>
        <v/>
      </c>
      <c r="AA15" s="43">
        <f>AVERAGE(C15:G15)</f>
        <v/>
      </c>
      <c r="AB15" s="43">
        <f>AVERAGE(H15:O15)</f>
        <v/>
      </c>
      <c r="AC15" s="43">
        <f>AVERAGE(P15:T15)</f>
        <v/>
      </c>
      <c r="AD15" s="43">
        <f>AVERAGE(U15:X15)</f>
        <v/>
      </c>
      <c r="AE15" s="43">
        <f>AVERAGE(AA15:AD15)</f>
        <v/>
      </c>
    </row>
    <row r="16">
      <c r="A16" s="41" t="n">
        <v>1126</v>
      </c>
      <c r="B16" s="42">
        <f>COUNTIF(MatchScoutingData!E$2:E$1000, $A16)</f>
        <v/>
      </c>
      <c r="C16" s="43">
        <f>PERCENTRANK('Team Scores'!$C$3:$C$1000, 'Team Scores'!$C16, 3)</f>
        <v/>
      </c>
      <c r="D16" s="43">
        <f>PERCENTRANK('Team Scores'!$D$3:$D$1000, 'Team Scores'!$D16, 3)</f>
        <v/>
      </c>
      <c r="E16" s="43">
        <f>PERCENTRANK('Team Scores'!$E$3:$E$1000, 'Team Scores'!$E16, 3)</f>
        <v/>
      </c>
      <c r="F16" s="43">
        <f>PERCENTRANK('Team Scores'!$F$3:$F$1000, 'Team Scores'!$F16, 3)</f>
        <v/>
      </c>
      <c r="G16" s="43">
        <f>PERCENTRANK('Team Scores'!$G$3:$G$1000, 'Team Scores'!$G16, 3)</f>
        <v/>
      </c>
      <c r="H16" s="43">
        <f>PERCENTRANK('Team Scores'!$H$3:$H$1000, 'Team Scores'!$H16, 3)</f>
        <v/>
      </c>
      <c r="I16" s="43">
        <f>PERCENTRANK('Team Scores'!$I$3:$I$1000, 'Team Scores'!$I16, 3)</f>
        <v/>
      </c>
      <c r="J16" s="43">
        <f>PERCENTRANK('Team Scores'!$J$3:$J$1000, 'Team Scores'!$J16, 3)</f>
        <v/>
      </c>
      <c r="K16" s="43">
        <f>PERCENTRANK('Team Scores'!$K$3:$K$1000, 'Team Scores'!$K16, 3)</f>
        <v/>
      </c>
      <c r="L16" s="43">
        <f>PERCENTRANK('Team Scores'!$L$3:$L$1000, 'Team Scores'!$L16, 3)</f>
        <v/>
      </c>
      <c r="M16" s="43">
        <f>PERCENTRANK('Team Scores'!$M$3:$M$1000, 'Team Scores'!$M16, 3)</f>
        <v/>
      </c>
      <c r="N16" s="43">
        <f>PERCENTRANK('Team Scores'!$N$3:$N$1000, 'Team Scores'!$N16, 3)</f>
        <v/>
      </c>
      <c r="O16" s="43">
        <f>PERCENTRANK('Team Scores'!$O$3:$O$1000, 'Team Scores'!$O16, 3)</f>
        <v/>
      </c>
      <c r="P16" s="43">
        <f>PERCENTRANK('Team Scores'!$P$3:$P$1000, 'Team Scores'!$P16, 3)</f>
        <v/>
      </c>
      <c r="Q16" s="43">
        <f>PERCENTRANK('Team Scores'!$Q$3:$Q$1000, 'Team Scores'!$Q16, 3)</f>
        <v/>
      </c>
      <c r="R16" s="43">
        <f>PERCENTRANK('Team Scores'!$R$3:$R$1000, 'Team Scores'!$R16, 3)</f>
        <v/>
      </c>
      <c r="S16" s="43">
        <f>PERCENTRANK('Team Scores'!$S$3:$S$1000, 'Team Scores'!$S16, 3)</f>
        <v/>
      </c>
      <c r="T16" s="43">
        <f>PERCENTRANK('Team Scores'!$T$3:$T$1000, 'Team Scores'!$T16, 3)</f>
        <v/>
      </c>
      <c r="U16" s="43">
        <f>PERCENTRANK('Team Scores'!$U$3:$U$1000, 'Team Scores'!$U16, 3)</f>
        <v/>
      </c>
      <c r="V16" s="43">
        <f>PERCENTRANK('Team Scores'!$V$3:$V$1000, 'Team Scores'!$V16, 3)</f>
        <v/>
      </c>
      <c r="W16" s="43">
        <f>PERCENTRANK('Team Scores'!$W$3:$W$1000, 'Team Scores'!$W16, 3)</f>
        <v/>
      </c>
      <c r="X16" s="43">
        <f>PERCENTRANK('Team Scores'!$X$3:$X$1000, 'Team Scores'!$X16, 3)</f>
        <v/>
      </c>
      <c r="Y16" s="43">
        <f>PERCENTRANK('Team Scores'!$Y$3:$Y$1000, 'Team Scores'!$Y16, 3)</f>
        <v/>
      </c>
      <c r="Z16" s="43">
        <f>PERCENTRANK('Team Scores'!$Z$3:$Z$1000, 'Team Scores'!$Z16, 3)</f>
        <v/>
      </c>
      <c r="AA16" s="43">
        <f>AVERAGE(C16:G16)</f>
        <v/>
      </c>
      <c r="AB16" s="43">
        <f>AVERAGE(H16:O16)</f>
        <v/>
      </c>
      <c r="AC16" s="43">
        <f>AVERAGE(P16:T16)</f>
        <v/>
      </c>
      <c r="AD16" s="43">
        <f>AVERAGE(U16:X16)</f>
        <v/>
      </c>
      <c r="AE16" s="43">
        <f>AVERAGE(AA16:AD16)</f>
        <v/>
      </c>
    </row>
    <row r="17">
      <c r="A17" s="41" t="n">
        <v>1405</v>
      </c>
      <c r="B17" s="42">
        <f>COUNTIF(MatchScoutingData!E$2:E$1000, $A17)</f>
        <v/>
      </c>
      <c r="C17" s="43">
        <f>PERCENTRANK('Team Scores'!$C$3:$C$1000, 'Team Scores'!$C17, 3)</f>
        <v/>
      </c>
      <c r="D17" s="43">
        <f>PERCENTRANK('Team Scores'!$D$3:$D$1000, 'Team Scores'!$D17, 3)</f>
        <v/>
      </c>
      <c r="E17" s="43">
        <f>PERCENTRANK('Team Scores'!$E$3:$E$1000, 'Team Scores'!$E17, 3)</f>
        <v/>
      </c>
      <c r="F17" s="43">
        <f>PERCENTRANK('Team Scores'!$F$3:$F$1000, 'Team Scores'!$F17, 3)</f>
        <v/>
      </c>
      <c r="G17" s="43">
        <f>PERCENTRANK('Team Scores'!$G$3:$G$1000, 'Team Scores'!$G17, 3)</f>
        <v/>
      </c>
      <c r="H17" s="43">
        <f>PERCENTRANK('Team Scores'!$H$3:$H$1000, 'Team Scores'!$H17, 3)</f>
        <v/>
      </c>
      <c r="I17" s="43">
        <f>PERCENTRANK('Team Scores'!$I$3:$I$1000, 'Team Scores'!$I17, 3)</f>
        <v/>
      </c>
      <c r="J17" s="43">
        <f>PERCENTRANK('Team Scores'!$J$3:$J$1000, 'Team Scores'!$J17, 3)</f>
        <v/>
      </c>
      <c r="K17" s="43">
        <f>PERCENTRANK('Team Scores'!$K$3:$K$1000, 'Team Scores'!$K17, 3)</f>
        <v/>
      </c>
      <c r="L17" s="43">
        <f>PERCENTRANK('Team Scores'!$L$3:$L$1000, 'Team Scores'!$L17, 3)</f>
        <v/>
      </c>
      <c r="M17" s="43">
        <f>PERCENTRANK('Team Scores'!$M$3:$M$1000, 'Team Scores'!$M17, 3)</f>
        <v/>
      </c>
      <c r="N17" s="43">
        <f>PERCENTRANK('Team Scores'!$N$3:$N$1000, 'Team Scores'!$N17, 3)</f>
        <v/>
      </c>
      <c r="O17" s="43">
        <f>PERCENTRANK('Team Scores'!$O$3:$O$1000, 'Team Scores'!$O17, 3)</f>
        <v/>
      </c>
      <c r="P17" s="43">
        <f>PERCENTRANK('Team Scores'!$P$3:$P$1000, 'Team Scores'!$P17, 3)</f>
        <v/>
      </c>
      <c r="Q17" s="43">
        <f>PERCENTRANK('Team Scores'!$Q$3:$Q$1000, 'Team Scores'!$Q17, 3)</f>
        <v/>
      </c>
      <c r="R17" s="43">
        <f>PERCENTRANK('Team Scores'!$R$3:$R$1000, 'Team Scores'!$R17, 3)</f>
        <v/>
      </c>
      <c r="S17" s="43">
        <f>PERCENTRANK('Team Scores'!$S$3:$S$1000, 'Team Scores'!$S17, 3)</f>
        <v/>
      </c>
      <c r="T17" s="43">
        <f>PERCENTRANK('Team Scores'!$T$3:$T$1000, 'Team Scores'!$T17, 3)</f>
        <v/>
      </c>
      <c r="U17" s="43">
        <f>PERCENTRANK('Team Scores'!$U$3:$U$1000, 'Team Scores'!$U17, 3)</f>
        <v/>
      </c>
      <c r="V17" s="43">
        <f>PERCENTRANK('Team Scores'!$V$3:$V$1000, 'Team Scores'!$V17, 3)</f>
        <v/>
      </c>
      <c r="W17" s="43">
        <f>PERCENTRANK('Team Scores'!$W$3:$W$1000, 'Team Scores'!$W17, 3)</f>
        <v/>
      </c>
      <c r="X17" s="43">
        <f>PERCENTRANK('Team Scores'!$X$3:$X$1000, 'Team Scores'!$X17, 3)</f>
        <v/>
      </c>
      <c r="Y17" s="43">
        <f>PERCENTRANK('Team Scores'!$Y$3:$Y$1000, 'Team Scores'!$Y17, 3)</f>
        <v/>
      </c>
      <c r="Z17" s="43">
        <f>PERCENTRANK('Team Scores'!$Z$3:$Z$1000, 'Team Scores'!$Z17, 3)</f>
        <v/>
      </c>
      <c r="AA17" s="43">
        <f>AVERAGE(C17:G17)</f>
        <v/>
      </c>
      <c r="AB17" s="43">
        <f>AVERAGE(H17:O17)</f>
        <v/>
      </c>
      <c r="AC17" s="43">
        <f>AVERAGE(P17:T17)</f>
        <v/>
      </c>
      <c r="AD17" s="43">
        <f>AVERAGE(U17:X17)</f>
        <v/>
      </c>
      <c r="AE17" s="43">
        <f>AVERAGE(AA17:AD17)</f>
        <v/>
      </c>
    </row>
    <row r="18">
      <c r="A18" s="41" t="n">
        <v>1493</v>
      </c>
      <c r="B18" s="42">
        <f>COUNTIF(MatchScoutingData!E$2:E$1000, $A18)</f>
        <v/>
      </c>
      <c r="C18" s="43">
        <f>PERCENTRANK('Team Scores'!$C$3:$C$1000, 'Team Scores'!$C18, 3)</f>
        <v/>
      </c>
      <c r="D18" s="43">
        <f>PERCENTRANK('Team Scores'!$D$3:$D$1000, 'Team Scores'!$D18, 3)</f>
        <v/>
      </c>
      <c r="E18" s="43">
        <f>PERCENTRANK('Team Scores'!$E$3:$E$1000, 'Team Scores'!$E18, 3)</f>
        <v/>
      </c>
      <c r="F18" s="43">
        <f>PERCENTRANK('Team Scores'!$F$3:$F$1000, 'Team Scores'!$F18, 3)</f>
        <v/>
      </c>
      <c r="G18" s="43">
        <f>PERCENTRANK('Team Scores'!$G$3:$G$1000, 'Team Scores'!$G18, 3)</f>
        <v/>
      </c>
      <c r="H18" s="43">
        <f>PERCENTRANK('Team Scores'!$H$3:$H$1000, 'Team Scores'!$H18, 3)</f>
        <v/>
      </c>
      <c r="I18" s="43">
        <f>PERCENTRANK('Team Scores'!$I$3:$I$1000, 'Team Scores'!$I18, 3)</f>
        <v/>
      </c>
      <c r="J18" s="43">
        <f>PERCENTRANK('Team Scores'!$J$3:$J$1000, 'Team Scores'!$J18, 3)</f>
        <v/>
      </c>
      <c r="K18" s="43">
        <f>PERCENTRANK('Team Scores'!$K$3:$K$1000, 'Team Scores'!$K18, 3)</f>
        <v/>
      </c>
      <c r="L18" s="43">
        <f>PERCENTRANK('Team Scores'!$L$3:$L$1000, 'Team Scores'!$L18, 3)</f>
        <v/>
      </c>
      <c r="M18" s="43">
        <f>PERCENTRANK('Team Scores'!$M$3:$M$1000, 'Team Scores'!$M18, 3)</f>
        <v/>
      </c>
      <c r="N18" s="43">
        <f>PERCENTRANK('Team Scores'!$N$3:$N$1000, 'Team Scores'!$N18, 3)</f>
        <v/>
      </c>
      <c r="O18" s="43">
        <f>PERCENTRANK('Team Scores'!$O$3:$O$1000, 'Team Scores'!$O18, 3)</f>
        <v/>
      </c>
      <c r="P18" s="43">
        <f>PERCENTRANK('Team Scores'!$P$3:$P$1000, 'Team Scores'!$P18, 3)</f>
        <v/>
      </c>
      <c r="Q18" s="43">
        <f>PERCENTRANK('Team Scores'!$Q$3:$Q$1000, 'Team Scores'!$Q18, 3)</f>
        <v/>
      </c>
      <c r="R18" s="43">
        <f>PERCENTRANK('Team Scores'!$R$3:$R$1000, 'Team Scores'!$R18, 3)</f>
        <v/>
      </c>
      <c r="S18" s="43">
        <f>PERCENTRANK('Team Scores'!$S$3:$S$1000, 'Team Scores'!$S18, 3)</f>
        <v/>
      </c>
      <c r="T18" s="43">
        <f>PERCENTRANK('Team Scores'!$T$3:$T$1000, 'Team Scores'!$T18, 3)</f>
        <v/>
      </c>
      <c r="U18" s="43">
        <f>PERCENTRANK('Team Scores'!$U$3:$U$1000, 'Team Scores'!$U18, 3)</f>
        <v/>
      </c>
      <c r="V18" s="43">
        <f>PERCENTRANK('Team Scores'!$V$3:$V$1000, 'Team Scores'!$V18, 3)</f>
        <v/>
      </c>
      <c r="W18" s="43">
        <f>PERCENTRANK('Team Scores'!$W$3:$W$1000, 'Team Scores'!$W18, 3)</f>
        <v/>
      </c>
      <c r="X18" s="43">
        <f>PERCENTRANK('Team Scores'!$X$3:$X$1000, 'Team Scores'!$X18, 3)</f>
        <v/>
      </c>
      <c r="Y18" s="43">
        <f>PERCENTRANK('Team Scores'!$Y$3:$Y$1000, 'Team Scores'!$Y18, 3)</f>
        <v/>
      </c>
      <c r="Z18" s="43">
        <f>PERCENTRANK('Team Scores'!$Z$3:$Z$1000, 'Team Scores'!$Z18, 3)</f>
        <v/>
      </c>
      <c r="AA18" s="43">
        <f>AVERAGE(C18:G18)</f>
        <v/>
      </c>
      <c r="AB18" s="43">
        <f>AVERAGE(H18:O18)</f>
        <v/>
      </c>
      <c r="AC18" s="43">
        <f>AVERAGE(P18:T18)</f>
        <v/>
      </c>
      <c r="AD18" s="43">
        <f>AVERAGE(U18:X18)</f>
        <v/>
      </c>
      <c r="AE18" s="43">
        <f>AVERAGE(AA18:AD18)</f>
        <v/>
      </c>
    </row>
    <row r="19">
      <c r="A19" s="41" t="n">
        <v>1559</v>
      </c>
      <c r="B19" s="42">
        <f>COUNTIF(MatchScoutingData!E$2:E$1000, $A19)</f>
        <v/>
      </c>
      <c r="C19" s="43">
        <f>PERCENTRANK('Team Scores'!$C$3:$C$1000, 'Team Scores'!$C19, 3)</f>
        <v/>
      </c>
      <c r="D19" s="43">
        <f>PERCENTRANK('Team Scores'!$D$3:$D$1000, 'Team Scores'!$D19, 3)</f>
        <v/>
      </c>
      <c r="E19" s="43">
        <f>PERCENTRANK('Team Scores'!$E$3:$E$1000, 'Team Scores'!$E19, 3)</f>
        <v/>
      </c>
      <c r="F19" s="43">
        <f>PERCENTRANK('Team Scores'!$F$3:$F$1000, 'Team Scores'!$F19, 3)</f>
        <v/>
      </c>
      <c r="G19" s="43">
        <f>PERCENTRANK('Team Scores'!$G$3:$G$1000, 'Team Scores'!$G19, 3)</f>
        <v/>
      </c>
      <c r="H19" s="43">
        <f>PERCENTRANK('Team Scores'!$H$3:$H$1000, 'Team Scores'!$H19, 3)</f>
        <v/>
      </c>
      <c r="I19" s="43">
        <f>PERCENTRANK('Team Scores'!$I$3:$I$1000, 'Team Scores'!$I19, 3)</f>
        <v/>
      </c>
      <c r="J19" s="43">
        <f>PERCENTRANK('Team Scores'!$J$3:$J$1000, 'Team Scores'!$J19, 3)</f>
        <v/>
      </c>
      <c r="K19" s="43">
        <f>PERCENTRANK('Team Scores'!$K$3:$K$1000, 'Team Scores'!$K19, 3)</f>
        <v/>
      </c>
      <c r="L19" s="43">
        <f>PERCENTRANK('Team Scores'!$L$3:$L$1000, 'Team Scores'!$L19, 3)</f>
        <v/>
      </c>
      <c r="M19" s="43">
        <f>PERCENTRANK('Team Scores'!$M$3:$M$1000, 'Team Scores'!$M19, 3)</f>
        <v/>
      </c>
      <c r="N19" s="43">
        <f>PERCENTRANK('Team Scores'!$N$3:$N$1000, 'Team Scores'!$N19, 3)</f>
        <v/>
      </c>
      <c r="O19" s="43">
        <f>PERCENTRANK('Team Scores'!$O$3:$O$1000, 'Team Scores'!$O19, 3)</f>
        <v/>
      </c>
      <c r="P19" s="43">
        <f>PERCENTRANK('Team Scores'!$P$3:$P$1000, 'Team Scores'!$P19, 3)</f>
        <v/>
      </c>
      <c r="Q19" s="43">
        <f>PERCENTRANK('Team Scores'!$Q$3:$Q$1000, 'Team Scores'!$Q19, 3)</f>
        <v/>
      </c>
      <c r="R19" s="43">
        <f>PERCENTRANK('Team Scores'!$R$3:$R$1000, 'Team Scores'!$R19, 3)</f>
        <v/>
      </c>
      <c r="S19" s="43">
        <f>PERCENTRANK('Team Scores'!$S$3:$S$1000, 'Team Scores'!$S19, 3)</f>
        <v/>
      </c>
      <c r="T19" s="43">
        <f>PERCENTRANK('Team Scores'!$T$3:$T$1000, 'Team Scores'!$T19, 3)</f>
        <v/>
      </c>
      <c r="U19" s="43">
        <f>PERCENTRANK('Team Scores'!$U$3:$U$1000, 'Team Scores'!$U19, 3)</f>
        <v/>
      </c>
      <c r="V19" s="43">
        <f>PERCENTRANK('Team Scores'!$V$3:$V$1000, 'Team Scores'!$V19, 3)</f>
        <v/>
      </c>
      <c r="W19" s="43">
        <f>PERCENTRANK('Team Scores'!$W$3:$W$1000, 'Team Scores'!$W19, 3)</f>
        <v/>
      </c>
      <c r="X19" s="43">
        <f>PERCENTRANK('Team Scores'!$X$3:$X$1000, 'Team Scores'!$X19, 3)</f>
        <v/>
      </c>
      <c r="Y19" s="43">
        <f>PERCENTRANK('Team Scores'!$Y$3:$Y$1000, 'Team Scores'!$Y19, 3)</f>
        <v/>
      </c>
      <c r="Z19" s="43">
        <f>PERCENTRANK('Team Scores'!$Z$3:$Z$1000, 'Team Scores'!$Z19, 3)</f>
        <v/>
      </c>
      <c r="AA19" s="43">
        <f>AVERAGE(C19:G19)</f>
        <v/>
      </c>
      <c r="AB19" s="43">
        <f>AVERAGE(H19:O19)</f>
        <v/>
      </c>
      <c r="AC19" s="43">
        <f>AVERAGE(P19:T19)</f>
        <v/>
      </c>
      <c r="AD19" s="43">
        <f>AVERAGE(U19:X19)</f>
        <v/>
      </c>
      <c r="AE19" s="43">
        <f>AVERAGE(AA19:AD19)</f>
        <v/>
      </c>
    </row>
    <row r="20">
      <c r="A20" s="41" t="n">
        <v>1591</v>
      </c>
      <c r="B20" s="42">
        <f>COUNTIF(MatchScoutingData!E$2:E$1000, $A20)</f>
        <v/>
      </c>
      <c r="C20" s="43">
        <f>PERCENTRANK('Team Scores'!$C$3:$C$1000, 'Team Scores'!$C20, 3)</f>
        <v/>
      </c>
      <c r="D20" s="43">
        <f>PERCENTRANK('Team Scores'!$D$3:$D$1000, 'Team Scores'!$D20, 3)</f>
        <v/>
      </c>
      <c r="E20" s="43">
        <f>PERCENTRANK('Team Scores'!$E$3:$E$1000, 'Team Scores'!$E20, 3)</f>
        <v/>
      </c>
      <c r="F20" s="43">
        <f>PERCENTRANK('Team Scores'!$F$3:$F$1000, 'Team Scores'!$F20, 3)</f>
        <v/>
      </c>
      <c r="G20" s="43">
        <f>PERCENTRANK('Team Scores'!$G$3:$G$1000, 'Team Scores'!$G20, 3)</f>
        <v/>
      </c>
      <c r="H20" s="43">
        <f>PERCENTRANK('Team Scores'!$H$3:$H$1000, 'Team Scores'!$H20, 3)</f>
        <v/>
      </c>
      <c r="I20" s="43">
        <f>PERCENTRANK('Team Scores'!$I$3:$I$1000, 'Team Scores'!$I20, 3)</f>
        <v/>
      </c>
      <c r="J20" s="43">
        <f>PERCENTRANK('Team Scores'!$J$3:$J$1000, 'Team Scores'!$J20, 3)</f>
        <v/>
      </c>
      <c r="K20" s="43">
        <f>PERCENTRANK('Team Scores'!$K$3:$K$1000, 'Team Scores'!$K20, 3)</f>
        <v/>
      </c>
      <c r="L20" s="43">
        <f>PERCENTRANK('Team Scores'!$L$3:$L$1000, 'Team Scores'!$L20, 3)</f>
        <v/>
      </c>
      <c r="M20" s="43">
        <f>PERCENTRANK('Team Scores'!$M$3:$M$1000, 'Team Scores'!$M20, 3)</f>
        <v/>
      </c>
      <c r="N20" s="43">
        <f>PERCENTRANK('Team Scores'!$N$3:$N$1000, 'Team Scores'!$N20, 3)</f>
        <v/>
      </c>
      <c r="O20" s="43">
        <f>PERCENTRANK('Team Scores'!$O$3:$O$1000, 'Team Scores'!$O20, 3)</f>
        <v/>
      </c>
      <c r="P20" s="43">
        <f>PERCENTRANK('Team Scores'!$P$3:$P$1000, 'Team Scores'!$P20, 3)</f>
        <v/>
      </c>
      <c r="Q20" s="43">
        <f>PERCENTRANK('Team Scores'!$Q$3:$Q$1000, 'Team Scores'!$Q20, 3)</f>
        <v/>
      </c>
      <c r="R20" s="43">
        <f>PERCENTRANK('Team Scores'!$R$3:$R$1000, 'Team Scores'!$R20, 3)</f>
        <v/>
      </c>
      <c r="S20" s="43">
        <f>PERCENTRANK('Team Scores'!$S$3:$S$1000, 'Team Scores'!$S20, 3)</f>
        <v/>
      </c>
      <c r="T20" s="43">
        <f>PERCENTRANK('Team Scores'!$T$3:$T$1000, 'Team Scores'!$T20, 3)</f>
        <v/>
      </c>
      <c r="U20" s="43">
        <f>PERCENTRANK('Team Scores'!$U$3:$U$1000, 'Team Scores'!$U20, 3)</f>
        <v/>
      </c>
      <c r="V20" s="43">
        <f>PERCENTRANK('Team Scores'!$V$3:$V$1000, 'Team Scores'!$V20, 3)</f>
        <v/>
      </c>
      <c r="W20" s="43">
        <f>PERCENTRANK('Team Scores'!$W$3:$W$1000, 'Team Scores'!$W20, 3)</f>
        <v/>
      </c>
      <c r="X20" s="43">
        <f>PERCENTRANK('Team Scores'!$X$3:$X$1000, 'Team Scores'!$X20, 3)</f>
        <v/>
      </c>
      <c r="Y20" s="43">
        <f>PERCENTRANK('Team Scores'!$Y$3:$Y$1000, 'Team Scores'!$Y20, 3)</f>
        <v/>
      </c>
      <c r="Z20" s="43">
        <f>PERCENTRANK('Team Scores'!$Z$3:$Z$1000, 'Team Scores'!$Z20, 3)</f>
        <v/>
      </c>
      <c r="AA20" s="43">
        <f>AVERAGE(C20:G20)</f>
        <v/>
      </c>
      <c r="AB20" s="43">
        <f>AVERAGE(H20:O20)</f>
        <v/>
      </c>
      <c r="AC20" s="43">
        <f>AVERAGE(P20:T20)</f>
        <v/>
      </c>
      <c r="AD20" s="43">
        <f>AVERAGE(U20:X20)</f>
        <v/>
      </c>
      <c r="AE20" s="43">
        <f>AVERAGE(AA20:AD20)</f>
        <v/>
      </c>
    </row>
    <row r="21">
      <c r="A21" s="41" t="n">
        <v>1796</v>
      </c>
      <c r="B21" s="42">
        <f>COUNTIF(MatchScoutingData!E$2:E$1000, $A21)</f>
        <v/>
      </c>
      <c r="C21" s="43">
        <f>PERCENTRANK('Team Scores'!$C$3:$C$1000, 'Team Scores'!$C21, 3)</f>
        <v/>
      </c>
      <c r="D21" s="43">
        <f>PERCENTRANK('Team Scores'!$D$3:$D$1000, 'Team Scores'!$D21, 3)</f>
        <v/>
      </c>
      <c r="E21" s="43">
        <f>PERCENTRANK('Team Scores'!$E$3:$E$1000, 'Team Scores'!$E21, 3)</f>
        <v/>
      </c>
      <c r="F21" s="43">
        <f>PERCENTRANK('Team Scores'!$F$3:$F$1000, 'Team Scores'!$F21, 3)</f>
        <v/>
      </c>
      <c r="G21" s="43">
        <f>PERCENTRANK('Team Scores'!$G$3:$G$1000, 'Team Scores'!$G21, 3)</f>
        <v/>
      </c>
      <c r="H21" s="43">
        <f>PERCENTRANK('Team Scores'!$H$3:$H$1000, 'Team Scores'!$H21, 3)</f>
        <v/>
      </c>
      <c r="I21" s="43">
        <f>PERCENTRANK('Team Scores'!$I$3:$I$1000, 'Team Scores'!$I21, 3)</f>
        <v/>
      </c>
      <c r="J21" s="43">
        <f>PERCENTRANK('Team Scores'!$J$3:$J$1000, 'Team Scores'!$J21, 3)</f>
        <v/>
      </c>
      <c r="K21" s="43">
        <f>PERCENTRANK('Team Scores'!$K$3:$K$1000, 'Team Scores'!$K21, 3)</f>
        <v/>
      </c>
      <c r="L21" s="43">
        <f>PERCENTRANK('Team Scores'!$L$3:$L$1000, 'Team Scores'!$L21, 3)</f>
        <v/>
      </c>
      <c r="M21" s="43">
        <f>PERCENTRANK('Team Scores'!$M$3:$M$1000, 'Team Scores'!$M21, 3)</f>
        <v/>
      </c>
      <c r="N21" s="43">
        <f>PERCENTRANK('Team Scores'!$N$3:$N$1000, 'Team Scores'!$N21, 3)</f>
        <v/>
      </c>
      <c r="O21" s="43">
        <f>PERCENTRANK('Team Scores'!$O$3:$O$1000, 'Team Scores'!$O21, 3)</f>
        <v/>
      </c>
      <c r="P21" s="43">
        <f>PERCENTRANK('Team Scores'!$P$3:$P$1000, 'Team Scores'!$P21, 3)</f>
        <v/>
      </c>
      <c r="Q21" s="43">
        <f>PERCENTRANK('Team Scores'!$Q$3:$Q$1000, 'Team Scores'!$Q21, 3)</f>
        <v/>
      </c>
      <c r="R21" s="43">
        <f>PERCENTRANK('Team Scores'!$R$3:$R$1000, 'Team Scores'!$R21, 3)</f>
        <v/>
      </c>
      <c r="S21" s="43">
        <f>PERCENTRANK('Team Scores'!$S$3:$S$1000, 'Team Scores'!$S21, 3)</f>
        <v/>
      </c>
      <c r="T21" s="43">
        <f>PERCENTRANK('Team Scores'!$T$3:$T$1000, 'Team Scores'!$T21, 3)</f>
        <v/>
      </c>
      <c r="U21" s="43">
        <f>PERCENTRANK('Team Scores'!$U$3:$U$1000, 'Team Scores'!$U21, 3)</f>
        <v/>
      </c>
      <c r="V21" s="43">
        <f>PERCENTRANK('Team Scores'!$V$3:$V$1000, 'Team Scores'!$V21, 3)</f>
        <v/>
      </c>
      <c r="W21" s="43">
        <f>PERCENTRANK('Team Scores'!$W$3:$W$1000, 'Team Scores'!$W21, 3)</f>
        <v/>
      </c>
      <c r="X21" s="43">
        <f>PERCENTRANK('Team Scores'!$X$3:$X$1000, 'Team Scores'!$X21, 3)</f>
        <v/>
      </c>
      <c r="Y21" s="43">
        <f>PERCENTRANK('Team Scores'!$Y$3:$Y$1000, 'Team Scores'!$Y21, 3)</f>
        <v/>
      </c>
      <c r="Z21" s="43">
        <f>PERCENTRANK('Team Scores'!$Z$3:$Z$1000, 'Team Scores'!$Z21, 3)</f>
        <v/>
      </c>
      <c r="AA21" s="43">
        <f>AVERAGE(C21:G21)</f>
        <v/>
      </c>
      <c r="AB21" s="43">
        <f>AVERAGE(H21:O21)</f>
        <v/>
      </c>
      <c r="AC21" s="43">
        <f>AVERAGE(P21:T21)</f>
        <v/>
      </c>
      <c r="AD21" s="43">
        <f>AVERAGE(U21:X21)</f>
        <v/>
      </c>
      <c r="AE21" s="43">
        <f>AVERAGE(AA21:AD21)</f>
        <v/>
      </c>
    </row>
    <row r="22">
      <c r="A22" s="41" t="n">
        <v>1880</v>
      </c>
      <c r="B22" s="42">
        <f>COUNTIF(MatchScoutingData!E$2:E$1000, $A22)</f>
        <v/>
      </c>
      <c r="C22" s="43">
        <f>PERCENTRANK('Team Scores'!$C$3:$C$1000, 'Team Scores'!$C22, 3)</f>
        <v/>
      </c>
      <c r="D22" s="43">
        <f>PERCENTRANK('Team Scores'!$D$3:$D$1000, 'Team Scores'!$D22, 3)</f>
        <v/>
      </c>
      <c r="E22" s="43">
        <f>PERCENTRANK('Team Scores'!$E$3:$E$1000, 'Team Scores'!$E22, 3)</f>
        <v/>
      </c>
      <c r="F22" s="43">
        <f>PERCENTRANK('Team Scores'!$F$3:$F$1000, 'Team Scores'!$F22, 3)</f>
        <v/>
      </c>
      <c r="G22" s="43">
        <f>PERCENTRANK('Team Scores'!$G$3:$G$1000, 'Team Scores'!$G22, 3)</f>
        <v/>
      </c>
      <c r="H22" s="43">
        <f>PERCENTRANK('Team Scores'!$H$3:$H$1000, 'Team Scores'!$H22, 3)</f>
        <v/>
      </c>
      <c r="I22" s="43">
        <f>PERCENTRANK('Team Scores'!$I$3:$I$1000, 'Team Scores'!$I22, 3)</f>
        <v/>
      </c>
      <c r="J22" s="43">
        <f>PERCENTRANK('Team Scores'!$J$3:$J$1000, 'Team Scores'!$J22, 3)</f>
        <v/>
      </c>
      <c r="K22" s="43">
        <f>PERCENTRANK('Team Scores'!$K$3:$K$1000, 'Team Scores'!$K22, 3)</f>
        <v/>
      </c>
      <c r="L22" s="43">
        <f>PERCENTRANK('Team Scores'!$L$3:$L$1000, 'Team Scores'!$L22, 3)</f>
        <v/>
      </c>
      <c r="M22" s="43">
        <f>PERCENTRANK('Team Scores'!$M$3:$M$1000, 'Team Scores'!$M22, 3)</f>
        <v/>
      </c>
      <c r="N22" s="43">
        <f>PERCENTRANK('Team Scores'!$N$3:$N$1000, 'Team Scores'!$N22, 3)</f>
        <v/>
      </c>
      <c r="O22" s="43">
        <f>PERCENTRANK('Team Scores'!$O$3:$O$1000, 'Team Scores'!$O22, 3)</f>
        <v/>
      </c>
      <c r="P22" s="43">
        <f>PERCENTRANK('Team Scores'!$P$3:$P$1000, 'Team Scores'!$P22, 3)</f>
        <v/>
      </c>
      <c r="Q22" s="43">
        <f>PERCENTRANK('Team Scores'!$Q$3:$Q$1000, 'Team Scores'!$Q22, 3)</f>
        <v/>
      </c>
      <c r="R22" s="43">
        <f>PERCENTRANK('Team Scores'!$R$3:$R$1000, 'Team Scores'!$R22, 3)</f>
        <v/>
      </c>
      <c r="S22" s="43">
        <f>PERCENTRANK('Team Scores'!$S$3:$S$1000, 'Team Scores'!$S22, 3)</f>
        <v/>
      </c>
      <c r="T22" s="43">
        <f>PERCENTRANK('Team Scores'!$T$3:$T$1000, 'Team Scores'!$T22, 3)</f>
        <v/>
      </c>
      <c r="U22" s="43">
        <f>PERCENTRANK('Team Scores'!$U$3:$U$1000, 'Team Scores'!$U22, 3)</f>
        <v/>
      </c>
      <c r="V22" s="43">
        <f>PERCENTRANK('Team Scores'!$V$3:$V$1000, 'Team Scores'!$V22, 3)</f>
        <v/>
      </c>
      <c r="W22" s="43">
        <f>PERCENTRANK('Team Scores'!$W$3:$W$1000, 'Team Scores'!$W22, 3)</f>
        <v/>
      </c>
      <c r="X22" s="43">
        <f>PERCENTRANK('Team Scores'!$X$3:$X$1000, 'Team Scores'!$X22, 3)</f>
        <v/>
      </c>
      <c r="Y22" s="43">
        <f>PERCENTRANK('Team Scores'!$Y$3:$Y$1000, 'Team Scores'!$Y22, 3)</f>
        <v/>
      </c>
      <c r="Z22" s="43">
        <f>PERCENTRANK('Team Scores'!$Z$3:$Z$1000, 'Team Scores'!$Z22, 3)</f>
        <v/>
      </c>
      <c r="AA22" s="43">
        <f>AVERAGE(C22:G22)</f>
        <v/>
      </c>
      <c r="AB22" s="43">
        <f>AVERAGE(H22:O22)</f>
        <v/>
      </c>
      <c r="AC22" s="43">
        <f>AVERAGE(P22:T22)</f>
        <v/>
      </c>
      <c r="AD22" s="43">
        <f>AVERAGE(U22:X22)</f>
        <v/>
      </c>
      <c r="AE22" s="43">
        <f>AVERAGE(AA22:AD22)</f>
        <v/>
      </c>
    </row>
    <row r="23">
      <c r="A23" s="41" t="n">
        <v>2053</v>
      </c>
      <c r="B23" s="42">
        <f>COUNTIF(MatchScoutingData!E$2:E$1000, $A23)</f>
        <v/>
      </c>
      <c r="C23" s="43">
        <f>PERCENTRANK('Team Scores'!$C$3:$C$1000, 'Team Scores'!$C23, 3)</f>
        <v/>
      </c>
      <c r="D23" s="43">
        <f>PERCENTRANK('Team Scores'!$D$3:$D$1000, 'Team Scores'!$D23, 3)</f>
        <v/>
      </c>
      <c r="E23" s="43">
        <f>PERCENTRANK('Team Scores'!$E$3:$E$1000, 'Team Scores'!$E23, 3)</f>
        <v/>
      </c>
      <c r="F23" s="43">
        <f>PERCENTRANK('Team Scores'!$F$3:$F$1000, 'Team Scores'!$F23, 3)</f>
        <v/>
      </c>
      <c r="G23" s="43">
        <f>PERCENTRANK('Team Scores'!$G$3:$G$1000, 'Team Scores'!$G23, 3)</f>
        <v/>
      </c>
      <c r="H23" s="43">
        <f>PERCENTRANK('Team Scores'!$H$3:$H$1000, 'Team Scores'!$H23, 3)</f>
        <v/>
      </c>
      <c r="I23" s="43">
        <f>PERCENTRANK('Team Scores'!$I$3:$I$1000, 'Team Scores'!$I23, 3)</f>
        <v/>
      </c>
      <c r="J23" s="43">
        <f>PERCENTRANK('Team Scores'!$J$3:$J$1000, 'Team Scores'!$J23, 3)</f>
        <v/>
      </c>
      <c r="K23" s="43">
        <f>PERCENTRANK('Team Scores'!$K$3:$K$1000, 'Team Scores'!$K23, 3)</f>
        <v/>
      </c>
      <c r="L23" s="43">
        <f>PERCENTRANK('Team Scores'!$L$3:$L$1000, 'Team Scores'!$L23, 3)</f>
        <v/>
      </c>
      <c r="M23" s="43">
        <f>PERCENTRANK('Team Scores'!$M$3:$M$1000, 'Team Scores'!$M23, 3)</f>
        <v/>
      </c>
      <c r="N23" s="43">
        <f>PERCENTRANK('Team Scores'!$N$3:$N$1000, 'Team Scores'!$N23, 3)</f>
        <v/>
      </c>
      <c r="O23" s="43">
        <f>PERCENTRANK('Team Scores'!$O$3:$O$1000, 'Team Scores'!$O23, 3)</f>
        <v/>
      </c>
      <c r="P23" s="43">
        <f>PERCENTRANK('Team Scores'!$P$3:$P$1000, 'Team Scores'!$P23, 3)</f>
        <v/>
      </c>
      <c r="Q23" s="43">
        <f>PERCENTRANK('Team Scores'!$Q$3:$Q$1000, 'Team Scores'!$Q23, 3)</f>
        <v/>
      </c>
      <c r="R23" s="43">
        <f>PERCENTRANK('Team Scores'!$R$3:$R$1000, 'Team Scores'!$R23, 3)</f>
        <v/>
      </c>
      <c r="S23" s="43">
        <f>PERCENTRANK('Team Scores'!$S$3:$S$1000, 'Team Scores'!$S23, 3)</f>
        <v/>
      </c>
      <c r="T23" s="43">
        <f>PERCENTRANK('Team Scores'!$T$3:$T$1000, 'Team Scores'!$T23, 3)</f>
        <v/>
      </c>
      <c r="U23" s="43">
        <f>PERCENTRANK('Team Scores'!$U$3:$U$1000, 'Team Scores'!$U23, 3)</f>
        <v/>
      </c>
      <c r="V23" s="43">
        <f>PERCENTRANK('Team Scores'!$V$3:$V$1000, 'Team Scores'!$V23, 3)</f>
        <v/>
      </c>
      <c r="W23" s="43">
        <f>PERCENTRANK('Team Scores'!$W$3:$W$1000, 'Team Scores'!$W23, 3)</f>
        <v/>
      </c>
      <c r="X23" s="43">
        <f>PERCENTRANK('Team Scores'!$X$3:$X$1000, 'Team Scores'!$X23, 3)</f>
        <v/>
      </c>
      <c r="Y23" s="43">
        <f>PERCENTRANK('Team Scores'!$Y$3:$Y$1000, 'Team Scores'!$Y23, 3)</f>
        <v/>
      </c>
      <c r="Z23" s="43">
        <f>PERCENTRANK('Team Scores'!$Z$3:$Z$1000, 'Team Scores'!$Z23, 3)</f>
        <v/>
      </c>
      <c r="AA23" s="43">
        <f>AVERAGE(C23:G23)</f>
        <v/>
      </c>
      <c r="AB23" s="43">
        <f>AVERAGE(H23:O23)</f>
        <v/>
      </c>
      <c r="AC23" s="43">
        <f>AVERAGE(P23:T23)</f>
        <v/>
      </c>
      <c r="AD23" s="43">
        <f>AVERAGE(U23:X23)</f>
        <v/>
      </c>
      <c r="AE23" s="43">
        <f>AVERAGE(AA23:AD23)</f>
        <v/>
      </c>
    </row>
    <row r="24">
      <c r="A24" s="41" t="n">
        <v>2340</v>
      </c>
      <c r="B24" s="42">
        <f>COUNTIF(MatchScoutingData!E$2:E$1000, $A24)</f>
        <v/>
      </c>
      <c r="C24" s="43">
        <f>PERCENTRANK('Team Scores'!$C$3:$C$1000, 'Team Scores'!$C24, 3)</f>
        <v/>
      </c>
      <c r="D24" s="43">
        <f>PERCENTRANK('Team Scores'!$D$3:$D$1000, 'Team Scores'!$D24, 3)</f>
        <v/>
      </c>
      <c r="E24" s="43">
        <f>PERCENTRANK('Team Scores'!$E$3:$E$1000, 'Team Scores'!$E24, 3)</f>
        <v/>
      </c>
      <c r="F24" s="43">
        <f>PERCENTRANK('Team Scores'!$F$3:$F$1000, 'Team Scores'!$F24, 3)</f>
        <v/>
      </c>
      <c r="G24" s="43">
        <f>PERCENTRANK('Team Scores'!$G$3:$G$1000, 'Team Scores'!$G24, 3)</f>
        <v/>
      </c>
      <c r="H24" s="43">
        <f>PERCENTRANK('Team Scores'!$H$3:$H$1000, 'Team Scores'!$H24, 3)</f>
        <v/>
      </c>
      <c r="I24" s="43">
        <f>PERCENTRANK('Team Scores'!$I$3:$I$1000, 'Team Scores'!$I24, 3)</f>
        <v/>
      </c>
      <c r="J24" s="43">
        <f>PERCENTRANK('Team Scores'!$J$3:$J$1000, 'Team Scores'!$J24, 3)</f>
        <v/>
      </c>
      <c r="K24" s="43">
        <f>PERCENTRANK('Team Scores'!$K$3:$K$1000, 'Team Scores'!$K24, 3)</f>
        <v/>
      </c>
      <c r="L24" s="43">
        <f>PERCENTRANK('Team Scores'!$L$3:$L$1000, 'Team Scores'!$L24, 3)</f>
        <v/>
      </c>
      <c r="M24" s="43">
        <f>PERCENTRANK('Team Scores'!$M$3:$M$1000, 'Team Scores'!$M24, 3)</f>
        <v/>
      </c>
      <c r="N24" s="43">
        <f>PERCENTRANK('Team Scores'!$N$3:$N$1000, 'Team Scores'!$N24, 3)</f>
        <v/>
      </c>
      <c r="O24" s="43">
        <f>PERCENTRANK('Team Scores'!$O$3:$O$1000, 'Team Scores'!$O24, 3)</f>
        <v/>
      </c>
      <c r="P24" s="43">
        <f>PERCENTRANK('Team Scores'!$P$3:$P$1000, 'Team Scores'!$P24, 3)</f>
        <v/>
      </c>
      <c r="Q24" s="43">
        <f>PERCENTRANK('Team Scores'!$Q$3:$Q$1000, 'Team Scores'!$Q24, 3)</f>
        <v/>
      </c>
      <c r="R24" s="43">
        <f>PERCENTRANK('Team Scores'!$R$3:$R$1000, 'Team Scores'!$R24, 3)</f>
        <v/>
      </c>
      <c r="S24" s="43">
        <f>PERCENTRANK('Team Scores'!$S$3:$S$1000, 'Team Scores'!$S24, 3)</f>
        <v/>
      </c>
      <c r="T24" s="43">
        <f>PERCENTRANK('Team Scores'!$T$3:$T$1000, 'Team Scores'!$T24, 3)</f>
        <v/>
      </c>
      <c r="U24" s="43">
        <f>PERCENTRANK('Team Scores'!$U$3:$U$1000, 'Team Scores'!$U24, 3)</f>
        <v/>
      </c>
      <c r="V24" s="43">
        <f>PERCENTRANK('Team Scores'!$V$3:$V$1000, 'Team Scores'!$V24, 3)</f>
        <v/>
      </c>
      <c r="W24" s="43">
        <f>PERCENTRANK('Team Scores'!$W$3:$W$1000, 'Team Scores'!$W24, 3)</f>
        <v/>
      </c>
      <c r="X24" s="43">
        <f>PERCENTRANK('Team Scores'!$X$3:$X$1000, 'Team Scores'!$X24, 3)</f>
        <v/>
      </c>
      <c r="Y24" s="43">
        <f>PERCENTRANK('Team Scores'!$Y$3:$Y$1000, 'Team Scores'!$Y24, 3)</f>
        <v/>
      </c>
      <c r="Z24" s="43">
        <f>PERCENTRANK('Team Scores'!$Z$3:$Z$1000, 'Team Scores'!$Z24, 3)</f>
        <v/>
      </c>
      <c r="AA24" s="43">
        <f>AVERAGE(C24:G24)</f>
        <v/>
      </c>
      <c r="AB24" s="43">
        <f>AVERAGE(H24:O24)</f>
        <v/>
      </c>
      <c r="AC24" s="43">
        <f>AVERAGE(P24:T24)</f>
        <v/>
      </c>
      <c r="AD24" s="43">
        <f>AVERAGE(U24:X24)</f>
        <v/>
      </c>
      <c r="AE24" s="43">
        <f>AVERAGE(AA24:AD24)</f>
        <v/>
      </c>
    </row>
    <row r="25">
      <c r="A25" s="41" t="n">
        <v>2791</v>
      </c>
      <c r="B25" s="42">
        <f>COUNTIF(MatchScoutingData!E$2:E$1000, $A25)</f>
        <v/>
      </c>
      <c r="C25" s="43">
        <f>PERCENTRANK('Team Scores'!$C$3:$C$1000, 'Team Scores'!$C25, 3)</f>
        <v/>
      </c>
      <c r="D25" s="43">
        <f>PERCENTRANK('Team Scores'!$D$3:$D$1000, 'Team Scores'!$D25, 3)</f>
        <v/>
      </c>
      <c r="E25" s="43">
        <f>PERCENTRANK('Team Scores'!$E$3:$E$1000, 'Team Scores'!$E25, 3)</f>
        <v/>
      </c>
      <c r="F25" s="43">
        <f>PERCENTRANK('Team Scores'!$F$3:$F$1000, 'Team Scores'!$F25, 3)</f>
        <v/>
      </c>
      <c r="G25" s="43">
        <f>PERCENTRANK('Team Scores'!$G$3:$G$1000, 'Team Scores'!$G25, 3)</f>
        <v/>
      </c>
      <c r="H25" s="43">
        <f>PERCENTRANK('Team Scores'!$H$3:$H$1000, 'Team Scores'!$H25, 3)</f>
        <v/>
      </c>
      <c r="I25" s="43">
        <f>PERCENTRANK('Team Scores'!$I$3:$I$1000, 'Team Scores'!$I25, 3)</f>
        <v/>
      </c>
      <c r="J25" s="43">
        <f>PERCENTRANK('Team Scores'!$J$3:$J$1000, 'Team Scores'!$J25, 3)</f>
        <v/>
      </c>
      <c r="K25" s="43">
        <f>PERCENTRANK('Team Scores'!$K$3:$K$1000, 'Team Scores'!$K25, 3)</f>
        <v/>
      </c>
      <c r="L25" s="43">
        <f>PERCENTRANK('Team Scores'!$L$3:$L$1000, 'Team Scores'!$L25, 3)</f>
        <v/>
      </c>
      <c r="M25" s="43">
        <f>PERCENTRANK('Team Scores'!$M$3:$M$1000, 'Team Scores'!$M25, 3)</f>
        <v/>
      </c>
      <c r="N25" s="43">
        <f>PERCENTRANK('Team Scores'!$N$3:$N$1000, 'Team Scores'!$N25, 3)</f>
        <v/>
      </c>
      <c r="O25" s="43">
        <f>PERCENTRANK('Team Scores'!$O$3:$O$1000, 'Team Scores'!$O25, 3)</f>
        <v/>
      </c>
      <c r="P25" s="43">
        <f>PERCENTRANK('Team Scores'!$P$3:$P$1000, 'Team Scores'!$P25, 3)</f>
        <v/>
      </c>
      <c r="Q25" s="43">
        <f>PERCENTRANK('Team Scores'!$Q$3:$Q$1000, 'Team Scores'!$Q25, 3)</f>
        <v/>
      </c>
      <c r="R25" s="43">
        <f>PERCENTRANK('Team Scores'!$R$3:$R$1000, 'Team Scores'!$R25, 3)</f>
        <v/>
      </c>
      <c r="S25" s="43">
        <f>PERCENTRANK('Team Scores'!$S$3:$S$1000, 'Team Scores'!$S25, 3)</f>
        <v/>
      </c>
      <c r="T25" s="43">
        <f>PERCENTRANK('Team Scores'!$T$3:$T$1000, 'Team Scores'!$T25, 3)</f>
        <v/>
      </c>
      <c r="U25" s="43">
        <f>PERCENTRANK('Team Scores'!$U$3:$U$1000, 'Team Scores'!$U25, 3)</f>
        <v/>
      </c>
      <c r="V25" s="43">
        <f>PERCENTRANK('Team Scores'!$V$3:$V$1000, 'Team Scores'!$V25, 3)</f>
        <v/>
      </c>
      <c r="W25" s="43">
        <f>PERCENTRANK('Team Scores'!$W$3:$W$1000, 'Team Scores'!$W25, 3)</f>
        <v/>
      </c>
      <c r="X25" s="43">
        <f>PERCENTRANK('Team Scores'!$X$3:$X$1000, 'Team Scores'!$X25, 3)</f>
        <v/>
      </c>
      <c r="Y25" s="43">
        <f>PERCENTRANK('Team Scores'!$Y$3:$Y$1000, 'Team Scores'!$Y25, 3)</f>
        <v/>
      </c>
      <c r="Z25" s="43">
        <f>PERCENTRANK('Team Scores'!$Z$3:$Z$1000, 'Team Scores'!$Z25, 3)</f>
        <v/>
      </c>
      <c r="AA25" s="43">
        <f>AVERAGE(C25:G25)</f>
        <v/>
      </c>
      <c r="AB25" s="43">
        <f>AVERAGE(H25:O25)</f>
        <v/>
      </c>
      <c r="AC25" s="43">
        <f>AVERAGE(P25:T25)</f>
        <v/>
      </c>
      <c r="AD25" s="43">
        <f>AVERAGE(U25:X25)</f>
        <v/>
      </c>
      <c r="AE25" s="43">
        <f>AVERAGE(AA25:AD25)</f>
        <v/>
      </c>
    </row>
    <row r="26">
      <c r="A26" s="41" t="n">
        <v>3003</v>
      </c>
      <c r="B26" s="42">
        <f>COUNTIF(MatchScoutingData!E$2:E$1000, $A26)</f>
        <v/>
      </c>
      <c r="C26" s="43">
        <f>PERCENTRANK('Team Scores'!$C$3:$C$1000, 'Team Scores'!$C26, 3)</f>
        <v/>
      </c>
      <c r="D26" s="43">
        <f>PERCENTRANK('Team Scores'!$D$3:$D$1000, 'Team Scores'!$D26, 3)</f>
        <v/>
      </c>
      <c r="E26" s="43">
        <f>PERCENTRANK('Team Scores'!$E$3:$E$1000, 'Team Scores'!$E26, 3)</f>
        <v/>
      </c>
      <c r="F26" s="43">
        <f>PERCENTRANK('Team Scores'!$F$3:$F$1000, 'Team Scores'!$F26, 3)</f>
        <v/>
      </c>
      <c r="G26" s="43">
        <f>PERCENTRANK('Team Scores'!$G$3:$G$1000, 'Team Scores'!$G26, 3)</f>
        <v/>
      </c>
      <c r="H26" s="43">
        <f>PERCENTRANK('Team Scores'!$H$3:$H$1000, 'Team Scores'!$H26, 3)</f>
        <v/>
      </c>
      <c r="I26" s="43">
        <f>PERCENTRANK('Team Scores'!$I$3:$I$1000, 'Team Scores'!$I26, 3)</f>
        <v/>
      </c>
      <c r="J26" s="43">
        <f>PERCENTRANK('Team Scores'!$J$3:$J$1000, 'Team Scores'!$J26, 3)</f>
        <v/>
      </c>
      <c r="K26" s="43">
        <f>PERCENTRANK('Team Scores'!$K$3:$K$1000, 'Team Scores'!$K26, 3)</f>
        <v/>
      </c>
      <c r="L26" s="43">
        <f>PERCENTRANK('Team Scores'!$L$3:$L$1000, 'Team Scores'!$L26, 3)</f>
        <v/>
      </c>
      <c r="M26" s="43">
        <f>PERCENTRANK('Team Scores'!$M$3:$M$1000, 'Team Scores'!$M26, 3)</f>
        <v/>
      </c>
      <c r="N26" s="43">
        <f>PERCENTRANK('Team Scores'!$N$3:$N$1000, 'Team Scores'!$N26, 3)</f>
        <v/>
      </c>
      <c r="O26" s="43">
        <f>PERCENTRANK('Team Scores'!$O$3:$O$1000, 'Team Scores'!$O26, 3)</f>
        <v/>
      </c>
      <c r="P26" s="43">
        <f>PERCENTRANK('Team Scores'!$P$3:$P$1000, 'Team Scores'!$P26, 3)</f>
        <v/>
      </c>
      <c r="Q26" s="43">
        <f>PERCENTRANK('Team Scores'!$Q$3:$Q$1000, 'Team Scores'!$Q26, 3)</f>
        <v/>
      </c>
      <c r="R26" s="43">
        <f>PERCENTRANK('Team Scores'!$R$3:$R$1000, 'Team Scores'!$R26, 3)</f>
        <v/>
      </c>
      <c r="S26" s="43">
        <f>PERCENTRANK('Team Scores'!$S$3:$S$1000, 'Team Scores'!$S26, 3)</f>
        <v/>
      </c>
      <c r="T26" s="43">
        <f>PERCENTRANK('Team Scores'!$T$3:$T$1000, 'Team Scores'!$T26, 3)</f>
        <v/>
      </c>
      <c r="U26" s="43">
        <f>PERCENTRANK('Team Scores'!$U$3:$U$1000, 'Team Scores'!$U26, 3)</f>
        <v/>
      </c>
      <c r="V26" s="43">
        <f>PERCENTRANK('Team Scores'!$V$3:$V$1000, 'Team Scores'!$V26, 3)</f>
        <v/>
      </c>
      <c r="W26" s="43">
        <f>PERCENTRANK('Team Scores'!$W$3:$W$1000, 'Team Scores'!$W26, 3)</f>
        <v/>
      </c>
      <c r="X26" s="43">
        <f>PERCENTRANK('Team Scores'!$X$3:$X$1000, 'Team Scores'!$X26, 3)</f>
        <v/>
      </c>
      <c r="Y26" s="43">
        <f>PERCENTRANK('Team Scores'!$Y$3:$Y$1000, 'Team Scores'!$Y26, 3)</f>
        <v/>
      </c>
      <c r="Z26" s="43">
        <f>PERCENTRANK('Team Scores'!$Z$3:$Z$1000, 'Team Scores'!$Z26, 3)</f>
        <v/>
      </c>
      <c r="AA26" s="43">
        <f>AVERAGE(C26:G26)</f>
        <v/>
      </c>
      <c r="AB26" s="43">
        <f>AVERAGE(H26:O26)</f>
        <v/>
      </c>
      <c r="AC26" s="43">
        <f>AVERAGE(P26:T26)</f>
        <v/>
      </c>
      <c r="AD26" s="43">
        <f>AVERAGE(U26:X26)</f>
        <v/>
      </c>
      <c r="AE26" s="43">
        <f>AVERAGE(AA26:AD26)</f>
        <v/>
      </c>
    </row>
    <row r="27">
      <c r="A27" s="41" t="n">
        <v>3044</v>
      </c>
      <c r="B27" s="42">
        <f>COUNTIF(MatchScoutingData!E$2:E$1000, $A27)</f>
        <v/>
      </c>
      <c r="C27" s="43">
        <f>PERCENTRANK('Team Scores'!$C$3:$C$1000, 'Team Scores'!$C27, 3)</f>
        <v/>
      </c>
      <c r="D27" s="43">
        <f>PERCENTRANK('Team Scores'!$D$3:$D$1000, 'Team Scores'!$D27, 3)</f>
        <v/>
      </c>
      <c r="E27" s="43">
        <f>PERCENTRANK('Team Scores'!$E$3:$E$1000, 'Team Scores'!$E27, 3)</f>
        <v/>
      </c>
      <c r="F27" s="43">
        <f>PERCENTRANK('Team Scores'!$F$3:$F$1000, 'Team Scores'!$F27, 3)</f>
        <v/>
      </c>
      <c r="G27" s="43">
        <f>PERCENTRANK('Team Scores'!$G$3:$G$1000, 'Team Scores'!$G27, 3)</f>
        <v/>
      </c>
      <c r="H27" s="43">
        <f>PERCENTRANK('Team Scores'!$H$3:$H$1000, 'Team Scores'!$H27, 3)</f>
        <v/>
      </c>
      <c r="I27" s="43">
        <f>PERCENTRANK('Team Scores'!$I$3:$I$1000, 'Team Scores'!$I27, 3)</f>
        <v/>
      </c>
      <c r="J27" s="43">
        <f>PERCENTRANK('Team Scores'!$J$3:$J$1000, 'Team Scores'!$J27, 3)</f>
        <v/>
      </c>
      <c r="K27" s="43">
        <f>PERCENTRANK('Team Scores'!$K$3:$K$1000, 'Team Scores'!$K27, 3)</f>
        <v/>
      </c>
      <c r="L27" s="43">
        <f>PERCENTRANK('Team Scores'!$L$3:$L$1000, 'Team Scores'!$L27, 3)</f>
        <v/>
      </c>
      <c r="M27" s="43">
        <f>PERCENTRANK('Team Scores'!$M$3:$M$1000, 'Team Scores'!$M27, 3)</f>
        <v/>
      </c>
      <c r="N27" s="43">
        <f>PERCENTRANK('Team Scores'!$N$3:$N$1000, 'Team Scores'!$N27, 3)</f>
        <v/>
      </c>
      <c r="O27" s="43">
        <f>PERCENTRANK('Team Scores'!$O$3:$O$1000, 'Team Scores'!$O27, 3)</f>
        <v/>
      </c>
      <c r="P27" s="43">
        <f>PERCENTRANK('Team Scores'!$P$3:$P$1000, 'Team Scores'!$P27, 3)</f>
        <v/>
      </c>
      <c r="Q27" s="43">
        <f>PERCENTRANK('Team Scores'!$Q$3:$Q$1000, 'Team Scores'!$Q27, 3)</f>
        <v/>
      </c>
      <c r="R27" s="43">
        <f>PERCENTRANK('Team Scores'!$R$3:$R$1000, 'Team Scores'!$R27, 3)</f>
        <v/>
      </c>
      <c r="S27" s="43">
        <f>PERCENTRANK('Team Scores'!$S$3:$S$1000, 'Team Scores'!$S27, 3)</f>
        <v/>
      </c>
      <c r="T27" s="43">
        <f>PERCENTRANK('Team Scores'!$T$3:$T$1000, 'Team Scores'!$T27, 3)</f>
        <v/>
      </c>
      <c r="U27" s="43">
        <f>PERCENTRANK('Team Scores'!$U$3:$U$1000, 'Team Scores'!$U27, 3)</f>
        <v/>
      </c>
      <c r="V27" s="43">
        <f>PERCENTRANK('Team Scores'!$V$3:$V$1000, 'Team Scores'!$V27, 3)</f>
        <v/>
      </c>
      <c r="W27" s="43">
        <f>PERCENTRANK('Team Scores'!$W$3:$W$1000, 'Team Scores'!$W27, 3)</f>
        <v/>
      </c>
      <c r="X27" s="43">
        <f>PERCENTRANK('Team Scores'!$X$3:$X$1000, 'Team Scores'!$X27, 3)</f>
        <v/>
      </c>
      <c r="Y27" s="43">
        <f>PERCENTRANK('Team Scores'!$Y$3:$Y$1000, 'Team Scores'!$Y27, 3)</f>
        <v/>
      </c>
      <c r="Z27" s="43">
        <f>PERCENTRANK('Team Scores'!$Z$3:$Z$1000, 'Team Scores'!$Z27, 3)</f>
        <v/>
      </c>
      <c r="AA27" s="43">
        <f>AVERAGE(C27:G27)</f>
        <v/>
      </c>
      <c r="AB27" s="43">
        <f>AVERAGE(H27:O27)</f>
        <v/>
      </c>
      <c r="AC27" s="43">
        <f>AVERAGE(P27:T27)</f>
        <v/>
      </c>
      <c r="AD27" s="43">
        <f>AVERAGE(U27:X27)</f>
        <v/>
      </c>
      <c r="AE27" s="43">
        <f>AVERAGE(AA27:AD27)</f>
        <v/>
      </c>
    </row>
    <row r="28">
      <c r="A28" s="41" t="n">
        <v>3171</v>
      </c>
      <c r="B28" s="42">
        <f>COUNTIF(MatchScoutingData!E$2:E$1000, $A28)</f>
        <v/>
      </c>
      <c r="C28" s="43">
        <f>PERCENTRANK('Team Scores'!$C$3:$C$1000, 'Team Scores'!$C28, 3)</f>
        <v/>
      </c>
      <c r="D28" s="43">
        <f>PERCENTRANK('Team Scores'!$D$3:$D$1000, 'Team Scores'!$D28, 3)</f>
        <v/>
      </c>
      <c r="E28" s="43">
        <f>PERCENTRANK('Team Scores'!$E$3:$E$1000, 'Team Scores'!$E28, 3)</f>
        <v/>
      </c>
      <c r="F28" s="43">
        <f>PERCENTRANK('Team Scores'!$F$3:$F$1000, 'Team Scores'!$F28, 3)</f>
        <v/>
      </c>
      <c r="G28" s="43">
        <f>PERCENTRANK('Team Scores'!$G$3:$G$1000, 'Team Scores'!$G28, 3)</f>
        <v/>
      </c>
      <c r="H28" s="43">
        <f>PERCENTRANK('Team Scores'!$H$3:$H$1000, 'Team Scores'!$H28, 3)</f>
        <v/>
      </c>
      <c r="I28" s="43">
        <f>PERCENTRANK('Team Scores'!$I$3:$I$1000, 'Team Scores'!$I28, 3)</f>
        <v/>
      </c>
      <c r="J28" s="43">
        <f>PERCENTRANK('Team Scores'!$J$3:$J$1000, 'Team Scores'!$J28, 3)</f>
        <v/>
      </c>
      <c r="K28" s="43">
        <f>PERCENTRANK('Team Scores'!$K$3:$K$1000, 'Team Scores'!$K28, 3)</f>
        <v/>
      </c>
      <c r="L28" s="43">
        <f>PERCENTRANK('Team Scores'!$L$3:$L$1000, 'Team Scores'!$L28, 3)</f>
        <v/>
      </c>
      <c r="M28" s="43">
        <f>PERCENTRANK('Team Scores'!$M$3:$M$1000, 'Team Scores'!$M28, 3)</f>
        <v/>
      </c>
      <c r="N28" s="43">
        <f>PERCENTRANK('Team Scores'!$N$3:$N$1000, 'Team Scores'!$N28, 3)</f>
        <v/>
      </c>
      <c r="O28" s="43">
        <f>PERCENTRANK('Team Scores'!$O$3:$O$1000, 'Team Scores'!$O28, 3)</f>
        <v/>
      </c>
      <c r="P28" s="43">
        <f>PERCENTRANK('Team Scores'!$P$3:$P$1000, 'Team Scores'!$P28, 3)</f>
        <v/>
      </c>
      <c r="Q28" s="43">
        <f>PERCENTRANK('Team Scores'!$Q$3:$Q$1000, 'Team Scores'!$Q28, 3)</f>
        <v/>
      </c>
      <c r="R28" s="43">
        <f>PERCENTRANK('Team Scores'!$R$3:$R$1000, 'Team Scores'!$R28, 3)</f>
        <v/>
      </c>
      <c r="S28" s="43">
        <f>PERCENTRANK('Team Scores'!$S$3:$S$1000, 'Team Scores'!$S28, 3)</f>
        <v/>
      </c>
      <c r="T28" s="43">
        <f>PERCENTRANK('Team Scores'!$T$3:$T$1000, 'Team Scores'!$T28, 3)</f>
        <v/>
      </c>
      <c r="U28" s="43">
        <f>PERCENTRANK('Team Scores'!$U$3:$U$1000, 'Team Scores'!$U28, 3)</f>
        <v/>
      </c>
      <c r="V28" s="43">
        <f>PERCENTRANK('Team Scores'!$V$3:$V$1000, 'Team Scores'!$V28, 3)</f>
        <v/>
      </c>
      <c r="W28" s="43">
        <f>PERCENTRANK('Team Scores'!$W$3:$W$1000, 'Team Scores'!$W28, 3)</f>
        <v/>
      </c>
      <c r="X28" s="43">
        <f>PERCENTRANK('Team Scores'!$X$3:$X$1000, 'Team Scores'!$X28, 3)</f>
        <v/>
      </c>
      <c r="Y28" s="43">
        <f>PERCENTRANK('Team Scores'!$Y$3:$Y$1000, 'Team Scores'!$Y28, 3)</f>
        <v/>
      </c>
      <c r="Z28" s="43">
        <f>PERCENTRANK('Team Scores'!$Z$3:$Z$1000, 'Team Scores'!$Z28, 3)</f>
        <v/>
      </c>
      <c r="AA28" s="43">
        <f>AVERAGE(C28:G28)</f>
        <v/>
      </c>
      <c r="AB28" s="43">
        <f>AVERAGE(H28:O28)</f>
        <v/>
      </c>
      <c r="AC28" s="43">
        <f>AVERAGE(P28:T28)</f>
        <v/>
      </c>
      <c r="AD28" s="43">
        <f>AVERAGE(U28:X28)</f>
        <v/>
      </c>
      <c r="AE28" s="43">
        <f>AVERAGE(AA28:AD28)</f>
        <v/>
      </c>
    </row>
    <row r="29">
      <c r="A29" s="41" t="n">
        <v>3173</v>
      </c>
      <c r="B29" s="42">
        <f>COUNTIF(MatchScoutingData!E$2:E$1000, $A29)</f>
        <v/>
      </c>
      <c r="C29" s="43">
        <f>PERCENTRANK('Team Scores'!$C$3:$C$1000, 'Team Scores'!$C29, 3)</f>
        <v/>
      </c>
      <c r="D29" s="43">
        <f>PERCENTRANK('Team Scores'!$D$3:$D$1000, 'Team Scores'!$D29, 3)</f>
        <v/>
      </c>
      <c r="E29" s="43">
        <f>PERCENTRANK('Team Scores'!$E$3:$E$1000, 'Team Scores'!$E29, 3)</f>
        <v/>
      </c>
      <c r="F29" s="43">
        <f>PERCENTRANK('Team Scores'!$F$3:$F$1000, 'Team Scores'!$F29, 3)</f>
        <v/>
      </c>
      <c r="G29" s="43">
        <f>PERCENTRANK('Team Scores'!$G$3:$G$1000, 'Team Scores'!$G29, 3)</f>
        <v/>
      </c>
      <c r="H29" s="43">
        <f>PERCENTRANK('Team Scores'!$H$3:$H$1000, 'Team Scores'!$H29, 3)</f>
        <v/>
      </c>
      <c r="I29" s="43">
        <f>PERCENTRANK('Team Scores'!$I$3:$I$1000, 'Team Scores'!$I29, 3)</f>
        <v/>
      </c>
      <c r="J29" s="43">
        <f>PERCENTRANK('Team Scores'!$J$3:$J$1000, 'Team Scores'!$J29, 3)</f>
        <v/>
      </c>
      <c r="K29" s="43">
        <f>PERCENTRANK('Team Scores'!$K$3:$K$1000, 'Team Scores'!$K29, 3)</f>
        <v/>
      </c>
      <c r="L29" s="43">
        <f>PERCENTRANK('Team Scores'!$L$3:$L$1000, 'Team Scores'!$L29, 3)</f>
        <v/>
      </c>
      <c r="M29" s="43">
        <f>PERCENTRANK('Team Scores'!$M$3:$M$1000, 'Team Scores'!$M29, 3)</f>
        <v/>
      </c>
      <c r="N29" s="43">
        <f>PERCENTRANK('Team Scores'!$N$3:$N$1000, 'Team Scores'!$N29, 3)</f>
        <v/>
      </c>
      <c r="O29" s="43">
        <f>PERCENTRANK('Team Scores'!$O$3:$O$1000, 'Team Scores'!$O29, 3)</f>
        <v/>
      </c>
      <c r="P29" s="43">
        <f>PERCENTRANK('Team Scores'!$P$3:$P$1000, 'Team Scores'!$P29, 3)</f>
        <v/>
      </c>
      <c r="Q29" s="43">
        <f>PERCENTRANK('Team Scores'!$Q$3:$Q$1000, 'Team Scores'!$Q29, 3)</f>
        <v/>
      </c>
      <c r="R29" s="43">
        <f>PERCENTRANK('Team Scores'!$R$3:$R$1000, 'Team Scores'!$R29, 3)</f>
        <v/>
      </c>
      <c r="S29" s="43">
        <f>PERCENTRANK('Team Scores'!$S$3:$S$1000, 'Team Scores'!$S29, 3)</f>
        <v/>
      </c>
      <c r="T29" s="43">
        <f>PERCENTRANK('Team Scores'!$T$3:$T$1000, 'Team Scores'!$T29, 3)</f>
        <v/>
      </c>
      <c r="U29" s="43">
        <f>PERCENTRANK('Team Scores'!$U$3:$U$1000, 'Team Scores'!$U29, 3)</f>
        <v/>
      </c>
      <c r="V29" s="43">
        <f>PERCENTRANK('Team Scores'!$V$3:$V$1000, 'Team Scores'!$V29, 3)</f>
        <v/>
      </c>
      <c r="W29" s="43">
        <f>PERCENTRANK('Team Scores'!$W$3:$W$1000, 'Team Scores'!$W29, 3)</f>
        <v/>
      </c>
      <c r="X29" s="43">
        <f>PERCENTRANK('Team Scores'!$X$3:$X$1000, 'Team Scores'!$X29, 3)</f>
        <v/>
      </c>
      <c r="Y29" s="43">
        <f>PERCENTRANK('Team Scores'!$Y$3:$Y$1000, 'Team Scores'!$Y29, 3)</f>
        <v/>
      </c>
      <c r="Z29" s="43">
        <f>PERCENTRANK('Team Scores'!$Z$3:$Z$1000, 'Team Scores'!$Z29, 3)</f>
        <v/>
      </c>
      <c r="AA29" s="43">
        <f>AVERAGE(C29:G29)</f>
        <v/>
      </c>
      <c r="AB29" s="43">
        <f>AVERAGE(H29:O29)</f>
        <v/>
      </c>
      <c r="AC29" s="43">
        <f>AVERAGE(P29:T29)</f>
        <v/>
      </c>
      <c r="AD29" s="43">
        <f>AVERAGE(U29:X29)</f>
        <v/>
      </c>
      <c r="AE29" s="43">
        <f>AVERAGE(AA29:AD29)</f>
        <v/>
      </c>
    </row>
    <row r="30">
      <c r="A30" s="41" t="n">
        <v>3181</v>
      </c>
      <c r="B30" s="42">
        <f>COUNTIF(MatchScoutingData!E$2:E$1000, $A30)</f>
        <v/>
      </c>
      <c r="C30" s="43">
        <f>PERCENTRANK('Team Scores'!$C$3:$C$1000, 'Team Scores'!$C30, 3)</f>
        <v/>
      </c>
      <c r="D30" s="43">
        <f>PERCENTRANK('Team Scores'!$D$3:$D$1000, 'Team Scores'!$D30, 3)</f>
        <v/>
      </c>
      <c r="E30" s="43">
        <f>PERCENTRANK('Team Scores'!$E$3:$E$1000, 'Team Scores'!$E30, 3)</f>
        <v/>
      </c>
      <c r="F30" s="43">
        <f>PERCENTRANK('Team Scores'!$F$3:$F$1000, 'Team Scores'!$F30, 3)</f>
        <v/>
      </c>
      <c r="G30" s="43">
        <f>PERCENTRANK('Team Scores'!$G$3:$G$1000, 'Team Scores'!$G30, 3)</f>
        <v/>
      </c>
      <c r="H30" s="43">
        <f>PERCENTRANK('Team Scores'!$H$3:$H$1000, 'Team Scores'!$H30, 3)</f>
        <v/>
      </c>
      <c r="I30" s="43">
        <f>PERCENTRANK('Team Scores'!$I$3:$I$1000, 'Team Scores'!$I30, 3)</f>
        <v/>
      </c>
      <c r="J30" s="43">
        <f>PERCENTRANK('Team Scores'!$J$3:$J$1000, 'Team Scores'!$J30, 3)</f>
        <v/>
      </c>
      <c r="K30" s="43">
        <f>PERCENTRANK('Team Scores'!$K$3:$K$1000, 'Team Scores'!$K30, 3)</f>
        <v/>
      </c>
      <c r="L30" s="43">
        <f>PERCENTRANK('Team Scores'!$L$3:$L$1000, 'Team Scores'!$L30, 3)</f>
        <v/>
      </c>
      <c r="M30" s="43">
        <f>PERCENTRANK('Team Scores'!$M$3:$M$1000, 'Team Scores'!$M30, 3)</f>
        <v/>
      </c>
      <c r="N30" s="43">
        <f>PERCENTRANK('Team Scores'!$N$3:$N$1000, 'Team Scores'!$N30, 3)</f>
        <v/>
      </c>
      <c r="O30" s="43">
        <f>PERCENTRANK('Team Scores'!$O$3:$O$1000, 'Team Scores'!$O30, 3)</f>
        <v/>
      </c>
      <c r="P30" s="43">
        <f>PERCENTRANK('Team Scores'!$P$3:$P$1000, 'Team Scores'!$P30, 3)</f>
        <v/>
      </c>
      <c r="Q30" s="43">
        <f>PERCENTRANK('Team Scores'!$Q$3:$Q$1000, 'Team Scores'!$Q30, 3)</f>
        <v/>
      </c>
      <c r="R30" s="43">
        <f>PERCENTRANK('Team Scores'!$R$3:$R$1000, 'Team Scores'!$R30, 3)</f>
        <v/>
      </c>
      <c r="S30" s="43">
        <f>PERCENTRANK('Team Scores'!$S$3:$S$1000, 'Team Scores'!$S30, 3)</f>
        <v/>
      </c>
      <c r="T30" s="43">
        <f>PERCENTRANK('Team Scores'!$T$3:$T$1000, 'Team Scores'!$T30, 3)</f>
        <v/>
      </c>
      <c r="U30" s="43">
        <f>PERCENTRANK('Team Scores'!$U$3:$U$1000, 'Team Scores'!$U30, 3)</f>
        <v/>
      </c>
      <c r="V30" s="43">
        <f>PERCENTRANK('Team Scores'!$V$3:$V$1000, 'Team Scores'!$V30, 3)</f>
        <v/>
      </c>
      <c r="W30" s="43">
        <f>PERCENTRANK('Team Scores'!$W$3:$W$1000, 'Team Scores'!$W30, 3)</f>
        <v/>
      </c>
      <c r="X30" s="43">
        <f>PERCENTRANK('Team Scores'!$X$3:$X$1000, 'Team Scores'!$X30, 3)</f>
        <v/>
      </c>
      <c r="Y30" s="43">
        <f>PERCENTRANK('Team Scores'!$Y$3:$Y$1000, 'Team Scores'!$Y30, 3)</f>
        <v/>
      </c>
      <c r="Z30" s="43">
        <f>PERCENTRANK('Team Scores'!$Z$3:$Z$1000, 'Team Scores'!$Z30, 3)</f>
        <v/>
      </c>
      <c r="AA30" s="43">
        <f>AVERAGE(C30:G30)</f>
        <v/>
      </c>
      <c r="AB30" s="43">
        <f>AVERAGE(H30:O30)</f>
        <v/>
      </c>
      <c r="AC30" s="43">
        <f>AVERAGE(P30:T30)</f>
        <v/>
      </c>
      <c r="AD30" s="43">
        <f>AVERAGE(U30:X30)</f>
        <v/>
      </c>
      <c r="AE30" s="43">
        <f>AVERAGE(AA30:AD30)</f>
        <v/>
      </c>
    </row>
    <row r="31">
      <c r="A31" s="41" t="n">
        <v>3624</v>
      </c>
      <c r="B31" s="42">
        <f>COUNTIF(MatchScoutingData!E$2:E$1000, $A31)</f>
        <v/>
      </c>
      <c r="C31" s="43">
        <f>PERCENTRANK('Team Scores'!$C$3:$C$1000, 'Team Scores'!$C31, 3)</f>
        <v/>
      </c>
      <c r="D31" s="43">
        <f>PERCENTRANK('Team Scores'!$D$3:$D$1000, 'Team Scores'!$D31, 3)</f>
        <v/>
      </c>
      <c r="E31" s="43">
        <f>PERCENTRANK('Team Scores'!$E$3:$E$1000, 'Team Scores'!$E31, 3)</f>
        <v/>
      </c>
      <c r="F31" s="43">
        <f>PERCENTRANK('Team Scores'!$F$3:$F$1000, 'Team Scores'!$F31, 3)</f>
        <v/>
      </c>
      <c r="G31" s="43">
        <f>PERCENTRANK('Team Scores'!$G$3:$G$1000, 'Team Scores'!$G31, 3)</f>
        <v/>
      </c>
      <c r="H31" s="43">
        <f>PERCENTRANK('Team Scores'!$H$3:$H$1000, 'Team Scores'!$H31, 3)</f>
        <v/>
      </c>
      <c r="I31" s="43">
        <f>PERCENTRANK('Team Scores'!$I$3:$I$1000, 'Team Scores'!$I31, 3)</f>
        <v/>
      </c>
      <c r="J31" s="43">
        <f>PERCENTRANK('Team Scores'!$J$3:$J$1000, 'Team Scores'!$J31, 3)</f>
        <v/>
      </c>
      <c r="K31" s="43">
        <f>PERCENTRANK('Team Scores'!$K$3:$K$1000, 'Team Scores'!$K31, 3)</f>
        <v/>
      </c>
      <c r="L31" s="43">
        <f>PERCENTRANK('Team Scores'!$L$3:$L$1000, 'Team Scores'!$L31, 3)</f>
        <v/>
      </c>
      <c r="M31" s="43">
        <f>PERCENTRANK('Team Scores'!$M$3:$M$1000, 'Team Scores'!$M31, 3)</f>
        <v/>
      </c>
      <c r="N31" s="43">
        <f>PERCENTRANK('Team Scores'!$N$3:$N$1000, 'Team Scores'!$N31, 3)</f>
        <v/>
      </c>
      <c r="O31" s="43">
        <f>PERCENTRANK('Team Scores'!$O$3:$O$1000, 'Team Scores'!$O31, 3)</f>
        <v/>
      </c>
      <c r="P31" s="43">
        <f>PERCENTRANK('Team Scores'!$P$3:$P$1000, 'Team Scores'!$P31, 3)</f>
        <v/>
      </c>
      <c r="Q31" s="43">
        <f>PERCENTRANK('Team Scores'!$Q$3:$Q$1000, 'Team Scores'!$Q31, 3)</f>
        <v/>
      </c>
      <c r="R31" s="43">
        <f>PERCENTRANK('Team Scores'!$R$3:$R$1000, 'Team Scores'!$R31, 3)</f>
        <v/>
      </c>
      <c r="S31" s="43">
        <f>PERCENTRANK('Team Scores'!$S$3:$S$1000, 'Team Scores'!$S31, 3)</f>
        <v/>
      </c>
      <c r="T31" s="43">
        <f>PERCENTRANK('Team Scores'!$T$3:$T$1000, 'Team Scores'!$T31, 3)</f>
        <v/>
      </c>
      <c r="U31" s="43">
        <f>PERCENTRANK('Team Scores'!$U$3:$U$1000, 'Team Scores'!$U31, 3)</f>
        <v/>
      </c>
      <c r="V31" s="43">
        <f>PERCENTRANK('Team Scores'!$V$3:$V$1000, 'Team Scores'!$V31, 3)</f>
        <v/>
      </c>
      <c r="W31" s="43">
        <f>PERCENTRANK('Team Scores'!$W$3:$W$1000, 'Team Scores'!$W31, 3)</f>
        <v/>
      </c>
      <c r="X31" s="43">
        <f>PERCENTRANK('Team Scores'!$X$3:$X$1000, 'Team Scores'!$X31, 3)</f>
        <v/>
      </c>
      <c r="Y31" s="43">
        <f>PERCENTRANK('Team Scores'!$Y$3:$Y$1000, 'Team Scores'!$Y31, 3)</f>
        <v/>
      </c>
      <c r="Z31" s="43">
        <f>PERCENTRANK('Team Scores'!$Z$3:$Z$1000, 'Team Scores'!$Z31, 3)</f>
        <v/>
      </c>
      <c r="AA31" s="43">
        <f>AVERAGE(C31:G31)</f>
        <v/>
      </c>
      <c r="AB31" s="43">
        <f>AVERAGE(H31:O31)</f>
        <v/>
      </c>
      <c r="AC31" s="43">
        <f>AVERAGE(P31:T31)</f>
        <v/>
      </c>
      <c r="AD31" s="43">
        <f>AVERAGE(U31:X31)</f>
        <v/>
      </c>
      <c r="AE31" s="43">
        <f>AVERAGE(AA31:AD31)</f>
        <v/>
      </c>
    </row>
    <row r="32">
      <c r="A32" s="41" t="n">
        <v>4121</v>
      </c>
      <c r="B32" s="42">
        <f>COUNTIF(MatchScoutingData!E$2:E$1000, $A32)</f>
        <v/>
      </c>
      <c r="C32" s="43">
        <f>PERCENTRANK('Team Scores'!$C$3:$C$1000, 'Team Scores'!$C32, 3)</f>
        <v/>
      </c>
      <c r="D32" s="43">
        <f>PERCENTRANK('Team Scores'!$D$3:$D$1000, 'Team Scores'!$D32, 3)</f>
        <v/>
      </c>
      <c r="E32" s="43">
        <f>PERCENTRANK('Team Scores'!$E$3:$E$1000, 'Team Scores'!$E32, 3)</f>
        <v/>
      </c>
      <c r="F32" s="43">
        <f>PERCENTRANK('Team Scores'!$F$3:$F$1000, 'Team Scores'!$F32, 3)</f>
        <v/>
      </c>
      <c r="G32" s="43">
        <f>PERCENTRANK('Team Scores'!$G$3:$G$1000, 'Team Scores'!$G32, 3)</f>
        <v/>
      </c>
      <c r="H32" s="43">
        <f>PERCENTRANK('Team Scores'!$H$3:$H$1000, 'Team Scores'!$H32, 3)</f>
        <v/>
      </c>
      <c r="I32" s="43">
        <f>PERCENTRANK('Team Scores'!$I$3:$I$1000, 'Team Scores'!$I32, 3)</f>
        <v/>
      </c>
      <c r="J32" s="43">
        <f>PERCENTRANK('Team Scores'!$J$3:$J$1000, 'Team Scores'!$J32, 3)</f>
        <v/>
      </c>
      <c r="K32" s="43">
        <f>PERCENTRANK('Team Scores'!$K$3:$K$1000, 'Team Scores'!$K32, 3)</f>
        <v/>
      </c>
      <c r="L32" s="43">
        <f>PERCENTRANK('Team Scores'!$L$3:$L$1000, 'Team Scores'!$L32, 3)</f>
        <v/>
      </c>
      <c r="M32" s="43">
        <f>PERCENTRANK('Team Scores'!$M$3:$M$1000, 'Team Scores'!$M32, 3)</f>
        <v/>
      </c>
      <c r="N32" s="43">
        <f>PERCENTRANK('Team Scores'!$N$3:$N$1000, 'Team Scores'!$N32, 3)</f>
        <v/>
      </c>
      <c r="O32" s="43">
        <f>PERCENTRANK('Team Scores'!$O$3:$O$1000, 'Team Scores'!$O32, 3)</f>
        <v/>
      </c>
      <c r="P32" s="43">
        <f>PERCENTRANK('Team Scores'!$P$3:$P$1000, 'Team Scores'!$P32, 3)</f>
        <v/>
      </c>
      <c r="Q32" s="43">
        <f>PERCENTRANK('Team Scores'!$Q$3:$Q$1000, 'Team Scores'!$Q32, 3)</f>
        <v/>
      </c>
      <c r="R32" s="43">
        <f>PERCENTRANK('Team Scores'!$R$3:$R$1000, 'Team Scores'!$R32, 3)</f>
        <v/>
      </c>
      <c r="S32" s="43">
        <f>PERCENTRANK('Team Scores'!$S$3:$S$1000, 'Team Scores'!$S32, 3)</f>
        <v/>
      </c>
      <c r="T32" s="43">
        <f>PERCENTRANK('Team Scores'!$T$3:$T$1000, 'Team Scores'!$T32, 3)</f>
        <v/>
      </c>
      <c r="U32" s="43">
        <f>PERCENTRANK('Team Scores'!$U$3:$U$1000, 'Team Scores'!$U32, 3)</f>
        <v/>
      </c>
      <c r="V32" s="43">
        <f>PERCENTRANK('Team Scores'!$V$3:$V$1000, 'Team Scores'!$V32, 3)</f>
        <v/>
      </c>
      <c r="W32" s="43">
        <f>PERCENTRANK('Team Scores'!$W$3:$W$1000, 'Team Scores'!$W32, 3)</f>
        <v/>
      </c>
      <c r="X32" s="43">
        <f>PERCENTRANK('Team Scores'!$X$3:$X$1000, 'Team Scores'!$X32, 3)</f>
        <v/>
      </c>
      <c r="Y32" s="43">
        <f>PERCENTRANK('Team Scores'!$Y$3:$Y$1000, 'Team Scores'!$Y32, 3)</f>
        <v/>
      </c>
      <c r="Z32" s="43">
        <f>PERCENTRANK('Team Scores'!$Z$3:$Z$1000, 'Team Scores'!$Z32, 3)</f>
        <v/>
      </c>
      <c r="AA32" s="43">
        <f>AVERAGE(C32:G32)</f>
        <v/>
      </c>
      <c r="AB32" s="43">
        <f>AVERAGE(H32:O32)</f>
        <v/>
      </c>
      <c r="AC32" s="43">
        <f>AVERAGE(P32:T32)</f>
        <v/>
      </c>
      <c r="AD32" s="43">
        <f>AVERAGE(U32:X32)</f>
        <v/>
      </c>
      <c r="AE32" s="43">
        <f>AVERAGE(AA32:AD32)</f>
        <v/>
      </c>
    </row>
    <row r="33">
      <c r="A33" s="41" t="n">
        <v>4122</v>
      </c>
      <c r="B33" s="42">
        <f>COUNTIF(MatchScoutingData!E$2:E$1000, $A33)</f>
        <v/>
      </c>
      <c r="C33" s="43">
        <f>PERCENTRANK('Team Scores'!$C$3:$C$1000, 'Team Scores'!$C33, 3)</f>
        <v/>
      </c>
      <c r="D33" s="43">
        <f>PERCENTRANK('Team Scores'!$D$3:$D$1000, 'Team Scores'!$D33, 3)</f>
        <v/>
      </c>
      <c r="E33" s="43">
        <f>PERCENTRANK('Team Scores'!$E$3:$E$1000, 'Team Scores'!$E33, 3)</f>
        <v/>
      </c>
      <c r="F33" s="43">
        <f>PERCENTRANK('Team Scores'!$F$3:$F$1000, 'Team Scores'!$F33, 3)</f>
        <v/>
      </c>
      <c r="G33" s="43">
        <f>PERCENTRANK('Team Scores'!$G$3:$G$1000, 'Team Scores'!$G33, 3)</f>
        <v/>
      </c>
      <c r="H33" s="43">
        <f>PERCENTRANK('Team Scores'!$H$3:$H$1000, 'Team Scores'!$H33, 3)</f>
        <v/>
      </c>
      <c r="I33" s="43">
        <f>PERCENTRANK('Team Scores'!$I$3:$I$1000, 'Team Scores'!$I33, 3)</f>
        <v/>
      </c>
      <c r="J33" s="43">
        <f>PERCENTRANK('Team Scores'!$J$3:$J$1000, 'Team Scores'!$J33, 3)</f>
        <v/>
      </c>
      <c r="K33" s="43">
        <f>PERCENTRANK('Team Scores'!$K$3:$K$1000, 'Team Scores'!$K33, 3)</f>
        <v/>
      </c>
      <c r="L33" s="43">
        <f>PERCENTRANK('Team Scores'!$L$3:$L$1000, 'Team Scores'!$L33, 3)</f>
        <v/>
      </c>
      <c r="M33" s="43">
        <f>PERCENTRANK('Team Scores'!$M$3:$M$1000, 'Team Scores'!$M33, 3)</f>
        <v/>
      </c>
      <c r="N33" s="43">
        <f>PERCENTRANK('Team Scores'!$N$3:$N$1000, 'Team Scores'!$N33, 3)</f>
        <v/>
      </c>
      <c r="O33" s="43">
        <f>PERCENTRANK('Team Scores'!$O$3:$O$1000, 'Team Scores'!$O33, 3)</f>
        <v/>
      </c>
      <c r="P33" s="43">
        <f>PERCENTRANK('Team Scores'!$P$3:$P$1000, 'Team Scores'!$P33, 3)</f>
        <v/>
      </c>
      <c r="Q33" s="43">
        <f>PERCENTRANK('Team Scores'!$Q$3:$Q$1000, 'Team Scores'!$Q33, 3)</f>
        <v/>
      </c>
      <c r="R33" s="43">
        <f>PERCENTRANK('Team Scores'!$R$3:$R$1000, 'Team Scores'!$R33, 3)</f>
        <v/>
      </c>
      <c r="S33" s="43">
        <f>PERCENTRANK('Team Scores'!$S$3:$S$1000, 'Team Scores'!$S33, 3)</f>
        <v/>
      </c>
      <c r="T33" s="43">
        <f>PERCENTRANK('Team Scores'!$T$3:$T$1000, 'Team Scores'!$T33, 3)</f>
        <v/>
      </c>
      <c r="U33" s="43">
        <f>PERCENTRANK('Team Scores'!$U$3:$U$1000, 'Team Scores'!$U33, 3)</f>
        <v/>
      </c>
      <c r="V33" s="43">
        <f>PERCENTRANK('Team Scores'!$V$3:$V$1000, 'Team Scores'!$V33, 3)</f>
        <v/>
      </c>
      <c r="W33" s="43">
        <f>PERCENTRANK('Team Scores'!$W$3:$W$1000, 'Team Scores'!$W33, 3)</f>
        <v/>
      </c>
      <c r="X33" s="43">
        <f>PERCENTRANK('Team Scores'!$X$3:$X$1000, 'Team Scores'!$X33, 3)</f>
        <v/>
      </c>
      <c r="Y33" s="43">
        <f>PERCENTRANK('Team Scores'!$Y$3:$Y$1000, 'Team Scores'!$Y33, 3)</f>
        <v/>
      </c>
      <c r="Z33" s="43">
        <f>PERCENTRANK('Team Scores'!$Z$3:$Z$1000, 'Team Scores'!$Z33, 3)</f>
        <v/>
      </c>
      <c r="AA33" s="43">
        <f>AVERAGE(C33:G33)</f>
        <v/>
      </c>
      <c r="AB33" s="43">
        <f>AVERAGE(H33:O33)</f>
        <v/>
      </c>
      <c r="AC33" s="43">
        <f>AVERAGE(P33:T33)</f>
        <v/>
      </c>
      <c r="AD33" s="43">
        <f>AVERAGE(U33:X33)</f>
        <v/>
      </c>
      <c r="AE33" s="43">
        <f>AVERAGE(AA33:AD33)</f>
        <v/>
      </c>
    </row>
    <row r="34">
      <c r="A34" s="41" t="n">
        <v>4601</v>
      </c>
      <c r="B34" s="42">
        <f>COUNTIF(MatchScoutingData!E$2:E$1000, $A34)</f>
        <v/>
      </c>
      <c r="C34" s="43">
        <f>PERCENTRANK('Team Scores'!$C$3:$C$1000, 'Team Scores'!$C34, 3)</f>
        <v/>
      </c>
      <c r="D34" s="43">
        <f>PERCENTRANK('Team Scores'!$D$3:$D$1000, 'Team Scores'!$D34, 3)</f>
        <v/>
      </c>
      <c r="E34" s="43">
        <f>PERCENTRANK('Team Scores'!$E$3:$E$1000, 'Team Scores'!$E34, 3)</f>
        <v/>
      </c>
      <c r="F34" s="43">
        <f>PERCENTRANK('Team Scores'!$F$3:$F$1000, 'Team Scores'!$F34, 3)</f>
        <v/>
      </c>
      <c r="G34" s="43">
        <f>PERCENTRANK('Team Scores'!$G$3:$G$1000, 'Team Scores'!$G34, 3)</f>
        <v/>
      </c>
      <c r="H34" s="43">
        <f>PERCENTRANK('Team Scores'!$H$3:$H$1000, 'Team Scores'!$H34, 3)</f>
        <v/>
      </c>
      <c r="I34" s="43">
        <f>PERCENTRANK('Team Scores'!$I$3:$I$1000, 'Team Scores'!$I34, 3)</f>
        <v/>
      </c>
      <c r="J34" s="43">
        <f>PERCENTRANK('Team Scores'!$J$3:$J$1000, 'Team Scores'!$J34, 3)</f>
        <v/>
      </c>
      <c r="K34" s="43">
        <f>PERCENTRANK('Team Scores'!$K$3:$K$1000, 'Team Scores'!$K34, 3)</f>
        <v/>
      </c>
      <c r="L34" s="43">
        <f>PERCENTRANK('Team Scores'!$L$3:$L$1000, 'Team Scores'!$L34, 3)</f>
        <v/>
      </c>
      <c r="M34" s="43">
        <f>PERCENTRANK('Team Scores'!$M$3:$M$1000, 'Team Scores'!$M34, 3)</f>
        <v/>
      </c>
      <c r="N34" s="43">
        <f>PERCENTRANK('Team Scores'!$N$3:$N$1000, 'Team Scores'!$N34, 3)</f>
        <v/>
      </c>
      <c r="O34" s="43">
        <f>PERCENTRANK('Team Scores'!$O$3:$O$1000, 'Team Scores'!$O34, 3)</f>
        <v/>
      </c>
      <c r="P34" s="43">
        <f>PERCENTRANK('Team Scores'!$P$3:$P$1000, 'Team Scores'!$P34, 3)</f>
        <v/>
      </c>
      <c r="Q34" s="43">
        <f>PERCENTRANK('Team Scores'!$Q$3:$Q$1000, 'Team Scores'!$Q34, 3)</f>
        <v/>
      </c>
      <c r="R34" s="43">
        <f>PERCENTRANK('Team Scores'!$R$3:$R$1000, 'Team Scores'!$R34, 3)</f>
        <v/>
      </c>
      <c r="S34" s="43">
        <f>PERCENTRANK('Team Scores'!$S$3:$S$1000, 'Team Scores'!$S34, 3)</f>
        <v/>
      </c>
      <c r="T34" s="43">
        <f>PERCENTRANK('Team Scores'!$T$3:$T$1000, 'Team Scores'!$T34, 3)</f>
        <v/>
      </c>
      <c r="U34" s="43">
        <f>PERCENTRANK('Team Scores'!$U$3:$U$1000, 'Team Scores'!$U34, 3)</f>
        <v/>
      </c>
      <c r="V34" s="43">
        <f>PERCENTRANK('Team Scores'!$V$3:$V$1000, 'Team Scores'!$V34, 3)</f>
        <v/>
      </c>
      <c r="W34" s="43">
        <f>PERCENTRANK('Team Scores'!$W$3:$W$1000, 'Team Scores'!$W34, 3)</f>
        <v/>
      </c>
      <c r="X34" s="43">
        <f>PERCENTRANK('Team Scores'!$X$3:$X$1000, 'Team Scores'!$X34, 3)</f>
        <v/>
      </c>
      <c r="Y34" s="43">
        <f>PERCENTRANK('Team Scores'!$Y$3:$Y$1000, 'Team Scores'!$Y34, 3)</f>
        <v/>
      </c>
      <c r="Z34" s="43">
        <f>PERCENTRANK('Team Scores'!$Z$3:$Z$1000, 'Team Scores'!$Z34, 3)</f>
        <v/>
      </c>
      <c r="AA34" s="43">
        <f>AVERAGE(C34:G34)</f>
        <v/>
      </c>
      <c r="AB34" s="43">
        <f>AVERAGE(H34:O34)</f>
        <v/>
      </c>
      <c r="AC34" s="43">
        <f>AVERAGE(P34:T34)</f>
        <v/>
      </c>
      <c r="AD34" s="43">
        <f>AVERAGE(U34:X34)</f>
        <v/>
      </c>
      <c r="AE34" s="43">
        <f>AVERAGE(AA34:AD34)</f>
        <v/>
      </c>
    </row>
    <row r="35">
      <c r="A35" s="41" t="n">
        <v>4930</v>
      </c>
      <c r="B35" s="42">
        <f>COUNTIF(MatchScoutingData!E$2:E$1000, $A35)</f>
        <v/>
      </c>
      <c r="C35" s="43">
        <f>PERCENTRANK('Team Scores'!$C$3:$C$1000, 'Team Scores'!$C35, 3)</f>
        <v/>
      </c>
      <c r="D35" s="43">
        <f>PERCENTRANK('Team Scores'!$D$3:$D$1000, 'Team Scores'!$D35, 3)</f>
        <v/>
      </c>
      <c r="E35" s="43">
        <f>PERCENTRANK('Team Scores'!$E$3:$E$1000, 'Team Scores'!$E35, 3)</f>
        <v/>
      </c>
      <c r="F35" s="43">
        <f>PERCENTRANK('Team Scores'!$F$3:$F$1000, 'Team Scores'!$F35, 3)</f>
        <v/>
      </c>
      <c r="G35" s="43">
        <f>PERCENTRANK('Team Scores'!$G$3:$G$1000, 'Team Scores'!$G35, 3)</f>
        <v/>
      </c>
      <c r="H35" s="43">
        <f>PERCENTRANK('Team Scores'!$H$3:$H$1000, 'Team Scores'!$H35, 3)</f>
        <v/>
      </c>
      <c r="I35" s="43">
        <f>PERCENTRANK('Team Scores'!$I$3:$I$1000, 'Team Scores'!$I35, 3)</f>
        <v/>
      </c>
      <c r="J35" s="43">
        <f>PERCENTRANK('Team Scores'!$J$3:$J$1000, 'Team Scores'!$J35, 3)</f>
        <v/>
      </c>
      <c r="K35" s="43">
        <f>PERCENTRANK('Team Scores'!$K$3:$K$1000, 'Team Scores'!$K35, 3)</f>
        <v/>
      </c>
      <c r="L35" s="43">
        <f>PERCENTRANK('Team Scores'!$L$3:$L$1000, 'Team Scores'!$L35, 3)</f>
        <v/>
      </c>
      <c r="M35" s="43">
        <f>PERCENTRANK('Team Scores'!$M$3:$M$1000, 'Team Scores'!$M35, 3)</f>
        <v/>
      </c>
      <c r="N35" s="43">
        <f>PERCENTRANK('Team Scores'!$N$3:$N$1000, 'Team Scores'!$N35, 3)</f>
        <v/>
      </c>
      <c r="O35" s="43">
        <f>PERCENTRANK('Team Scores'!$O$3:$O$1000, 'Team Scores'!$O35, 3)</f>
        <v/>
      </c>
      <c r="P35" s="43">
        <f>PERCENTRANK('Team Scores'!$P$3:$P$1000, 'Team Scores'!$P35, 3)</f>
        <v/>
      </c>
      <c r="Q35" s="43">
        <f>PERCENTRANK('Team Scores'!$Q$3:$Q$1000, 'Team Scores'!$Q35, 3)</f>
        <v/>
      </c>
      <c r="R35" s="43">
        <f>PERCENTRANK('Team Scores'!$R$3:$R$1000, 'Team Scores'!$R35, 3)</f>
        <v/>
      </c>
      <c r="S35" s="43">
        <f>PERCENTRANK('Team Scores'!$S$3:$S$1000, 'Team Scores'!$S35, 3)</f>
        <v/>
      </c>
      <c r="T35" s="43">
        <f>PERCENTRANK('Team Scores'!$T$3:$T$1000, 'Team Scores'!$T35, 3)</f>
        <v/>
      </c>
      <c r="U35" s="43">
        <f>PERCENTRANK('Team Scores'!$U$3:$U$1000, 'Team Scores'!$U35, 3)</f>
        <v/>
      </c>
      <c r="V35" s="43">
        <f>PERCENTRANK('Team Scores'!$V$3:$V$1000, 'Team Scores'!$V35, 3)</f>
        <v/>
      </c>
      <c r="W35" s="43">
        <f>PERCENTRANK('Team Scores'!$W$3:$W$1000, 'Team Scores'!$W35, 3)</f>
        <v/>
      </c>
      <c r="X35" s="43">
        <f>PERCENTRANK('Team Scores'!$X$3:$X$1000, 'Team Scores'!$X35, 3)</f>
        <v/>
      </c>
      <c r="Y35" s="43">
        <f>PERCENTRANK('Team Scores'!$Y$3:$Y$1000, 'Team Scores'!$Y35, 3)</f>
        <v/>
      </c>
      <c r="Z35" s="43">
        <f>PERCENTRANK('Team Scores'!$Z$3:$Z$1000, 'Team Scores'!$Z35, 3)</f>
        <v/>
      </c>
      <c r="AA35" s="43">
        <f>AVERAGE(C35:G35)</f>
        <v/>
      </c>
      <c r="AB35" s="43">
        <f>AVERAGE(H35:O35)</f>
        <v/>
      </c>
      <c r="AC35" s="43">
        <f>AVERAGE(P35:T35)</f>
        <v/>
      </c>
      <c r="AD35" s="43">
        <f>AVERAGE(U35:X35)</f>
        <v/>
      </c>
      <c r="AE35" s="43">
        <f>AVERAGE(AA35:AD35)</f>
        <v/>
      </c>
    </row>
    <row r="36">
      <c r="A36" s="41" t="n">
        <v>5016</v>
      </c>
      <c r="B36" s="42">
        <f>COUNTIF(MatchScoutingData!E$2:E$1000, $A36)</f>
        <v/>
      </c>
      <c r="C36" s="43">
        <f>PERCENTRANK('Team Scores'!$C$3:$C$1000, 'Team Scores'!$C36, 3)</f>
        <v/>
      </c>
      <c r="D36" s="43">
        <f>PERCENTRANK('Team Scores'!$D$3:$D$1000, 'Team Scores'!$D36, 3)</f>
        <v/>
      </c>
      <c r="E36" s="43">
        <f>PERCENTRANK('Team Scores'!$E$3:$E$1000, 'Team Scores'!$E36, 3)</f>
        <v/>
      </c>
      <c r="F36" s="43">
        <f>PERCENTRANK('Team Scores'!$F$3:$F$1000, 'Team Scores'!$F36, 3)</f>
        <v/>
      </c>
      <c r="G36" s="43">
        <f>PERCENTRANK('Team Scores'!$G$3:$G$1000, 'Team Scores'!$G36, 3)</f>
        <v/>
      </c>
      <c r="H36" s="43">
        <f>PERCENTRANK('Team Scores'!$H$3:$H$1000, 'Team Scores'!$H36, 3)</f>
        <v/>
      </c>
      <c r="I36" s="43">
        <f>PERCENTRANK('Team Scores'!$I$3:$I$1000, 'Team Scores'!$I36, 3)</f>
        <v/>
      </c>
      <c r="J36" s="43">
        <f>PERCENTRANK('Team Scores'!$J$3:$J$1000, 'Team Scores'!$J36, 3)</f>
        <v/>
      </c>
      <c r="K36" s="43">
        <f>PERCENTRANK('Team Scores'!$K$3:$K$1000, 'Team Scores'!$K36, 3)</f>
        <v/>
      </c>
      <c r="L36" s="43">
        <f>PERCENTRANK('Team Scores'!$L$3:$L$1000, 'Team Scores'!$L36, 3)</f>
        <v/>
      </c>
      <c r="M36" s="43">
        <f>PERCENTRANK('Team Scores'!$M$3:$M$1000, 'Team Scores'!$M36, 3)</f>
        <v/>
      </c>
      <c r="N36" s="43">
        <f>PERCENTRANK('Team Scores'!$N$3:$N$1000, 'Team Scores'!$N36, 3)</f>
        <v/>
      </c>
      <c r="O36" s="43">
        <f>PERCENTRANK('Team Scores'!$O$3:$O$1000, 'Team Scores'!$O36, 3)</f>
        <v/>
      </c>
      <c r="P36" s="43">
        <f>PERCENTRANK('Team Scores'!$P$3:$P$1000, 'Team Scores'!$P36, 3)</f>
        <v/>
      </c>
      <c r="Q36" s="43">
        <f>PERCENTRANK('Team Scores'!$Q$3:$Q$1000, 'Team Scores'!$Q36, 3)</f>
        <v/>
      </c>
      <c r="R36" s="43">
        <f>PERCENTRANK('Team Scores'!$R$3:$R$1000, 'Team Scores'!$R36, 3)</f>
        <v/>
      </c>
      <c r="S36" s="43">
        <f>PERCENTRANK('Team Scores'!$S$3:$S$1000, 'Team Scores'!$S36, 3)</f>
        <v/>
      </c>
      <c r="T36" s="43">
        <f>PERCENTRANK('Team Scores'!$T$3:$T$1000, 'Team Scores'!$T36, 3)</f>
        <v/>
      </c>
      <c r="U36" s="43">
        <f>PERCENTRANK('Team Scores'!$U$3:$U$1000, 'Team Scores'!$U36, 3)</f>
        <v/>
      </c>
      <c r="V36" s="43">
        <f>PERCENTRANK('Team Scores'!$V$3:$V$1000, 'Team Scores'!$V36, 3)</f>
        <v/>
      </c>
      <c r="W36" s="43">
        <f>PERCENTRANK('Team Scores'!$W$3:$W$1000, 'Team Scores'!$W36, 3)</f>
        <v/>
      </c>
      <c r="X36" s="43">
        <f>PERCENTRANK('Team Scores'!$X$3:$X$1000, 'Team Scores'!$X36, 3)</f>
        <v/>
      </c>
      <c r="Y36" s="43">
        <f>PERCENTRANK('Team Scores'!$Y$3:$Y$1000, 'Team Scores'!$Y36, 3)</f>
        <v/>
      </c>
      <c r="Z36" s="43">
        <f>PERCENTRANK('Team Scores'!$Z$3:$Z$1000, 'Team Scores'!$Z36, 3)</f>
        <v/>
      </c>
      <c r="AA36" s="43">
        <f>AVERAGE(C36:G36)</f>
        <v/>
      </c>
      <c r="AB36" s="43">
        <f>AVERAGE(H36:O36)</f>
        <v/>
      </c>
      <c r="AC36" s="43">
        <f>AVERAGE(P36:T36)</f>
        <v/>
      </c>
      <c r="AD36" s="43">
        <f>AVERAGE(U36:X36)</f>
        <v/>
      </c>
      <c r="AE36" s="43">
        <f>AVERAGE(AA36:AD36)</f>
        <v/>
      </c>
    </row>
    <row r="37">
      <c r="A37" s="41" t="n">
        <v>5149</v>
      </c>
      <c r="B37" s="42">
        <f>COUNTIF(MatchScoutingData!E$2:E$1000, $A37)</f>
        <v/>
      </c>
      <c r="C37" s="43">
        <f>PERCENTRANK('Team Scores'!$C$3:$C$1000, 'Team Scores'!$C37, 3)</f>
        <v/>
      </c>
      <c r="D37" s="43">
        <f>PERCENTRANK('Team Scores'!$D$3:$D$1000, 'Team Scores'!$D37, 3)</f>
        <v/>
      </c>
      <c r="E37" s="43">
        <f>PERCENTRANK('Team Scores'!$E$3:$E$1000, 'Team Scores'!$E37, 3)</f>
        <v/>
      </c>
      <c r="F37" s="43">
        <f>PERCENTRANK('Team Scores'!$F$3:$F$1000, 'Team Scores'!$F37, 3)</f>
        <v/>
      </c>
      <c r="G37" s="43">
        <f>PERCENTRANK('Team Scores'!$G$3:$G$1000, 'Team Scores'!$G37, 3)</f>
        <v/>
      </c>
      <c r="H37" s="43">
        <f>PERCENTRANK('Team Scores'!$H$3:$H$1000, 'Team Scores'!$H37, 3)</f>
        <v/>
      </c>
      <c r="I37" s="43">
        <f>PERCENTRANK('Team Scores'!$I$3:$I$1000, 'Team Scores'!$I37, 3)</f>
        <v/>
      </c>
      <c r="J37" s="43">
        <f>PERCENTRANK('Team Scores'!$J$3:$J$1000, 'Team Scores'!$J37, 3)</f>
        <v/>
      </c>
      <c r="K37" s="43">
        <f>PERCENTRANK('Team Scores'!$K$3:$K$1000, 'Team Scores'!$K37, 3)</f>
        <v/>
      </c>
      <c r="L37" s="43">
        <f>PERCENTRANK('Team Scores'!$L$3:$L$1000, 'Team Scores'!$L37, 3)</f>
        <v/>
      </c>
      <c r="M37" s="43">
        <f>PERCENTRANK('Team Scores'!$M$3:$M$1000, 'Team Scores'!$M37, 3)</f>
        <v/>
      </c>
      <c r="N37" s="43">
        <f>PERCENTRANK('Team Scores'!$N$3:$N$1000, 'Team Scores'!$N37, 3)</f>
        <v/>
      </c>
      <c r="O37" s="43">
        <f>PERCENTRANK('Team Scores'!$O$3:$O$1000, 'Team Scores'!$O37, 3)</f>
        <v/>
      </c>
      <c r="P37" s="43">
        <f>PERCENTRANK('Team Scores'!$P$3:$P$1000, 'Team Scores'!$P37, 3)</f>
        <v/>
      </c>
      <c r="Q37" s="43">
        <f>PERCENTRANK('Team Scores'!$Q$3:$Q$1000, 'Team Scores'!$Q37, 3)</f>
        <v/>
      </c>
      <c r="R37" s="43">
        <f>PERCENTRANK('Team Scores'!$R$3:$R$1000, 'Team Scores'!$R37, 3)</f>
        <v/>
      </c>
      <c r="S37" s="43">
        <f>PERCENTRANK('Team Scores'!$S$3:$S$1000, 'Team Scores'!$S37, 3)</f>
        <v/>
      </c>
      <c r="T37" s="43">
        <f>PERCENTRANK('Team Scores'!$T$3:$T$1000, 'Team Scores'!$T37, 3)</f>
        <v/>
      </c>
      <c r="U37" s="43">
        <f>PERCENTRANK('Team Scores'!$U$3:$U$1000, 'Team Scores'!$U37, 3)</f>
        <v/>
      </c>
      <c r="V37" s="43">
        <f>PERCENTRANK('Team Scores'!$V$3:$V$1000, 'Team Scores'!$V37, 3)</f>
        <v/>
      </c>
      <c r="W37" s="43">
        <f>PERCENTRANK('Team Scores'!$W$3:$W$1000, 'Team Scores'!$W37, 3)</f>
        <v/>
      </c>
      <c r="X37" s="43">
        <f>PERCENTRANK('Team Scores'!$X$3:$X$1000, 'Team Scores'!$X37, 3)</f>
        <v/>
      </c>
      <c r="Y37" s="43">
        <f>PERCENTRANK('Team Scores'!$Y$3:$Y$1000, 'Team Scores'!$Y37, 3)</f>
        <v/>
      </c>
      <c r="Z37" s="43">
        <f>PERCENTRANK('Team Scores'!$Z$3:$Z$1000, 'Team Scores'!$Z37, 3)</f>
        <v/>
      </c>
      <c r="AA37" s="43">
        <f>AVERAGE(C37:G37)</f>
        <v/>
      </c>
      <c r="AB37" s="43">
        <f>AVERAGE(H37:O37)</f>
        <v/>
      </c>
      <c r="AC37" s="43">
        <f>AVERAGE(P37:T37)</f>
        <v/>
      </c>
      <c r="AD37" s="43">
        <f>AVERAGE(U37:X37)</f>
        <v/>
      </c>
      <c r="AE37" s="43">
        <f>AVERAGE(AA37:AD37)</f>
        <v/>
      </c>
    </row>
    <row r="38">
      <c r="A38" s="41" t="n">
        <v>5590</v>
      </c>
      <c r="B38" s="42">
        <f>COUNTIF(MatchScoutingData!E$2:E$1000, $A38)</f>
        <v/>
      </c>
      <c r="C38" s="43">
        <f>PERCENTRANK('Team Scores'!$C$3:$C$1000, 'Team Scores'!$C38, 3)</f>
        <v/>
      </c>
      <c r="D38" s="43">
        <f>PERCENTRANK('Team Scores'!$D$3:$D$1000, 'Team Scores'!$D38, 3)</f>
        <v/>
      </c>
      <c r="E38" s="43">
        <f>PERCENTRANK('Team Scores'!$E$3:$E$1000, 'Team Scores'!$E38, 3)</f>
        <v/>
      </c>
      <c r="F38" s="43">
        <f>PERCENTRANK('Team Scores'!$F$3:$F$1000, 'Team Scores'!$F38, 3)</f>
        <v/>
      </c>
      <c r="G38" s="43">
        <f>PERCENTRANK('Team Scores'!$G$3:$G$1000, 'Team Scores'!$G38, 3)</f>
        <v/>
      </c>
      <c r="H38" s="43">
        <f>PERCENTRANK('Team Scores'!$H$3:$H$1000, 'Team Scores'!$H38, 3)</f>
        <v/>
      </c>
      <c r="I38" s="43">
        <f>PERCENTRANK('Team Scores'!$I$3:$I$1000, 'Team Scores'!$I38, 3)</f>
        <v/>
      </c>
      <c r="J38" s="43">
        <f>PERCENTRANK('Team Scores'!$J$3:$J$1000, 'Team Scores'!$J38, 3)</f>
        <v/>
      </c>
      <c r="K38" s="43">
        <f>PERCENTRANK('Team Scores'!$K$3:$K$1000, 'Team Scores'!$K38, 3)</f>
        <v/>
      </c>
      <c r="L38" s="43">
        <f>PERCENTRANK('Team Scores'!$L$3:$L$1000, 'Team Scores'!$L38, 3)</f>
        <v/>
      </c>
      <c r="M38" s="43">
        <f>PERCENTRANK('Team Scores'!$M$3:$M$1000, 'Team Scores'!$M38, 3)</f>
        <v/>
      </c>
      <c r="N38" s="43">
        <f>PERCENTRANK('Team Scores'!$N$3:$N$1000, 'Team Scores'!$N38, 3)</f>
        <v/>
      </c>
      <c r="O38" s="43">
        <f>PERCENTRANK('Team Scores'!$O$3:$O$1000, 'Team Scores'!$O38, 3)</f>
        <v/>
      </c>
      <c r="P38" s="43">
        <f>PERCENTRANK('Team Scores'!$P$3:$P$1000, 'Team Scores'!$P38, 3)</f>
        <v/>
      </c>
      <c r="Q38" s="43">
        <f>PERCENTRANK('Team Scores'!$Q$3:$Q$1000, 'Team Scores'!$Q38, 3)</f>
        <v/>
      </c>
      <c r="R38" s="43">
        <f>PERCENTRANK('Team Scores'!$R$3:$R$1000, 'Team Scores'!$R38, 3)</f>
        <v/>
      </c>
      <c r="S38" s="43">
        <f>PERCENTRANK('Team Scores'!$S$3:$S$1000, 'Team Scores'!$S38, 3)</f>
        <v/>
      </c>
      <c r="T38" s="43">
        <f>PERCENTRANK('Team Scores'!$T$3:$T$1000, 'Team Scores'!$T38, 3)</f>
        <v/>
      </c>
      <c r="U38" s="43">
        <f>PERCENTRANK('Team Scores'!$U$3:$U$1000, 'Team Scores'!$U38, 3)</f>
        <v/>
      </c>
      <c r="V38" s="43">
        <f>PERCENTRANK('Team Scores'!$V$3:$V$1000, 'Team Scores'!$V38, 3)</f>
        <v/>
      </c>
      <c r="W38" s="43">
        <f>PERCENTRANK('Team Scores'!$W$3:$W$1000, 'Team Scores'!$W38, 3)</f>
        <v/>
      </c>
      <c r="X38" s="43">
        <f>PERCENTRANK('Team Scores'!$X$3:$X$1000, 'Team Scores'!$X38, 3)</f>
        <v/>
      </c>
      <c r="Y38" s="43">
        <f>PERCENTRANK('Team Scores'!$Y$3:$Y$1000, 'Team Scores'!$Y38, 3)</f>
        <v/>
      </c>
      <c r="Z38" s="43">
        <f>PERCENTRANK('Team Scores'!$Z$3:$Z$1000, 'Team Scores'!$Z38, 3)</f>
        <v/>
      </c>
      <c r="AA38" s="43">
        <f>AVERAGE(C38:G38)</f>
        <v/>
      </c>
      <c r="AB38" s="43">
        <f>AVERAGE(H38:O38)</f>
        <v/>
      </c>
      <c r="AC38" s="43">
        <f>AVERAGE(P38:T38)</f>
        <v/>
      </c>
      <c r="AD38" s="43">
        <f>AVERAGE(U38:X38)</f>
        <v/>
      </c>
      <c r="AE38" s="43">
        <f>AVERAGE(AA38:AD38)</f>
        <v/>
      </c>
    </row>
    <row r="39">
      <c r="A39" s="41" t="n">
        <v>5736</v>
      </c>
      <c r="B39" s="42">
        <f>COUNTIF(MatchScoutingData!E$2:E$1000, $A39)</f>
        <v/>
      </c>
      <c r="C39" s="43">
        <f>PERCENTRANK('Team Scores'!$C$3:$C$1000, 'Team Scores'!$C39, 3)</f>
        <v/>
      </c>
      <c r="D39" s="43">
        <f>PERCENTRANK('Team Scores'!$D$3:$D$1000, 'Team Scores'!$D39, 3)</f>
        <v/>
      </c>
      <c r="E39" s="43">
        <f>PERCENTRANK('Team Scores'!$E$3:$E$1000, 'Team Scores'!$E39, 3)</f>
        <v/>
      </c>
      <c r="F39" s="43">
        <f>PERCENTRANK('Team Scores'!$F$3:$F$1000, 'Team Scores'!$F39, 3)</f>
        <v/>
      </c>
      <c r="G39" s="43">
        <f>PERCENTRANK('Team Scores'!$G$3:$G$1000, 'Team Scores'!$G39, 3)</f>
        <v/>
      </c>
      <c r="H39" s="43">
        <f>PERCENTRANK('Team Scores'!$H$3:$H$1000, 'Team Scores'!$H39, 3)</f>
        <v/>
      </c>
      <c r="I39" s="43">
        <f>PERCENTRANK('Team Scores'!$I$3:$I$1000, 'Team Scores'!$I39, 3)</f>
        <v/>
      </c>
      <c r="J39" s="43">
        <f>PERCENTRANK('Team Scores'!$J$3:$J$1000, 'Team Scores'!$J39, 3)</f>
        <v/>
      </c>
      <c r="K39" s="43">
        <f>PERCENTRANK('Team Scores'!$K$3:$K$1000, 'Team Scores'!$K39, 3)</f>
        <v/>
      </c>
      <c r="L39" s="43">
        <f>PERCENTRANK('Team Scores'!$L$3:$L$1000, 'Team Scores'!$L39, 3)</f>
        <v/>
      </c>
      <c r="M39" s="43">
        <f>PERCENTRANK('Team Scores'!$M$3:$M$1000, 'Team Scores'!$M39, 3)</f>
        <v/>
      </c>
      <c r="N39" s="43">
        <f>PERCENTRANK('Team Scores'!$N$3:$N$1000, 'Team Scores'!$N39, 3)</f>
        <v/>
      </c>
      <c r="O39" s="43">
        <f>PERCENTRANK('Team Scores'!$O$3:$O$1000, 'Team Scores'!$O39, 3)</f>
        <v/>
      </c>
      <c r="P39" s="43">
        <f>PERCENTRANK('Team Scores'!$P$3:$P$1000, 'Team Scores'!$P39, 3)</f>
        <v/>
      </c>
      <c r="Q39" s="43">
        <f>PERCENTRANK('Team Scores'!$Q$3:$Q$1000, 'Team Scores'!$Q39, 3)</f>
        <v/>
      </c>
      <c r="R39" s="43">
        <f>PERCENTRANK('Team Scores'!$R$3:$R$1000, 'Team Scores'!$R39, 3)</f>
        <v/>
      </c>
      <c r="S39" s="43">
        <f>PERCENTRANK('Team Scores'!$S$3:$S$1000, 'Team Scores'!$S39, 3)</f>
        <v/>
      </c>
      <c r="T39" s="43">
        <f>PERCENTRANK('Team Scores'!$T$3:$T$1000, 'Team Scores'!$T39, 3)</f>
        <v/>
      </c>
      <c r="U39" s="43">
        <f>PERCENTRANK('Team Scores'!$U$3:$U$1000, 'Team Scores'!$U39, 3)</f>
        <v/>
      </c>
      <c r="V39" s="43">
        <f>PERCENTRANK('Team Scores'!$V$3:$V$1000, 'Team Scores'!$V39, 3)</f>
        <v/>
      </c>
      <c r="W39" s="43">
        <f>PERCENTRANK('Team Scores'!$W$3:$W$1000, 'Team Scores'!$W39, 3)</f>
        <v/>
      </c>
      <c r="X39" s="43">
        <f>PERCENTRANK('Team Scores'!$X$3:$X$1000, 'Team Scores'!$X39, 3)</f>
        <v/>
      </c>
      <c r="Y39" s="43">
        <f>PERCENTRANK('Team Scores'!$Y$3:$Y$1000, 'Team Scores'!$Y39, 3)</f>
        <v/>
      </c>
      <c r="Z39" s="43">
        <f>PERCENTRANK('Team Scores'!$Z$3:$Z$1000, 'Team Scores'!$Z39, 3)</f>
        <v/>
      </c>
      <c r="AA39" s="43">
        <f>AVERAGE(C39:G39)</f>
        <v/>
      </c>
      <c r="AB39" s="43">
        <f>AVERAGE(H39:O39)</f>
        <v/>
      </c>
      <c r="AC39" s="43">
        <f>AVERAGE(P39:T39)</f>
        <v/>
      </c>
      <c r="AD39" s="43">
        <f>AVERAGE(U39:X39)</f>
        <v/>
      </c>
      <c r="AE39" s="43">
        <f>AVERAGE(AA39:AD39)</f>
        <v/>
      </c>
    </row>
    <row r="40">
      <c r="A40" s="41" t="n">
        <v>5881</v>
      </c>
      <c r="B40" s="42">
        <f>COUNTIF(MatchScoutingData!E$2:E$1000, $A40)</f>
        <v/>
      </c>
      <c r="C40" s="43">
        <f>PERCENTRANK('Team Scores'!$C$3:$C$1000, 'Team Scores'!$C40, 3)</f>
        <v/>
      </c>
      <c r="D40" s="43">
        <f>PERCENTRANK('Team Scores'!$D$3:$D$1000, 'Team Scores'!$D40, 3)</f>
        <v/>
      </c>
      <c r="E40" s="43">
        <f>PERCENTRANK('Team Scores'!$E$3:$E$1000, 'Team Scores'!$E40, 3)</f>
        <v/>
      </c>
      <c r="F40" s="43">
        <f>PERCENTRANK('Team Scores'!$F$3:$F$1000, 'Team Scores'!$F40, 3)</f>
        <v/>
      </c>
      <c r="G40" s="43">
        <f>PERCENTRANK('Team Scores'!$G$3:$G$1000, 'Team Scores'!$G40, 3)</f>
        <v/>
      </c>
      <c r="H40" s="43">
        <f>PERCENTRANK('Team Scores'!$H$3:$H$1000, 'Team Scores'!$H40, 3)</f>
        <v/>
      </c>
      <c r="I40" s="43">
        <f>PERCENTRANK('Team Scores'!$I$3:$I$1000, 'Team Scores'!$I40, 3)</f>
        <v/>
      </c>
      <c r="J40" s="43">
        <f>PERCENTRANK('Team Scores'!$J$3:$J$1000, 'Team Scores'!$J40, 3)</f>
        <v/>
      </c>
      <c r="K40" s="43">
        <f>PERCENTRANK('Team Scores'!$K$3:$K$1000, 'Team Scores'!$K40, 3)</f>
        <v/>
      </c>
      <c r="L40" s="43">
        <f>PERCENTRANK('Team Scores'!$L$3:$L$1000, 'Team Scores'!$L40, 3)</f>
        <v/>
      </c>
      <c r="M40" s="43">
        <f>PERCENTRANK('Team Scores'!$M$3:$M$1000, 'Team Scores'!$M40, 3)</f>
        <v/>
      </c>
      <c r="N40" s="43">
        <f>PERCENTRANK('Team Scores'!$N$3:$N$1000, 'Team Scores'!$N40, 3)</f>
        <v/>
      </c>
      <c r="O40" s="43">
        <f>PERCENTRANK('Team Scores'!$O$3:$O$1000, 'Team Scores'!$O40, 3)</f>
        <v/>
      </c>
      <c r="P40" s="43">
        <f>PERCENTRANK('Team Scores'!$P$3:$P$1000, 'Team Scores'!$P40, 3)</f>
        <v/>
      </c>
      <c r="Q40" s="43">
        <f>PERCENTRANK('Team Scores'!$Q$3:$Q$1000, 'Team Scores'!$Q40, 3)</f>
        <v/>
      </c>
      <c r="R40" s="43">
        <f>PERCENTRANK('Team Scores'!$R$3:$R$1000, 'Team Scores'!$R40, 3)</f>
        <v/>
      </c>
      <c r="S40" s="43">
        <f>PERCENTRANK('Team Scores'!$S$3:$S$1000, 'Team Scores'!$S40, 3)</f>
        <v/>
      </c>
      <c r="T40" s="43">
        <f>PERCENTRANK('Team Scores'!$T$3:$T$1000, 'Team Scores'!$T40, 3)</f>
        <v/>
      </c>
      <c r="U40" s="43">
        <f>PERCENTRANK('Team Scores'!$U$3:$U$1000, 'Team Scores'!$U40, 3)</f>
        <v/>
      </c>
      <c r="V40" s="43">
        <f>PERCENTRANK('Team Scores'!$V$3:$V$1000, 'Team Scores'!$V40, 3)</f>
        <v/>
      </c>
      <c r="W40" s="43">
        <f>PERCENTRANK('Team Scores'!$W$3:$W$1000, 'Team Scores'!$W40, 3)</f>
        <v/>
      </c>
      <c r="X40" s="43">
        <f>PERCENTRANK('Team Scores'!$X$3:$X$1000, 'Team Scores'!$X40, 3)</f>
        <v/>
      </c>
      <c r="Y40" s="43">
        <f>PERCENTRANK('Team Scores'!$Y$3:$Y$1000, 'Team Scores'!$Y40, 3)</f>
        <v/>
      </c>
      <c r="Z40" s="43">
        <f>PERCENTRANK('Team Scores'!$Z$3:$Z$1000, 'Team Scores'!$Z40, 3)</f>
        <v/>
      </c>
      <c r="AA40" s="43">
        <f>AVERAGE(C40:G40)</f>
        <v/>
      </c>
      <c r="AB40" s="43">
        <f>AVERAGE(H40:O40)</f>
        <v/>
      </c>
      <c r="AC40" s="43">
        <f>AVERAGE(P40:T40)</f>
        <v/>
      </c>
      <c r="AD40" s="43">
        <f>AVERAGE(U40:X40)</f>
        <v/>
      </c>
      <c r="AE40" s="43">
        <f>AVERAGE(AA40:AD40)</f>
        <v/>
      </c>
    </row>
    <row r="41">
      <c r="A41" s="41" t="n">
        <v>6300</v>
      </c>
      <c r="B41" s="42">
        <f>COUNTIF(MatchScoutingData!E$2:E$1000, $A41)</f>
        <v/>
      </c>
      <c r="C41" s="43">
        <f>PERCENTRANK('Team Scores'!$C$3:$C$1000, 'Team Scores'!$C41, 3)</f>
        <v/>
      </c>
      <c r="D41" s="43">
        <f>PERCENTRANK('Team Scores'!$D$3:$D$1000, 'Team Scores'!$D41, 3)</f>
        <v/>
      </c>
      <c r="E41" s="43">
        <f>PERCENTRANK('Team Scores'!$E$3:$E$1000, 'Team Scores'!$E41, 3)</f>
        <v/>
      </c>
      <c r="F41" s="43">
        <f>PERCENTRANK('Team Scores'!$F$3:$F$1000, 'Team Scores'!$F41, 3)</f>
        <v/>
      </c>
      <c r="G41" s="43">
        <f>PERCENTRANK('Team Scores'!$G$3:$G$1000, 'Team Scores'!$G41, 3)</f>
        <v/>
      </c>
      <c r="H41" s="43">
        <f>PERCENTRANK('Team Scores'!$H$3:$H$1000, 'Team Scores'!$H41, 3)</f>
        <v/>
      </c>
      <c r="I41" s="43">
        <f>PERCENTRANK('Team Scores'!$I$3:$I$1000, 'Team Scores'!$I41, 3)</f>
        <v/>
      </c>
      <c r="J41" s="43">
        <f>PERCENTRANK('Team Scores'!$J$3:$J$1000, 'Team Scores'!$J41, 3)</f>
        <v/>
      </c>
      <c r="K41" s="43">
        <f>PERCENTRANK('Team Scores'!$K$3:$K$1000, 'Team Scores'!$K41, 3)</f>
        <v/>
      </c>
      <c r="L41" s="43">
        <f>PERCENTRANK('Team Scores'!$L$3:$L$1000, 'Team Scores'!$L41, 3)</f>
        <v/>
      </c>
      <c r="M41" s="43">
        <f>PERCENTRANK('Team Scores'!$M$3:$M$1000, 'Team Scores'!$M41, 3)</f>
        <v/>
      </c>
      <c r="N41" s="43">
        <f>PERCENTRANK('Team Scores'!$N$3:$N$1000, 'Team Scores'!$N41, 3)</f>
        <v/>
      </c>
      <c r="O41" s="43">
        <f>PERCENTRANK('Team Scores'!$O$3:$O$1000, 'Team Scores'!$O41, 3)</f>
        <v/>
      </c>
      <c r="P41" s="43">
        <f>PERCENTRANK('Team Scores'!$P$3:$P$1000, 'Team Scores'!$P41, 3)</f>
        <v/>
      </c>
      <c r="Q41" s="43">
        <f>PERCENTRANK('Team Scores'!$Q$3:$Q$1000, 'Team Scores'!$Q41, 3)</f>
        <v/>
      </c>
      <c r="R41" s="43">
        <f>PERCENTRANK('Team Scores'!$R$3:$R$1000, 'Team Scores'!$R41, 3)</f>
        <v/>
      </c>
      <c r="S41" s="43">
        <f>PERCENTRANK('Team Scores'!$S$3:$S$1000, 'Team Scores'!$S41, 3)</f>
        <v/>
      </c>
      <c r="T41" s="43">
        <f>PERCENTRANK('Team Scores'!$T$3:$T$1000, 'Team Scores'!$T41, 3)</f>
        <v/>
      </c>
      <c r="U41" s="43">
        <f>PERCENTRANK('Team Scores'!$U$3:$U$1000, 'Team Scores'!$U41, 3)</f>
        <v/>
      </c>
      <c r="V41" s="43">
        <f>PERCENTRANK('Team Scores'!$V$3:$V$1000, 'Team Scores'!$V41, 3)</f>
        <v/>
      </c>
      <c r="W41" s="43">
        <f>PERCENTRANK('Team Scores'!$W$3:$W$1000, 'Team Scores'!$W41, 3)</f>
        <v/>
      </c>
      <c r="X41" s="43">
        <f>PERCENTRANK('Team Scores'!$X$3:$X$1000, 'Team Scores'!$X41, 3)</f>
        <v/>
      </c>
      <c r="Y41" s="43">
        <f>PERCENTRANK('Team Scores'!$Y$3:$Y$1000, 'Team Scores'!$Y41, 3)</f>
        <v/>
      </c>
      <c r="Z41" s="43">
        <f>PERCENTRANK('Team Scores'!$Z$3:$Z$1000, 'Team Scores'!$Z41, 3)</f>
        <v/>
      </c>
      <c r="AA41" s="43">
        <f>AVERAGE(C41:G41)</f>
        <v/>
      </c>
      <c r="AB41" s="43">
        <f>AVERAGE(H41:O41)</f>
        <v/>
      </c>
      <c r="AC41" s="43">
        <f>AVERAGE(P41:T41)</f>
        <v/>
      </c>
      <c r="AD41" s="43">
        <f>AVERAGE(U41:X41)</f>
        <v/>
      </c>
      <c r="AE41" s="43">
        <f>AVERAGE(AA41:AD41)</f>
        <v/>
      </c>
    </row>
    <row r="42">
      <c r="A42" s="41" t="n">
        <v>6436</v>
      </c>
      <c r="B42" s="42">
        <f>COUNTIF(MatchScoutingData!E$2:E$1000, $A42)</f>
        <v/>
      </c>
      <c r="C42" s="43">
        <f>PERCENTRANK('Team Scores'!$C$3:$C$1000, 'Team Scores'!$C42, 3)</f>
        <v/>
      </c>
      <c r="D42" s="43">
        <f>PERCENTRANK('Team Scores'!$D$3:$D$1000, 'Team Scores'!$D42, 3)</f>
        <v/>
      </c>
      <c r="E42" s="43">
        <f>PERCENTRANK('Team Scores'!$E$3:$E$1000, 'Team Scores'!$E42, 3)</f>
        <v/>
      </c>
      <c r="F42" s="43">
        <f>PERCENTRANK('Team Scores'!$F$3:$F$1000, 'Team Scores'!$F42, 3)</f>
        <v/>
      </c>
      <c r="G42" s="43">
        <f>PERCENTRANK('Team Scores'!$G$3:$G$1000, 'Team Scores'!$G42, 3)</f>
        <v/>
      </c>
      <c r="H42" s="43">
        <f>PERCENTRANK('Team Scores'!$H$3:$H$1000, 'Team Scores'!$H42, 3)</f>
        <v/>
      </c>
      <c r="I42" s="43">
        <f>PERCENTRANK('Team Scores'!$I$3:$I$1000, 'Team Scores'!$I42, 3)</f>
        <v/>
      </c>
      <c r="J42" s="43">
        <f>PERCENTRANK('Team Scores'!$J$3:$J$1000, 'Team Scores'!$J42, 3)</f>
        <v/>
      </c>
      <c r="K42" s="43">
        <f>PERCENTRANK('Team Scores'!$K$3:$K$1000, 'Team Scores'!$K42, 3)</f>
        <v/>
      </c>
      <c r="L42" s="43">
        <f>PERCENTRANK('Team Scores'!$L$3:$L$1000, 'Team Scores'!$L42, 3)</f>
        <v/>
      </c>
      <c r="M42" s="43">
        <f>PERCENTRANK('Team Scores'!$M$3:$M$1000, 'Team Scores'!$M42, 3)</f>
        <v/>
      </c>
      <c r="N42" s="43">
        <f>PERCENTRANK('Team Scores'!$N$3:$N$1000, 'Team Scores'!$N42, 3)</f>
        <v/>
      </c>
      <c r="O42" s="43">
        <f>PERCENTRANK('Team Scores'!$O$3:$O$1000, 'Team Scores'!$O42, 3)</f>
        <v/>
      </c>
      <c r="P42" s="43">
        <f>PERCENTRANK('Team Scores'!$P$3:$P$1000, 'Team Scores'!$P42, 3)</f>
        <v/>
      </c>
      <c r="Q42" s="43">
        <f>PERCENTRANK('Team Scores'!$Q$3:$Q$1000, 'Team Scores'!$Q42, 3)</f>
        <v/>
      </c>
      <c r="R42" s="43">
        <f>PERCENTRANK('Team Scores'!$R$3:$R$1000, 'Team Scores'!$R42, 3)</f>
        <v/>
      </c>
      <c r="S42" s="43">
        <f>PERCENTRANK('Team Scores'!$S$3:$S$1000, 'Team Scores'!$S42, 3)</f>
        <v/>
      </c>
      <c r="T42" s="43">
        <f>PERCENTRANK('Team Scores'!$T$3:$T$1000, 'Team Scores'!$T42, 3)</f>
        <v/>
      </c>
      <c r="U42" s="43">
        <f>PERCENTRANK('Team Scores'!$U$3:$U$1000, 'Team Scores'!$U42, 3)</f>
        <v/>
      </c>
      <c r="V42" s="43">
        <f>PERCENTRANK('Team Scores'!$V$3:$V$1000, 'Team Scores'!$V42, 3)</f>
        <v/>
      </c>
      <c r="W42" s="43">
        <f>PERCENTRANK('Team Scores'!$W$3:$W$1000, 'Team Scores'!$W42, 3)</f>
        <v/>
      </c>
      <c r="X42" s="43">
        <f>PERCENTRANK('Team Scores'!$X$3:$X$1000, 'Team Scores'!$X42, 3)</f>
        <v/>
      </c>
      <c r="Y42" s="43">
        <f>PERCENTRANK('Team Scores'!$Y$3:$Y$1000, 'Team Scores'!$Y42, 3)</f>
        <v/>
      </c>
      <c r="Z42" s="43">
        <f>PERCENTRANK('Team Scores'!$Z$3:$Z$1000, 'Team Scores'!$Z42, 3)</f>
        <v/>
      </c>
      <c r="AA42" s="43">
        <f>AVERAGE(C42:G42)</f>
        <v/>
      </c>
      <c r="AB42" s="43">
        <f>AVERAGE(H42:O42)</f>
        <v/>
      </c>
      <c r="AC42" s="43">
        <f>AVERAGE(P42:T42)</f>
        <v/>
      </c>
      <c r="AD42" s="43">
        <f>AVERAGE(U42:X42)</f>
        <v/>
      </c>
      <c r="AE42" s="43">
        <f>AVERAGE(AA42:AD42)</f>
        <v/>
      </c>
    </row>
    <row r="43">
      <c r="A43" s="41" t="n">
        <v>6463</v>
      </c>
      <c r="B43" s="42">
        <f>COUNTIF(MatchScoutingData!E$2:E$1000, $A43)</f>
        <v/>
      </c>
      <c r="C43" s="43">
        <f>PERCENTRANK('Team Scores'!$C$3:$C$1000, 'Team Scores'!$C43, 3)</f>
        <v/>
      </c>
      <c r="D43" s="43">
        <f>PERCENTRANK('Team Scores'!$D$3:$D$1000, 'Team Scores'!$D43, 3)</f>
        <v/>
      </c>
      <c r="E43" s="43">
        <f>PERCENTRANK('Team Scores'!$E$3:$E$1000, 'Team Scores'!$E43, 3)</f>
        <v/>
      </c>
      <c r="F43" s="43">
        <f>PERCENTRANK('Team Scores'!$F$3:$F$1000, 'Team Scores'!$F43, 3)</f>
        <v/>
      </c>
      <c r="G43" s="43">
        <f>PERCENTRANK('Team Scores'!$G$3:$G$1000, 'Team Scores'!$G43, 3)</f>
        <v/>
      </c>
      <c r="H43" s="43">
        <f>PERCENTRANK('Team Scores'!$H$3:$H$1000, 'Team Scores'!$H43, 3)</f>
        <v/>
      </c>
      <c r="I43" s="43">
        <f>PERCENTRANK('Team Scores'!$I$3:$I$1000, 'Team Scores'!$I43, 3)</f>
        <v/>
      </c>
      <c r="J43" s="43">
        <f>PERCENTRANK('Team Scores'!$J$3:$J$1000, 'Team Scores'!$J43, 3)</f>
        <v/>
      </c>
      <c r="K43" s="43">
        <f>PERCENTRANK('Team Scores'!$K$3:$K$1000, 'Team Scores'!$K43, 3)</f>
        <v/>
      </c>
      <c r="L43" s="43">
        <f>PERCENTRANK('Team Scores'!$L$3:$L$1000, 'Team Scores'!$L43, 3)</f>
        <v/>
      </c>
      <c r="M43" s="43">
        <f>PERCENTRANK('Team Scores'!$M$3:$M$1000, 'Team Scores'!$M43, 3)</f>
        <v/>
      </c>
      <c r="N43" s="43">
        <f>PERCENTRANK('Team Scores'!$N$3:$N$1000, 'Team Scores'!$N43, 3)</f>
        <v/>
      </c>
      <c r="O43" s="43">
        <f>PERCENTRANK('Team Scores'!$O$3:$O$1000, 'Team Scores'!$O43, 3)</f>
        <v/>
      </c>
      <c r="P43" s="43">
        <f>PERCENTRANK('Team Scores'!$P$3:$P$1000, 'Team Scores'!$P43, 3)</f>
        <v/>
      </c>
      <c r="Q43" s="43">
        <f>PERCENTRANK('Team Scores'!$Q$3:$Q$1000, 'Team Scores'!$Q43, 3)</f>
        <v/>
      </c>
      <c r="R43" s="43">
        <f>PERCENTRANK('Team Scores'!$R$3:$R$1000, 'Team Scores'!$R43, 3)</f>
        <v/>
      </c>
      <c r="S43" s="43">
        <f>PERCENTRANK('Team Scores'!$S$3:$S$1000, 'Team Scores'!$S43, 3)</f>
        <v/>
      </c>
      <c r="T43" s="43">
        <f>PERCENTRANK('Team Scores'!$T$3:$T$1000, 'Team Scores'!$T43, 3)</f>
        <v/>
      </c>
      <c r="U43" s="43">
        <f>PERCENTRANK('Team Scores'!$U$3:$U$1000, 'Team Scores'!$U43, 3)</f>
        <v/>
      </c>
      <c r="V43" s="43">
        <f>PERCENTRANK('Team Scores'!$V$3:$V$1000, 'Team Scores'!$V43, 3)</f>
        <v/>
      </c>
      <c r="W43" s="43">
        <f>PERCENTRANK('Team Scores'!$W$3:$W$1000, 'Team Scores'!$W43, 3)</f>
        <v/>
      </c>
      <c r="X43" s="43">
        <f>PERCENTRANK('Team Scores'!$X$3:$X$1000, 'Team Scores'!$X43, 3)</f>
        <v/>
      </c>
      <c r="Y43" s="43">
        <f>PERCENTRANK('Team Scores'!$Y$3:$Y$1000, 'Team Scores'!$Y43, 3)</f>
        <v/>
      </c>
      <c r="Z43" s="43">
        <f>PERCENTRANK('Team Scores'!$Z$3:$Z$1000, 'Team Scores'!$Z43, 3)</f>
        <v/>
      </c>
      <c r="AA43" s="43">
        <f>AVERAGE(C43:G43)</f>
        <v/>
      </c>
      <c r="AB43" s="43">
        <f>AVERAGE(H43:O43)</f>
        <v/>
      </c>
      <c r="AC43" s="43">
        <f>AVERAGE(P43:T43)</f>
        <v/>
      </c>
      <c r="AD43" s="43">
        <f>AVERAGE(U43:X43)</f>
        <v/>
      </c>
      <c r="AE43" s="43">
        <f>AVERAGE(AA43:AD43)</f>
        <v/>
      </c>
    </row>
    <row r="44">
      <c r="A44" s="41" t="n">
        <v>6621</v>
      </c>
      <c r="B44" s="42">
        <f>COUNTIF(MatchScoutingData!E$2:E$1000, $A44)</f>
        <v/>
      </c>
      <c r="C44" s="43">
        <f>PERCENTRANK('Team Scores'!$C$3:$C$1000, 'Team Scores'!$C44, 3)</f>
        <v/>
      </c>
      <c r="D44" s="43">
        <f>PERCENTRANK('Team Scores'!$D$3:$D$1000, 'Team Scores'!$D44, 3)</f>
        <v/>
      </c>
      <c r="E44" s="43">
        <f>PERCENTRANK('Team Scores'!$E$3:$E$1000, 'Team Scores'!$E44, 3)</f>
        <v/>
      </c>
      <c r="F44" s="43">
        <f>PERCENTRANK('Team Scores'!$F$3:$F$1000, 'Team Scores'!$F44, 3)</f>
        <v/>
      </c>
      <c r="G44" s="43">
        <f>PERCENTRANK('Team Scores'!$G$3:$G$1000, 'Team Scores'!$G44, 3)</f>
        <v/>
      </c>
      <c r="H44" s="43">
        <f>PERCENTRANK('Team Scores'!$H$3:$H$1000, 'Team Scores'!$H44, 3)</f>
        <v/>
      </c>
      <c r="I44" s="43">
        <f>PERCENTRANK('Team Scores'!$I$3:$I$1000, 'Team Scores'!$I44, 3)</f>
        <v/>
      </c>
      <c r="J44" s="43">
        <f>PERCENTRANK('Team Scores'!$J$3:$J$1000, 'Team Scores'!$J44, 3)</f>
        <v/>
      </c>
      <c r="K44" s="43">
        <f>PERCENTRANK('Team Scores'!$K$3:$K$1000, 'Team Scores'!$K44, 3)</f>
        <v/>
      </c>
      <c r="L44" s="43">
        <f>PERCENTRANK('Team Scores'!$L$3:$L$1000, 'Team Scores'!$L44, 3)</f>
        <v/>
      </c>
      <c r="M44" s="43">
        <f>PERCENTRANK('Team Scores'!$M$3:$M$1000, 'Team Scores'!$M44, 3)</f>
        <v/>
      </c>
      <c r="N44" s="43">
        <f>PERCENTRANK('Team Scores'!$N$3:$N$1000, 'Team Scores'!$N44, 3)</f>
        <v/>
      </c>
      <c r="O44" s="43">
        <f>PERCENTRANK('Team Scores'!$O$3:$O$1000, 'Team Scores'!$O44, 3)</f>
        <v/>
      </c>
      <c r="P44" s="43">
        <f>PERCENTRANK('Team Scores'!$P$3:$P$1000, 'Team Scores'!$P44, 3)</f>
        <v/>
      </c>
      <c r="Q44" s="43">
        <f>PERCENTRANK('Team Scores'!$Q$3:$Q$1000, 'Team Scores'!$Q44, 3)</f>
        <v/>
      </c>
      <c r="R44" s="43">
        <f>PERCENTRANK('Team Scores'!$R$3:$R$1000, 'Team Scores'!$R44, 3)</f>
        <v/>
      </c>
      <c r="S44" s="43">
        <f>PERCENTRANK('Team Scores'!$S$3:$S$1000, 'Team Scores'!$S44, 3)</f>
        <v/>
      </c>
      <c r="T44" s="43">
        <f>PERCENTRANK('Team Scores'!$T$3:$T$1000, 'Team Scores'!$T44, 3)</f>
        <v/>
      </c>
      <c r="U44" s="43">
        <f>PERCENTRANK('Team Scores'!$U$3:$U$1000, 'Team Scores'!$U44, 3)</f>
        <v/>
      </c>
      <c r="V44" s="43">
        <f>PERCENTRANK('Team Scores'!$V$3:$V$1000, 'Team Scores'!$V44, 3)</f>
        <v/>
      </c>
      <c r="W44" s="43">
        <f>PERCENTRANK('Team Scores'!$W$3:$W$1000, 'Team Scores'!$W44, 3)</f>
        <v/>
      </c>
      <c r="X44" s="43">
        <f>PERCENTRANK('Team Scores'!$X$3:$X$1000, 'Team Scores'!$X44, 3)</f>
        <v/>
      </c>
      <c r="Y44" s="43">
        <f>PERCENTRANK('Team Scores'!$Y$3:$Y$1000, 'Team Scores'!$Y44, 3)</f>
        <v/>
      </c>
      <c r="Z44" s="43">
        <f>PERCENTRANK('Team Scores'!$Z$3:$Z$1000, 'Team Scores'!$Z44, 3)</f>
        <v/>
      </c>
      <c r="AA44" s="43">
        <f>AVERAGE(C44:G44)</f>
        <v/>
      </c>
      <c r="AB44" s="43">
        <f>AVERAGE(H44:O44)</f>
        <v/>
      </c>
      <c r="AC44" s="43">
        <f>AVERAGE(P44:T44)</f>
        <v/>
      </c>
      <c r="AD44" s="43">
        <f>AVERAGE(U44:X44)</f>
        <v/>
      </c>
      <c r="AE44" s="43">
        <f>AVERAGE(AA44:AD44)</f>
        <v/>
      </c>
    </row>
    <row r="45">
      <c r="A45" s="41" t="n">
        <v>6648</v>
      </c>
      <c r="B45" s="42">
        <f>COUNTIF(MatchScoutingData!E$2:E$1000, $A45)</f>
        <v/>
      </c>
      <c r="C45" s="43">
        <f>PERCENTRANK('Team Scores'!$C$3:$C$1000, 'Team Scores'!$C45, 3)</f>
        <v/>
      </c>
      <c r="D45" s="43">
        <f>PERCENTRANK('Team Scores'!$D$3:$D$1000, 'Team Scores'!$D45, 3)</f>
        <v/>
      </c>
      <c r="E45" s="43">
        <f>PERCENTRANK('Team Scores'!$E$3:$E$1000, 'Team Scores'!$E45, 3)</f>
        <v/>
      </c>
      <c r="F45" s="43">
        <f>PERCENTRANK('Team Scores'!$F$3:$F$1000, 'Team Scores'!$F45, 3)</f>
        <v/>
      </c>
      <c r="G45" s="43">
        <f>PERCENTRANK('Team Scores'!$G$3:$G$1000, 'Team Scores'!$G45, 3)</f>
        <v/>
      </c>
      <c r="H45" s="43">
        <f>PERCENTRANK('Team Scores'!$H$3:$H$1000, 'Team Scores'!$H45, 3)</f>
        <v/>
      </c>
      <c r="I45" s="43">
        <f>PERCENTRANK('Team Scores'!$I$3:$I$1000, 'Team Scores'!$I45, 3)</f>
        <v/>
      </c>
      <c r="J45" s="43">
        <f>PERCENTRANK('Team Scores'!$J$3:$J$1000, 'Team Scores'!$J45, 3)</f>
        <v/>
      </c>
      <c r="K45" s="43">
        <f>PERCENTRANK('Team Scores'!$K$3:$K$1000, 'Team Scores'!$K45, 3)</f>
        <v/>
      </c>
      <c r="L45" s="43">
        <f>PERCENTRANK('Team Scores'!$L$3:$L$1000, 'Team Scores'!$L45, 3)</f>
        <v/>
      </c>
      <c r="M45" s="43">
        <f>PERCENTRANK('Team Scores'!$M$3:$M$1000, 'Team Scores'!$M45, 3)</f>
        <v/>
      </c>
      <c r="N45" s="43">
        <f>PERCENTRANK('Team Scores'!$N$3:$N$1000, 'Team Scores'!$N45, 3)</f>
        <v/>
      </c>
      <c r="O45" s="43">
        <f>PERCENTRANK('Team Scores'!$O$3:$O$1000, 'Team Scores'!$O45, 3)</f>
        <v/>
      </c>
      <c r="P45" s="43">
        <f>PERCENTRANK('Team Scores'!$P$3:$P$1000, 'Team Scores'!$P45, 3)</f>
        <v/>
      </c>
      <c r="Q45" s="43">
        <f>PERCENTRANK('Team Scores'!$Q$3:$Q$1000, 'Team Scores'!$Q45, 3)</f>
        <v/>
      </c>
      <c r="R45" s="43">
        <f>PERCENTRANK('Team Scores'!$R$3:$R$1000, 'Team Scores'!$R45, 3)</f>
        <v/>
      </c>
      <c r="S45" s="43">
        <f>PERCENTRANK('Team Scores'!$S$3:$S$1000, 'Team Scores'!$S45, 3)</f>
        <v/>
      </c>
      <c r="T45" s="43">
        <f>PERCENTRANK('Team Scores'!$T$3:$T$1000, 'Team Scores'!$T45, 3)</f>
        <v/>
      </c>
      <c r="U45" s="43">
        <f>PERCENTRANK('Team Scores'!$U$3:$U$1000, 'Team Scores'!$U45, 3)</f>
        <v/>
      </c>
      <c r="V45" s="43">
        <f>PERCENTRANK('Team Scores'!$V$3:$V$1000, 'Team Scores'!$V45, 3)</f>
        <v/>
      </c>
      <c r="W45" s="43">
        <f>PERCENTRANK('Team Scores'!$W$3:$W$1000, 'Team Scores'!$W45, 3)</f>
        <v/>
      </c>
      <c r="X45" s="43">
        <f>PERCENTRANK('Team Scores'!$X$3:$X$1000, 'Team Scores'!$X45, 3)</f>
        <v/>
      </c>
      <c r="Y45" s="43">
        <f>PERCENTRANK('Team Scores'!$Y$3:$Y$1000, 'Team Scores'!$Y45, 3)</f>
        <v/>
      </c>
      <c r="Z45" s="43">
        <f>PERCENTRANK('Team Scores'!$Z$3:$Z$1000, 'Team Scores'!$Z45, 3)</f>
        <v/>
      </c>
      <c r="AA45" s="43">
        <f>AVERAGE(C45:G45)</f>
        <v/>
      </c>
      <c r="AB45" s="43">
        <f>AVERAGE(H45:O45)</f>
        <v/>
      </c>
      <c r="AC45" s="43">
        <f>AVERAGE(P45:T45)</f>
        <v/>
      </c>
      <c r="AD45" s="43">
        <f>AVERAGE(U45:X45)</f>
        <v/>
      </c>
      <c r="AE45" s="43">
        <f>AVERAGE(AA45:AD45)</f>
        <v/>
      </c>
    </row>
    <row r="46">
      <c r="A46" s="41" t="n">
        <v>6806</v>
      </c>
      <c r="B46" s="42">
        <f>COUNTIF(MatchScoutingData!E$2:E$1000, $A46)</f>
        <v/>
      </c>
      <c r="C46" s="43">
        <f>PERCENTRANK('Team Scores'!$C$3:$C$1000, 'Team Scores'!$C46, 3)</f>
        <v/>
      </c>
      <c r="D46" s="43">
        <f>PERCENTRANK('Team Scores'!$D$3:$D$1000, 'Team Scores'!$D46, 3)</f>
        <v/>
      </c>
      <c r="E46" s="43">
        <f>PERCENTRANK('Team Scores'!$E$3:$E$1000, 'Team Scores'!$E46, 3)</f>
        <v/>
      </c>
      <c r="F46" s="43">
        <f>PERCENTRANK('Team Scores'!$F$3:$F$1000, 'Team Scores'!$F46, 3)</f>
        <v/>
      </c>
      <c r="G46" s="43">
        <f>PERCENTRANK('Team Scores'!$G$3:$G$1000, 'Team Scores'!$G46, 3)</f>
        <v/>
      </c>
      <c r="H46" s="43">
        <f>PERCENTRANK('Team Scores'!$H$3:$H$1000, 'Team Scores'!$H46, 3)</f>
        <v/>
      </c>
      <c r="I46" s="43">
        <f>PERCENTRANK('Team Scores'!$I$3:$I$1000, 'Team Scores'!$I46, 3)</f>
        <v/>
      </c>
      <c r="J46" s="43">
        <f>PERCENTRANK('Team Scores'!$J$3:$J$1000, 'Team Scores'!$J46, 3)</f>
        <v/>
      </c>
      <c r="K46" s="43">
        <f>PERCENTRANK('Team Scores'!$K$3:$K$1000, 'Team Scores'!$K46, 3)</f>
        <v/>
      </c>
      <c r="L46" s="43">
        <f>PERCENTRANK('Team Scores'!$L$3:$L$1000, 'Team Scores'!$L46, 3)</f>
        <v/>
      </c>
      <c r="M46" s="43">
        <f>PERCENTRANK('Team Scores'!$M$3:$M$1000, 'Team Scores'!$M46, 3)</f>
        <v/>
      </c>
      <c r="N46" s="43">
        <f>PERCENTRANK('Team Scores'!$N$3:$N$1000, 'Team Scores'!$N46, 3)</f>
        <v/>
      </c>
      <c r="O46" s="43">
        <f>PERCENTRANK('Team Scores'!$O$3:$O$1000, 'Team Scores'!$O46, 3)</f>
        <v/>
      </c>
      <c r="P46" s="43">
        <f>PERCENTRANK('Team Scores'!$P$3:$P$1000, 'Team Scores'!$P46, 3)</f>
        <v/>
      </c>
      <c r="Q46" s="43">
        <f>PERCENTRANK('Team Scores'!$Q$3:$Q$1000, 'Team Scores'!$Q46, 3)</f>
        <v/>
      </c>
      <c r="R46" s="43">
        <f>PERCENTRANK('Team Scores'!$R$3:$R$1000, 'Team Scores'!$R46, 3)</f>
        <v/>
      </c>
      <c r="S46" s="43">
        <f>PERCENTRANK('Team Scores'!$S$3:$S$1000, 'Team Scores'!$S46, 3)</f>
        <v/>
      </c>
      <c r="T46" s="43">
        <f>PERCENTRANK('Team Scores'!$T$3:$T$1000, 'Team Scores'!$T46, 3)</f>
        <v/>
      </c>
      <c r="U46" s="43">
        <f>PERCENTRANK('Team Scores'!$U$3:$U$1000, 'Team Scores'!$U46, 3)</f>
        <v/>
      </c>
      <c r="V46" s="43">
        <f>PERCENTRANK('Team Scores'!$V$3:$V$1000, 'Team Scores'!$V46, 3)</f>
        <v/>
      </c>
      <c r="W46" s="43">
        <f>PERCENTRANK('Team Scores'!$W$3:$W$1000, 'Team Scores'!$W46, 3)</f>
        <v/>
      </c>
      <c r="X46" s="43">
        <f>PERCENTRANK('Team Scores'!$X$3:$X$1000, 'Team Scores'!$X46, 3)</f>
        <v/>
      </c>
      <c r="Y46" s="43">
        <f>PERCENTRANK('Team Scores'!$Y$3:$Y$1000, 'Team Scores'!$Y46, 3)</f>
        <v/>
      </c>
      <c r="Z46" s="43">
        <f>PERCENTRANK('Team Scores'!$Z$3:$Z$1000, 'Team Scores'!$Z46, 3)</f>
        <v/>
      </c>
      <c r="AA46" s="43">
        <f>AVERAGE(C46:G46)</f>
        <v/>
      </c>
      <c r="AB46" s="43">
        <f>AVERAGE(H46:O46)</f>
        <v/>
      </c>
      <c r="AC46" s="43">
        <f>AVERAGE(P46:T46)</f>
        <v/>
      </c>
      <c r="AD46" s="43">
        <f>AVERAGE(U46:X46)</f>
        <v/>
      </c>
      <c r="AE46" s="43">
        <f>AVERAGE(AA46:AD46)</f>
        <v/>
      </c>
    </row>
    <row r="47">
      <c r="A47" s="41" t="n">
        <v>7031</v>
      </c>
      <c r="B47" s="42">
        <f>COUNTIF(MatchScoutingData!E$2:E$1000, $A47)</f>
        <v/>
      </c>
      <c r="C47" s="43">
        <f>PERCENTRANK('Team Scores'!$C$3:$C$1000, 'Team Scores'!$C47, 3)</f>
        <v/>
      </c>
      <c r="D47" s="43">
        <f>PERCENTRANK('Team Scores'!$D$3:$D$1000, 'Team Scores'!$D47, 3)</f>
        <v/>
      </c>
      <c r="E47" s="43">
        <f>PERCENTRANK('Team Scores'!$E$3:$E$1000, 'Team Scores'!$E47, 3)</f>
        <v/>
      </c>
      <c r="F47" s="43">
        <f>PERCENTRANK('Team Scores'!$F$3:$F$1000, 'Team Scores'!$F47, 3)</f>
        <v/>
      </c>
      <c r="G47" s="43">
        <f>PERCENTRANK('Team Scores'!$G$3:$G$1000, 'Team Scores'!$G47, 3)</f>
        <v/>
      </c>
      <c r="H47" s="43">
        <f>PERCENTRANK('Team Scores'!$H$3:$H$1000, 'Team Scores'!$H47, 3)</f>
        <v/>
      </c>
      <c r="I47" s="43">
        <f>PERCENTRANK('Team Scores'!$I$3:$I$1000, 'Team Scores'!$I47, 3)</f>
        <v/>
      </c>
      <c r="J47" s="43">
        <f>PERCENTRANK('Team Scores'!$J$3:$J$1000, 'Team Scores'!$J47, 3)</f>
        <v/>
      </c>
      <c r="K47" s="43">
        <f>PERCENTRANK('Team Scores'!$K$3:$K$1000, 'Team Scores'!$K47, 3)</f>
        <v/>
      </c>
      <c r="L47" s="43">
        <f>PERCENTRANK('Team Scores'!$L$3:$L$1000, 'Team Scores'!$L47, 3)</f>
        <v/>
      </c>
      <c r="M47" s="43">
        <f>PERCENTRANK('Team Scores'!$M$3:$M$1000, 'Team Scores'!$M47, 3)</f>
        <v/>
      </c>
      <c r="N47" s="43">
        <f>PERCENTRANK('Team Scores'!$N$3:$N$1000, 'Team Scores'!$N47, 3)</f>
        <v/>
      </c>
      <c r="O47" s="43">
        <f>PERCENTRANK('Team Scores'!$O$3:$O$1000, 'Team Scores'!$O47, 3)</f>
        <v/>
      </c>
      <c r="P47" s="43">
        <f>PERCENTRANK('Team Scores'!$P$3:$P$1000, 'Team Scores'!$P47, 3)</f>
        <v/>
      </c>
      <c r="Q47" s="43">
        <f>PERCENTRANK('Team Scores'!$Q$3:$Q$1000, 'Team Scores'!$Q47, 3)</f>
        <v/>
      </c>
      <c r="R47" s="43">
        <f>PERCENTRANK('Team Scores'!$R$3:$R$1000, 'Team Scores'!$R47, 3)</f>
        <v/>
      </c>
      <c r="S47" s="43">
        <f>PERCENTRANK('Team Scores'!$S$3:$S$1000, 'Team Scores'!$S47, 3)</f>
        <v/>
      </c>
      <c r="T47" s="43">
        <f>PERCENTRANK('Team Scores'!$T$3:$T$1000, 'Team Scores'!$T47, 3)</f>
        <v/>
      </c>
      <c r="U47" s="43">
        <f>PERCENTRANK('Team Scores'!$U$3:$U$1000, 'Team Scores'!$U47, 3)</f>
        <v/>
      </c>
      <c r="V47" s="43">
        <f>PERCENTRANK('Team Scores'!$V$3:$V$1000, 'Team Scores'!$V47, 3)</f>
        <v/>
      </c>
      <c r="W47" s="43">
        <f>PERCENTRANK('Team Scores'!$W$3:$W$1000, 'Team Scores'!$W47, 3)</f>
        <v/>
      </c>
      <c r="X47" s="43">
        <f>PERCENTRANK('Team Scores'!$X$3:$X$1000, 'Team Scores'!$X47, 3)</f>
        <v/>
      </c>
      <c r="Y47" s="43">
        <f>PERCENTRANK('Team Scores'!$Y$3:$Y$1000, 'Team Scores'!$Y47, 3)</f>
        <v/>
      </c>
      <c r="Z47" s="43">
        <f>PERCENTRANK('Team Scores'!$Z$3:$Z$1000, 'Team Scores'!$Z47, 3)</f>
        <v/>
      </c>
      <c r="AA47" s="43">
        <f>AVERAGE(C47:G47)</f>
        <v/>
      </c>
      <c r="AB47" s="43">
        <f>AVERAGE(H47:O47)</f>
        <v/>
      </c>
      <c r="AC47" s="43">
        <f>AVERAGE(P47:T47)</f>
        <v/>
      </c>
      <c r="AD47" s="43">
        <f>AVERAGE(U47:X47)</f>
        <v/>
      </c>
      <c r="AE47" s="43">
        <f>AVERAGE(AA47:AD47)</f>
        <v/>
      </c>
    </row>
    <row r="48">
      <c r="A48" s="41" t="n">
        <v>7504</v>
      </c>
      <c r="B48" s="42">
        <f>COUNTIF(MatchScoutingData!E$2:E$1000, $A48)</f>
        <v/>
      </c>
      <c r="C48" s="43">
        <f>PERCENTRANK('Team Scores'!$C$3:$C$1000, 'Team Scores'!$C48, 3)</f>
        <v/>
      </c>
      <c r="D48" s="43">
        <f>PERCENTRANK('Team Scores'!$D$3:$D$1000, 'Team Scores'!$D48, 3)</f>
        <v/>
      </c>
      <c r="E48" s="43">
        <f>PERCENTRANK('Team Scores'!$E$3:$E$1000, 'Team Scores'!$E48, 3)</f>
        <v/>
      </c>
      <c r="F48" s="43">
        <f>PERCENTRANK('Team Scores'!$F$3:$F$1000, 'Team Scores'!$F48, 3)</f>
        <v/>
      </c>
      <c r="G48" s="43">
        <f>PERCENTRANK('Team Scores'!$G$3:$G$1000, 'Team Scores'!$G48, 3)</f>
        <v/>
      </c>
      <c r="H48" s="43">
        <f>PERCENTRANK('Team Scores'!$H$3:$H$1000, 'Team Scores'!$H48, 3)</f>
        <v/>
      </c>
      <c r="I48" s="43">
        <f>PERCENTRANK('Team Scores'!$I$3:$I$1000, 'Team Scores'!$I48, 3)</f>
        <v/>
      </c>
      <c r="J48" s="43">
        <f>PERCENTRANK('Team Scores'!$J$3:$J$1000, 'Team Scores'!$J48, 3)</f>
        <v/>
      </c>
      <c r="K48" s="43">
        <f>PERCENTRANK('Team Scores'!$K$3:$K$1000, 'Team Scores'!$K48, 3)</f>
        <v/>
      </c>
      <c r="L48" s="43">
        <f>PERCENTRANK('Team Scores'!$L$3:$L$1000, 'Team Scores'!$L48, 3)</f>
        <v/>
      </c>
      <c r="M48" s="43">
        <f>PERCENTRANK('Team Scores'!$M$3:$M$1000, 'Team Scores'!$M48, 3)</f>
        <v/>
      </c>
      <c r="N48" s="43">
        <f>PERCENTRANK('Team Scores'!$N$3:$N$1000, 'Team Scores'!$N48, 3)</f>
        <v/>
      </c>
      <c r="O48" s="43">
        <f>PERCENTRANK('Team Scores'!$O$3:$O$1000, 'Team Scores'!$O48, 3)</f>
        <v/>
      </c>
      <c r="P48" s="43">
        <f>PERCENTRANK('Team Scores'!$P$3:$P$1000, 'Team Scores'!$P48, 3)</f>
        <v/>
      </c>
      <c r="Q48" s="43">
        <f>PERCENTRANK('Team Scores'!$Q$3:$Q$1000, 'Team Scores'!$Q48, 3)</f>
        <v/>
      </c>
      <c r="R48" s="43">
        <f>PERCENTRANK('Team Scores'!$R$3:$R$1000, 'Team Scores'!$R48, 3)</f>
        <v/>
      </c>
      <c r="S48" s="43">
        <f>PERCENTRANK('Team Scores'!$S$3:$S$1000, 'Team Scores'!$S48, 3)</f>
        <v/>
      </c>
      <c r="T48" s="43">
        <f>PERCENTRANK('Team Scores'!$T$3:$T$1000, 'Team Scores'!$T48, 3)</f>
        <v/>
      </c>
      <c r="U48" s="43">
        <f>PERCENTRANK('Team Scores'!$U$3:$U$1000, 'Team Scores'!$U48, 3)</f>
        <v/>
      </c>
      <c r="V48" s="43">
        <f>PERCENTRANK('Team Scores'!$V$3:$V$1000, 'Team Scores'!$V48, 3)</f>
        <v/>
      </c>
      <c r="W48" s="43">
        <f>PERCENTRANK('Team Scores'!$W$3:$W$1000, 'Team Scores'!$W48, 3)</f>
        <v/>
      </c>
      <c r="X48" s="43">
        <f>PERCENTRANK('Team Scores'!$X$3:$X$1000, 'Team Scores'!$X48, 3)</f>
        <v/>
      </c>
      <c r="Y48" s="43">
        <f>PERCENTRANK('Team Scores'!$Y$3:$Y$1000, 'Team Scores'!$Y48, 3)</f>
        <v/>
      </c>
      <c r="Z48" s="43">
        <f>PERCENTRANK('Team Scores'!$Z$3:$Z$1000, 'Team Scores'!$Z48, 3)</f>
        <v/>
      </c>
      <c r="AA48" s="43">
        <f>AVERAGE(C48:G48)</f>
        <v/>
      </c>
      <c r="AB48" s="43">
        <f>AVERAGE(H48:O48)</f>
        <v/>
      </c>
      <c r="AC48" s="43">
        <f>AVERAGE(P48:T48)</f>
        <v/>
      </c>
      <c r="AD48" s="43">
        <f>AVERAGE(U48:X48)</f>
        <v/>
      </c>
      <c r="AE48" s="43">
        <f>AVERAGE(AA48:AD48)</f>
        <v/>
      </c>
    </row>
    <row r="49">
      <c r="A49" s="41" t="n">
        <v>7605</v>
      </c>
      <c r="B49" s="42">
        <f>COUNTIF(MatchScoutingData!E$2:E$1000, $A49)</f>
        <v/>
      </c>
      <c r="C49" s="43">
        <f>PERCENTRANK('Team Scores'!$C$3:$C$1000, 'Team Scores'!$C49, 3)</f>
        <v/>
      </c>
      <c r="D49" s="43">
        <f>PERCENTRANK('Team Scores'!$D$3:$D$1000, 'Team Scores'!$D49, 3)</f>
        <v/>
      </c>
      <c r="E49" s="43">
        <f>PERCENTRANK('Team Scores'!$E$3:$E$1000, 'Team Scores'!$E49, 3)</f>
        <v/>
      </c>
      <c r="F49" s="43">
        <f>PERCENTRANK('Team Scores'!$F$3:$F$1000, 'Team Scores'!$F49, 3)</f>
        <v/>
      </c>
      <c r="G49" s="43">
        <f>PERCENTRANK('Team Scores'!$G$3:$G$1000, 'Team Scores'!$G49, 3)</f>
        <v/>
      </c>
      <c r="H49" s="43">
        <f>PERCENTRANK('Team Scores'!$H$3:$H$1000, 'Team Scores'!$H49, 3)</f>
        <v/>
      </c>
      <c r="I49" s="43">
        <f>PERCENTRANK('Team Scores'!$I$3:$I$1000, 'Team Scores'!$I49, 3)</f>
        <v/>
      </c>
      <c r="J49" s="43">
        <f>PERCENTRANK('Team Scores'!$J$3:$J$1000, 'Team Scores'!$J49, 3)</f>
        <v/>
      </c>
      <c r="K49" s="43">
        <f>PERCENTRANK('Team Scores'!$K$3:$K$1000, 'Team Scores'!$K49, 3)</f>
        <v/>
      </c>
      <c r="L49" s="43">
        <f>PERCENTRANK('Team Scores'!$L$3:$L$1000, 'Team Scores'!$L49, 3)</f>
        <v/>
      </c>
      <c r="M49" s="43">
        <f>PERCENTRANK('Team Scores'!$M$3:$M$1000, 'Team Scores'!$M49, 3)</f>
        <v/>
      </c>
      <c r="N49" s="43">
        <f>PERCENTRANK('Team Scores'!$N$3:$N$1000, 'Team Scores'!$N49, 3)</f>
        <v/>
      </c>
      <c r="O49" s="43">
        <f>PERCENTRANK('Team Scores'!$O$3:$O$1000, 'Team Scores'!$O49, 3)</f>
        <v/>
      </c>
      <c r="P49" s="43">
        <f>PERCENTRANK('Team Scores'!$P$3:$P$1000, 'Team Scores'!$P49, 3)</f>
        <v/>
      </c>
      <c r="Q49" s="43">
        <f>PERCENTRANK('Team Scores'!$Q$3:$Q$1000, 'Team Scores'!$Q49, 3)</f>
        <v/>
      </c>
      <c r="R49" s="43">
        <f>PERCENTRANK('Team Scores'!$R$3:$R$1000, 'Team Scores'!$R49, 3)</f>
        <v/>
      </c>
      <c r="S49" s="43">
        <f>PERCENTRANK('Team Scores'!$S$3:$S$1000, 'Team Scores'!$S49, 3)</f>
        <v/>
      </c>
      <c r="T49" s="43">
        <f>PERCENTRANK('Team Scores'!$T$3:$T$1000, 'Team Scores'!$T49, 3)</f>
        <v/>
      </c>
      <c r="U49" s="43">
        <f>PERCENTRANK('Team Scores'!$U$3:$U$1000, 'Team Scores'!$U49, 3)</f>
        <v/>
      </c>
      <c r="V49" s="43">
        <f>PERCENTRANK('Team Scores'!$V$3:$V$1000, 'Team Scores'!$V49, 3)</f>
        <v/>
      </c>
      <c r="W49" s="43">
        <f>PERCENTRANK('Team Scores'!$W$3:$W$1000, 'Team Scores'!$W49, 3)</f>
        <v/>
      </c>
      <c r="X49" s="43">
        <f>PERCENTRANK('Team Scores'!$X$3:$X$1000, 'Team Scores'!$X49, 3)</f>
        <v/>
      </c>
      <c r="Y49" s="43">
        <f>PERCENTRANK('Team Scores'!$Y$3:$Y$1000, 'Team Scores'!$Y49, 3)</f>
        <v/>
      </c>
      <c r="Z49" s="43">
        <f>PERCENTRANK('Team Scores'!$Z$3:$Z$1000, 'Team Scores'!$Z49, 3)</f>
        <v/>
      </c>
      <c r="AA49" s="43">
        <f>AVERAGE(C49:G49)</f>
        <v/>
      </c>
      <c r="AB49" s="43">
        <f>AVERAGE(H49:O49)</f>
        <v/>
      </c>
      <c r="AC49" s="43">
        <f>AVERAGE(P49:T49)</f>
        <v/>
      </c>
      <c r="AD49" s="43">
        <f>AVERAGE(U49:X49)</f>
        <v/>
      </c>
      <c r="AE49" s="43">
        <f>AVERAGE(AA49:AD49)</f>
        <v/>
      </c>
    </row>
    <row r="50">
      <c r="A50" s="41" t="n">
        <v>7718</v>
      </c>
      <c r="B50" s="42">
        <f>COUNTIF(MatchScoutingData!E$2:E$1000, $A50)</f>
        <v/>
      </c>
      <c r="C50" s="43">
        <f>PERCENTRANK('Team Scores'!$C$3:$C$1000, 'Team Scores'!$C50, 3)</f>
        <v/>
      </c>
      <c r="D50" s="43">
        <f>PERCENTRANK('Team Scores'!$D$3:$D$1000, 'Team Scores'!$D50, 3)</f>
        <v/>
      </c>
      <c r="E50" s="43">
        <f>PERCENTRANK('Team Scores'!$E$3:$E$1000, 'Team Scores'!$E50, 3)</f>
        <v/>
      </c>
      <c r="F50" s="43">
        <f>PERCENTRANK('Team Scores'!$F$3:$F$1000, 'Team Scores'!$F50, 3)</f>
        <v/>
      </c>
      <c r="G50" s="43">
        <f>PERCENTRANK('Team Scores'!$G$3:$G$1000, 'Team Scores'!$G50, 3)</f>
        <v/>
      </c>
      <c r="H50" s="43">
        <f>PERCENTRANK('Team Scores'!$H$3:$H$1000, 'Team Scores'!$H50, 3)</f>
        <v/>
      </c>
      <c r="I50" s="43">
        <f>PERCENTRANK('Team Scores'!$I$3:$I$1000, 'Team Scores'!$I50, 3)</f>
        <v/>
      </c>
      <c r="J50" s="43">
        <f>PERCENTRANK('Team Scores'!$J$3:$J$1000, 'Team Scores'!$J50, 3)</f>
        <v/>
      </c>
      <c r="K50" s="43">
        <f>PERCENTRANK('Team Scores'!$K$3:$K$1000, 'Team Scores'!$K50, 3)</f>
        <v/>
      </c>
      <c r="L50" s="43">
        <f>PERCENTRANK('Team Scores'!$L$3:$L$1000, 'Team Scores'!$L50, 3)</f>
        <v/>
      </c>
      <c r="M50" s="43">
        <f>PERCENTRANK('Team Scores'!$M$3:$M$1000, 'Team Scores'!$M50, 3)</f>
        <v/>
      </c>
      <c r="N50" s="43">
        <f>PERCENTRANK('Team Scores'!$N$3:$N$1000, 'Team Scores'!$N50, 3)</f>
        <v/>
      </c>
      <c r="O50" s="43">
        <f>PERCENTRANK('Team Scores'!$O$3:$O$1000, 'Team Scores'!$O50, 3)</f>
        <v/>
      </c>
      <c r="P50" s="43">
        <f>PERCENTRANK('Team Scores'!$P$3:$P$1000, 'Team Scores'!$P50, 3)</f>
        <v/>
      </c>
      <c r="Q50" s="43">
        <f>PERCENTRANK('Team Scores'!$Q$3:$Q$1000, 'Team Scores'!$Q50, 3)</f>
        <v/>
      </c>
      <c r="R50" s="43">
        <f>PERCENTRANK('Team Scores'!$R$3:$R$1000, 'Team Scores'!$R50, 3)</f>
        <v/>
      </c>
      <c r="S50" s="43">
        <f>PERCENTRANK('Team Scores'!$S$3:$S$1000, 'Team Scores'!$S50, 3)</f>
        <v/>
      </c>
      <c r="T50" s="43">
        <f>PERCENTRANK('Team Scores'!$T$3:$T$1000, 'Team Scores'!$T50, 3)</f>
        <v/>
      </c>
      <c r="U50" s="43">
        <f>PERCENTRANK('Team Scores'!$U$3:$U$1000, 'Team Scores'!$U50, 3)</f>
        <v/>
      </c>
      <c r="V50" s="43">
        <f>PERCENTRANK('Team Scores'!$V$3:$V$1000, 'Team Scores'!$V50, 3)</f>
        <v/>
      </c>
      <c r="W50" s="43">
        <f>PERCENTRANK('Team Scores'!$W$3:$W$1000, 'Team Scores'!$W50, 3)</f>
        <v/>
      </c>
      <c r="X50" s="43">
        <f>PERCENTRANK('Team Scores'!$X$3:$X$1000, 'Team Scores'!$X50, 3)</f>
        <v/>
      </c>
      <c r="Y50" s="43">
        <f>PERCENTRANK('Team Scores'!$Y$3:$Y$1000, 'Team Scores'!$Y50, 3)</f>
        <v/>
      </c>
      <c r="Z50" s="43">
        <f>PERCENTRANK('Team Scores'!$Z$3:$Z$1000, 'Team Scores'!$Z50, 3)</f>
        <v/>
      </c>
      <c r="AA50" s="43">
        <f>AVERAGE(C50:G50)</f>
        <v/>
      </c>
      <c r="AB50" s="43">
        <f>AVERAGE(H50:O50)</f>
        <v/>
      </c>
      <c r="AC50" s="43">
        <f>AVERAGE(P50:T50)</f>
        <v/>
      </c>
      <c r="AD50" s="43">
        <f>AVERAGE(U50:X50)</f>
        <v/>
      </c>
      <c r="AE50" s="43">
        <f>AVERAGE(AA50:AD50)</f>
        <v/>
      </c>
    </row>
    <row r="51">
      <c r="A51" s="41" t="n">
        <v>7759</v>
      </c>
      <c r="B51" s="42">
        <f>COUNTIF(MatchScoutingData!E$2:E$1000, $A51)</f>
        <v/>
      </c>
      <c r="C51" s="43">
        <f>PERCENTRANK('Team Scores'!$C$3:$C$1000, 'Team Scores'!$C51, 3)</f>
        <v/>
      </c>
      <c r="D51" s="43">
        <f>PERCENTRANK('Team Scores'!$D$3:$D$1000, 'Team Scores'!$D51, 3)</f>
        <v/>
      </c>
      <c r="E51" s="43">
        <f>PERCENTRANK('Team Scores'!$E$3:$E$1000, 'Team Scores'!$E51, 3)</f>
        <v/>
      </c>
      <c r="F51" s="43">
        <f>PERCENTRANK('Team Scores'!$F$3:$F$1000, 'Team Scores'!$F51, 3)</f>
        <v/>
      </c>
      <c r="G51" s="43">
        <f>PERCENTRANK('Team Scores'!$G$3:$G$1000, 'Team Scores'!$G51, 3)</f>
        <v/>
      </c>
      <c r="H51" s="43">
        <f>PERCENTRANK('Team Scores'!$H$3:$H$1000, 'Team Scores'!$H51, 3)</f>
        <v/>
      </c>
      <c r="I51" s="43">
        <f>PERCENTRANK('Team Scores'!$I$3:$I$1000, 'Team Scores'!$I51, 3)</f>
        <v/>
      </c>
      <c r="J51" s="43">
        <f>PERCENTRANK('Team Scores'!$J$3:$J$1000, 'Team Scores'!$J51, 3)</f>
        <v/>
      </c>
      <c r="K51" s="43">
        <f>PERCENTRANK('Team Scores'!$K$3:$K$1000, 'Team Scores'!$K51, 3)</f>
        <v/>
      </c>
      <c r="L51" s="43">
        <f>PERCENTRANK('Team Scores'!$L$3:$L$1000, 'Team Scores'!$L51, 3)</f>
        <v/>
      </c>
      <c r="M51" s="43">
        <f>PERCENTRANK('Team Scores'!$M$3:$M$1000, 'Team Scores'!$M51, 3)</f>
        <v/>
      </c>
      <c r="N51" s="43">
        <f>PERCENTRANK('Team Scores'!$N$3:$N$1000, 'Team Scores'!$N51, 3)</f>
        <v/>
      </c>
      <c r="O51" s="43">
        <f>PERCENTRANK('Team Scores'!$O$3:$O$1000, 'Team Scores'!$O51, 3)</f>
        <v/>
      </c>
      <c r="P51" s="43">
        <f>PERCENTRANK('Team Scores'!$P$3:$P$1000, 'Team Scores'!$P51, 3)</f>
        <v/>
      </c>
      <c r="Q51" s="43">
        <f>PERCENTRANK('Team Scores'!$Q$3:$Q$1000, 'Team Scores'!$Q51, 3)</f>
        <v/>
      </c>
      <c r="R51" s="43">
        <f>PERCENTRANK('Team Scores'!$R$3:$R$1000, 'Team Scores'!$R51, 3)</f>
        <v/>
      </c>
      <c r="S51" s="43">
        <f>PERCENTRANK('Team Scores'!$S$3:$S$1000, 'Team Scores'!$S51, 3)</f>
        <v/>
      </c>
      <c r="T51" s="43">
        <f>PERCENTRANK('Team Scores'!$T$3:$T$1000, 'Team Scores'!$T51, 3)</f>
        <v/>
      </c>
      <c r="U51" s="43">
        <f>PERCENTRANK('Team Scores'!$U$3:$U$1000, 'Team Scores'!$U51, 3)</f>
        <v/>
      </c>
      <c r="V51" s="43">
        <f>PERCENTRANK('Team Scores'!$V$3:$V$1000, 'Team Scores'!$V51, 3)</f>
        <v/>
      </c>
      <c r="W51" s="43">
        <f>PERCENTRANK('Team Scores'!$W$3:$W$1000, 'Team Scores'!$W51, 3)</f>
        <v/>
      </c>
      <c r="X51" s="43">
        <f>PERCENTRANK('Team Scores'!$X$3:$X$1000, 'Team Scores'!$X51, 3)</f>
        <v/>
      </c>
      <c r="Y51" s="43">
        <f>PERCENTRANK('Team Scores'!$Y$3:$Y$1000, 'Team Scores'!$Y51, 3)</f>
        <v/>
      </c>
      <c r="Z51" s="43">
        <f>PERCENTRANK('Team Scores'!$Z$3:$Z$1000, 'Team Scores'!$Z51, 3)</f>
        <v/>
      </c>
      <c r="AA51" s="43">
        <f>AVERAGE(C51:G51)</f>
        <v/>
      </c>
      <c r="AB51" s="43">
        <f>AVERAGE(H51:O51)</f>
        <v/>
      </c>
      <c r="AC51" s="43">
        <f>AVERAGE(P51:T51)</f>
        <v/>
      </c>
      <c r="AD51" s="43">
        <f>AVERAGE(U51:X51)</f>
        <v/>
      </c>
      <c r="AE51" s="43">
        <f>AVERAGE(AA51:AD51)</f>
        <v/>
      </c>
    </row>
    <row r="52">
      <c r="A52" s="41" t="n">
        <v>7903</v>
      </c>
      <c r="B52" s="42">
        <f>COUNTIF(MatchScoutingData!E$2:E$1000, $A52)</f>
        <v/>
      </c>
      <c r="C52" s="43">
        <f>PERCENTRANK('Team Scores'!$C$3:$C$1000, 'Team Scores'!$C52, 3)</f>
        <v/>
      </c>
      <c r="D52" s="43">
        <f>PERCENTRANK('Team Scores'!$D$3:$D$1000, 'Team Scores'!$D52, 3)</f>
        <v/>
      </c>
      <c r="E52" s="43">
        <f>PERCENTRANK('Team Scores'!$E$3:$E$1000, 'Team Scores'!$E52, 3)</f>
        <v/>
      </c>
      <c r="F52" s="43">
        <f>PERCENTRANK('Team Scores'!$F$3:$F$1000, 'Team Scores'!$F52, 3)</f>
        <v/>
      </c>
      <c r="G52" s="43">
        <f>PERCENTRANK('Team Scores'!$G$3:$G$1000, 'Team Scores'!$G52, 3)</f>
        <v/>
      </c>
      <c r="H52" s="43">
        <f>PERCENTRANK('Team Scores'!$H$3:$H$1000, 'Team Scores'!$H52, 3)</f>
        <v/>
      </c>
      <c r="I52" s="43">
        <f>PERCENTRANK('Team Scores'!$I$3:$I$1000, 'Team Scores'!$I52, 3)</f>
        <v/>
      </c>
      <c r="J52" s="43">
        <f>PERCENTRANK('Team Scores'!$J$3:$J$1000, 'Team Scores'!$J52, 3)</f>
        <v/>
      </c>
      <c r="K52" s="43">
        <f>PERCENTRANK('Team Scores'!$K$3:$K$1000, 'Team Scores'!$K52, 3)</f>
        <v/>
      </c>
      <c r="L52" s="43">
        <f>PERCENTRANK('Team Scores'!$L$3:$L$1000, 'Team Scores'!$L52, 3)</f>
        <v/>
      </c>
      <c r="M52" s="43">
        <f>PERCENTRANK('Team Scores'!$M$3:$M$1000, 'Team Scores'!$M52, 3)</f>
        <v/>
      </c>
      <c r="N52" s="43">
        <f>PERCENTRANK('Team Scores'!$N$3:$N$1000, 'Team Scores'!$N52, 3)</f>
        <v/>
      </c>
      <c r="O52" s="43">
        <f>PERCENTRANK('Team Scores'!$O$3:$O$1000, 'Team Scores'!$O52, 3)</f>
        <v/>
      </c>
      <c r="P52" s="43">
        <f>PERCENTRANK('Team Scores'!$P$3:$P$1000, 'Team Scores'!$P52, 3)</f>
        <v/>
      </c>
      <c r="Q52" s="43">
        <f>PERCENTRANK('Team Scores'!$Q$3:$Q$1000, 'Team Scores'!$Q52, 3)</f>
        <v/>
      </c>
      <c r="R52" s="43">
        <f>PERCENTRANK('Team Scores'!$R$3:$R$1000, 'Team Scores'!$R52, 3)</f>
        <v/>
      </c>
      <c r="S52" s="43">
        <f>PERCENTRANK('Team Scores'!$S$3:$S$1000, 'Team Scores'!$S52, 3)</f>
        <v/>
      </c>
      <c r="T52" s="43">
        <f>PERCENTRANK('Team Scores'!$T$3:$T$1000, 'Team Scores'!$T52, 3)</f>
        <v/>
      </c>
      <c r="U52" s="43">
        <f>PERCENTRANK('Team Scores'!$U$3:$U$1000, 'Team Scores'!$U52, 3)</f>
        <v/>
      </c>
      <c r="V52" s="43">
        <f>PERCENTRANK('Team Scores'!$V$3:$V$1000, 'Team Scores'!$V52, 3)</f>
        <v/>
      </c>
      <c r="W52" s="43">
        <f>PERCENTRANK('Team Scores'!$W$3:$W$1000, 'Team Scores'!$W52, 3)</f>
        <v/>
      </c>
      <c r="X52" s="43">
        <f>PERCENTRANK('Team Scores'!$X$3:$X$1000, 'Team Scores'!$X52, 3)</f>
        <v/>
      </c>
      <c r="Y52" s="43">
        <f>PERCENTRANK('Team Scores'!$Y$3:$Y$1000, 'Team Scores'!$Y52, 3)</f>
        <v/>
      </c>
      <c r="Z52" s="43">
        <f>PERCENTRANK('Team Scores'!$Z$3:$Z$1000, 'Team Scores'!$Z52, 3)</f>
        <v/>
      </c>
      <c r="AA52" s="43">
        <f>AVERAGE(C52:G52)</f>
        <v/>
      </c>
      <c r="AB52" s="43">
        <f>AVERAGE(H52:O52)</f>
        <v/>
      </c>
      <c r="AC52" s="43">
        <f>AVERAGE(P52:T52)</f>
        <v/>
      </c>
      <c r="AD52" s="43">
        <f>AVERAGE(U52:X52)</f>
        <v/>
      </c>
      <c r="AE52" s="43">
        <f>AVERAGE(AA52:AD52)</f>
        <v/>
      </c>
    </row>
    <row r="53">
      <c r="A53" s="41" t="n">
        <v>8222</v>
      </c>
      <c r="B53" s="42">
        <f>COUNTIF(MatchScoutingData!E$2:E$1000, $A53)</f>
        <v/>
      </c>
      <c r="C53" s="43">
        <f>PERCENTRANK('Team Scores'!$C$3:$C$1000, 'Team Scores'!$C53, 3)</f>
        <v/>
      </c>
      <c r="D53" s="43">
        <f>PERCENTRANK('Team Scores'!$D$3:$D$1000, 'Team Scores'!$D53, 3)</f>
        <v/>
      </c>
      <c r="E53" s="43">
        <f>PERCENTRANK('Team Scores'!$E$3:$E$1000, 'Team Scores'!$E53, 3)</f>
        <v/>
      </c>
      <c r="F53" s="43">
        <f>PERCENTRANK('Team Scores'!$F$3:$F$1000, 'Team Scores'!$F53, 3)</f>
        <v/>
      </c>
      <c r="G53" s="43">
        <f>PERCENTRANK('Team Scores'!$G$3:$G$1000, 'Team Scores'!$G53, 3)</f>
        <v/>
      </c>
      <c r="H53" s="43">
        <f>PERCENTRANK('Team Scores'!$H$3:$H$1000, 'Team Scores'!$H53, 3)</f>
        <v/>
      </c>
      <c r="I53" s="43">
        <f>PERCENTRANK('Team Scores'!$I$3:$I$1000, 'Team Scores'!$I53, 3)</f>
        <v/>
      </c>
      <c r="J53" s="43">
        <f>PERCENTRANK('Team Scores'!$J$3:$J$1000, 'Team Scores'!$J53, 3)</f>
        <v/>
      </c>
      <c r="K53" s="43">
        <f>PERCENTRANK('Team Scores'!$K$3:$K$1000, 'Team Scores'!$K53, 3)</f>
        <v/>
      </c>
      <c r="L53" s="43">
        <f>PERCENTRANK('Team Scores'!$L$3:$L$1000, 'Team Scores'!$L53, 3)</f>
        <v/>
      </c>
      <c r="M53" s="43">
        <f>PERCENTRANK('Team Scores'!$M$3:$M$1000, 'Team Scores'!$M53, 3)</f>
        <v/>
      </c>
      <c r="N53" s="43">
        <f>PERCENTRANK('Team Scores'!$N$3:$N$1000, 'Team Scores'!$N53, 3)</f>
        <v/>
      </c>
      <c r="O53" s="43">
        <f>PERCENTRANK('Team Scores'!$O$3:$O$1000, 'Team Scores'!$O53, 3)</f>
        <v/>
      </c>
      <c r="P53" s="43">
        <f>PERCENTRANK('Team Scores'!$P$3:$P$1000, 'Team Scores'!$P53, 3)</f>
        <v/>
      </c>
      <c r="Q53" s="43">
        <f>PERCENTRANK('Team Scores'!$Q$3:$Q$1000, 'Team Scores'!$Q53, 3)</f>
        <v/>
      </c>
      <c r="R53" s="43">
        <f>PERCENTRANK('Team Scores'!$R$3:$R$1000, 'Team Scores'!$R53, 3)</f>
        <v/>
      </c>
      <c r="S53" s="43">
        <f>PERCENTRANK('Team Scores'!$S$3:$S$1000, 'Team Scores'!$S53, 3)</f>
        <v/>
      </c>
      <c r="T53" s="43">
        <f>PERCENTRANK('Team Scores'!$T$3:$T$1000, 'Team Scores'!$T53, 3)</f>
        <v/>
      </c>
      <c r="U53" s="43">
        <f>PERCENTRANK('Team Scores'!$U$3:$U$1000, 'Team Scores'!$U53, 3)</f>
        <v/>
      </c>
      <c r="V53" s="43">
        <f>PERCENTRANK('Team Scores'!$V$3:$V$1000, 'Team Scores'!$V53, 3)</f>
        <v/>
      </c>
      <c r="W53" s="43">
        <f>PERCENTRANK('Team Scores'!$W$3:$W$1000, 'Team Scores'!$W53, 3)</f>
        <v/>
      </c>
      <c r="X53" s="43">
        <f>PERCENTRANK('Team Scores'!$X$3:$X$1000, 'Team Scores'!$X53, 3)</f>
        <v/>
      </c>
      <c r="Y53" s="43">
        <f>PERCENTRANK('Team Scores'!$Y$3:$Y$1000, 'Team Scores'!$Y53, 3)</f>
        <v/>
      </c>
      <c r="Z53" s="43">
        <f>PERCENTRANK('Team Scores'!$Z$3:$Z$1000, 'Team Scores'!$Z53, 3)</f>
        <v/>
      </c>
      <c r="AA53" s="43">
        <f>AVERAGE(C53:G53)</f>
        <v/>
      </c>
      <c r="AB53" s="43">
        <f>AVERAGE(H53:O53)</f>
        <v/>
      </c>
      <c r="AC53" s="43">
        <f>AVERAGE(P53:T53)</f>
        <v/>
      </c>
      <c r="AD53" s="43">
        <f>AVERAGE(U53:X53)</f>
        <v/>
      </c>
      <c r="AE53" s="43">
        <f>AVERAGE(AA53:AD53)</f>
        <v/>
      </c>
    </row>
    <row r="54">
      <c r="A54" s="41" t="n">
        <v>9194</v>
      </c>
      <c r="B54" s="42">
        <f>COUNTIF(MatchScoutingData!E$2:E$1000, $A54)</f>
        <v/>
      </c>
      <c r="C54" s="43">
        <f>PERCENTRANK('Team Scores'!$C$3:$C$1000, 'Team Scores'!$C54, 3)</f>
        <v/>
      </c>
      <c r="D54" s="43">
        <f>PERCENTRANK('Team Scores'!$D$3:$D$1000, 'Team Scores'!$D54, 3)</f>
        <v/>
      </c>
      <c r="E54" s="43">
        <f>PERCENTRANK('Team Scores'!$E$3:$E$1000, 'Team Scores'!$E54, 3)</f>
        <v/>
      </c>
      <c r="F54" s="43">
        <f>PERCENTRANK('Team Scores'!$F$3:$F$1000, 'Team Scores'!$F54, 3)</f>
        <v/>
      </c>
      <c r="G54" s="43">
        <f>PERCENTRANK('Team Scores'!$G$3:$G$1000, 'Team Scores'!$G54, 3)</f>
        <v/>
      </c>
      <c r="H54" s="43">
        <f>PERCENTRANK('Team Scores'!$H$3:$H$1000, 'Team Scores'!$H54, 3)</f>
        <v/>
      </c>
      <c r="I54" s="43">
        <f>PERCENTRANK('Team Scores'!$I$3:$I$1000, 'Team Scores'!$I54, 3)</f>
        <v/>
      </c>
      <c r="J54" s="43">
        <f>PERCENTRANK('Team Scores'!$J$3:$J$1000, 'Team Scores'!$J54, 3)</f>
        <v/>
      </c>
      <c r="K54" s="43">
        <f>PERCENTRANK('Team Scores'!$K$3:$K$1000, 'Team Scores'!$K54, 3)</f>
        <v/>
      </c>
      <c r="L54" s="43">
        <f>PERCENTRANK('Team Scores'!$L$3:$L$1000, 'Team Scores'!$L54, 3)</f>
        <v/>
      </c>
      <c r="M54" s="43">
        <f>PERCENTRANK('Team Scores'!$M$3:$M$1000, 'Team Scores'!$M54, 3)</f>
        <v/>
      </c>
      <c r="N54" s="43">
        <f>PERCENTRANK('Team Scores'!$N$3:$N$1000, 'Team Scores'!$N54, 3)</f>
        <v/>
      </c>
      <c r="O54" s="43">
        <f>PERCENTRANK('Team Scores'!$O$3:$O$1000, 'Team Scores'!$O54, 3)</f>
        <v/>
      </c>
      <c r="P54" s="43">
        <f>PERCENTRANK('Team Scores'!$P$3:$P$1000, 'Team Scores'!$P54, 3)</f>
        <v/>
      </c>
      <c r="Q54" s="43">
        <f>PERCENTRANK('Team Scores'!$Q$3:$Q$1000, 'Team Scores'!$Q54, 3)</f>
        <v/>
      </c>
      <c r="R54" s="43">
        <f>PERCENTRANK('Team Scores'!$R$3:$R$1000, 'Team Scores'!$R54, 3)</f>
        <v/>
      </c>
      <c r="S54" s="43">
        <f>PERCENTRANK('Team Scores'!$S$3:$S$1000, 'Team Scores'!$S54, 3)</f>
        <v/>
      </c>
      <c r="T54" s="43">
        <f>PERCENTRANK('Team Scores'!$T$3:$T$1000, 'Team Scores'!$T54, 3)</f>
        <v/>
      </c>
      <c r="U54" s="43">
        <f>PERCENTRANK('Team Scores'!$U$3:$U$1000, 'Team Scores'!$U54, 3)</f>
        <v/>
      </c>
      <c r="V54" s="43">
        <f>PERCENTRANK('Team Scores'!$V$3:$V$1000, 'Team Scores'!$V54, 3)</f>
        <v/>
      </c>
      <c r="W54" s="43">
        <f>PERCENTRANK('Team Scores'!$W$3:$W$1000, 'Team Scores'!$W54, 3)</f>
        <v/>
      </c>
      <c r="X54" s="43">
        <f>PERCENTRANK('Team Scores'!$X$3:$X$1000, 'Team Scores'!$X54, 3)</f>
        <v/>
      </c>
      <c r="Y54" s="43">
        <f>PERCENTRANK('Team Scores'!$Y$3:$Y$1000, 'Team Scores'!$Y54, 3)</f>
        <v/>
      </c>
      <c r="Z54" s="43">
        <f>PERCENTRANK('Team Scores'!$Z$3:$Z$1000, 'Team Scores'!$Z54, 3)</f>
        <v/>
      </c>
      <c r="AA54" s="43">
        <f>AVERAGE(C54:G54)</f>
        <v/>
      </c>
      <c r="AB54" s="43">
        <f>AVERAGE(H54:O54)</f>
        <v/>
      </c>
      <c r="AC54" s="43">
        <f>AVERAGE(P54:T54)</f>
        <v/>
      </c>
      <c r="AD54" s="43">
        <f>AVERAGE(U54:X54)</f>
        <v/>
      </c>
      <c r="AE54" s="43">
        <f>AVERAGE(AA54:AD54)</f>
        <v/>
      </c>
    </row>
    <row r="55">
      <c r="A55" s="41" t="n">
        <v>9545</v>
      </c>
      <c r="B55" s="42">
        <f>COUNTIF(MatchScoutingData!E$2:E$1000, $A55)</f>
        <v/>
      </c>
      <c r="C55" s="43">
        <f>PERCENTRANK('Team Scores'!$C$3:$C$1000, 'Team Scores'!$C55, 3)</f>
        <v/>
      </c>
      <c r="D55" s="43">
        <f>PERCENTRANK('Team Scores'!$D$3:$D$1000, 'Team Scores'!$D55, 3)</f>
        <v/>
      </c>
      <c r="E55" s="43">
        <f>PERCENTRANK('Team Scores'!$E$3:$E$1000, 'Team Scores'!$E55, 3)</f>
        <v/>
      </c>
      <c r="F55" s="43">
        <f>PERCENTRANK('Team Scores'!$F$3:$F$1000, 'Team Scores'!$F55, 3)</f>
        <v/>
      </c>
      <c r="G55" s="43">
        <f>PERCENTRANK('Team Scores'!$G$3:$G$1000, 'Team Scores'!$G55, 3)</f>
        <v/>
      </c>
      <c r="H55" s="43">
        <f>PERCENTRANK('Team Scores'!$H$3:$H$1000, 'Team Scores'!$H55, 3)</f>
        <v/>
      </c>
      <c r="I55" s="43">
        <f>PERCENTRANK('Team Scores'!$I$3:$I$1000, 'Team Scores'!$I55, 3)</f>
        <v/>
      </c>
      <c r="J55" s="43">
        <f>PERCENTRANK('Team Scores'!$J$3:$J$1000, 'Team Scores'!$J55, 3)</f>
        <v/>
      </c>
      <c r="K55" s="43">
        <f>PERCENTRANK('Team Scores'!$K$3:$K$1000, 'Team Scores'!$K55, 3)</f>
        <v/>
      </c>
      <c r="L55" s="43">
        <f>PERCENTRANK('Team Scores'!$L$3:$L$1000, 'Team Scores'!$L55, 3)</f>
        <v/>
      </c>
      <c r="M55" s="43">
        <f>PERCENTRANK('Team Scores'!$M$3:$M$1000, 'Team Scores'!$M55, 3)</f>
        <v/>
      </c>
      <c r="N55" s="43">
        <f>PERCENTRANK('Team Scores'!$N$3:$N$1000, 'Team Scores'!$N55, 3)</f>
        <v/>
      </c>
      <c r="O55" s="43">
        <f>PERCENTRANK('Team Scores'!$O$3:$O$1000, 'Team Scores'!$O55, 3)</f>
        <v/>
      </c>
      <c r="P55" s="43">
        <f>PERCENTRANK('Team Scores'!$P$3:$P$1000, 'Team Scores'!$P55, 3)</f>
        <v/>
      </c>
      <c r="Q55" s="43">
        <f>PERCENTRANK('Team Scores'!$Q$3:$Q$1000, 'Team Scores'!$Q55, 3)</f>
        <v/>
      </c>
      <c r="R55" s="43">
        <f>PERCENTRANK('Team Scores'!$R$3:$R$1000, 'Team Scores'!$R55, 3)</f>
        <v/>
      </c>
      <c r="S55" s="43">
        <f>PERCENTRANK('Team Scores'!$S$3:$S$1000, 'Team Scores'!$S55, 3)</f>
        <v/>
      </c>
      <c r="T55" s="43">
        <f>PERCENTRANK('Team Scores'!$T$3:$T$1000, 'Team Scores'!$T55, 3)</f>
        <v/>
      </c>
      <c r="U55" s="43">
        <f>PERCENTRANK('Team Scores'!$U$3:$U$1000, 'Team Scores'!$U55, 3)</f>
        <v/>
      </c>
      <c r="V55" s="43">
        <f>PERCENTRANK('Team Scores'!$V$3:$V$1000, 'Team Scores'!$V55, 3)</f>
        <v/>
      </c>
      <c r="W55" s="43">
        <f>PERCENTRANK('Team Scores'!$W$3:$W$1000, 'Team Scores'!$W55, 3)</f>
        <v/>
      </c>
      <c r="X55" s="43">
        <f>PERCENTRANK('Team Scores'!$X$3:$X$1000, 'Team Scores'!$X55, 3)</f>
        <v/>
      </c>
      <c r="Y55" s="43">
        <f>PERCENTRANK('Team Scores'!$Y$3:$Y$1000, 'Team Scores'!$Y55, 3)</f>
        <v/>
      </c>
      <c r="Z55" s="43">
        <f>PERCENTRANK('Team Scores'!$Z$3:$Z$1000, 'Team Scores'!$Z55, 3)</f>
        <v/>
      </c>
      <c r="AA55" s="43">
        <f>AVERAGE(C55:G55)</f>
        <v/>
      </c>
      <c r="AB55" s="43">
        <f>AVERAGE(H55:O55)</f>
        <v/>
      </c>
      <c r="AC55" s="43">
        <f>AVERAGE(P55:T55)</f>
        <v/>
      </c>
      <c r="AD55" s="43">
        <f>AVERAGE(U55:X55)</f>
        <v/>
      </c>
      <c r="AE55" s="43">
        <f>AVERAGE(AA55:AD55)</f>
        <v/>
      </c>
    </row>
    <row r="56">
      <c r="A56" s="41" t="n">
        <v>9624</v>
      </c>
      <c r="B56" s="42">
        <f>COUNTIF(MatchScoutingData!E$2:E$1000, $A56)</f>
        <v/>
      </c>
      <c r="C56" s="43">
        <f>PERCENTRANK('Team Scores'!$C$3:$C$1000, 'Team Scores'!$C56, 3)</f>
        <v/>
      </c>
      <c r="D56" s="43">
        <f>PERCENTRANK('Team Scores'!$D$3:$D$1000, 'Team Scores'!$D56, 3)</f>
        <v/>
      </c>
      <c r="E56" s="43">
        <f>PERCENTRANK('Team Scores'!$E$3:$E$1000, 'Team Scores'!$E56, 3)</f>
        <v/>
      </c>
      <c r="F56" s="43">
        <f>PERCENTRANK('Team Scores'!$F$3:$F$1000, 'Team Scores'!$F56, 3)</f>
        <v/>
      </c>
      <c r="G56" s="43">
        <f>PERCENTRANK('Team Scores'!$G$3:$G$1000, 'Team Scores'!$G56, 3)</f>
        <v/>
      </c>
      <c r="H56" s="43">
        <f>PERCENTRANK('Team Scores'!$H$3:$H$1000, 'Team Scores'!$H56, 3)</f>
        <v/>
      </c>
      <c r="I56" s="43">
        <f>PERCENTRANK('Team Scores'!$I$3:$I$1000, 'Team Scores'!$I56, 3)</f>
        <v/>
      </c>
      <c r="J56" s="43">
        <f>PERCENTRANK('Team Scores'!$J$3:$J$1000, 'Team Scores'!$J56, 3)</f>
        <v/>
      </c>
      <c r="K56" s="43">
        <f>PERCENTRANK('Team Scores'!$K$3:$K$1000, 'Team Scores'!$K56, 3)</f>
        <v/>
      </c>
      <c r="L56" s="43">
        <f>PERCENTRANK('Team Scores'!$L$3:$L$1000, 'Team Scores'!$L56, 3)</f>
        <v/>
      </c>
      <c r="M56" s="43">
        <f>PERCENTRANK('Team Scores'!$M$3:$M$1000, 'Team Scores'!$M56, 3)</f>
        <v/>
      </c>
      <c r="N56" s="43">
        <f>PERCENTRANK('Team Scores'!$N$3:$N$1000, 'Team Scores'!$N56, 3)</f>
        <v/>
      </c>
      <c r="O56" s="43">
        <f>PERCENTRANK('Team Scores'!$O$3:$O$1000, 'Team Scores'!$O56, 3)</f>
        <v/>
      </c>
      <c r="P56" s="43">
        <f>PERCENTRANK('Team Scores'!$P$3:$P$1000, 'Team Scores'!$P56, 3)</f>
        <v/>
      </c>
      <c r="Q56" s="43">
        <f>PERCENTRANK('Team Scores'!$Q$3:$Q$1000, 'Team Scores'!$Q56, 3)</f>
        <v/>
      </c>
      <c r="R56" s="43">
        <f>PERCENTRANK('Team Scores'!$R$3:$R$1000, 'Team Scores'!$R56, 3)</f>
        <v/>
      </c>
      <c r="S56" s="43">
        <f>PERCENTRANK('Team Scores'!$S$3:$S$1000, 'Team Scores'!$S56, 3)</f>
        <v/>
      </c>
      <c r="T56" s="43">
        <f>PERCENTRANK('Team Scores'!$T$3:$T$1000, 'Team Scores'!$T56, 3)</f>
        <v/>
      </c>
      <c r="U56" s="43">
        <f>PERCENTRANK('Team Scores'!$U$3:$U$1000, 'Team Scores'!$U56, 3)</f>
        <v/>
      </c>
      <c r="V56" s="43">
        <f>PERCENTRANK('Team Scores'!$V$3:$V$1000, 'Team Scores'!$V56, 3)</f>
        <v/>
      </c>
      <c r="W56" s="43">
        <f>PERCENTRANK('Team Scores'!$W$3:$W$1000, 'Team Scores'!$W56, 3)</f>
        <v/>
      </c>
      <c r="X56" s="43">
        <f>PERCENTRANK('Team Scores'!$X$3:$X$1000, 'Team Scores'!$X56, 3)</f>
        <v/>
      </c>
      <c r="Y56" s="43">
        <f>PERCENTRANK('Team Scores'!$Y$3:$Y$1000, 'Team Scores'!$Y56, 3)</f>
        <v/>
      </c>
      <c r="Z56" s="43">
        <f>PERCENTRANK('Team Scores'!$Z$3:$Z$1000, 'Team Scores'!$Z56, 3)</f>
        <v/>
      </c>
      <c r="AA56" s="43">
        <f>AVERAGE(C56:G56)</f>
        <v/>
      </c>
      <c r="AB56" s="43">
        <f>AVERAGE(H56:O56)</f>
        <v/>
      </c>
      <c r="AC56" s="43">
        <f>AVERAGE(P56:T56)</f>
        <v/>
      </c>
      <c r="AD56" s="43">
        <f>AVERAGE(U56:X56)</f>
        <v/>
      </c>
      <c r="AE56" s="43">
        <f>AVERAGE(AA56:AD56)</f>
        <v/>
      </c>
    </row>
    <row r="57">
      <c r="A57" s="41" t="n">
        <v>10202</v>
      </c>
      <c r="B57" s="42">
        <f>COUNTIF(MatchScoutingData!E$2:E$1000, $A57)</f>
        <v/>
      </c>
      <c r="C57" s="43">
        <f>PERCENTRANK('Team Scores'!$C$3:$C$1000, 'Team Scores'!$C57, 3)</f>
        <v/>
      </c>
      <c r="D57" s="43">
        <f>PERCENTRANK('Team Scores'!$D$3:$D$1000, 'Team Scores'!$D57, 3)</f>
        <v/>
      </c>
      <c r="E57" s="43">
        <f>PERCENTRANK('Team Scores'!$E$3:$E$1000, 'Team Scores'!$E57, 3)</f>
        <v/>
      </c>
      <c r="F57" s="43">
        <f>PERCENTRANK('Team Scores'!$F$3:$F$1000, 'Team Scores'!$F57, 3)</f>
        <v/>
      </c>
      <c r="G57" s="43">
        <f>PERCENTRANK('Team Scores'!$G$3:$G$1000, 'Team Scores'!$G57, 3)</f>
        <v/>
      </c>
      <c r="H57" s="43">
        <f>PERCENTRANK('Team Scores'!$H$3:$H$1000, 'Team Scores'!$H57, 3)</f>
        <v/>
      </c>
      <c r="I57" s="43">
        <f>PERCENTRANK('Team Scores'!$I$3:$I$1000, 'Team Scores'!$I57, 3)</f>
        <v/>
      </c>
      <c r="J57" s="43">
        <f>PERCENTRANK('Team Scores'!$J$3:$J$1000, 'Team Scores'!$J57, 3)</f>
        <v/>
      </c>
      <c r="K57" s="43">
        <f>PERCENTRANK('Team Scores'!$K$3:$K$1000, 'Team Scores'!$K57, 3)</f>
        <v/>
      </c>
      <c r="L57" s="43">
        <f>PERCENTRANK('Team Scores'!$L$3:$L$1000, 'Team Scores'!$L57, 3)</f>
        <v/>
      </c>
      <c r="M57" s="43">
        <f>PERCENTRANK('Team Scores'!$M$3:$M$1000, 'Team Scores'!$M57, 3)</f>
        <v/>
      </c>
      <c r="N57" s="43">
        <f>PERCENTRANK('Team Scores'!$N$3:$N$1000, 'Team Scores'!$N57, 3)</f>
        <v/>
      </c>
      <c r="O57" s="43">
        <f>PERCENTRANK('Team Scores'!$O$3:$O$1000, 'Team Scores'!$O57, 3)</f>
        <v/>
      </c>
      <c r="P57" s="43">
        <f>PERCENTRANK('Team Scores'!$P$3:$P$1000, 'Team Scores'!$P57, 3)</f>
        <v/>
      </c>
      <c r="Q57" s="43">
        <f>PERCENTRANK('Team Scores'!$Q$3:$Q$1000, 'Team Scores'!$Q57, 3)</f>
        <v/>
      </c>
      <c r="R57" s="43">
        <f>PERCENTRANK('Team Scores'!$R$3:$R$1000, 'Team Scores'!$R57, 3)</f>
        <v/>
      </c>
      <c r="S57" s="43">
        <f>PERCENTRANK('Team Scores'!$S$3:$S$1000, 'Team Scores'!$S57, 3)</f>
        <v/>
      </c>
      <c r="T57" s="43">
        <f>PERCENTRANK('Team Scores'!$T$3:$T$1000, 'Team Scores'!$T57, 3)</f>
        <v/>
      </c>
      <c r="U57" s="43">
        <f>PERCENTRANK('Team Scores'!$U$3:$U$1000, 'Team Scores'!$U57, 3)</f>
        <v/>
      </c>
      <c r="V57" s="43">
        <f>PERCENTRANK('Team Scores'!$V$3:$V$1000, 'Team Scores'!$V57, 3)</f>
        <v/>
      </c>
      <c r="W57" s="43">
        <f>PERCENTRANK('Team Scores'!$W$3:$W$1000, 'Team Scores'!$W57, 3)</f>
        <v/>
      </c>
      <c r="X57" s="43">
        <f>PERCENTRANK('Team Scores'!$X$3:$X$1000, 'Team Scores'!$X57, 3)</f>
        <v/>
      </c>
      <c r="Y57" s="43">
        <f>PERCENTRANK('Team Scores'!$Y$3:$Y$1000, 'Team Scores'!$Y57, 3)</f>
        <v/>
      </c>
      <c r="Z57" s="43">
        <f>PERCENTRANK('Team Scores'!$Z$3:$Z$1000, 'Team Scores'!$Z57, 3)</f>
        <v/>
      </c>
      <c r="AA57" s="43">
        <f>AVERAGE(C57:G57)</f>
        <v/>
      </c>
      <c r="AB57" s="43">
        <f>AVERAGE(H57:O57)</f>
        <v/>
      </c>
      <c r="AC57" s="43">
        <f>AVERAGE(P57:T57)</f>
        <v/>
      </c>
      <c r="AD57" s="43">
        <f>AVERAGE(U57:X57)</f>
        <v/>
      </c>
      <c r="AE57" s="43">
        <f>AVERAGE(AA57:AD57)</f>
        <v/>
      </c>
    </row>
    <row r="58">
      <c r="A58" s="41" t="n">
        <v>10413</v>
      </c>
      <c r="B58" s="42">
        <f>COUNTIF(MatchScoutingData!E$2:E$1000, $A58)</f>
        <v/>
      </c>
      <c r="C58" s="43">
        <f>PERCENTRANK('Team Scores'!$C$3:$C$1000, 'Team Scores'!$C58, 3)</f>
        <v/>
      </c>
      <c r="D58" s="43">
        <f>PERCENTRANK('Team Scores'!$D$3:$D$1000, 'Team Scores'!$D58, 3)</f>
        <v/>
      </c>
      <c r="E58" s="43">
        <f>PERCENTRANK('Team Scores'!$E$3:$E$1000, 'Team Scores'!$E58, 3)</f>
        <v/>
      </c>
      <c r="F58" s="43">
        <f>PERCENTRANK('Team Scores'!$F$3:$F$1000, 'Team Scores'!$F58, 3)</f>
        <v/>
      </c>
      <c r="G58" s="43">
        <f>PERCENTRANK('Team Scores'!$G$3:$G$1000, 'Team Scores'!$G58, 3)</f>
        <v/>
      </c>
      <c r="H58" s="43">
        <f>PERCENTRANK('Team Scores'!$H$3:$H$1000, 'Team Scores'!$H58, 3)</f>
        <v/>
      </c>
      <c r="I58" s="43">
        <f>PERCENTRANK('Team Scores'!$I$3:$I$1000, 'Team Scores'!$I58, 3)</f>
        <v/>
      </c>
      <c r="J58" s="43">
        <f>PERCENTRANK('Team Scores'!$J$3:$J$1000, 'Team Scores'!$J58, 3)</f>
        <v/>
      </c>
      <c r="K58" s="43">
        <f>PERCENTRANK('Team Scores'!$K$3:$K$1000, 'Team Scores'!$K58, 3)</f>
        <v/>
      </c>
      <c r="L58" s="43">
        <f>PERCENTRANK('Team Scores'!$L$3:$L$1000, 'Team Scores'!$L58, 3)</f>
        <v/>
      </c>
      <c r="M58" s="43">
        <f>PERCENTRANK('Team Scores'!$M$3:$M$1000, 'Team Scores'!$M58, 3)</f>
        <v/>
      </c>
      <c r="N58" s="43">
        <f>PERCENTRANK('Team Scores'!$N$3:$N$1000, 'Team Scores'!$N58, 3)</f>
        <v/>
      </c>
      <c r="O58" s="43">
        <f>PERCENTRANK('Team Scores'!$O$3:$O$1000, 'Team Scores'!$O58, 3)</f>
        <v/>
      </c>
      <c r="P58" s="43">
        <f>PERCENTRANK('Team Scores'!$P$3:$P$1000, 'Team Scores'!$P58, 3)</f>
        <v/>
      </c>
      <c r="Q58" s="43">
        <f>PERCENTRANK('Team Scores'!$Q$3:$Q$1000, 'Team Scores'!$Q58, 3)</f>
        <v/>
      </c>
      <c r="R58" s="43">
        <f>PERCENTRANK('Team Scores'!$R$3:$R$1000, 'Team Scores'!$R58, 3)</f>
        <v/>
      </c>
      <c r="S58" s="43">
        <f>PERCENTRANK('Team Scores'!$S$3:$S$1000, 'Team Scores'!$S58, 3)</f>
        <v/>
      </c>
      <c r="T58" s="43">
        <f>PERCENTRANK('Team Scores'!$T$3:$T$1000, 'Team Scores'!$T58, 3)</f>
        <v/>
      </c>
      <c r="U58" s="43">
        <f>PERCENTRANK('Team Scores'!$U$3:$U$1000, 'Team Scores'!$U58, 3)</f>
        <v/>
      </c>
      <c r="V58" s="43">
        <f>PERCENTRANK('Team Scores'!$V$3:$V$1000, 'Team Scores'!$V58, 3)</f>
        <v/>
      </c>
      <c r="W58" s="43">
        <f>PERCENTRANK('Team Scores'!$W$3:$W$1000, 'Team Scores'!$W58, 3)</f>
        <v/>
      </c>
      <c r="X58" s="43">
        <f>PERCENTRANK('Team Scores'!$X$3:$X$1000, 'Team Scores'!$X58, 3)</f>
        <v/>
      </c>
      <c r="Y58" s="43">
        <f>PERCENTRANK('Team Scores'!$Y$3:$Y$1000, 'Team Scores'!$Y58, 3)</f>
        <v/>
      </c>
      <c r="Z58" s="43">
        <f>PERCENTRANK('Team Scores'!$Z$3:$Z$1000, 'Team Scores'!$Z58, 3)</f>
        <v/>
      </c>
      <c r="AA58" s="43">
        <f>AVERAGE(C58:G58)</f>
        <v/>
      </c>
      <c r="AB58" s="43">
        <f>AVERAGE(H58:O58)</f>
        <v/>
      </c>
      <c r="AC58" s="43">
        <f>AVERAGE(P58:T58)</f>
        <v/>
      </c>
      <c r="AD58" s="43">
        <f>AVERAGE(U58:X58)</f>
        <v/>
      </c>
      <c r="AE58" s="43">
        <f>AVERAGE(AA58:AD58)</f>
        <v/>
      </c>
    </row>
    <row r="59">
      <c r="A59" s="41" t="n">
        <v>10582</v>
      </c>
      <c r="B59" s="42">
        <f>COUNTIF(MatchScoutingData!E$2:E$1000, $A59)</f>
        <v/>
      </c>
      <c r="C59" s="43">
        <f>PERCENTRANK('Team Scores'!$C$3:$C$1000, 'Team Scores'!$C59, 3)</f>
        <v/>
      </c>
      <c r="D59" s="43">
        <f>PERCENTRANK('Team Scores'!$D$3:$D$1000, 'Team Scores'!$D59, 3)</f>
        <v/>
      </c>
      <c r="E59" s="43">
        <f>PERCENTRANK('Team Scores'!$E$3:$E$1000, 'Team Scores'!$E59, 3)</f>
        <v/>
      </c>
      <c r="F59" s="43">
        <f>PERCENTRANK('Team Scores'!$F$3:$F$1000, 'Team Scores'!$F59, 3)</f>
        <v/>
      </c>
      <c r="G59" s="43">
        <f>PERCENTRANK('Team Scores'!$G$3:$G$1000, 'Team Scores'!$G59, 3)</f>
        <v/>
      </c>
      <c r="H59" s="43">
        <f>PERCENTRANK('Team Scores'!$H$3:$H$1000, 'Team Scores'!$H59, 3)</f>
        <v/>
      </c>
      <c r="I59" s="43">
        <f>PERCENTRANK('Team Scores'!$I$3:$I$1000, 'Team Scores'!$I59, 3)</f>
        <v/>
      </c>
      <c r="J59" s="43">
        <f>PERCENTRANK('Team Scores'!$J$3:$J$1000, 'Team Scores'!$J59, 3)</f>
        <v/>
      </c>
      <c r="K59" s="43">
        <f>PERCENTRANK('Team Scores'!$K$3:$K$1000, 'Team Scores'!$K59, 3)</f>
        <v/>
      </c>
      <c r="L59" s="43">
        <f>PERCENTRANK('Team Scores'!$L$3:$L$1000, 'Team Scores'!$L59, 3)</f>
        <v/>
      </c>
      <c r="M59" s="43">
        <f>PERCENTRANK('Team Scores'!$M$3:$M$1000, 'Team Scores'!$M59, 3)</f>
        <v/>
      </c>
      <c r="N59" s="43">
        <f>PERCENTRANK('Team Scores'!$N$3:$N$1000, 'Team Scores'!$N59, 3)</f>
        <v/>
      </c>
      <c r="O59" s="43">
        <f>PERCENTRANK('Team Scores'!$O$3:$O$1000, 'Team Scores'!$O59, 3)</f>
        <v/>
      </c>
      <c r="P59" s="43">
        <f>PERCENTRANK('Team Scores'!$P$3:$P$1000, 'Team Scores'!$P59, 3)</f>
        <v/>
      </c>
      <c r="Q59" s="43">
        <f>PERCENTRANK('Team Scores'!$Q$3:$Q$1000, 'Team Scores'!$Q59, 3)</f>
        <v/>
      </c>
      <c r="R59" s="43">
        <f>PERCENTRANK('Team Scores'!$R$3:$R$1000, 'Team Scores'!$R59, 3)</f>
        <v/>
      </c>
      <c r="S59" s="43">
        <f>PERCENTRANK('Team Scores'!$S$3:$S$1000, 'Team Scores'!$S59, 3)</f>
        <v/>
      </c>
      <c r="T59" s="43">
        <f>PERCENTRANK('Team Scores'!$T$3:$T$1000, 'Team Scores'!$T59, 3)</f>
        <v/>
      </c>
      <c r="U59" s="43">
        <f>PERCENTRANK('Team Scores'!$U$3:$U$1000, 'Team Scores'!$U59, 3)</f>
        <v/>
      </c>
      <c r="V59" s="43">
        <f>PERCENTRANK('Team Scores'!$V$3:$V$1000, 'Team Scores'!$V59, 3)</f>
        <v/>
      </c>
      <c r="W59" s="43">
        <f>PERCENTRANK('Team Scores'!$W$3:$W$1000, 'Team Scores'!$W59, 3)</f>
        <v/>
      </c>
      <c r="X59" s="43">
        <f>PERCENTRANK('Team Scores'!$X$3:$X$1000, 'Team Scores'!$X59, 3)</f>
        <v/>
      </c>
      <c r="Y59" s="43">
        <f>PERCENTRANK('Team Scores'!$Y$3:$Y$1000, 'Team Scores'!$Y59, 3)</f>
        <v/>
      </c>
      <c r="Z59" s="43">
        <f>PERCENTRANK('Team Scores'!$Z$3:$Z$1000, 'Team Scores'!$Z59, 3)</f>
        <v/>
      </c>
      <c r="AA59" s="43">
        <f>AVERAGE(C59:G59)</f>
        <v/>
      </c>
      <c r="AB59" s="43">
        <f>AVERAGE(H59:O59)</f>
        <v/>
      </c>
      <c r="AC59" s="43">
        <f>AVERAGE(P59:T59)</f>
        <v/>
      </c>
      <c r="AD59" s="43">
        <f>AVERAGE(U59:X59)</f>
        <v/>
      </c>
      <c r="AE59" s="43">
        <f>AVERAGE(AA59:AD59)</f>
        <v/>
      </c>
    </row>
    <row r="60">
      <c r="A60" s="41" t="n">
        <v>10604</v>
      </c>
      <c r="B60" s="42">
        <f>COUNTIF(MatchScoutingData!E$2:E$1000, $A60)</f>
        <v/>
      </c>
      <c r="C60" s="43">
        <f>PERCENTRANK('Team Scores'!$C$3:$C$1000, 'Team Scores'!$C60, 3)</f>
        <v/>
      </c>
      <c r="D60" s="43">
        <f>PERCENTRANK('Team Scores'!$D$3:$D$1000, 'Team Scores'!$D60, 3)</f>
        <v/>
      </c>
      <c r="E60" s="43">
        <f>PERCENTRANK('Team Scores'!$E$3:$E$1000, 'Team Scores'!$E60, 3)</f>
        <v/>
      </c>
      <c r="F60" s="43">
        <f>PERCENTRANK('Team Scores'!$F$3:$F$1000, 'Team Scores'!$F60, 3)</f>
        <v/>
      </c>
      <c r="G60" s="43">
        <f>PERCENTRANK('Team Scores'!$G$3:$G$1000, 'Team Scores'!$G60, 3)</f>
        <v/>
      </c>
      <c r="H60" s="43">
        <f>PERCENTRANK('Team Scores'!$H$3:$H$1000, 'Team Scores'!$H60, 3)</f>
        <v/>
      </c>
      <c r="I60" s="43">
        <f>PERCENTRANK('Team Scores'!$I$3:$I$1000, 'Team Scores'!$I60, 3)</f>
        <v/>
      </c>
      <c r="J60" s="43">
        <f>PERCENTRANK('Team Scores'!$J$3:$J$1000, 'Team Scores'!$J60, 3)</f>
        <v/>
      </c>
      <c r="K60" s="43">
        <f>PERCENTRANK('Team Scores'!$K$3:$K$1000, 'Team Scores'!$K60, 3)</f>
        <v/>
      </c>
      <c r="L60" s="43">
        <f>PERCENTRANK('Team Scores'!$L$3:$L$1000, 'Team Scores'!$L60, 3)</f>
        <v/>
      </c>
      <c r="M60" s="43">
        <f>PERCENTRANK('Team Scores'!$M$3:$M$1000, 'Team Scores'!$M60, 3)</f>
        <v/>
      </c>
      <c r="N60" s="43">
        <f>PERCENTRANK('Team Scores'!$N$3:$N$1000, 'Team Scores'!$N60, 3)</f>
        <v/>
      </c>
      <c r="O60" s="43">
        <f>PERCENTRANK('Team Scores'!$O$3:$O$1000, 'Team Scores'!$O60, 3)</f>
        <v/>
      </c>
      <c r="P60" s="43">
        <f>PERCENTRANK('Team Scores'!$P$3:$P$1000, 'Team Scores'!$P60, 3)</f>
        <v/>
      </c>
      <c r="Q60" s="43">
        <f>PERCENTRANK('Team Scores'!$Q$3:$Q$1000, 'Team Scores'!$Q60, 3)</f>
        <v/>
      </c>
      <c r="R60" s="43">
        <f>PERCENTRANK('Team Scores'!$R$3:$R$1000, 'Team Scores'!$R60, 3)</f>
        <v/>
      </c>
      <c r="S60" s="43">
        <f>PERCENTRANK('Team Scores'!$S$3:$S$1000, 'Team Scores'!$S60, 3)</f>
        <v/>
      </c>
      <c r="T60" s="43">
        <f>PERCENTRANK('Team Scores'!$T$3:$T$1000, 'Team Scores'!$T60, 3)</f>
        <v/>
      </c>
      <c r="U60" s="43">
        <f>PERCENTRANK('Team Scores'!$U$3:$U$1000, 'Team Scores'!$U60, 3)</f>
        <v/>
      </c>
      <c r="V60" s="43">
        <f>PERCENTRANK('Team Scores'!$V$3:$V$1000, 'Team Scores'!$V60, 3)</f>
        <v/>
      </c>
      <c r="W60" s="43">
        <f>PERCENTRANK('Team Scores'!$W$3:$W$1000, 'Team Scores'!$W60, 3)</f>
        <v/>
      </c>
      <c r="X60" s="43">
        <f>PERCENTRANK('Team Scores'!$X$3:$X$1000, 'Team Scores'!$X60, 3)</f>
        <v/>
      </c>
      <c r="Y60" s="43">
        <f>PERCENTRANK('Team Scores'!$Y$3:$Y$1000, 'Team Scores'!$Y60, 3)</f>
        <v/>
      </c>
      <c r="Z60" s="43">
        <f>PERCENTRANK('Team Scores'!$Z$3:$Z$1000, 'Team Scores'!$Z60, 3)</f>
        <v/>
      </c>
      <c r="AA60" s="43">
        <f>AVERAGE(C60:G60)</f>
        <v/>
      </c>
      <c r="AB60" s="43">
        <f>AVERAGE(H60:O60)</f>
        <v/>
      </c>
      <c r="AC60" s="43">
        <f>AVERAGE(P60:T60)</f>
        <v/>
      </c>
      <c r="AD60" s="43">
        <f>AVERAGE(U60:X60)</f>
        <v/>
      </c>
      <c r="AE60" s="43">
        <f>AVERAGE(AA60:AD60)</f>
        <v/>
      </c>
    </row>
    <row r="61">
      <c r="A61" s="41" t="n">
        <v>10714</v>
      </c>
      <c r="B61" s="42">
        <f>COUNTIF(MatchScoutingData!E$2:E$1000, $A61)</f>
        <v/>
      </c>
      <c r="C61" s="43">
        <f>PERCENTRANK('Team Scores'!$C$3:$C$1000, 'Team Scores'!$C61, 3)</f>
        <v/>
      </c>
      <c r="D61" s="43">
        <f>PERCENTRANK('Team Scores'!$D$3:$D$1000, 'Team Scores'!$D61, 3)</f>
        <v/>
      </c>
      <c r="E61" s="43">
        <f>PERCENTRANK('Team Scores'!$E$3:$E$1000, 'Team Scores'!$E61, 3)</f>
        <v/>
      </c>
      <c r="F61" s="43">
        <f>PERCENTRANK('Team Scores'!$F$3:$F$1000, 'Team Scores'!$F61, 3)</f>
        <v/>
      </c>
      <c r="G61" s="43">
        <f>PERCENTRANK('Team Scores'!$G$3:$G$1000, 'Team Scores'!$G61, 3)</f>
        <v/>
      </c>
      <c r="H61" s="43">
        <f>PERCENTRANK('Team Scores'!$H$3:$H$1000, 'Team Scores'!$H61, 3)</f>
        <v/>
      </c>
      <c r="I61" s="43">
        <f>PERCENTRANK('Team Scores'!$I$3:$I$1000, 'Team Scores'!$I61, 3)</f>
        <v/>
      </c>
      <c r="J61" s="43">
        <f>PERCENTRANK('Team Scores'!$J$3:$J$1000, 'Team Scores'!$J61, 3)</f>
        <v/>
      </c>
      <c r="K61" s="43">
        <f>PERCENTRANK('Team Scores'!$K$3:$K$1000, 'Team Scores'!$K61, 3)</f>
        <v/>
      </c>
      <c r="L61" s="43">
        <f>PERCENTRANK('Team Scores'!$L$3:$L$1000, 'Team Scores'!$L61, 3)</f>
        <v/>
      </c>
      <c r="M61" s="43">
        <f>PERCENTRANK('Team Scores'!$M$3:$M$1000, 'Team Scores'!$M61, 3)</f>
        <v/>
      </c>
      <c r="N61" s="43">
        <f>PERCENTRANK('Team Scores'!$N$3:$N$1000, 'Team Scores'!$N61, 3)</f>
        <v/>
      </c>
      <c r="O61" s="43">
        <f>PERCENTRANK('Team Scores'!$O$3:$O$1000, 'Team Scores'!$O61, 3)</f>
        <v/>
      </c>
      <c r="P61" s="43">
        <f>PERCENTRANK('Team Scores'!$P$3:$P$1000, 'Team Scores'!$P61, 3)</f>
        <v/>
      </c>
      <c r="Q61" s="43">
        <f>PERCENTRANK('Team Scores'!$Q$3:$Q$1000, 'Team Scores'!$Q61, 3)</f>
        <v/>
      </c>
      <c r="R61" s="43">
        <f>PERCENTRANK('Team Scores'!$R$3:$R$1000, 'Team Scores'!$R61, 3)</f>
        <v/>
      </c>
      <c r="S61" s="43">
        <f>PERCENTRANK('Team Scores'!$S$3:$S$1000, 'Team Scores'!$S61, 3)</f>
        <v/>
      </c>
      <c r="T61" s="43">
        <f>PERCENTRANK('Team Scores'!$T$3:$T$1000, 'Team Scores'!$T61, 3)</f>
        <v/>
      </c>
      <c r="U61" s="43">
        <f>PERCENTRANK('Team Scores'!$U$3:$U$1000, 'Team Scores'!$U61, 3)</f>
        <v/>
      </c>
      <c r="V61" s="43">
        <f>PERCENTRANK('Team Scores'!$V$3:$V$1000, 'Team Scores'!$V61, 3)</f>
        <v/>
      </c>
      <c r="W61" s="43">
        <f>PERCENTRANK('Team Scores'!$W$3:$W$1000, 'Team Scores'!$W61, 3)</f>
        <v/>
      </c>
      <c r="X61" s="43">
        <f>PERCENTRANK('Team Scores'!$X$3:$X$1000, 'Team Scores'!$X61, 3)</f>
        <v/>
      </c>
      <c r="Y61" s="43">
        <f>PERCENTRANK('Team Scores'!$Y$3:$Y$1000, 'Team Scores'!$Y61, 3)</f>
        <v/>
      </c>
      <c r="Z61" s="43">
        <f>PERCENTRANK('Team Scores'!$Z$3:$Z$1000, 'Team Scores'!$Z61, 3)</f>
        <v/>
      </c>
      <c r="AA61" s="43">
        <f>AVERAGE(C61:G61)</f>
        <v/>
      </c>
      <c r="AB61" s="43">
        <f>AVERAGE(H61:O61)</f>
        <v/>
      </c>
      <c r="AC61" s="43">
        <f>AVERAGE(P61:T61)</f>
        <v/>
      </c>
      <c r="AD61" s="43">
        <f>AVERAGE(U61:X61)</f>
        <v/>
      </c>
      <c r="AE61" s="43">
        <f>AVERAGE(AA61:AD61)</f>
        <v/>
      </c>
    </row>
    <row r="62">
      <c r="A62" s="41" t="n">
        <v>11010</v>
      </c>
      <c r="B62" s="42">
        <f>COUNTIF(MatchScoutingData!E$2:E$1000, $A62)</f>
        <v/>
      </c>
      <c r="C62" s="43">
        <f>PERCENTRANK('Team Scores'!$C$3:$C$1000, 'Team Scores'!$C62, 3)</f>
        <v/>
      </c>
      <c r="D62" s="43">
        <f>PERCENTRANK('Team Scores'!$D$3:$D$1000, 'Team Scores'!$D62, 3)</f>
        <v/>
      </c>
      <c r="E62" s="43">
        <f>PERCENTRANK('Team Scores'!$E$3:$E$1000, 'Team Scores'!$E62, 3)</f>
        <v/>
      </c>
      <c r="F62" s="43">
        <f>PERCENTRANK('Team Scores'!$F$3:$F$1000, 'Team Scores'!$F62, 3)</f>
        <v/>
      </c>
      <c r="G62" s="43">
        <f>PERCENTRANK('Team Scores'!$G$3:$G$1000, 'Team Scores'!$G62, 3)</f>
        <v/>
      </c>
      <c r="H62" s="43">
        <f>PERCENTRANK('Team Scores'!$H$3:$H$1000, 'Team Scores'!$H62, 3)</f>
        <v/>
      </c>
      <c r="I62" s="43">
        <f>PERCENTRANK('Team Scores'!$I$3:$I$1000, 'Team Scores'!$I62, 3)</f>
        <v/>
      </c>
      <c r="J62" s="43">
        <f>PERCENTRANK('Team Scores'!$J$3:$J$1000, 'Team Scores'!$J62, 3)</f>
        <v/>
      </c>
      <c r="K62" s="43">
        <f>PERCENTRANK('Team Scores'!$K$3:$K$1000, 'Team Scores'!$K62, 3)</f>
        <v/>
      </c>
      <c r="L62" s="43">
        <f>PERCENTRANK('Team Scores'!$L$3:$L$1000, 'Team Scores'!$L62, 3)</f>
        <v/>
      </c>
      <c r="M62" s="43">
        <f>PERCENTRANK('Team Scores'!$M$3:$M$1000, 'Team Scores'!$M62, 3)</f>
        <v/>
      </c>
      <c r="N62" s="43">
        <f>PERCENTRANK('Team Scores'!$N$3:$N$1000, 'Team Scores'!$N62, 3)</f>
        <v/>
      </c>
      <c r="O62" s="43">
        <f>PERCENTRANK('Team Scores'!$O$3:$O$1000, 'Team Scores'!$O62, 3)</f>
        <v/>
      </c>
      <c r="P62" s="43">
        <f>PERCENTRANK('Team Scores'!$P$3:$P$1000, 'Team Scores'!$P62, 3)</f>
        <v/>
      </c>
      <c r="Q62" s="43">
        <f>PERCENTRANK('Team Scores'!$Q$3:$Q$1000, 'Team Scores'!$Q62, 3)</f>
        <v/>
      </c>
      <c r="R62" s="43">
        <f>PERCENTRANK('Team Scores'!$R$3:$R$1000, 'Team Scores'!$R62, 3)</f>
        <v/>
      </c>
      <c r="S62" s="43">
        <f>PERCENTRANK('Team Scores'!$S$3:$S$1000, 'Team Scores'!$S62, 3)</f>
        <v/>
      </c>
      <c r="T62" s="43">
        <f>PERCENTRANK('Team Scores'!$T$3:$T$1000, 'Team Scores'!$T62, 3)</f>
        <v/>
      </c>
      <c r="U62" s="43">
        <f>PERCENTRANK('Team Scores'!$U$3:$U$1000, 'Team Scores'!$U62, 3)</f>
        <v/>
      </c>
      <c r="V62" s="43">
        <f>PERCENTRANK('Team Scores'!$V$3:$V$1000, 'Team Scores'!$V62, 3)</f>
        <v/>
      </c>
      <c r="W62" s="43">
        <f>PERCENTRANK('Team Scores'!$W$3:$W$1000, 'Team Scores'!$W62, 3)</f>
        <v/>
      </c>
      <c r="X62" s="43">
        <f>PERCENTRANK('Team Scores'!$X$3:$X$1000, 'Team Scores'!$X62, 3)</f>
        <v/>
      </c>
      <c r="Y62" s="43">
        <f>PERCENTRANK('Team Scores'!$Y$3:$Y$1000, 'Team Scores'!$Y62, 3)</f>
        <v/>
      </c>
      <c r="Z62" s="43">
        <f>PERCENTRANK('Team Scores'!$Z$3:$Z$1000, 'Team Scores'!$Z62, 3)</f>
        <v/>
      </c>
      <c r="AA62" s="43">
        <f>AVERAGE(C62:G62)</f>
        <v/>
      </c>
      <c r="AB62" s="43">
        <f>AVERAGE(H62:O62)</f>
        <v/>
      </c>
      <c r="AC62" s="43">
        <f>AVERAGE(P62:T62)</f>
        <v/>
      </c>
      <c r="AD62" s="43">
        <f>AVERAGE(U62:X62)</f>
        <v/>
      </c>
      <c r="AE62" s="43">
        <f>AVERAGE(AA62:AD62)</f>
        <v/>
      </c>
    </row>
  </sheetData>
  <autoFilter ref="A2:AE2"/>
  <mergeCells count="5">
    <mergeCell ref="U1:Z1"/>
    <mergeCell ref="AA1:AE1"/>
    <mergeCell ref="H1:O1"/>
    <mergeCell ref="P1:T1"/>
    <mergeCell ref="C1:G1"/>
  </mergeCells>
  <conditionalFormatting sqref="C3:AE62">
    <cfRule type="colorScale" priority="1">
      <colorScale>
        <cfvo type="min"/>
        <cfvo type="percentile" val="50"/>
        <cfvo type="max"/>
        <color rgb="00cb4335"/>
        <color rgb="00D68910"/>
        <color rgb="00229954"/>
      </colorScale>
    </cfRule>
  </conditionalFormatting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zoomScale="150" zoomScaleNormal="150" workbookViewId="0">
      <selection activeCell="A2" sqref="A2"/>
    </sheetView>
  </sheetViews>
  <sheetFormatPr baseColWidth="10" defaultRowHeight="15" outlineLevelCol="0"/>
  <cols>
    <col width="25.83203125" customWidth="1" min="1" max="2"/>
  </cols>
  <sheetData>
    <row r="1" ht="16" customHeight="1">
      <c r="A1" s="5" t="inlineStr">
        <is>
          <t>Scouter Name</t>
        </is>
      </c>
      <c r="B1" s="5" t="inlineStr">
        <is>
          <t>Match Count</t>
        </is>
      </c>
    </row>
    <row r="2">
      <c r="A2" s="8">
        <f t="array" ref="A2:A25">_xlfn._xlws.SORT(_xlfn.UNIQUE(MatchScoutingData!B2:B9991))</f>
        <v/>
      </c>
      <c r="B2" s="8">
        <f>COUNTIF(MatchScoutingData!B$2:B$9991, $A2)</f>
        <v/>
      </c>
    </row>
    <row r="3">
      <c r="A3" s="8" t="inlineStr">
        <is>
          <t>Andrew Crawford</t>
        </is>
      </c>
      <c r="B3" s="8">
        <f>COUNTIF(MatchScoutingData!B$2:B$9991, $A3)</f>
        <v/>
      </c>
    </row>
    <row r="4">
      <c r="A4" s="8" t="inlineStr">
        <is>
          <t>Arthur Sayre</t>
        </is>
      </c>
      <c r="B4" s="8">
        <f>COUNTIF(MatchScoutingData!B$2:B$9991, $A4)</f>
        <v/>
      </c>
    </row>
    <row r="5">
      <c r="A5" s="8" t="inlineStr">
        <is>
          <t>Autumn Schoenfeld</t>
        </is>
      </c>
      <c r="B5" s="8">
        <f>COUNTIF(MatchScoutingData!B$2:B$9991, $A5)</f>
        <v/>
      </c>
    </row>
    <row r="6">
      <c r="A6" s="8" t="inlineStr">
        <is>
          <t>Caitlin Munier</t>
        </is>
      </c>
      <c r="B6" s="8">
        <f>COUNTIF(MatchScoutingData!B$2:B$9991, $A6)</f>
        <v/>
      </c>
    </row>
    <row r="7">
      <c r="A7" s="8" t="inlineStr">
        <is>
          <t>Carter Silva</t>
        </is>
      </c>
      <c r="B7" s="8">
        <f>COUNTIF(MatchScoutingData!B$2:B$9991, $A7)</f>
        <v/>
      </c>
    </row>
    <row r="8">
      <c r="A8" s="8" t="inlineStr">
        <is>
          <t>Celton Norter</t>
        </is>
      </c>
      <c r="B8" s="8">
        <f>COUNTIF(MatchScoutingData!B$2:B$9991, $A8)</f>
        <v/>
      </c>
    </row>
    <row r="9">
      <c r="A9" s="8" t="inlineStr">
        <is>
          <t>Colby Jackson</t>
        </is>
      </c>
      <c r="B9" s="8">
        <f>COUNTIF(MatchScoutingData!B$2:B$9991, $A9)</f>
        <v/>
      </c>
    </row>
    <row r="10">
      <c r="A10" s="8" t="inlineStr">
        <is>
          <t>Connor Rapp</t>
        </is>
      </c>
      <c r="B10" s="8">
        <f>COUNTIF(MatchScoutingData!B$2:B$9991, $A10)</f>
        <v/>
      </c>
    </row>
    <row r="11">
      <c r="A11" s="8" t="inlineStr">
        <is>
          <t>Dean Blanchard</t>
        </is>
      </c>
      <c r="B11" s="8">
        <f>COUNTIF(MatchScoutingData!B$2:B$9991, $A11)</f>
        <v/>
      </c>
    </row>
    <row r="12">
      <c r="A12" s="8" t="inlineStr">
        <is>
          <t>Domenic Giammusso</t>
        </is>
      </c>
      <c r="B12" s="8">
        <f>COUNTIF(MatchScoutingData!B$2:B$9991, $A12)</f>
        <v/>
      </c>
    </row>
    <row r="13">
      <c r="A13" s="8" t="inlineStr">
        <is>
          <t>Eli Harrison</t>
        </is>
      </c>
      <c r="B13" s="8">
        <f>COUNTIF(MatchScoutingData!B$2:B$9991, $A13)</f>
        <v/>
      </c>
    </row>
    <row r="14">
      <c r="A14" s="8" t="inlineStr">
        <is>
          <t>Ethan Stiffler</t>
        </is>
      </c>
      <c r="B14" s="8">
        <f>COUNTIF(MatchScoutingData!B$2:B$9991, $A14)</f>
        <v/>
      </c>
    </row>
    <row r="15">
      <c r="A15" s="8" t="inlineStr">
        <is>
          <t>Gianmarco D'Angelo</t>
        </is>
      </c>
      <c r="B15" s="8">
        <f>COUNTIF(MatchScoutingData!B$2:B$9991, $A15)</f>
        <v/>
      </c>
    </row>
    <row r="16">
      <c r="A16" s="8" t="inlineStr">
        <is>
          <t>Jonah WoikaKai Wilbur</t>
        </is>
      </c>
      <c r="B16" s="8">
        <f>COUNTIF(MatchScoutingData!B$2:B$9991, $A16)</f>
        <v/>
      </c>
    </row>
    <row r="17">
      <c r="A17" s="8" t="inlineStr">
        <is>
          <t>Madison DeCicca</t>
        </is>
      </c>
      <c r="B17" s="8">
        <f>COUNTIF(MatchScoutingData!B$2:B$9991, $A17)</f>
        <v/>
      </c>
    </row>
    <row r="18">
      <c r="A18" s="8" t="inlineStr">
        <is>
          <t>Matthew Mazzota</t>
        </is>
      </c>
      <c r="B18" s="8">
        <f>COUNTIF(MatchScoutingData!B$2:B$9991, $A18)</f>
        <v/>
      </c>
    </row>
    <row r="19">
      <c r="A19" s="8" t="inlineStr">
        <is>
          <t>Nathan DeVito</t>
        </is>
      </c>
      <c r="B19" s="8">
        <f>COUNTIF(MatchScoutingData!B$2:B$9991, $A19)</f>
        <v/>
      </c>
    </row>
    <row r="20">
      <c r="A20" s="8" t="inlineStr">
        <is>
          <t>Nicholas Munier</t>
        </is>
      </c>
      <c r="B20" s="8">
        <f>COUNTIF(MatchScoutingData!B$2:B$9991, $A20)</f>
        <v/>
      </c>
    </row>
    <row r="21">
      <c r="A21" s="8" t="inlineStr">
        <is>
          <t>Runa Hunt</t>
        </is>
      </c>
      <c r="B21" s="8">
        <f>COUNTIF(MatchScoutingData!B$2:B$9991, $A21)</f>
        <v/>
      </c>
    </row>
    <row r="22">
      <c r="A22" s="8" t="inlineStr">
        <is>
          <t xml:space="preserve">Ruth Christensen </t>
        </is>
      </c>
      <c r="B22" s="8">
        <f>COUNTIF(MatchScoutingData!B$2:B$9991, $A22)</f>
        <v/>
      </c>
    </row>
    <row r="23">
      <c r="A23" s="8" t="inlineStr">
        <is>
          <t xml:space="preserve">Tetra Ukav </t>
        </is>
      </c>
      <c r="B23" s="8">
        <f>COUNTIF(MatchScoutingData!B$2:B$9991, $A23)</f>
        <v/>
      </c>
    </row>
    <row r="24">
      <c r="A24" s="8" t="inlineStr">
        <is>
          <t xml:space="preserve">Tyler Hignett </t>
        </is>
      </c>
      <c r="B24" s="8">
        <f>COUNTIF(MatchScoutingData!B$2:B$9991, $A24)</f>
        <v/>
      </c>
    </row>
    <row r="25">
      <c r="A25" s="8" t="n">
        <v>0</v>
      </c>
      <c r="B25" s="8">
        <f>COUNTIF(MatchScoutingData!B$2:B$9991, $A25)</f>
        <v/>
      </c>
    </row>
    <row r="26">
      <c r="A26" s="8" t="n"/>
      <c r="B26" s="8">
        <f>COUNTIF(MatchScoutingData!B$2:B$9991, $A26)</f>
        <v/>
      </c>
    </row>
    <row r="27">
      <c r="A27" s="8" t="n"/>
      <c r="B27" s="8">
        <f>COUNTIF(MatchScoutingData!B$2:B$9991, $A27)</f>
        <v/>
      </c>
    </row>
    <row r="28">
      <c r="A28" s="8" t="n"/>
      <c r="B28" s="8">
        <f>COUNTIF(MatchScoutingData!B$2:B$9991, $A28)</f>
        <v/>
      </c>
    </row>
    <row r="29">
      <c r="A29" s="8" t="n"/>
      <c r="B29" s="8">
        <f>COUNTIF(MatchScoutingData!B$2:B$9991, $A29)</f>
        <v/>
      </c>
    </row>
    <row r="30">
      <c r="A30" s="8" t="n"/>
      <c r="B30" s="8">
        <f>COUNTIF(MatchScoutingData!B$2:B$9991, $A30)</f>
        <v/>
      </c>
    </row>
    <row r="31">
      <c r="A31" s="8" t="n"/>
      <c r="B31" s="8">
        <f>COUNTIF(MatchScoutingData!B$2:B$9991, $A31)</f>
        <v/>
      </c>
    </row>
    <row r="32">
      <c r="A32" s="8" t="n"/>
      <c r="B32" s="8">
        <f>COUNTIF(MatchScoutingData!B$2:B$9991, $A32)</f>
        <v/>
      </c>
    </row>
    <row r="33">
      <c r="A33" s="8" t="n"/>
      <c r="B33" s="8">
        <f>COUNTIF(MatchScoutingData!B$2:B$9991, $A33)</f>
        <v/>
      </c>
    </row>
    <row r="34">
      <c r="A34" s="8" t="n"/>
      <c r="B34" s="8">
        <f>COUNTIF(MatchScoutingData!B$2:B$9991, $A34)</f>
        <v/>
      </c>
    </row>
    <row r="35">
      <c r="A35" s="8" t="n"/>
      <c r="B35" s="8">
        <f>COUNTIF(MatchScoutingData!B$2:B$9991, $A35)</f>
        <v/>
      </c>
    </row>
    <row r="36">
      <c r="A36" s="8" t="n"/>
      <c r="B36" s="8">
        <f>COUNTIF(MatchScoutingData!B$2:B$9991, $A36)</f>
        <v/>
      </c>
    </row>
    <row r="37">
      <c r="A37" s="8" t="n"/>
      <c r="B37" s="8">
        <f>COUNTIF(MatchScoutingData!B$2:B$9991, $A37)</f>
        <v/>
      </c>
    </row>
    <row r="38">
      <c r="A38" s="8" t="n"/>
      <c r="B38" s="8">
        <f>COUNTIF(MatchScoutingData!B$2:B$9991, $A38)</f>
        <v/>
      </c>
    </row>
    <row r="39">
      <c r="A39" s="8" t="n"/>
      <c r="B39" s="8">
        <f>COUNTIF(MatchScoutingData!B$2:B$9991, $A39)</f>
        <v/>
      </c>
    </row>
    <row r="40">
      <c r="A40" s="8" t="n"/>
      <c r="B40" s="8">
        <f>COUNTIF(MatchScoutingData!B$2:B$9991, $A40)</f>
        <v/>
      </c>
    </row>
    <row r="41">
      <c r="A41" s="8" t="n"/>
      <c r="B41" s="8">
        <f>COUNTIF(MatchScoutingData!B$2:B$9991, $A41)</f>
        <v/>
      </c>
    </row>
    <row r="42">
      <c r="A42" s="8" t="n"/>
      <c r="B42" s="8">
        <f>COUNTIF(MatchScoutingData!B$2:B$9991, $A42)</f>
        <v/>
      </c>
    </row>
    <row r="43">
      <c r="A43" s="8" t="n"/>
      <c r="B43" s="8">
        <f>COUNTIF(MatchScoutingData!B$2:B$9991, $A43)</f>
        <v/>
      </c>
    </row>
    <row r="44">
      <c r="A44" s="8" t="n"/>
      <c r="B44" s="8">
        <f>COUNTIF(MatchScoutingData!B$2:B$9991, $A44)</f>
        <v/>
      </c>
    </row>
    <row r="45">
      <c r="A45" s="8" t="n"/>
      <c r="B45" s="8">
        <f>COUNTIF(MatchScoutingData!B$2:B$9991, $A45)</f>
        <v/>
      </c>
    </row>
    <row r="46">
      <c r="A46" s="8" t="n"/>
      <c r="B46" s="8">
        <f>COUNTIF(MatchScoutingData!B$2:B$9991, $A46)</f>
        <v/>
      </c>
    </row>
    <row r="47">
      <c r="A47" s="8" t="n"/>
      <c r="B47" s="8">
        <f>COUNTIF(MatchScoutingData!B$2:B$9991, $A47)</f>
        <v/>
      </c>
    </row>
    <row r="48">
      <c r="A48" s="8" t="n"/>
      <c r="B48" s="8">
        <f>COUNTIF(MatchScoutingData!B$2:B$9991, $A48)</f>
        <v/>
      </c>
    </row>
    <row r="49">
      <c r="A49" s="8" t="n"/>
      <c r="B49" s="8">
        <f>COUNTIF(MatchScoutingData!B$2:B$9991, $A49)</f>
        <v/>
      </c>
    </row>
    <row r="50">
      <c r="A50" s="8" t="n"/>
      <c r="B50" s="8">
        <f>COUNTIF(MatchScoutingData!B$2:B$9991, $A50)</f>
        <v/>
      </c>
    </row>
    <row r="51">
      <c r="A51" s="8" t="n"/>
      <c r="B51" s="8">
        <f>COUNTIF(MatchScoutingData!B$2:B$9991, $A51)</f>
        <v/>
      </c>
    </row>
    <row r="52">
      <c r="A52" s="8" t="n"/>
      <c r="B52" s="8">
        <f>COUNTIF(MatchScoutingData!B$2:B$9991, $A52)</f>
        <v/>
      </c>
    </row>
    <row r="53">
      <c r="A53" s="8" t="n"/>
      <c r="B53" s="8">
        <f>COUNTIF(MatchScoutingData!B$2:B$9991, $A53)</f>
        <v/>
      </c>
    </row>
    <row r="54">
      <c r="A54" s="8" t="n"/>
      <c r="B54" s="8">
        <f>COUNTIF(MatchScoutingData!B$2:B$9991, $A54)</f>
        <v/>
      </c>
    </row>
    <row r="55">
      <c r="A55" s="8" t="n"/>
      <c r="B55" s="8">
        <f>COUNTIF(MatchScoutingData!B$2:B$9991, $A55)</f>
        <v/>
      </c>
    </row>
    <row r="56">
      <c r="A56" s="8" t="n"/>
      <c r="B56" s="8">
        <f>COUNTIF(MatchScoutingData!B$2:B$9991, $A56)</f>
        <v/>
      </c>
    </row>
    <row r="57">
      <c r="A57" s="8" t="n"/>
      <c r="B57" s="8">
        <f>COUNTIF(MatchScoutingData!B$2:B$9991, $A57)</f>
        <v/>
      </c>
    </row>
    <row r="58">
      <c r="A58" s="8" t="n"/>
      <c r="B58" s="8">
        <f>COUNTIF(MatchScoutingData!B$2:B$9991, $A58)</f>
        <v/>
      </c>
    </row>
    <row r="59">
      <c r="A59" s="8" t="n"/>
      <c r="B59" s="8">
        <f>COUNTIF(MatchScoutingData!B$2:B$9991, $A59)</f>
        <v/>
      </c>
    </row>
    <row r="60">
      <c r="A60" s="8" t="n"/>
      <c r="B60" s="8">
        <f>COUNTIF(MatchScoutingData!B$2:B$9991, $A60)</f>
        <v/>
      </c>
    </row>
    <row r="61">
      <c r="A61" s="8" t="n"/>
      <c r="B61" s="8">
        <f>COUNTIF(MatchScoutingData!B$2:B$9991, $A61)</f>
        <v/>
      </c>
    </row>
    <row r="62">
      <c r="A62" s="8" t="n"/>
      <c r="B62" s="8">
        <f>COUNTIF(MatchScoutingData!B$2:B$9991, $A62)</f>
        <v/>
      </c>
    </row>
    <row r="63">
      <c r="A63" s="8" t="n"/>
      <c r="B63" s="8">
        <f>COUNTIF(MatchScoutingData!B$2:B$9991, $A63)</f>
        <v/>
      </c>
    </row>
    <row r="64">
      <c r="A64" s="8" t="n"/>
      <c r="B64" s="8">
        <f>COUNTIF(MatchScoutingData!B$2:B$9991, $A64)</f>
        <v/>
      </c>
    </row>
    <row r="65">
      <c r="A65" s="8" t="n"/>
      <c r="B65" s="8">
        <f>COUNTIF(MatchScoutingData!B$2:B$9991, $A65)</f>
        <v/>
      </c>
    </row>
    <row r="66">
      <c r="A66" s="8" t="n"/>
      <c r="B66" s="8">
        <f>COUNTIF(MatchScoutingData!B$2:B$9991, $A66)</f>
        <v/>
      </c>
    </row>
    <row r="67">
      <c r="A67" s="8" t="n"/>
      <c r="B67" s="8">
        <f>COUNTIF(MatchScoutingData!B$2:B$9991, $A67)</f>
        <v/>
      </c>
    </row>
    <row r="68">
      <c r="A68" s="8" t="n"/>
      <c r="B68" s="8">
        <f>COUNTIF(MatchScoutingData!B$2:B$9991, $A68)</f>
        <v/>
      </c>
    </row>
    <row r="69">
      <c r="A69" s="8" t="n"/>
      <c r="B69" s="8">
        <f>COUNTIF(MatchScoutingData!B$2:B$9991, $A69)</f>
        <v/>
      </c>
    </row>
    <row r="70">
      <c r="A70" s="8" t="n"/>
      <c r="B70" s="8">
        <f>COUNTIF(MatchScoutingData!B$2:B$9991, $A70)</f>
        <v/>
      </c>
    </row>
    <row r="71">
      <c r="A71" s="8" t="n"/>
      <c r="B71" s="8">
        <f>COUNTIF(MatchScoutingData!B$2:B$9991, $A71)</f>
        <v/>
      </c>
    </row>
    <row r="72">
      <c r="A72" s="8" t="n"/>
      <c r="B72" s="8">
        <f>COUNTIF(MatchScoutingData!B$2:B$9991, $A72)</f>
        <v/>
      </c>
    </row>
    <row r="73">
      <c r="A73" s="8" t="n"/>
      <c r="B73" s="8">
        <f>COUNTIF(MatchScoutingData!B$2:B$9991, $A73)</f>
        <v/>
      </c>
    </row>
    <row r="74">
      <c r="A74" s="8" t="n"/>
      <c r="B74" s="8">
        <f>COUNTIF(MatchScoutingData!B$2:B$9991, $A74)</f>
        <v/>
      </c>
    </row>
    <row r="75">
      <c r="A75" s="8" t="n"/>
      <c r="B75" s="8">
        <f>COUNTIF(MatchScoutingData!B$2:B$9991, $A75)</f>
        <v/>
      </c>
    </row>
    <row r="76">
      <c r="A76" s="8" t="n"/>
      <c r="B76" s="8">
        <f>COUNTIF(MatchScoutingData!B$2:B$9991, $A76)</f>
        <v/>
      </c>
    </row>
    <row r="77">
      <c r="A77" s="8" t="n"/>
      <c r="B77" s="8">
        <f>COUNTIF(MatchScoutingData!B$2:B$9991, $A77)</f>
        <v/>
      </c>
    </row>
    <row r="78">
      <c r="A78" s="8" t="n"/>
      <c r="B78" s="8">
        <f>COUNTIF(MatchScoutingData!B$2:B$9991, $A78)</f>
        <v/>
      </c>
    </row>
    <row r="79">
      <c r="A79" s="8" t="n"/>
      <c r="B79" s="8">
        <f>COUNTIF(MatchScoutingData!B$2:B$9991, $A79)</f>
        <v/>
      </c>
    </row>
    <row r="80">
      <c r="A80" s="8" t="n"/>
      <c r="B80" s="8">
        <f>COUNTIF(MatchScoutingData!B$2:B$9991, $A80)</f>
        <v/>
      </c>
    </row>
    <row r="81">
      <c r="A81" s="8" t="n"/>
      <c r="B81" s="8">
        <f>COUNTIF(MatchScoutingData!B$2:B$9991, $A81)</f>
        <v/>
      </c>
    </row>
    <row r="82">
      <c r="A82" s="8" t="n"/>
      <c r="B82" s="8">
        <f>COUNTIF(MatchScoutingData!B$2:B$9991, $A82)</f>
        <v/>
      </c>
    </row>
    <row r="83">
      <c r="A83" s="8" t="n"/>
      <c r="B83" s="8">
        <f>COUNTIF(MatchScoutingData!B$2:B$9991, $A83)</f>
        <v/>
      </c>
    </row>
    <row r="84">
      <c r="A84" s="8" t="n"/>
      <c r="B84" s="8">
        <f>COUNTIF(MatchScoutingData!B$2:B$9991, $A84)</f>
        <v/>
      </c>
    </row>
    <row r="85">
      <c r="A85" s="8" t="n"/>
      <c r="B85" s="8">
        <f>COUNTIF(MatchScoutingData!B$2:B$9991, $A85)</f>
        <v/>
      </c>
    </row>
    <row r="86">
      <c r="A86" s="8" t="n"/>
      <c r="B86" s="8">
        <f>COUNTIF(MatchScoutingData!B$2:B$9991, $A86)</f>
        <v/>
      </c>
    </row>
    <row r="87">
      <c r="A87" s="8" t="n"/>
      <c r="B87" s="8">
        <f>COUNTIF(MatchScoutingData!B$2:B$9991, $A87)</f>
        <v/>
      </c>
    </row>
    <row r="88">
      <c r="A88" s="8" t="n"/>
      <c r="B88" s="8">
        <f>COUNTIF(MatchScoutingData!B$2:B$9991, $A88)</f>
        <v/>
      </c>
    </row>
    <row r="89">
      <c r="A89" s="8" t="n"/>
      <c r="B89" s="8">
        <f>COUNTIF(MatchScoutingData!B$2:B$9991, $A89)</f>
        <v/>
      </c>
    </row>
    <row r="90">
      <c r="A90" s="8" t="n"/>
      <c r="B90" s="8">
        <f>COUNTIF(MatchScoutingData!B$2:B$9991, $A90)</f>
        <v/>
      </c>
    </row>
    <row r="91">
      <c r="A91" s="8" t="n"/>
      <c r="B91" s="8">
        <f>COUNTIF(MatchScoutingData!B$2:B$9991, $A91)</f>
        <v/>
      </c>
    </row>
    <row r="92">
      <c r="A92" s="8" t="n"/>
      <c r="B92" s="8">
        <f>COUNTIF(MatchScoutingData!B$2:B$9991, $A92)</f>
        <v/>
      </c>
    </row>
    <row r="93">
      <c r="A93" s="8" t="n"/>
      <c r="B93" s="8">
        <f>COUNTIF(MatchScoutingData!B$2:B$9991, $A93)</f>
        <v/>
      </c>
    </row>
    <row r="94">
      <c r="A94" s="8" t="n"/>
      <c r="B94" s="8">
        <f>COUNTIF(MatchScoutingData!B$2:B$9991, $A94)</f>
        <v/>
      </c>
    </row>
    <row r="95">
      <c r="A95" s="8" t="n"/>
      <c r="B95" s="8">
        <f>COUNTIF(MatchScoutingData!B$2:B$9991, $A95)</f>
        <v/>
      </c>
    </row>
    <row r="96">
      <c r="A96" s="8" t="n"/>
      <c r="B96" s="8">
        <f>COUNTIF(MatchScoutingData!B$2:B$9991, $A96)</f>
        <v/>
      </c>
    </row>
    <row r="97">
      <c r="A97" s="8" t="n"/>
      <c r="B97" s="8">
        <f>COUNTIF(MatchScoutingData!B$2:B$9991, $A97)</f>
        <v/>
      </c>
    </row>
    <row r="98">
      <c r="A98" s="8" t="n"/>
      <c r="B98" s="8">
        <f>COUNTIF(MatchScoutingData!B$2:B$9991, $A98)</f>
        <v/>
      </c>
    </row>
    <row r="99">
      <c r="A99" s="8" t="n"/>
      <c r="B99" s="8">
        <f>COUNTIF(MatchScoutingData!B$2:B$9991, $A99)</f>
        <v/>
      </c>
    </row>
    <row r="100">
      <c r="A100" s="8" t="n"/>
      <c r="B100" s="8">
        <f>COUNTIF(MatchScoutingData!B$2:B$9991, $A100)</f>
        <v/>
      </c>
    </row>
    <row r="101">
      <c r="A101" s="8" t="n"/>
      <c r="B101" s="8">
        <f>COUNTIF(MatchScoutingData!B$2:B$9991, $A101)</f>
        <v/>
      </c>
    </row>
  </sheetData>
  <autoFilter ref="A1:B10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150" zoomScaleNormal="150" workbookViewId="0">
      <selection activeCell="A2" sqref="A2"/>
    </sheetView>
  </sheetViews>
  <sheetFormatPr baseColWidth="10" defaultRowHeight="15" outlineLevelCol="0"/>
  <cols>
    <col width="18.83203125" customWidth="1" min="1" max="7"/>
  </cols>
  <sheetData>
    <row r="1" ht="16" customFormat="1" customHeight="1" s="7">
      <c r="A1" s="5" t="inlineStr">
        <is>
          <t>Team</t>
        </is>
      </c>
      <c r="B1" s="5" t="inlineStr">
        <is>
          <t>Auto Total</t>
        </is>
      </c>
      <c r="C1" s="5" t="inlineStr">
        <is>
          <t>Auto Average</t>
        </is>
      </c>
      <c r="D1" s="5" t="inlineStr">
        <is>
          <t>Teleop Total</t>
        </is>
      </c>
      <c r="E1" s="5" t="inlineStr">
        <is>
          <t>Teleop Average</t>
        </is>
      </c>
      <c r="F1" s="5" t="inlineStr">
        <is>
          <t>Endgame Total</t>
        </is>
      </c>
      <c r="G1" s="5" t="inlineStr">
        <is>
          <t>Endgame Average</t>
        </is>
      </c>
    </row>
    <row r="2">
      <c r="A2">
        <f>'Team Summary'!#REF!</f>
        <v/>
      </c>
      <c r="B2">
        <f>'Team Summary'!#REF!</f>
        <v/>
      </c>
      <c r="C2">
        <f>'Team Summary'!#REF!</f>
        <v/>
      </c>
      <c r="D2">
        <f>'Team Summary'!#REF!</f>
        <v/>
      </c>
      <c r="E2">
        <f>'Team Summary'!#REF!</f>
        <v/>
      </c>
      <c r="F2">
        <f>'Team Summary'!#REF!</f>
        <v/>
      </c>
      <c r="G2">
        <f>'Team Summary'!#REF!</f>
        <v/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2025-01-14T14:14:10Z</dcterms:created>
  <dcterms:modified xsi:type="dcterms:W3CDTF">2026-03-24T18:19:12Z</dcterms:modified>
  <cp:lastModifiedBy>John Hurrell</cp:lastModifiedBy>
</cp:coreProperties>
</file>