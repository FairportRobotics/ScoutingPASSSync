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ohnhurrell/Development/fairport-robotics/ScoutingPASSSync/tba/data/2026/2026ohmv/"/>
    </mc:Choice>
  </mc:AlternateContent>
  <xr:revisionPtr revIDLastSave="0" documentId="13_ncr:1_{9CE1A50A-5E74-2048-9004-B4922D41F6B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atchScoutingData" sheetId="1" r:id="rId1"/>
    <sheet name="Event" sheetId="2" r:id="rId2"/>
    <sheet name="Teams" sheetId="3" r:id="rId3"/>
    <sheet name="Matches" sheetId="4" r:id="rId4"/>
    <sheet name="Team Scores" sheetId="5" r:id="rId5"/>
    <sheet name="Team Summary" sheetId="9" r:id="rId6"/>
    <sheet name="PB Scouter Summary" sheetId="11" r:id="rId7"/>
    <sheet name="PB Team Summary" sheetId="10" r:id="rId8"/>
  </sheets>
  <definedNames>
    <definedName name="_xlnm._FilterDatabase" localSheetId="3" hidden="1">Matches!$A$1:$H$1</definedName>
    <definedName name="_xlnm._FilterDatabase" localSheetId="0" hidden="1">MatchScoutingData!$A$1:$AB$1</definedName>
    <definedName name="_xlnm._FilterDatabase" localSheetId="6" hidden="1">'PB Scouter Summary'!$A$1:$B$101</definedName>
    <definedName name="_xlnm._FilterDatabase" localSheetId="7" hidden="1">'PB Team Summary'!$A$1:$G$1</definedName>
    <definedName name="_xlnm._FilterDatabase" localSheetId="4" hidden="1">'Team Scores'!$A$2:$Z$2</definedName>
    <definedName name="_xlnm._FilterDatabase" localSheetId="5" hidden="1">'Team Summary'!$A$2:$AE$2</definedName>
    <definedName name="_xlnm._FilterDatabase" localSheetId="2" hidden="1">Teams!$A$1:$E$1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0" l="1"/>
  <c r="F2" i="10"/>
  <c r="E2" i="10"/>
  <c r="D2" i="10"/>
  <c r="C2" i="10"/>
  <c r="B2" i="10"/>
  <c r="A2" i="10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A2" i="11" a="1"/>
  <c r="B42" i="11" s="1"/>
  <c r="A2" i="11" l="1"/>
  <c r="B2" i="11" s="1"/>
  <c r="B28" i="11"/>
  <c r="B12" i="11"/>
  <c r="B41" i="11"/>
  <c r="B25" i="11"/>
  <c r="B9" i="11"/>
  <c r="B35" i="11"/>
  <c r="B19" i="11"/>
  <c r="B34" i="11"/>
  <c r="B18" i="11"/>
  <c r="B32" i="11"/>
  <c r="B16" i="11"/>
  <c r="B30" i="11"/>
  <c r="B14" i="11"/>
  <c r="B27" i="11"/>
  <c r="B11" i="11"/>
  <c r="B10" i="11"/>
  <c r="B40" i="11"/>
  <c r="B24" i="11"/>
  <c r="B8" i="11"/>
  <c r="B39" i="11"/>
  <c r="B23" i="11"/>
  <c r="B7" i="11"/>
  <c r="B38" i="11"/>
  <c r="B22" i="11"/>
  <c r="B6" i="11"/>
  <c r="B37" i="11"/>
  <c r="B21" i="11"/>
  <c r="B5" i="11"/>
  <c r="B36" i="11"/>
  <c r="B20" i="11"/>
  <c r="B13" i="11"/>
  <c r="B29" i="11"/>
  <c r="B15" i="11"/>
  <c r="B31" i="11"/>
  <c r="B17" i="11"/>
  <c r="B33" i="11"/>
  <c r="B26" i="11"/>
  <c r="B4" i="11"/>
  <c r="B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<sst xmlns="http://schemas.openxmlformats.org/spreadsheetml/2006/main" count="122" uniqueCount="82">
  <si>
    <t>Key</t>
  </si>
  <si>
    <t>Match</t>
  </si>
  <si>
    <t>Alliance</t>
  </si>
  <si>
    <t>Team</t>
  </si>
  <si>
    <t>Comments</t>
  </si>
  <si>
    <t>TBA Key</t>
  </si>
  <si>
    <t>FIRST Key</t>
  </si>
  <si>
    <t>Name</t>
  </si>
  <si>
    <t>Location</t>
  </si>
  <si>
    <t>Start Date</t>
  </si>
  <si>
    <t>Team Number</t>
  </si>
  <si>
    <t>Nickname</t>
  </si>
  <si>
    <t>School</t>
  </si>
  <si>
    <t>Rookie Year</t>
  </si>
  <si>
    <t>Start Time</t>
  </si>
  <si>
    <t>Auto</t>
  </si>
  <si>
    <t>Teleop</t>
  </si>
  <si>
    <t>Endgame</t>
  </si>
  <si>
    <t>Overall</t>
  </si>
  <si>
    <t>Auto Total</t>
  </si>
  <si>
    <t>Auto Average</t>
  </si>
  <si>
    <t>Teleop Total</t>
  </si>
  <si>
    <t>Teleop Average</t>
  </si>
  <si>
    <t>Endgame Total</t>
  </si>
  <si>
    <t>Endgame Average</t>
  </si>
  <si>
    <t>Scouter Name</t>
  </si>
  <si>
    <t>Match Count</t>
  </si>
  <si>
    <t>Scouter PIN</t>
  </si>
  <si>
    <t>Climbing Attempted</t>
  </si>
  <si>
    <t>Robot Reach Level 1</t>
  </si>
  <si>
    <t>Robot Move in Auto</t>
  </si>
  <si>
    <t>A-Stop Activated</t>
  </si>
  <si>
    <t>Total Fuel Scored</t>
  </si>
  <si>
    <t>Speed to Shoot Fuel</t>
  </si>
  <si>
    <t>Accuracy to Shoot Fuel</t>
  </si>
  <si>
    <t>Number of Fuel Collected</t>
  </si>
  <si>
    <t>Duirng Inactive, did Collect</t>
  </si>
  <si>
    <t>During Inactive, did Pass</t>
  </si>
  <si>
    <t>Collect from Alliance Zone</t>
  </si>
  <si>
    <t>Collect from Neutral Zone</t>
  </si>
  <si>
    <t>Was Intake Good</t>
  </si>
  <si>
    <t>Climb, Scucess, Level (Endgame)</t>
  </si>
  <si>
    <t>Defensive Whole Game</t>
  </si>
  <si>
    <t>Continue to Shoot Until End</t>
  </si>
  <si>
    <t>Grade Robot's Performance</t>
  </si>
  <si>
    <t>Result of Match (Postmatch)</t>
  </si>
  <si>
    <t>Energized Ranking Point</t>
  </si>
  <si>
    <t>Supercharged Ranking Point</t>
  </si>
  <si>
    <t>Traversal Ranking Point</t>
  </si>
  <si>
    <t>Total Points Scored</t>
  </si>
  <si>
    <t>Climbed</t>
  </si>
  <si>
    <t>Level 1</t>
  </si>
  <si>
    <t>Moved</t>
  </si>
  <si>
    <t>A-Stop</t>
  </si>
  <si>
    <t>Accuracy</t>
  </si>
  <si>
    <t>Fuel Collected</t>
  </si>
  <si>
    <t>Shoot Speed</t>
  </si>
  <si>
    <t>Collect Inactive</t>
  </si>
  <si>
    <t>Did Pass</t>
  </si>
  <si>
    <t>Collect Alliance Zone</t>
  </si>
  <si>
    <t>Collect Neutral Zone</t>
  </si>
  <si>
    <t>Climb Success</t>
  </si>
  <si>
    <t>Defense Whole Game</t>
  </si>
  <si>
    <t>Shoot to End</t>
  </si>
  <si>
    <t>Performance</t>
  </si>
  <si>
    <t>Energized Ranking</t>
  </si>
  <si>
    <t>Supercharged Ranking</t>
  </si>
  <si>
    <t>Traversal Ranking</t>
  </si>
  <si>
    <t>Total Points</t>
  </si>
  <si>
    <t>Shot from Same Position</t>
  </si>
  <si>
    <t>Fuel Scored</t>
  </si>
  <si>
    <t>Total Ranking Points</t>
  </si>
  <si>
    <t>Post Match</t>
  </si>
  <si>
    <t>Match Results</t>
  </si>
  <si>
    <t>Matches Scouted</t>
  </si>
  <si>
    <t>Complete</t>
  </si>
  <si>
    <t>Blue 1</t>
  </si>
  <si>
    <t>Blue 2</t>
  </si>
  <si>
    <t>Blue 3</t>
  </si>
  <si>
    <t>Red 1</t>
  </si>
  <si>
    <t>Red 2</t>
  </si>
  <si>
    <t>Red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</si>
</sst>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1"/>
      <name val="Calibri (Body)"/>
    </font>
    <font>
      <b/>
      <sz val="12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595959"/>
        <bgColor rgb="FF595959"/>
      </patternFill>
    </fill>
    <fill>
      <patternFill patternType="solid">
        <fgColor rgb="FF2471A3"/>
        <bgColor rgb="FF2471A3"/>
      </patternFill>
    </fill>
    <fill>
      <patternFill patternType="solid">
        <fgColor rgb="FFCB4335"/>
        <bgColor rgb="FFCB4335"/>
      </patternFill>
    </fill>
    <fill>
      <patternFill patternType="solid">
        <fgColor rgb="FFD68910"/>
        <bgColor rgb="FFD68910"/>
      </patternFill>
    </fill>
    <fill>
      <patternFill patternType="solid">
        <fgColor theme="1" tint="0.34998626667073579"/>
        <bgColor rgb="FFD68910"/>
      </patternFill>
    </fill>
    <fill>
      <patternFill patternType="solid">
        <fgColor rgb="FF00B050"/>
        <bgColor rgb="FF595959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left" textRotation="90"/>
    </xf>
    <xf numFmtId="0" fontId="5" fillId="0" borderId="0" xfId="0" applyFont="1"/>
    <xf numFmtId="164" fontId="0" fillId="0" borderId="0" xfId="0" applyNumberFormat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0" borderId="0" xfId="0" applyFont="1"/>
    <xf numFmtId="0" fontId="6" fillId="3" borderId="0" xfId="0" applyFont="1" applyFill="1" applyAlignment="1">
      <alignment horizontal="center" textRotation="90"/>
    </xf>
    <xf numFmtId="0" fontId="3" fillId="3" borderId="5" xfId="0" applyFont="1" applyFill="1" applyBorder="1" applyAlignment="1">
      <alignment horizontal="center" textRotation="90"/>
    </xf>
    <xf numFmtId="0" fontId="1" fillId="3" borderId="5" xfId="0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textRotation="90"/>
    </xf>
    <xf numFmtId="0" fontId="1" fillId="5" borderId="1" xfId="0" applyFont="1" applyFill="1" applyBorder="1" applyAlignment="1">
      <alignment horizontal="center" textRotation="90"/>
    </xf>
    <xf numFmtId="0" fontId="1" fillId="6" borderId="1" xfId="0" applyFont="1" applyFill="1" applyBorder="1" applyAlignment="1">
      <alignment horizontal="center" textRotation="90"/>
    </xf>
    <xf numFmtId="0" fontId="1" fillId="2" borderId="0" xfId="0" applyFont="1" applyFill="1" applyAlignment="1">
      <alignment horizontal="center" textRotation="90"/>
    </xf>
    <xf numFmtId="0" fontId="1" fillId="3" borderId="0" xfId="0" applyFont="1" applyFill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0" fontId="1" fillId="8" borderId="1" xfId="0" applyFont="1" applyFill="1" applyBorder="1" applyAlignment="1">
      <alignment horizontal="center" textRotation="90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D09996"/>
          <bgColor rgb="FFD09996"/>
        </patternFill>
      </fill>
    </dxf>
    <dxf>
      <fill>
        <patternFill patternType="solid">
          <fgColor rgb="FFC8D6A1"/>
          <bgColor rgb="FFC8D6A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2"/>
  <sheetViews>
    <sheetView tabSelected="1" zoomScale="150" zoomScaleNormal="15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sheetData>
    <row r="1" spans="1:29" ht="125" customHeight="1" x14ac:dyDescent="0.2">
      <c r="A1" s="12" t="s">
        <v>0</v>
      </c>
      <c r="B1" s="12" t="s">
        <v>27</v>
      </c>
      <c r="C1" s="12" t="s">
        <v>1</v>
      </c>
      <c r="D1" s="12" t="s">
        <v>2</v>
      </c>
      <c r="E1" s="12" t="s">
        <v>3</v>
      </c>
      <c r="F1" s="12" t="s">
        <v>28</v>
      </c>
      <c r="G1" s="12" t="s">
        <v>29</v>
      </c>
      <c r="H1" s="12" t="s">
        <v>30</v>
      </c>
      <c r="I1" s="12" t="s">
        <v>31</v>
      </c>
      <c r="J1" s="12" t="s">
        <v>32</v>
      </c>
      <c r="K1" s="12" t="s">
        <v>33</v>
      </c>
      <c r="L1" s="12" t="s">
        <v>34</v>
      </c>
      <c r="M1" s="12" t="s">
        <v>35</v>
      </c>
      <c r="N1" s="12" t="s">
        <v>36</v>
      </c>
      <c r="O1" s="12" t="s">
        <v>37</v>
      </c>
      <c r="P1" s="12" t="s">
        <v>38</v>
      </c>
      <c r="Q1" s="12" t="s">
        <v>39</v>
      </c>
      <c r="R1" s="12" t="s">
        <v>40</v>
      </c>
      <c r="S1" s="12" t="s">
        <v>41</v>
      </c>
      <c r="T1" s="12" t="s">
        <v>42</v>
      </c>
      <c r="U1" s="12" t="s">
        <v>69</v>
      </c>
      <c r="V1" s="12" t="s">
        <v>43</v>
      </c>
      <c r="W1" s="12" t="s">
        <v>44</v>
      </c>
      <c r="X1" s="12" t="s">
        <v>45</v>
      </c>
      <c r="Y1" s="12" t="s">
        <v>46</v>
      </c>
      <c r="Z1" s="12" t="s">
        <v>47</v>
      </c>
      <c r="AA1" s="12" t="s">
        <v>48</v>
      </c>
      <c r="AB1" s="12" t="s">
        <v>49</v>
      </c>
      <c r="AC1" s="12" t="s">
        <v>4</v>
      </c>
    </row>
    <row r="2" spans="1:29" ht="16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9" ht="16" customHeight="1" x14ac:dyDescent="0.2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29" ht="16" customHeight="1" x14ac:dyDescent="0.2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29" ht="16" customHeight="1" x14ac:dyDescent="0.2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29" ht="16" customHeight="1" x14ac:dyDescent="0.2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29" ht="16" customHeight="1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9" ht="16" customHeight="1" x14ac:dyDescent="0.2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29" ht="16" customHeight="1" x14ac:dyDescent="0.2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29" ht="16" customHeight="1" x14ac:dyDescent="0.2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29" ht="16" customHeight="1" x14ac:dyDescent="0.2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29" ht="16" customHeight="1" x14ac:dyDescent="0.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29" ht="16" customHeight="1" x14ac:dyDescent="0.2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29" ht="16" customHeight="1" x14ac:dyDescent="0.2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29" ht="16" customHeight="1" x14ac:dyDescent="0.2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29" ht="16" customHeight="1" x14ac:dyDescent="0.2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6" customHeight="1" x14ac:dyDescent="0.2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6" customHeight="1" x14ac:dyDescent="0.2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6" customHeight="1" x14ac:dyDescent="0.2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6" customHeight="1" x14ac:dyDescent="0.2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6" customHeight="1" x14ac:dyDescent="0.2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6" customHeight="1" x14ac:dyDescent="0.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6" customHeight="1" x14ac:dyDescent="0.2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6" customHeight="1" x14ac:dyDescent="0.2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6" customHeight="1" x14ac:dyDescent="0.2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6" customHeight="1" x14ac:dyDescent="0.2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6" customHeight="1" x14ac:dyDescent="0.2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6" customHeight="1" x14ac:dyDescent="0.2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6" customHeight="1" x14ac:dyDescent="0.2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6" customHeight="1" x14ac:dyDescent="0.2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6" customHeight="1" x14ac:dyDescent="0.2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6" customHeight="1" x14ac:dyDescent="0.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6" customHeight="1" x14ac:dyDescent="0.2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6" customHeight="1" x14ac:dyDescent="0.2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6" customHeight="1" x14ac:dyDescent="0.2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6" customHeight="1" x14ac:dyDescent="0.2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6" customHeight="1" x14ac:dyDescent="0.2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6" customHeight="1" x14ac:dyDescent="0.2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6" customHeight="1" x14ac:dyDescent="0.2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6" customHeight="1" x14ac:dyDescent="0.2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6" customHeight="1" x14ac:dyDescent="0.2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6" customHeight="1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6" customHeight="1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6" customHeight="1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6" customHeight="1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6" customHeight="1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6" customHeight="1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6" customHeight="1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6" customHeight="1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6" customHeight="1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6" customHeight="1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6" customHeight="1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6" customHeight="1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6" customHeight="1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6" customHeight="1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6" customHeight="1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6" customHeight="1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6" customHeight="1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6" customHeight="1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6" customHeight="1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6" customHeight="1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6" customHeight="1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6" customHeigh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6" customHeight="1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6" customHeight="1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6" customHeight="1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6" customHeight="1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6" customHeight="1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6" customHeight="1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6" customHeight="1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6" customHeight="1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6" customHeight="1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6" customHeight="1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6" customHeight="1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6" customHeight="1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6" customHeight="1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6" customHeight="1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6" customHeight="1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6" customHeight="1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6" customHeight="1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6" customHeight="1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6" customHeight="1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6" customHeight="1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6" customHeight="1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6" customHeight="1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6" customHeight="1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6" customHeight="1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6" customHeight="1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6" customHeight="1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6" customHeight="1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6" customHeight="1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6" customHeight="1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6" customHeight="1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6" customHeight="1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6" customHeight="1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6" customHeight="1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6" customHeight="1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6" customHeight="1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6" customHeight="1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6" customHeight="1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6" customHeight="1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6" customHeight="1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6" customHeight="1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6" customHeight="1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6" customHeight="1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6" customHeight="1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6" customHeight="1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6" customHeight="1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6" customHeight="1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6" customHeight="1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6" customHeight="1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6" customHeight="1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6" customHeight="1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6" customHeight="1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6" customHeight="1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6" customHeight="1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6" customHeight="1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6" customHeight="1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6" customHeight="1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6" customHeight="1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6" customHeight="1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6" customHeight="1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6" customHeight="1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6" customHeight="1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6" customHeight="1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6" customHeight="1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6" customHeight="1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6" customHeight="1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6" customHeight="1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6" customHeight="1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6" customHeight="1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6" customHeight="1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6" customHeight="1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6" customHeight="1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6" customHeight="1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6" customHeight="1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6" customHeight="1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6" customHeight="1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6" customHeight="1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6" customHeight="1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6" customHeight="1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6" customHeight="1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6" customHeight="1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6" customHeight="1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6" customHeight="1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6" customHeight="1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6" customHeight="1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6" customHeight="1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6" customHeight="1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6" customHeight="1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6" customHeight="1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6" customHeight="1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6" customHeight="1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6" customHeight="1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6" customHeight="1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6" customHeight="1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6" customHeight="1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6" customHeight="1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6" customHeight="1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6" customHeight="1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6" customHeight="1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6" customHeight="1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6" customHeight="1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6" customHeight="1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6" customHeight="1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6" customHeight="1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6" customHeight="1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6" customHeight="1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6" customHeight="1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6" customHeight="1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6" customHeight="1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6" customHeight="1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6" customHeight="1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6" customHeight="1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6" customHeight="1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6" customHeight="1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6" customHeight="1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6" customHeight="1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6" customHeight="1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6" customHeight="1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6" customHeight="1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6" customHeight="1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6" customHeight="1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6" customHeight="1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6" customHeight="1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6" customHeight="1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6" customHeight="1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6" customHeight="1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6" customHeight="1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6" customHeight="1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6" customHeight="1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6" customHeight="1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6" customHeight="1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6" customHeight="1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6" customHeight="1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6" customHeight="1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6" customHeight="1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6" customHeight="1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6" customHeight="1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6" customHeight="1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6" customHeight="1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6" customHeight="1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6" customHeight="1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6" customHeight="1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6" customHeight="1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6" customHeight="1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6" customHeight="1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6" customHeight="1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6" customHeight="1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6" customHeight="1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6" customHeight="1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6" customHeight="1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6" customHeight="1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6" customHeight="1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6" customHeight="1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6" customHeight="1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6" customHeight="1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6" customHeight="1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6" customHeight="1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6" customHeight="1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6" customHeight="1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6" customHeight="1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6" customHeight="1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6" customHeight="1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6" customHeight="1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6" customHeight="1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6" customHeight="1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6" customHeight="1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6" customHeight="1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6" customHeight="1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6" customHeight="1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6" customHeight="1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6" customHeight="1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6" customHeight="1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6" customHeight="1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6" customHeight="1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6" customHeight="1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6" customHeight="1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6" customHeight="1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6" customHeight="1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6" customHeight="1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6" customHeight="1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6" customHeight="1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6" customHeight="1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6" customHeight="1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6" customHeight="1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6" customHeight="1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6" customHeight="1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6" customHeight="1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6" customHeight="1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6" customHeight="1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6" customHeight="1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6" customHeight="1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6" customHeight="1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6" customHeight="1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6" customHeight="1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6" customHeight="1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6" customHeight="1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6" customHeight="1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6" customHeight="1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6" customHeight="1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6" customHeight="1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6" customHeight="1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6" customHeight="1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6" customHeight="1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6" customHeight="1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6" customHeight="1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6" customHeight="1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6" customHeight="1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6" customHeight="1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6" customHeight="1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6" customHeight="1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6" customHeight="1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6" customHeight="1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6" customHeight="1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6" customHeight="1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6" customHeight="1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6" customHeight="1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6" customHeight="1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6" customHeight="1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6" customHeight="1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6" customHeight="1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6" customHeight="1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6" customHeight="1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6" customHeight="1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6" customHeight="1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6" customHeight="1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6" customHeight="1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6" customHeight="1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6" customHeight="1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6" customHeight="1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6" customHeight="1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6" customHeight="1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6" customHeight="1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6" customHeight="1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6" customHeight="1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6" customHeight="1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6" customHeight="1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6" customHeight="1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6" customHeight="1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6" customHeight="1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6" customHeight="1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6" customHeight="1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6" customHeight="1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6" customHeight="1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6" customHeight="1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6" customHeight="1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6" customHeight="1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6" customHeight="1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6" customHeight="1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6" customHeight="1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6" customHeight="1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6" customHeight="1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6" customHeight="1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6" customHeight="1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6" customHeight="1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6" customHeight="1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6" customHeight="1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6" customHeight="1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6" customHeight="1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6" customHeight="1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6" customHeight="1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6" customHeight="1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6" customHeight="1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6" customHeight="1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6" customHeight="1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6" customHeight="1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6" customHeight="1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6" customHeight="1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6" customHeight="1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6" customHeight="1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6" customHeight="1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6" customHeight="1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6" customHeight="1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6" customHeight="1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6" customHeight="1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6" customHeight="1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6" customHeight="1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6" customHeight="1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6" customHeight="1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6" customHeight="1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6" customHeight="1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6" customHeight="1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6" customHeight="1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6" customHeight="1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6" customHeight="1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6" customHeight="1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6" customHeight="1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6" customHeight="1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6" customHeight="1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6" customHeight="1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6" customHeight="1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6" customHeight="1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6" customHeight="1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6" customHeight="1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6" customHeight="1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6" customHeight="1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6" customHeight="1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6" customHeight="1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6" customHeight="1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6" customHeight="1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6" customHeight="1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6" customHeight="1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6" customHeight="1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6" customHeight="1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6" customHeight="1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6" customHeight="1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6" customHeight="1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6" customHeight="1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6" customHeight="1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6" customHeight="1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6" customHeight="1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6" customHeight="1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6" customHeight="1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6" customHeight="1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6" customHeight="1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6" customHeight="1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6" customHeight="1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6" customHeight="1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6" customHeight="1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6" customHeight="1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6" customHeight="1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6" customHeight="1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6" customHeight="1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6" customHeight="1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6" customHeight="1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6" customHeight="1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6" customHeight="1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6" customHeight="1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6" customHeight="1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6" customHeight="1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6" customHeight="1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6" customHeight="1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6" customHeight="1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6" customHeight="1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6" customHeight="1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6" customHeight="1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6" customHeight="1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6" customHeight="1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6" customHeight="1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6" customHeight="1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6" customHeight="1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6" customHeight="1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6" customHeight="1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6" customHeight="1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6" customHeight="1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6" customHeight="1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6" customHeight="1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6" customHeight="1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6" customHeight="1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6" customHeight="1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6" customHeight="1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6" customHeight="1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6" customHeight="1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6" customHeight="1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6" customHeight="1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6" customHeight="1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6" customHeight="1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6" customHeight="1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6" customHeight="1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6" customHeight="1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6" customHeight="1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6" customHeight="1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6" customHeight="1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6" customHeight="1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6" customHeight="1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6" customHeight="1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6" customHeight="1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6" customHeight="1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6" customHeight="1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6" customHeight="1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6" customHeight="1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6" customHeight="1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6" customHeight="1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6" customHeight="1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6" customHeight="1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6" customHeight="1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6" customHeight="1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6" customHeight="1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6" customHeight="1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6" customHeight="1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6" customHeight="1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6" customHeight="1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6" customHeight="1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6" customHeight="1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6" customHeight="1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6" customHeight="1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6" customHeight="1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6" customHeight="1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6" customHeight="1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6" customHeight="1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6" customHeight="1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6" customHeight="1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6" customHeight="1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6" customHeight="1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6" customHeight="1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6" customHeight="1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6" customHeight="1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6" customHeight="1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6" customHeight="1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6" customHeight="1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6" customHeight="1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6" customHeight="1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6" customHeight="1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6" customHeight="1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6" customHeight="1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6" customHeight="1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6" customHeight="1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6" customHeight="1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6" customHeight="1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6" customHeight="1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6" customHeight="1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6" customHeight="1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6" customHeight="1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6" customHeight="1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6" customHeight="1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6" customHeight="1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6" customHeight="1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6" customHeight="1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6" customHeight="1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6" customHeight="1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6" customHeight="1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6" customHeight="1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6" customHeight="1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6" customHeight="1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6" customHeight="1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6" customHeight="1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6" customHeight="1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6" customHeight="1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6" customHeight="1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6" customHeight="1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6" customHeight="1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6" customHeight="1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6" customHeight="1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6" customHeight="1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6" customHeight="1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6" customHeight="1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6" customHeight="1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6" customHeight="1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6" customHeight="1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6" customHeight="1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6" customHeight="1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6" customHeight="1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6" customHeight="1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6" customHeight="1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6" customHeight="1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6" customHeight="1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6" customHeight="1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6" customHeight="1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6" customHeight="1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6" customHeight="1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6" customHeight="1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6" customHeight="1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6" customHeight="1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6" customHeight="1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6" customHeight="1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6" customHeight="1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6" customHeight="1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6" customHeight="1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6" customHeight="1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6" customHeight="1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6" customHeight="1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6" customHeight="1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6" customHeight="1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6" customHeight="1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6" customHeight="1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6" customHeight="1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6" customHeight="1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6" customHeight="1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6" customHeight="1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6" customHeight="1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6" customHeight="1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6" customHeight="1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6" customHeight="1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6" customHeight="1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6" customHeight="1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6" customHeight="1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6" customHeight="1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6" customHeight="1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6" customHeight="1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6" customHeight="1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6" customHeight="1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6" customHeight="1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6" customHeight="1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6" customHeigh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6" customHeight="1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6" customHeight="1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6" customHeight="1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6" customHeight="1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6" customHeight="1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6" customHeight="1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6" customHeight="1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6" customHeight="1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6" customHeight="1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6" customHeight="1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6" customHeight="1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6" customHeight="1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6" customHeight="1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6" customHeight="1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6" customHeigh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6" customHeigh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6" customHeight="1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6" customHeight="1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6" customHeight="1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6" customHeigh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6" customHeight="1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6" customHeight="1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6" customHeight="1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6" customHeigh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6" customHeight="1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6" customHeight="1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6" customHeight="1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6" customHeight="1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6" customHeight="1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6" customHeight="1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6" customHeight="1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6" customHeight="1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6" customHeight="1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6" customHeight="1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6" customHeight="1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6" customHeight="1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6" customHeight="1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6" customHeight="1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6" customHeight="1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6" customHeight="1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6" customHeight="1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6" customHeight="1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6" customHeight="1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6" customHeight="1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6" customHeight="1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6" customHeight="1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6" customHeight="1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6" customHeight="1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6" customHeight="1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6" customHeight="1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6" customHeight="1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6" customHeight="1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6" customHeight="1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6" customHeight="1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6" customHeight="1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6" customHeight="1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6" customHeight="1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6" customHeight="1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6" customHeight="1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6" customHeight="1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6" customHeight="1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6" customHeight="1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6" customHeight="1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6" customHeight="1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6" customHeight="1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6" customHeight="1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6" customHeight="1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6" customHeight="1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6" customHeight="1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6" customHeight="1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6" customHeight="1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6" customHeight="1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6" customHeight="1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6" customHeight="1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6" customHeight="1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6" customHeight="1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6" customHeight="1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6" customHeight="1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6" customHeight="1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6" customHeight="1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6" customHeight="1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6" customHeight="1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6" customHeight="1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6" customHeight="1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6" customHeight="1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6" customHeight="1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6" customHeight="1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6" customHeight="1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6" customHeight="1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6" customHeight="1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6" customHeight="1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6" customHeight="1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6" customHeight="1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6" customHeight="1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6" customHeight="1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6" customHeigh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6" customHeight="1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6" customHeight="1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6" customHeight="1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6" customHeight="1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6" customHeight="1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6" customHeight="1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6" customHeight="1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6" customHeight="1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6" customHeight="1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6" customHeight="1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6" customHeight="1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6" customHeight="1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6" customHeight="1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6" customHeight="1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6" customHeight="1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6" customHeight="1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6" customHeight="1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6" customHeight="1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6" customHeight="1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6" customHeight="1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6" customHeight="1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6" customHeight="1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6" customHeight="1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6" customHeight="1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6" customHeight="1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6" customHeight="1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6" customHeight="1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6" customHeight="1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6" customHeight="1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6" customHeight="1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6" customHeight="1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6" customHeight="1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6" customHeight="1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6" customHeight="1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6" customHeight="1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6" customHeight="1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6" customHeight="1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6" customHeight="1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6" customHeight="1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6" customHeight="1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6" customHeight="1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6" customHeight="1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6" customHeight="1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6" customHeight="1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6" customHeight="1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6" customHeight="1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6" customHeight="1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6" customHeight="1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6" customHeight="1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6" customHeight="1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6" customHeight="1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6" customHeight="1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6" customHeight="1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6" customHeight="1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6" customHeight="1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6" customHeight="1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6" customHeight="1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6" customHeight="1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6" customHeight="1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6" customHeight="1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6" customHeight="1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6" customHeight="1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6" customHeight="1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6" customHeight="1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6" customHeight="1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6" customHeight="1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6" customHeight="1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6" customHeight="1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6" customHeight="1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6" customHeight="1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6" customHeight="1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6" customHeight="1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6" customHeight="1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6" customHeight="1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6" customHeight="1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6" customHeight="1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6" customHeight="1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6" customHeight="1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6" customHeight="1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6" customHeight="1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6" customHeight="1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6" customHeight="1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6" customHeight="1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6" customHeight="1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6" customHeight="1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6" customHeight="1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6" customHeight="1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6" customHeight="1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6" customHeight="1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6" customHeight="1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6" customHeight="1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6" customHeight="1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6" customHeight="1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6" customHeight="1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6" customHeight="1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6" customHeight="1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6" customHeight="1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6" customHeight="1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6" customHeight="1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6" customHeight="1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6" customHeight="1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6" customHeight="1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6" customHeight="1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6" customHeight="1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6" customHeight="1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6" customHeight="1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6" customHeight="1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6" customHeight="1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6" customHeight="1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6" customHeight="1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6" customHeight="1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6" customHeight="1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6" customHeight="1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6" customHeight="1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6" customHeight="1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6" customHeight="1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6" customHeight="1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6" customHeight="1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6" customHeight="1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6" customHeight="1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6" customHeight="1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6" customHeight="1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6" customHeight="1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6" customHeight="1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6" customHeight="1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6" customHeight="1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6" customHeight="1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6" customHeight="1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6" customHeight="1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6" customHeight="1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6" customHeight="1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6" customHeight="1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6" customHeight="1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6" customHeight="1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6" customHeight="1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6" customHeight="1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6" customHeight="1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6" customHeight="1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6" customHeight="1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6" customHeight="1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6" customHeight="1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6" customHeight="1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6" customHeight="1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6" customHeight="1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6" customHeight="1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6" customHeight="1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6" customHeight="1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6" customHeight="1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6" customHeight="1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6" customHeight="1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6" customHeight="1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6" customHeight="1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6" customHeight="1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6" customHeight="1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6" customHeight="1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6" customHeight="1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6" customHeight="1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6" customHeight="1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6" customHeight="1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6" customHeight="1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6" customHeight="1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6" customHeight="1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6" customHeight="1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6" customHeight="1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6" customHeight="1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6" customHeight="1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6" customHeight="1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6" customHeight="1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6" customHeight="1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6" customHeight="1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6" customHeight="1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6" customHeight="1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6" customHeight="1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6" customHeight="1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6" customHeight="1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6" customHeight="1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6" customHeight="1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6" customHeight="1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6" customHeight="1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6" customHeight="1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6" customHeight="1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6" customHeight="1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6" customHeight="1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6" customHeight="1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6" customHeight="1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6" customHeight="1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6" customHeight="1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6" customHeight="1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6" customHeight="1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6" customHeight="1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6" customHeight="1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6" customHeight="1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6" customHeight="1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6" customHeight="1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6" customHeight="1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6" customHeight="1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6" customHeight="1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6" customHeight="1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6" customHeight="1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6" customHeight="1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6" customHeight="1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6" customHeight="1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6" customHeight="1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6" customHeight="1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6" customHeight="1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6" customHeight="1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6" customHeight="1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6" customHeight="1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6" customHeight="1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6" customHeight="1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6" customHeight="1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6" customHeight="1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6" customHeight="1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6" customHeight="1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6" customHeight="1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6" customHeight="1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6" customHeight="1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6" customHeight="1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6" customHeight="1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6" customHeight="1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6" customHeight="1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6" customHeight="1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6" customHeight="1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6" customHeight="1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6" customHeight="1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6" customHeight="1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6" customHeight="1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6" customHeight="1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6" customHeight="1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6" customHeight="1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6" customHeight="1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6" customHeight="1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6" customHeight="1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6" customHeight="1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6" customHeight="1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6" customHeight="1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6" customHeight="1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6" customHeight="1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6" customHeight="1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6" customHeight="1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6" customHeight="1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6" customHeight="1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6" customHeight="1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6" customHeight="1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6" customHeight="1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6" customHeight="1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6" customHeight="1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6" customHeight="1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6" customHeight="1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6" customHeight="1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6" customHeight="1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6" customHeight="1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6" customHeight="1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6" customHeight="1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6" customHeight="1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6" customHeight="1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6" customHeight="1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6" customHeight="1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6" customHeight="1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6" customHeight="1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6" customHeight="1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6" customHeight="1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6" customHeight="1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6" customHeight="1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6" customHeight="1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6" customHeight="1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6" customHeight="1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6" customHeight="1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6" customHeight="1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6" customHeight="1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6" customHeight="1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6" customHeight="1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6" customHeight="1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6" customHeight="1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6" customHeight="1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6" customHeight="1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6" customHeight="1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6" customHeight="1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6" customHeight="1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6" customHeight="1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6" customHeight="1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6" customHeight="1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6" customHeight="1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6" customHeight="1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6" customHeight="1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6" customHeight="1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6" customHeight="1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6" customHeight="1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6" customHeight="1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6" customHeight="1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6" customHeight="1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6" customHeight="1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6" customHeight="1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6" customHeight="1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6" customHeight="1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6" customHeight="1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6" customHeight="1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6" customHeight="1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6" customHeight="1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6" customHeight="1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6" customHeight="1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6" customHeight="1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6" customHeight="1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6" customHeight="1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6" customHeight="1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6" customHeight="1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6" customHeight="1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6" customHeight="1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6" customHeight="1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6" customHeight="1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6" customHeight="1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6" customHeight="1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6" customHeight="1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6" customHeight="1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6" customHeight="1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6" customHeight="1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6" customHeight="1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6" customHeight="1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6" customHeight="1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6" customHeight="1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6" customHeight="1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6" customHeight="1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6" customHeight="1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6" customHeight="1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6" customHeight="1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6" customHeight="1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6" customHeight="1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6" customHeight="1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6" customHeight="1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6" customHeight="1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6" customHeight="1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6" customHeight="1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6" customHeight="1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6" customHeight="1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6" customHeight="1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6" customHeight="1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6" customHeight="1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6" customHeight="1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6" customHeight="1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6" customHeight="1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6" customHeight="1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6" customHeight="1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6" customHeight="1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6" customHeight="1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6" customHeight="1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6" customHeight="1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6" customHeight="1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6" customHeight="1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6" customHeight="1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6" customHeight="1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6" customHeight="1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</sheetData>
  <autoFilter ref="A1:AI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50" zoomScaleNormal="150" workbookViewId="0">
      <selection activeCell="B1" sqref="B1"/>
    </sheetView>
  </sheetViews>
  <sheetFormatPr baseColWidth="10" defaultColWidth="8.83203125" defaultRowHeight="15" x14ac:dyDescent="0.2"/>
  <cols>
    <col min="1" max="1" width="15" customWidth="1"/>
    <col min="2" max="2" width="50" customWidth="1"/>
  </cols>
  <sheetData>
    <row r="1" spans="1:2" ht="16" x14ac:dyDescent="0.2">
      <c r="A1" s="3" t="s">
        <v>5</v>
      </c>
      <c r="B1" s="4"/>
    </row>
    <row r="2" spans="1:2" ht="16" x14ac:dyDescent="0.2">
      <c r="A2" s="3" t="s">
        <v>6</v>
      </c>
      <c r="B2" s="4"/>
    </row>
    <row r="3" spans="1:2" ht="16" x14ac:dyDescent="0.2">
      <c r="A3" s="3" t="s">
        <v>7</v>
      </c>
      <c r="B3" s="4"/>
    </row>
    <row r="4" spans="1:2" ht="16" x14ac:dyDescent="0.2">
      <c r="A4" s="3" t="s">
        <v>8</v>
      </c>
      <c r="B4" s="4"/>
    </row>
    <row r="5" spans="1:2" ht="16" x14ac:dyDescent="0.2">
      <c r="A5" s="3" t="s">
        <v>9</v>
      </c>
      <c r="B5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2"/>
  <sheetViews>
    <sheetView zoomScale="150" zoomScaleNormal="15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.5" customWidth="1"/>
    <col min="2" max="2" width="35" customWidth="1"/>
    <col min="3" max="3" width="50" customWidth="1"/>
    <col min="4" max="4" width="20" customWidth="1"/>
    <col min="5" max="5" width="15" customWidth="1"/>
  </cols>
  <sheetData>
    <row r="1" spans="1:31" ht="20" customHeight="1" x14ac:dyDescent="0.2">
      <c r="A1" s="5" t="s">
        <v>10</v>
      </c>
      <c r="B1" s="5" t="s">
        <v>11</v>
      </c>
      <c r="C1" s="5" t="s">
        <v>12</v>
      </c>
      <c r="D1" s="5" t="s">
        <v>13</v>
      </c>
      <c r="E1" s="5" t="s">
        <v>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6" x14ac:dyDescent="0.2">
      <c r="A2" s="4"/>
    </row>
    <row r="3" spans="1:31" ht="16" x14ac:dyDescent="0.2">
      <c r="A3" s="4"/>
    </row>
    <row r="4" spans="1:31" ht="16" x14ac:dyDescent="0.2">
      <c r="A4" s="4"/>
    </row>
    <row r="5" spans="1:31" ht="16" x14ac:dyDescent="0.2">
      <c r="A5" s="4"/>
    </row>
    <row r="6" spans="1:31" ht="16" x14ac:dyDescent="0.2">
      <c r="A6" s="4"/>
    </row>
    <row r="7" spans="1:31" ht="16" x14ac:dyDescent="0.2">
      <c r="A7" s="4"/>
    </row>
    <row r="8" spans="1:31" ht="16" x14ac:dyDescent="0.2">
      <c r="A8" s="4"/>
    </row>
    <row r="9" spans="1:31" ht="16" x14ac:dyDescent="0.2">
      <c r="A9" s="4"/>
    </row>
    <row r="10" spans="1:31" ht="16" x14ac:dyDescent="0.2">
      <c r="A10" s="4"/>
    </row>
    <row r="11" spans="1:31" ht="16" x14ac:dyDescent="0.2">
      <c r="A11" s="4"/>
    </row>
    <row r="12" spans="1:31" ht="16" x14ac:dyDescent="0.2">
      <c r="A12" s="4"/>
    </row>
    <row r="13" spans="1:31" ht="16" x14ac:dyDescent="0.2">
      <c r="A13" s="4"/>
    </row>
    <row r="14" spans="1:31" ht="16" x14ac:dyDescent="0.2">
      <c r="A14" s="4"/>
    </row>
    <row r="15" spans="1:31" ht="16" x14ac:dyDescent="0.2">
      <c r="A15" s="4"/>
    </row>
    <row r="16" spans="1:31" ht="16" x14ac:dyDescent="0.2">
      <c r="A16" s="4"/>
    </row>
    <row r="17" spans="1:1" ht="16" x14ac:dyDescent="0.2">
      <c r="A17" s="4"/>
    </row>
    <row r="18" spans="1:1" ht="16" x14ac:dyDescent="0.2">
      <c r="A18" s="4"/>
    </row>
    <row r="19" spans="1:1" ht="16" x14ac:dyDescent="0.2">
      <c r="A19" s="4"/>
    </row>
    <row r="20" spans="1:1" ht="16" x14ac:dyDescent="0.2">
      <c r="A20" s="4"/>
    </row>
    <row r="21" spans="1:1" ht="16" x14ac:dyDescent="0.2">
      <c r="A21" s="4"/>
    </row>
    <row r="22" spans="1:1" ht="16" x14ac:dyDescent="0.2">
      <c r="A22" s="4"/>
    </row>
    <row r="23" spans="1:1" ht="16" x14ac:dyDescent="0.2">
      <c r="A23" s="4"/>
    </row>
    <row r="24" spans="1:1" ht="16" x14ac:dyDescent="0.2">
      <c r="A24" s="4"/>
    </row>
    <row r="25" spans="1:1" ht="16" x14ac:dyDescent="0.2">
      <c r="A25" s="4"/>
    </row>
    <row r="26" spans="1:1" ht="16" x14ac:dyDescent="0.2">
      <c r="A26" s="4"/>
    </row>
    <row r="27" spans="1:1" ht="16" x14ac:dyDescent="0.2">
      <c r="A27" s="4"/>
    </row>
    <row r="28" spans="1:1" ht="16" x14ac:dyDescent="0.2">
      <c r="A28" s="4"/>
    </row>
    <row r="29" spans="1:1" ht="16" x14ac:dyDescent="0.2">
      <c r="A29" s="4"/>
    </row>
    <row r="30" spans="1:1" ht="16" x14ac:dyDescent="0.2">
      <c r="A30" s="4"/>
    </row>
    <row r="31" spans="1:1" ht="16" x14ac:dyDescent="0.2">
      <c r="A31" s="4"/>
    </row>
    <row r="32" spans="1:1" ht="16" x14ac:dyDescent="0.2">
      <c r="A32" s="4"/>
    </row>
  </sheetData>
  <autoFilter ref="A1:E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zoomScale="150" zoomScaleNormal="15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8" width="15" customWidth="1"/>
    <col min="10" max="10" width="35.83203125" customWidth="1"/>
  </cols>
  <sheetData>
    <row r="1" spans="1:8" ht="20" customHeight="1" x14ac:dyDescent="0.2">
      <c r="A1" s="5" t="s">
        <v>1</v>
      </c>
      <c r="B1" s="5" t="s">
        <v>14</v>
      </c>
      <c r="C1" s="9" t="s">
        <v>76</v>
      </c>
      <c r="D1" s="9" t="s">
        <v>77</v>
      </c>
      <c r="E1" s="9" t="s">
        <v>78</v>
      </c>
      <c r="F1" s="10" t="s">
        <v>79</v>
      </c>
      <c r="G1" s="10" t="s">
        <v>80</v>
      </c>
      <c r="H1" s="10" t="s">
        <v>81</v>
      </c>
    </row>
  </sheetData>
  <autoFilter ref="A1:H1" xr:uid="{00000000-0009-0000-0000-000003000000}"/>
  <pageMargins left="0.75" right="0.75" top="1" bottom="1" header="0.5" footer="0.5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00000000-000E-0000-0300-000001000000}">
            <xm:f>COUNTIF(MatchScoutingData!$A$2:$A$992,CONCATENATE($A2,".",C$1)) = 1</xm:f>
            <x14:dxf>
              <fill>
                <patternFill patternType="solid">
                  <fgColor rgb="FFC8D6A1"/>
                  <bgColor rgb="FFC8D6A1"/>
                </patternFill>
              </fill>
            </x14:dxf>
          </x14:cfRule>
          <x14:cfRule type="expression" priority="18" id="{00000000-000E-0000-0300-000002000000}">
            <xm:f>COUNTIF(MatchScoutingData!$A$2:$A$992,CONCATENATE($A2,".",C$1)) &gt; 1</xm:f>
            <x14:dxf>
              <fill>
                <patternFill patternType="solid">
                  <fgColor rgb="FFD09996"/>
                  <bgColor rgb="FFD09996"/>
                </patternFill>
              </fill>
            </x14:dxf>
          </x14:cfRule>
          <xm:sqref>C2:H954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99"/>
  <sheetViews>
    <sheetView zoomScale="150" zoomScaleNormal="150" workbookViewId="0">
      <pane xSplit="1" ySplit="2" topLeftCell="B3" activePane="bottomRight" state="frozen"/>
      <selection pane="topRight"/>
      <selection pane="bottomLeft"/>
      <selection pane="bottomRight" activeCell="A3" sqref="A3"/>
    </sheetView>
  </sheetViews>
  <sheetFormatPr baseColWidth="10" defaultColWidth="8.83203125" defaultRowHeight="15" x14ac:dyDescent="0.2"/>
  <cols>
    <col min="2" max="26" width="6.83203125" customWidth="1"/>
  </cols>
  <sheetData>
    <row r="1" spans="1:26" ht="17" thickBot="1" x14ac:dyDescent="0.25">
      <c r="A1" s="6"/>
      <c r="B1" s="6"/>
      <c r="C1" s="24" t="s">
        <v>15</v>
      </c>
      <c r="D1" s="25"/>
      <c r="E1" s="25"/>
      <c r="F1" s="25"/>
      <c r="G1" s="25"/>
      <c r="H1" s="26" t="s">
        <v>16</v>
      </c>
      <c r="I1" s="27"/>
      <c r="J1" s="27"/>
      <c r="K1" s="27"/>
      <c r="L1" s="27"/>
      <c r="M1" s="27"/>
      <c r="N1" s="27"/>
      <c r="O1" s="27"/>
      <c r="P1" s="28" t="s">
        <v>17</v>
      </c>
      <c r="Q1" s="29"/>
      <c r="R1" s="29"/>
      <c r="S1" s="29"/>
      <c r="T1" s="29"/>
      <c r="U1" s="22" t="s">
        <v>72</v>
      </c>
      <c r="V1" s="22"/>
      <c r="W1" s="22"/>
      <c r="X1" s="22"/>
      <c r="Y1" s="22"/>
      <c r="Z1" s="23"/>
    </row>
    <row r="2" spans="1:26" ht="130" thickBot="1" x14ac:dyDescent="0.25">
      <c r="A2" s="13" t="s">
        <v>3</v>
      </c>
      <c r="B2" s="14" t="s">
        <v>74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70</v>
      </c>
      <c r="H2" s="16" t="s">
        <v>56</v>
      </c>
      <c r="I2" s="16" t="s">
        <v>54</v>
      </c>
      <c r="J2" s="16" t="s">
        <v>55</v>
      </c>
      <c r="K2" s="16" t="s">
        <v>57</v>
      </c>
      <c r="L2" s="16" t="s">
        <v>58</v>
      </c>
      <c r="M2" s="16" t="s">
        <v>59</v>
      </c>
      <c r="N2" s="16" t="s">
        <v>60</v>
      </c>
      <c r="O2" s="16" t="s">
        <v>40</v>
      </c>
      <c r="P2" s="17" t="s">
        <v>61</v>
      </c>
      <c r="Q2" s="17" t="s">
        <v>62</v>
      </c>
      <c r="R2" s="17" t="s">
        <v>69</v>
      </c>
      <c r="S2" s="17" t="s">
        <v>63</v>
      </c>
      <c r="T2" s="17" t="s">
        <v>64</v>
      </c>
      <c r="U2" s="18" t="s">
        <v>73</v>
      </c>
      <c r="V2" s="18" t="s">
        <v>68</v>
      </c>
      <c r="W2" s="18" t="s">
        <v>65</v>
      </c>
      <c r="X2" s="18" t="s">
        <v>66</v>
      </c>
      <c r="Y2" s="18" t="s">
        <v>67</v>
      </c>
      <c r="Z2" s="19" t="s">
        <v>71</v>
      </c>
    </row>
    <row r="3" spans="1:26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</sheetData>
  <autoFilter ref="A2:Z2" xr:uid="{00000000-0001-0000-0400-000000000000}"/>
  <mergeCells count="4">
    <mergeCell ref="U1:Z1"/>
    <mergeCell ref="C1:G1"/>
    <mergeCell ref="H1:O1"/>
    <mergeCell ref="P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AA4A-5D09-AD47-9627-5C6D2535B1BB}">
  <dimension ref="A1:AE2"/>
  <sheetViews>
    <sheetView zoomScale="150" zoomScaleNormal="150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5" x14ac:dyDescent="0.2"/>
  <cols>
    <col min="2" max="31" width="6.83203125" customWidth="1"/>
  </cols>
  <sheetData>
    <row r="1" spans="1:31" ht="17" thickBot="1" x14ac:dyDescent="0.25">
      <c r="A1" s="6"/>
      <c r="B1" s="6"/>
      <c r="C1" s="24" t="s">
        <v>15</v>
      </c>
      <c r="D1" s="25"/>
      <c r="E1" s="25"/>
      <c r="F1" s="25"/>
      <c r="G1" s="25"/>
      <c r="H1" s="26" t="s">
        <v>16</v>
      </c>
      <c r="I1" s="27"/>
      <c r="J1" s="27"/>
      <c r="K1" s="27"/>
      <c r="L1" s="27"/>
      <c r="M1" s="27"/>
      <c r="N1" s="27"/>
      <c r="O1" s="27"/>
      <c r="P1" s="28" t="s">
        <v>17</v>
      </c>
      <c r="Q1" s="29"/>
      <c r="R1" s="29"/>
      <c r="S1" s="29"/>
      <c r="T1" s="29"/>
      <c r="U1" s="22" t="s">
        <v>72</v>
      </c>
      <c r="V1" s="22"/>
      <c r="W1" s="22"/>
      <c r="X1" s="22"/>
      <c r="Y1" s="22"/>
      <c r="Z1" s="22"/>
      <c r="AA1" s="30" t="s">
        <v>18</v>
      </c>
      <c r="AB1" s="30"/>
      <c r="AC1" s="30"/>
      <c r="AD1" s="30"/>
      <c r="AE1" s="30"/>
    </row>
    <row r="2" spans="1:31" ht="130" thickBot="1" x14ac:dyDescent="0.25">
      <c r="A2" s="13" t="s">
        <v>3</v>
      </c>
      <c r="B2" s="14" t="s">
        <v>74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70</v>
      </c>
      <c r="H2" s="16" t="s">
        <v>56</v>
      </c>
      <c r="I2" s="16" t="s">
        <v>54</v>
      </c>
      <c r="J2" s="16" t="s">
        <v>55</v>
      </c>
      <c r="K2" s="16" t="s">
        <v>57</v>
      </c>
      <c r="L2" s="16" t="s">
        <v>58</v>
      </c>
      <c r="M2" s="16" t="s">
        <v>59</v>
      </c>
      <c r="N2" s="16" t="s">
        <v>60</v>
      </c>
      <c r="O2" s="16" t="s">
        <v>40</v>
      </c>
      <c r="P2" s="17" t="s">
        <v>61</v>
      </c>
      <c r="Q2" s="17" t="s">
        <v>62</v>
      </c>
      <c r="R2" s="17" t="s">
        <v>69</v>
      </c>
      <c r="S2" s="17" t="s">
        <v>63</v>
      </c>
      <c r="T2" s="17" t="s">
        <v>64</v>
      </c>
      <c r="U2" s="18" t="s">
        <v>73</v>
      </c>
      <c r="V2" s="18" t="s">
        <v>68</v>
      </c>
      <c r="W2" s="18" t="s">
        <v>65</v>
      </c>
      <c r="X2" s="18" t="s">
        <v>66</v>
      </c>
      <c r="Y2" s="18" t="s">
        <v>67</v>
      </c>
      <c r="Z2" s="19" t="s">
        <v>71</v>
      </c>
      <c r="AA2" s="15" t="s">
        <v>15</v>
      </c>
      <c r="AB2" s="16" t="s">
        <v>16</v>
      </c>
      <c r="AC2" s="17" t="s">
        <v>17</v>
      </c>
      <c r="AD2" s="20" t="s">
        <v>72</v>
      </c>
      <c r="AE2" s="21" t="s">
        <v>75</v>
      </c>
    </row>
  </sheetData>
  <autoFilter ref="A2:AE2" xr:uid="{8299AA4A-5D09-AD47-9627-5C6D2535B1BB}"/>
  <mergeCells count="5">
    <mergeCell ref="C1:G1"/>
    <mergeCell ref="H1:O1"/>
    <mergeCell ref="P1:T1"/>
    <mergeCell ref="U1:Z1"/>
    <mergeCell ref="AA1:AE1"/>
  </mergeCell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7406-71CB-8848-9683-0925184C5408}">
  <dimension ref="A1:B101"/>
  <sheetViews>
    <sheetView zoomScale="150" zoomScaleNormal="150" workbookViewId="0">
      <selection activeCell="A2" sqref="A2"/>
    </sheetView>
  </sheetViews>
  <sheetFormatPr baseColWidth="10" defaultRowHeight="15" x14ac:dyDescent="0.2"/>
  <cols>
    <col min="1" max="2" width="25.83203125" customWidth="1"/>
  </cols>
  <sheetData>
    <row r="1" spans="1:2" ht="16" x14ac:dyDescent="0.2">
      <c r="A1" s="5" t="s">
        <v>25</v>
      </c>
      <c r="B1" s="5" t="s">
        <v>26</v>
      </c>
    </row>
    <row r="2" spans="1:2" x14ac:dyDescent="0.2">
      <c r="A2" s="8" cm="1">
        <f t="array" ref="A2">_xlfn._xlws.SORT(_xlfn.UNIQUE(MatchScoutingData!B2:B9991))</f>
        <v>0</v>
      </c>
      <c r="B2" s="8">
        <f>COUNTIF(MatchScoutingData!B$2:B$9991, $A2)</f>
        <v>0</v>
      </c>
    </row>
    <row r="3" spans="1:2" x14ac:dyDescent="0.2">
      <c r="A3" s="8"/>
      <c r="B3" s="8">
        <f>COUNTIF(MatchScoutingData!B$2:B$9991, $A3)</f>
        <v>0</v>
      </c>
    </row>
    <row r="4" spans="1:2" x14ac:dyDescent="0.2">
      <c r="A4" s="8"/>
      <c r="B4" s="8">
        <f>COUNTIF(MatchScoutingData!B$2:B$9991, $A4)</f>
        <v>0</v>
      </c>
    </row>
    <row r="5" spans="1:2" x14ac:dyDescent="0.2">
      <c r="A5" s="8"/>
      <c r="B5" s="8">
        <f>COUNTIF(MatchScoutingData!B$2:B$9991, $A5)</f>
        <v>0</v>
      </c>
    </row>
    <row r="6" spans="1:2" x14ac:dyDescent="0.2">
      <c r="A6" s="8"/>
      <c r="B6" s="8">
        <f>COUNTIF(MatchScoutingData!B$2:B$9991, $A6)</f>
        <v>0</v>
      </c>
    </row>
    <row r="7" spans="1:2" x14ac:dyDescent="0.2">
      <c r="A7" s="8"/>
      <c r="B7" s="8">
        <f>COUNTIF(MatchScoutingData!B$2:B$9991, $A7)</f>
        <v>0</v>
      </c>
    </row>
    <row r="8" spans="1:2" x14ac:dyDescent="0.2">
      <c r="A8" s="8"/>
      <c r="B8" s="8">
        <f>COUNTIF(MatchScoutingData!B$2:B$9991, $A8)</f>
        <v>0</v>
      </c>
    </row>
    <row r="9" spans="1:2" x14ac:dyDescent="0.2">
      <c r="A9" s="8"/>
      <c r="B9" s="8">
        <f>COUNTIF(MatchScoutingData!B$2:B$9991, $A9)</f>
        <v>0</v>
      </c>
    </row>
    <row r="10" spans="1:2" x14ac:dyDescent="0.2">
      <c r="A10" s="8"/>
      <c r="B10" s="8">
        <f>COUNTIF(MatchScoutingData!B$2:B$9991, $A10)</f>
        <v>0</v>
      </c>
    </row>
    <row r="11" spans="1:2" x14ac:dyDescent="0.2">
      <c r="A11" s="8"/>
      <c r="B11" s="8">
        <f>COUNTIF(MatchScoutingData!B$2:B$9991, $A11)</f>
        <v>0</v>
      </c>
    </row>
    <row r="12" spans="1:2" x14ac:dyDescent="0.2">
      <c r="A12" s="8"/>
      <c r="B12" s="8">
        <f>COUNTIF(MatchScoutingData!B$2:B$9991, $A12)</f>
        <v>0</v>
      </c>
    </row>
    <row r="13" spans="1:2" x14ac:dyDescent="0.2">
      <c r="A13" s="8"/>
      <c r="B13" s="8">
        <f>COUNTIF(MatchScoutingData!B$2:B$9991, $A13)</f>
        <v>0</v>
      </c>
    </row>
    <row r="14" spans="1:2" x14ac:dyDescent="0.2">
      <c r="A14" s="8"/>
      <c r="B14" s="8">
        <f>COUNTIF(MatchScoutingData!B$2:B$9991, $A14)</f>
        <v>0</v>
      </c>
    </row>
    <row r="15" spans="1:2" x14ac:dyDescent="0.2">
      <c r="A15" s="8"/>
      <c r="B15" s="8">
        <f>COUNTIF(MatchScoutingData!B$2:B$9991, $A15)</f>
        <v>0</v>
      </c>
    </row>
    <row r="16" spans="1:2" x14ac:dyDescent="0.2">
      <c r="A16" s="8"/>
      <c r="B16" s="8">
        <f>COUNTIF(MatchScoutingData!B$2:B$9991, $A16)</f>
        <v>0</v>
      </c>
    </row>
    <row r="17" spans="1:2" x14ac:dyDescent="0.2">
      <c r="A17" s="8"/>
      <c r="B17" s="8">
        <f>COUNTIF(MatchScoutingData!B$2:B$9991, $A17)</f>
        <v>0</v>
      </c>
    </row>
    <row r="18" spans="1:2" x14ac:dyDescent="0.2">
      <c r="A18" s="8"/>
      <c r="B18" s="8">
        <f>COUNTIF(MatchScoutingData!B$2:B$9991, $A18)</f>
        <v>0</v>
      </c>
    </row>
    <row r="19" spans="1:2" x14ac:dyDescent="0.2">
      <c r="A19" s="8"/>
      <c r="B19" s="8">
        <f>COUNTIF(MatchScoutingData!B$2:B$9991, $A19)</f>
        <v>0</v>
      </c>
    </row>
    <row r="20" spans="1:2" x14ac:dyDescent="0.2">
      <c r="A20" s="8"/>
      <c r="B20" s="8">
        <f>COUNTIF(MatchScoutingData!B$2:B$9991, $A20)</f>
        <v>0</v>
      </c>
    </row>
    <row r="21" spans="1:2" x14ac:dyDescent="0.2">
      <c r="A21" s="8"/>
      <c r="B21" s="8">
        <f>COUNTIF(MatchScoutingData!B$2:B$9991, $A21)</f>
        <v>0</v>
      </c>
    </row>
    <row r="22" spans="1:2" x14ac:dyDescent="0.2">
      <c r="A22" s="8"/>
      <c r="B22" s="8">
        <f>COUNTIF(MatchScoutingData!B$2:B$9991, $A22)</f>
        <v>0</v>
      </c>
    </row>
    <row r="23" spans="1:2" x14ac:dyDescent="0.2">
      <c r="A23" s="8"/>
      <c r="B23" s="8">
        <f>COUNTIF(MatchScoutingData!B$2:B$9991, $A23)</f>
        <v>0</v>
      </c>
    </row>
    <row r="24" spans="1:2" x14ac:dyDescent="0.2">
      <c r="A24" s="8"/>
      <c r="B24" s="8">
        <f>COUNTIF(MatchScoutingData!B$2:B$9991, $A24)</f>
        <v>0</v>
      </c>
    </row>
    <row r="25" spans="1:2" x14ac:dyDescent="0.2">
      <c r="A25" s="8"/>
      <c r="B25" s="8">
        <f>COUNTIF(MatchScoutingData!B$2:B$9991, $A25)</f>
        <v>0</v>
      </c>
    </row>
    <row r="26" spans="1:2" x14ac:dyDescent="0.2">
      <c r="A26" s="8"/>
      <c r="B26" s="8">
        <f>COUNTIF(MatchScoutingData!B$2:B$9991, $A26)</f>
        <v>0</v>
      </c>
    </row>
    <row r="27" spans="1:2" x14ac:dyDescent="0.2">
      <c r="A27" s="8"/>
      <c r="B27" s="8">
        <f>COUNTIF(MatchScoutingData!B$2:B$9991, $A27)</f>
        <v>0</v>
      </c>
    </row>
    <row r="28" spans="1:2" x14ac:dyDescent="0.2">
      <c r="A28" s="8"/>
      <c r="B28" s="8">
        <f>COUNTIF(MatchScoutingData!B$2:B$9991, $A28)</f>
        <v>0</v>
      </c>
    </row>
    <row r="29" spans="1:2" x14ac:dyDescent="0.2">
      <c r="A29" s="8"/>
      <c r="B29" s="8">
        <f>COUNTIF(MatchScoutingData!B$2:B$9991, $A29)</f>
        <v>0</v>
      </c>
    </row>
    <row r="30" spans="1:2" x14ac:dyDescent="0.2">
      <c r="A30" s="8"/>
      <c r="B30" s="8">
        <f>COUNTIF(MatchScoutingData!B$2:B$9991, $A30)</f>
        <v>0</v>
      </c>
    </row>
    <row r="31" spans="1:2" x14ac:dyDescent="0.2">
      <c r="A31" s="8"/>
      <c r="B31" s="8">
        <f>COUNTIF(MatchScoutingData!B$2:B$9991, $A31)</f>
        <v>0</v>
      </c>
    </row>
    <row r="32" spans="1:2" x14ac:dyDescent="0.2">
      <c r="A32" s="8"/>
      <c r="B32" s="8">
        <f>COUNTIF(MatchScoutingData!B$2:B$9991, $A32)</f>
        <v>0</v>
      </c>
    </row>
    <row r="33" spans="1:2" x14ac:dyDescent="0.2">
      <c r="A33" s="8"/>
      <c r="B33" s="8">
        <f>COUNTIF(MatchScoutingData!B$2:B$9991, $A33)</f>
        <v>0</v>
      </c>
    </row>
    <row r="34" spans="1:2" x14ac:dyDescent="0.2">
      <c r="A34" s="8"/>
      <c r="B34" s="8">
        <f>COUNTIF(MatchScoutingData!B$2:B$9991, $A34)</f>
        <v>0</v>
      </c>
    </row>
    <row r="35" spans="1:2" x14ac:dyDescent="0.2">
      <c r="A35" s="8"/>
      <c r="B35" s="8">
        <f>COUNTIF(MatchScoutingData!B$2:B$9991, $A35)</f>
        <v>0</v>
      </c>
    </row>
    <row r="36" spans="1:2" x14ac:dyDescent="0.2">
      <c r="A36" s="8"/>
      <c r="B36" s="8">
        <f>COUNTIF(MatchScoutingData!B$2:B$9991, $A36)</f>
        <v>0</v>
      </c>
    </row>
    <row r="37" spans="1:2" x14ac:dyDescent="0.2">
      <c r="A37" s="8"/>
      <c r="B37" s="8">
        <f>COUNTIF(MatchScoutingData!B$2:B$9991, $A37)</f>
        <v>0</v>
      </c>
    </row>
    <row r="38" spans="1:2" x14ac:dyDescent="0.2">
      <c r="A38" s="8"/>
      <c r="B38" s="8">
        <f>COUNTIF(MatchScoutingData!B$2:B$9991, $A38)</f>
        <v>0</v>
      </c>
    </row>
    <row r="39" spans="1:2" x14ac:dyDescent="0.2">
      <c r="A39" s="8"/>
      <c r="B39" s="8">
        <f>COUNTIF(MatchScoutingData!B$2:B$9991, $A39)</f>
        <v>0</v>
      </c>
    </row>
    <row r="40" spans="1:2" x14ac:dyDescent="0.2">
      <c r="A40" s="8"/>
      <c r="B40" s="8">
        <f>COUNTIF(MatchScoutingData!B$2:B$9991, $A40)</f>
        <v>0</v>
      </c>
    </row>
    <row r="41" spans="1:2" x14ac:dyDescent="0.2">
      <c r="A41" s="8"/>
      <c r="B41" s="8">
        <f>COUNTIF(MatchScoutingData!B$2:B$9991, $A41)</f>
        <v>0</v>
      </c>
    </row>
    <row r="42" spans="1:2" x14ac:dyDescent="0.2">
      <c r="A42" s="8"/>
      <c r="B42" s="8">
        <f>COUNTIF(MatchScoutingData!B$2:B$9991, $A42)</f>
        <v>0</v>
      </c>
    </row>
    <row r="43" spans="1:2" x14ac:dyDescent="0.2">
      <c r="A43" s="8"/>
      <c r="B43" s="8">
        <f>COUNTIF(MatchScoutingData!B$2:B$9991, $A43)</f>
        <v>0</v>
      </c>
    </row>
    <row r="44" spans="1:2" x14ac:dyDescent="0.2">
      <c r="A44" s="8"/>
      <c r="B44" s="8">
        <f>COUNTIF(MatchScoutingData!B$2:B$9991, $A44)</f>
        <v>0</v>
      </c>
    </row>
    <row r="45" spans="1:2" x14ac:dyDescent="0.2">
      <c r="A45" s="8"/>
      <c r="B45" s="8">
        <f>COUNTIF(MatchScoutingData!B$2:B$9991, $A45)</f>
        <v>0</v>
      </c>
    </row>
    <row r="46" spans="1:2" x14ac:dyDescent="0.2">
      <c r="A46" s="8"/>
      <c r="B46" s="8">
        <f>COUNTIF(MatchScoutingData!B$2:B$9991, $A46)</f>
        <v>0</v>
      </c>
    </row>
    <row r="47" spans="1:2" x14ac:dyDescent="0.2">
      <c r="A47" s="8"/>
      <c r="B47" s="8">
        <f>COUNTIF(MatchScoutingData!B$2:B$9991, $A47)</f>
        <v>0</v>
      </c>
    </row>
    <row r="48" spans="1:2" x14ac:dyDescent="0.2">
      <c r="A48" s="8"/>
      <c r="B48" s="8">
        <f>COUNTIF(MatchScoutingData!B$2:B$9991, $A48)</f>
        <v>0</v>
      </c>
    </row>
    <row r="49" spans="1:2" x14ac:dyDescent="0.2">
      <c r="A49" s="8"/>
      <c r="B49" s="8">
        <f>COUNTIF(MatchScoutingData!B$2:B$9991, $A49)</f>
        <v>0</v>
      </c>
    </row>
    <row r="50" spans="1:2" x14ac:dyDescent="0.2">
      <c r="A50" s="8"/>
      <c r="B50" s="8">
        <f>COUNTIF(MatchScoutingData!B$2:B$9991, $A50)</f>
        <v>0</v>
      </c>
    </row>
    <row r="51" spans="1:2" x14ac:dyDescent="0.2">
      <c r="A51" s="8"/>
      <c r="B51" s="8">
        <f>COUNTIF(MatchScoutingData!B$2:B$9991, $A51)</f>
        <v>0</v>
      </c>
    </row>
    <row r="52" spans="1:2" x14ac:dyDescent="0.2">
      <c r="A52" s="8"/>
      <c r="B52" s="8">
        <f>COUNTIF(MatchScoutingData!B$2:B$9991, $A52)</f>
        <v>0</v>
      </c>
    </row>
    <row r="53" spans="1:2" x14ac:dyDescent="0.2">
      <c r="A53" s="8"/>
      <c r="B53" s="8">
        <f>COUNTIF(MatchScoutingData!B$2:B$9991, $A53)</f>
        <v>0</v>
      </c>
    </row>
    <row r="54" spans="1:2" x14ac:dyDescent="0.2">
      <c r="A54" s="8"/>
      <c r="B54" s="8">
        <f>COUNTIF(MatchScoutingData!B$2:B$9991, $A54)</f>
        <v>0</v>
      </c>
    </row>
    <row r="55" spans="1:2" x14ac:dyDescent="0.2">
      <c r="A55" s="8"/>
      <c r="B55" s="8">
        <f>COUNTIF(MatchScoutingData!B$2:B$9991, $A55)</f>
        <v>0</v>
      </c>
    </row>
    <row r="56" spans="1:2" x14ac:dyDescent="0.2">
      <c r="A56" s="8"/>
      <c r="B56" s="8">
        <f>COUNTIF(MatchScoutingData!B$2:B$9991, $A56)</f>
        <v>0</v>
      </c>
    </row>
    <row r="57" spans="1:2" x14ac:dyDescent="0.2">
      <c r="A57" s="8"/>
      <c r="B57" s="8">
        <f>COUNTIF(MatchScoutingData!B$2:B$9991, $A57)</f>
        <v>0</v>
      </c>
    </row>
    <row r="58" spans="1:2" x14ac:dyDescent="0.2">
      <c r="A58" s="8"/>
      <c r="B58" s="8">
        <f>COUNTIF(MatchScoutingData!B$2:B$9991, $A58)</f>
        <v>0</v>
      </c>
    </row>
    <row r="59" spans="1:2" x14ac:dyDescent="0.2">
      <c r="A59" s="8"/>
      <c r="B59" s="8">
        <f>COUNTIF(MatchScoutingData!B$2:B$9991, $A59)</f>
        <v>0</v>
      </c>
    </row>
    <row r="60" spans="1:2" x14ac:dyDescent="0.2">
      <c r="A60" s="8"/>
      <c r="B60" s="8">
        <f>COUNTIF(MatchScoutingData!B$2:B$9991, $A60)</f>
        <v>0</v>
      </c>
    </row>
    <row r="61" spans="1:2" x14ac:dyDescent="0.2">
      <c r="A61" s="8"/>
      <c r="B61" s="8">
        <f>COUNTIF(MatchScoutingData!B$2:B$9991, $A61)</f>
        <v>0</v>
      </c>
    </row>
    <row r="62" spans="1:2" x14ac:dyDescent="0.2">
      <c r="A62" s="8"/>
      <c r="B62" s="8">
        <f>COUNTIF(MatchScoutingData!B$2:B$9991, $A62)</f>
        <v>0</v>
      </c>
    </row>
    <row r="63" spans="1:2" x14ac:dyDescent="0.2">
      <c r="A63" s="8"/>
      <c r="B63" s="8">
        <f>COUNTIF(MatchScoutingData!B$2:B$9991, $A63)</f>
        <v>0</v>
      </c>
    </row>
    <row r="64" spans="1:2" x14ac:dyDescent="0.2">
      <c r="A64" s="8"/>
      <c r="B64" s="8">
        <f>COUNTIF(MatchScoutingData!B$2:B$9991, $A64)</f>
        <v>0</v>
      </c>
    </row>
    <row r="65" spans="1:2" x14ac:dyDescent="0.2">
      <c r="A65" s="8"/>
      <c r="B65" s="8">
        <f>COUNTIF(MatchScoutingData!B$2:B$9991, $A65)</f>
        <v>0</v>
      </c>
    </row>
    <row r="66" spans="1:2" x14ac:dyDescent="0.2">
      <c r="A66" s="8"/>
      <c r="B66" s="8">
        <f>COUNTIF(MatchScoutingData!B$2:B$9991, $A66)</f>
        <v>0</v>
      </c>
    </row>
    <row r="67" spans="1:2" x14ac:dyDescent="0.2">
      <c r="A67" s="8"/>
      <c r="B67" s="8">
        <f>COUNTIF(MatchScoutingData!B$2:B$9991, $A67)</f>
        <v>0</v>
      </c>
    </row>
    <row r="68" spans="1:2" x14ac:dyDescent="0.2">
      <c r="A68" s="8"/>
      <c r="B68" s="8">
        <f>COUNTIF(MatchScoutingData!B$2:B$9991, $A68)</f>
        <v>0</v>
      </c>
    </row>
    <row r="69" spans="1:2" x14ac:dyDescent="0.2">
      <c r="A69" s="8"/>
      <c r="B69" s="8">
        <f>COUNTIF(MatchScoutingData!B$2:B$9991, $A69)</f>
        <v>0</v>
      </c>
    </row>
    <row r="70" spans="1:2" x14ac:dyDescent="0.2">
      <c r="A70" s="8"/>
      <c r="B70" s="8">
        <f>COUNTIF(MatchScoutingData!B$2:B$9991, $A70)</f>
        <v>0</v>
      </c>
    </row>
    <row r="71" spans="1:2" x14ac:dyDescent="0.2">
      <c r="A71" s="8"/>
      <c r="B71" s="8">
        <f>COUNTIF(MatchScoutingData!B$2:B$9991, $A71)</f>
        <v>0</v>
      </c>
    </row>
    <row r="72" spans="1:2" x14ac:dyDescent="0.2">
      <c r="A72" s="8"/>
      <c r="B72" s="8">
        <f>COUNTIF(MatchScoutingData!B$2:B$9991, $A72)</f>
        <v>0</v>
      </c>
    </row>
    <row r="73" spans="1:2" x14ac:dyDescent="0.2">
      <c r="A73" s="8"/>
      <c r="B73" s="8">
        <f>COUNTIF(MatchScoutingData!B$2:B$9991, $A73)</f>
        <v>0</v>
      </c>
    </row>
    <row r="74" spans="1:2" x14ac:dyDescent="0.2">
      <c r="A74" s="8"/>
      <c r="B74" s="8">
        <f>COUNTIF(MatchScoutingData!B$2:B$9991, $A74)</f>
        <v>0</v>
      </c>
    </row>
    <row r="75" spans="1:2" x14ac:dyDescent="0.2">
      <c r="A75" s="8"/>
      <c r="B75" s="8">
        <f>COUNTIF(MatchScoutingData!B$2:B$9991, $A75)</f>
        <v>0</v>
      </c>
    </row>
    <row r="76" spans="1:2" x14ac:dyDescent="0.2">
      <c r="A76" s="8"/>
      <c r="B76" s="8">
        <f>COUNTIF(MatchScoutingData!B$2:B$9991, $A76)</f>
        <v>0</v>
      </c>
    </row>
    <row r="77" spans="1:2" x14ac:dyDescent="0.2">
      <c r="A77" s="8"/>
      <c r="B77" s="8">
        <f>COUNTIF(MatchScoutingData!B$2:B$9991, $A77)</f>
        <v>0</v>
      </c>
    </row>
    <row r="78" spans="1:2" x14ac:dyDescent="0.2">
      <c r="A78" s="8"/>
      <c r="B78" s="8">
        <f>COUNTIF(MatchScoutingData!B$2:B$9991, $A78)</f>
        <v>0</v>
      </c>
    </row>
    <row r="79" spans="1:2" x14ac:dyDescent="0.2">
      <c r="A79" s="8"/>
      <c r="B79" s="8">
        <f>COUNTIF(MatchScoutingData!B$2:B$9991, $A79)</f>
        <v>0</v>
      </c>
    </row>
    <row r="80" spans="1:2" x14ac:dyDescent="0.2">
      <c r="A80" s="8"/>
      <c r="B80" s="8">
        <f>COUNTIF(MatchScoutingData!B$2:B$9991, $A80)</f>
        <v>0</v>
      </c>
    </row>
    <row r="81" spans="1:2" x14ac:dyDescent="0.2">
      <c r="A81" s="8"/>
      <c r="B81" s="8">
        <f>COUNTIF(MatchScoutingData!B$2:B$9991, $A81)</f>
        <v>0</v>
      </c>
    </row>
    <row r="82" spans="1:2" x14ac:dyDescent="0.2">
      <c r="A82" s="8"/>
      <c r="B82" s="8">
        <f>COUNTIF(MatchScoutingData!B$2:B$9991, $A82)</f>
        <v>0</v>
      </c>
    </row>
    <row r="83" spans="1:2" x14ac:dyDescent="0.2">
      <c r="A83" s="8"/>
      <c r="B83" s="8">
        <f>COUNTIF(MatchScoutingData!B$2:B$9991, $A83)</f>
        <v>0</v>
      </c>
    </row>
    <row r="84" spans="1:2" x14ac:dyDescent="0.2">
      <c r="A84" s="8"/>
      <c r="B84" s="8">
        <f>COUNTIF(MatchScoutingData!B$2:B$9991, $A84)</f>
        <v>0</v>
      </c>
    </row>
    <row r="85" spans="1:2" x14ac:dyDescent="0.2">
      <c r="A85" s="8"/>
      <c r="B85" s="8">
        <f>COUNTIF(MatchScoutingData!B$2:B$9991, $A85)</f>
        <v>0</v>
      </c>
    </row>
    <row r="86" spans="1:2" x14ac:dyDescent="0.2">
      <c r="A86" s="8"/>
      <c r="B86" s="8">
        <f>COUNTIF(MatchScoutingData!B$2:B$9991, $A86)</f>
        <v>0</v>
      </c>
    </row>
    <row r="87" spans="1:2" x14ac:dyDescent="0.2">
      <c r="A87" s="8"/>
      <c r="B87" s="8">
        <f>COUNTIF(MatchScoutingData!B$2:B$9991, $A87)</f>
        <v>0</v>
      </c>
    </row>
    <row r="88" spans="1:2" x14ac:dyDescent="0.2">
      <c r="A88" s="8"/>
      <c r="B88" s="8">
        <f>COUNTIF(MatchScoutingData!B$2:B$9991, $A88)</f>
        <v>0</v>
      </c>
    </row>
    <row r="89" spans="1:2" x14ac:dyDescent="0.2">
      <c r="A89" s="8"/>
      <c r="B89" s="8">
        <f>COUNTIF(MatchScoutingData!B$2:B$9991, $A89)</f>
        <v>0</v>
      </c>
    </row>
    <row r="90" spans="1:2" x14ac:dyDescent="0.2">
      <c r="A90" s="8"/>
      <c r="B90" s="8">
        <f>COUNTIF(MatchScoutingData!B$2:B$9991, $A90)</f>
        <v>0</v>
      </c>
    </row>
    <row r="91" spans="1:2" x14ac:dyDescent="0.2">
      <c r="A91" s="8"/>
      <c r="B91" s="8">
        <f>COUNTIF(MatchScoutingData!B$2:B$9991, $A91)</f>
        <v>0</v>
      </c>
    </row>
    <row r="92" spans="1:2" x14ac:dyDescent="0.2">
      <c r="A92" s="8"/>
      <c r="B92" s="8">
        <f>COUNTIF(MatchScoutingData!B$2:B$9991, $A92)</f>
        <v>0</v>
      </c>
    </row>
    <row r="93" spans="1:2" x14ac:dyDescent="0.2">
      <c r="A93" s="8"/>
      <c r="B93" s="8">
        <f>COUNTIF(MatchScoutingData!B$2:B$9991, $A93)</f>
        <v>0</v>
      </c>
    </row>
    <row r="94" spans="1:2" x14ac:dyDescent="0.2">
      <c r="A94" s="8"/>
      <c r="B94" s="8">
        <f>COUNTIF(MatchScoutingData!B$2:B$9991, $A94)</f>
        <v>0</v>
      </c>
    </row>
    <row r="95" spans="1:2" x14ac:dyDescent="0.2">
      <c r="A95" s="8"/>
      <c r="B95" s="8">
        <f>COUNTIF(MatchScoutingData!B$2:B$9991, $A95)</f>
        <v>0</v>
      </c>
    </row>
    <row r="96" spans="1:2" x14ac:dyDescent="0.2">
      <c r="A96" s="8"/>
      <c r="B96" s="8">
        <f>COUNTIF(MatchScoutingData!B$2:B$9991, $A96)</f>
        <v>0</v>
      </c>
    </row>
    <row r="97" spans="1:2" x14ac:dyDescent="0.2">
      <c r="A97" s="8"/>
      <c r="B97" s="8">
        <f>COUNTIF(MatchScoutingData!B$2:B$9991, $A97)</f>
        <v>0</v>
      </c>
    </row>
    <row r="98" spans="1:2" x14ac:dyDescent="0.2">
      <c r="A98" s="8"/>
      <c r="B98" s="8">
        <f>COUNTIF(MatchScoutingData!B$2:B$9991, $A98)</f>
        <v>0</v>
      </c>
    </row>
    <row r="99" spans="1:2" x14ac:dyDescent="0.2">
      <c r="A99" s="8"/>
      <c r="B99" s="8">
        <f>COUNTIF(MatchScoutingData!B$2:B$9991, $A99)</f>
        <v>0</v>
      </c>
    </row>
    <row r="100" spans="1:2" x14ac:dyDescent="0.2">
      <c r="A100" s="8"/>
      <c r="B100" s="8">
        <f>COUNTIF(MatchScoutingData!B$2:B$9991, $A100)</f>
        <v>0</v>
      </c>
    </row>
    <row r="101" spans="1:2" x14ac:dyDescent="0.2">
      <c r="A101" s="8"/>
      <c r="B101" s="8">
        <f>COUNTIF(MatchScoutingData!B$2:B$9991, $A101)</f>
        <v>0</v>
      </c>
    </row>
  </sheetData>
  <autoFilter ref="A1:B101" xr:uid="{1EA67406-71CB-8848-9683-0925184C540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B0C7-8491-5245-AEE9-A2EE3051E88F}">
  <dimension ref="A1:G2"/>
  <sheetViews>
    <sheetView zoomScale="150" zoomScaleNormal="150" workbookViewId="0">
      <selection activeCell="A2" sqref="A2"/>
    </sheetView>
  </sheetViews>
  <sheetFormatPr baseColWidth="10" defaultRowHeight="15" x14ac:dyDescent="0.2"/>
  <cols>
    <col min="1" max="7" width="18.83203125" customWidth="1"/>
  </cols>
  <sheetData>
    <row r="1" spans="1:7" s="7" customFormat="1" ht="16" x14ac:dyDescent="0.2">
      <c r="A1" s="5" t="s">
        <v>3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</row>
    <row r="2" spans="1:7" x14ac:dyDescent="0.2">
      <c r="A2" t="e">
        <f>'Team Summary'!#REF!</f>
        <v>#REF!</v>
      </c>
      <c r="B2" t="e">
        <f>'Team Summary'!#REF!</f>
        <v>#REF!</v>
      </c>
      <c r="C2" t="e">
        <f>'Team Summary'!#REF!</f>
        <v>#REF!</v>
      </c>
      <c r="D2" t="e">
        <f>'Team Summary'!#REF!</f>
        <v>#REF!</v>
      </c>
      <c r="E2" t="e">
        <f>'Team Summary'!#REF!</f>
        <v>#REF!</v>
      </c>
      <c r="F2" t="e">
        <f>'Team Summary'!#REF!</f>
        <v>#REF!</v>
      </c>
      <c r="G2" t="e">
        <f>'Team Summary'!#REF!</f>
        <v>#REF!</v>
      </c>
    </row>
  </sheetData>
  <autoFilter ref="A1:G1" xr:uid="{ABB4B0C7-8491-5245-AEE9-A2EE3051E8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MatchScoutingData</vt:lpstr>
      <vt:lpstr>Event</vt:lpstr>
      <vt:lpstr>Teams</vt:lpstr>
      <vt:lpstr>Matches</vt:lpstr>
      <vt:lpstr>Team Scores</vt:lpstr>
      <vt:lpstr>Team Summary</vt:lpstr>
      <vt:lpstr>PB Scouter Summary</vt:lpstr>
      <vt:lpstr>PB Team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Hurrell</cp:lastModifiedBy>
  <dcterms:created xsi:type="dcterms:W3CDTF">2025-01-14T14:14:10Z</dcterms:created>
  <dcterms:modified xsi:type="dcterms:W3CDTF">2026-03-24T18:20:11Z</dcterms:modified>
</cp:coreProperties>
</file>