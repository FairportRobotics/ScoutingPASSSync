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4560" windowHeight="21680" tabRatio="600" firstSheet="0" activeTab="0" autoFilterDateGrouping="1"/>
  </bookViews>
  <sheets>
    <sheet name="MatchScoutingData" sheetId="1" state="visible" r:id="rId1"/>
    <sheet name="Event" sheetId="2" state="visible" r:id="rId2"/>
    <sheet name="Teams" sheetId="3" state="visible" r:id="rId3"/>
    <sheet name="Matches" sheetId="4" state="visible" r:id="rId4"/>
    <sheet name="Team Scores" sheetId="5" state="visible" r:id="rId5"/>
    <sheet name="Team Summary" sheetId="6" state="visible" r:id="rId6"/>
    <sheet name="PB Scouter Summary" sheetId="7" state="visible" r:id="rId7"/>
    <sheet name="PB Team Summary" sheetId="8" state="visible" r:id="rId8"/>
  </sheets>
  <definedNames>
    <definedName name="_xlnm._FilterDatabase" localSheetId="0" hidden="1">'MatchScoutingData'!$A$1:$AI$1</definedName>
    <definedName name="_xlnm._FilterDatabase" localSheetId="2" hidden="1">'Teams'!$A$1:$E$1</definedName>
    <definedName name="_xlnm._FilterDatabase" localSheetId="3" hidden="1">'Matches'!$A$1:$H$1</definedName>
    <definedName name="_xlnm._FilterDatabase" localSheetId="4" hidden="1">'Team Scores'!$A$2:$Z$2</definedName>
    <definedName name="_xlnm._FilterDatabase" localSheetId="5" hidden="1">'Team Summary'!$A$2:$AE$2</definedName>
    <definedName name="_xlnm._FilterDatabase" localSheetId="6" hidden="1">'PB Scouter Summary'!$A$1:$B$101</definedName>
    <definedName name="_xlnm._FilterDatabase" localSheetId="7" hidden="1">'PB Team Summary'!$A$1:$G$1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;\-0;;@"/>
    <numFmt numFmtId="165" formatCode="#,##0;-[Red]#,##0;&quot;-&quot;"/>
    <numFmt numFmtId="166" formatCode="0.0%"/>
  </numFmts>
  <fonts count="1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"/>
      <family val="2"/>
      <b val="1"/>
      <color rgb="FFFFFFFF"/>
      <sz val="12"/>
    </font>
    <font>
      <name val="Calibri"/>
      <family val="2"/>
      <color rgb="FF000000"/>
      <sz val="12"/>
    </font>
    <font>
      <name val="Calibri (Body)"/>
      <sz val="11"/>
    </font>
    <font>
      <name val="Calibri"/>
      <family val="2"/>
      <b val="1"/>
      <color rgb="FFFFFFFF"/>
      <sz val="12"/>
      <scheme val="minor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FF0000"/>
      <sz val="12"/>
    </font>
    <font>
      <color rgb="00000000"/>
      <sz val="12"/>
    </font>
    <font>
      <b val="1"/>
      <color rgb="00FFFFFF"/>
      <sz val="12"/>
    </font>
  </fonts>
  <fills count="18">
    <fill>
      <patternFill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595959"/>
        <bgColor rgb="FF595959"/>
      </patternFill>
    </fill>
    <fill>
      <patternFill patternType="solid">
        <fgColor rgb="FF2471A3"/>
        <bgColor rgb="FF2471A3"/>
      </patternFill>
    </fill>
    <fill>
      <patternFill patternType="solid">
        <fgColor rgb="FFCB4335"/>
        <bgColor rgb="FFCB4335"/>
      </patternFill>
    </fill>
    <fill>
      <patternFill patternType="solid">
        <fgColor rgb="FFD68910"/>
        <bgColor rgb="FFD68910"/>
      </patternFill>
    </fill>
    <fill>
      <patternFill patternType="solid">
        <fgColor theme="1" tint="0.3499862666707358"/>
        <bgColor rgb="FFD68910"/>
      </patternFill>
    </fill>
    <fill>
      <patternFill patternType="solid">
        <fgColor rgb="FF00B050"/>
        <bgColor rgb="FF595959"/>
      </patternFill>
    </fill>
    <fill>
      <patternFill patternType="solid">
        <fgColor rgb="FF00B050"/>
        <bgColor indexed="64"/>
      </patternFill>
    </fill>
    <fill>
      <patternFill patternType="solid">
        <fgColor rgb="FFC8D6A1"/>
        <bgColor rgb="FFC8D6A1"/>
      </patternFill>
    </fill>
    <fill>
      <patternFill patternType="solid">
        <fgColor rgb="FFFFFF00"/>
        <bgColor indexed="64"/>
      </patternFill>
    </fill>
    <fill>
      <patternFill patternType="solid">
        <fgColor rgb="00595959"/>
        <bgColor rgb="00595959"/>
      </patternFill>
    </fill>
    <fill>
      <patternFill patternType="solid">
        <fgColor rgb="002471A3"/>
        <bgColor rgb="002471A3"/>
      </patternFill>
    </fill>
    <fill>
      <patternFill patternType="solid">
        <fgColor rgb="00CB4335"/>
        <bgColor rgb="00CB4335"/>
      </patternFill>
    </fill>
    <fill>
      <patternFill patternType="solid">
        <fgColor rgb="00C8D6A1"/>
        <bgColor rgb="00C8D6A1"/>
      </patternFill>
    </fill>
    <fill>
      <patternFill patternType="solid">
        <fgColor rgb="00FFFF54"/>
        <bgColor rgb="00FFFF54"/>
      </patternFill>
    </fill>
    <fill>
      <patternFill patternType="solid">
        <fgColor rgb="00F5C242"/>
        <bgColor rgb="00F5C242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0" fontId="4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3" borderId="6" applyAlignment="1" pivotButton="0" quotePrefix="0" xfId="0">
      <alignment horizontal="left" textRotation="90"/>
    </xf>
    <xf numFmtId="0" fontId="5" fillId="0" borderId="0" pivotButton="0" quotePrefix="0" xfId="0"/>
    <xf numFmtId="164" fontId="0" fillId="0" borderId="0" pivotButton="0" quotePrefix="0" xfId="0"/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7" fillId="0" borderId="0" pivotButton="0" quotePrefix="0" xfId="0"/>
    <xf numFmtId="0" fontId="6" fillId="3" borderId="0" applyAlignment="1" pivotButton="0" quotePrefix="0" xfId="0">
      <alignment horizontal="center" textRotation="90"/>
    </xf>
    <xf numFmtId="0" fontId="3" fillId="3" borderId="5" applyAlignment="1" pivotButton="0" quotePrefix="0" xfId="0">
      <alignment horizontal="center" textRotation="90"/>
    </xf>
    <xf numFmtId="0" fontId="1" fillId="3" borderId="5" applyAlignment="1" pivotButton="0" quotePrefix="0" xfId="0">
      <alignment horizontal="center" textRotation="90"/>
    </xf>
    <xf numFmtId="0" fontId="1" fillId="4" borderId="1" applyAlignment="1" pivotButton="0" quotePrefix="0" xfId="0">
      <alignment horizontal="center" textRotation="90"/>
    </xf>
    <xf numFmtId="0" fontId="1" fillId="5" borderId="1" applyAlignment="1" pivotButton="0" quotePrefix="0" xfId="0">
      <alignment horizontal="center" textRotation="90"/>
    </xf>
    <xf numFmtId="0" fontId="1" fillId="6" borderId="1" applyAlignment="1" pivotButton="0" quotePrefix="0" xfId="0">
      <alignment horizontal="center" textRotation="90"/>
    </xf>
    <xf numFmtId="0" fontId="1" fillId="3" borderId="1" applyAlignment="1" pivotButton="0" quotePrefix="0" xfId="0">
      <alignment horizontal="center" textRotation="90"/>
    </xf>
    <xf numFmtId="0" fontId="1" fillId="8" borderId="1" applyAlignment="1" pivotButton="0" quotePrefix="0" xfId="0">
      <alignment horizontal="center" textRotation="90"/>
    </xf>
    <xf numFmtId="0" fontId="0" fillId="10" borderId="0" pivotButton="0" quotePrefix="0" xfId="0"/>
    <xf numFmtId="0" fontId="9" fillId="0" borderId="0" pivotButton="0" quotePrefix="0" xfId="0"/>
    <xf numFmtId="0" fontId="0" fillId="11" borderId="0" pivotButton="0" quotePrefix="0" xfId="0"/>
    <xf numFmtId="0" fontId="1" fillId="2" borderId="1" applyAlignment="1" pivotButton="0" quotePrefix="0" xfId="0">
      <alignment horizontal="center" textRotation="90"/>
    </xf>
    <xf numFmtId="0" fontId="0" fillId="0" borderId="0" applyAlignment="1" pivotButton="0" quotePrefix="0" xfId="0">
      <alignment horizontal="center"/>
    </xf>
    <xf numFmtId="0" fontId="3" fillId="3" borderId="6" applyAlignment="1" pivotButton="0" quotePrefix="0" xfId="0">
      <alignment horizontal="center" textRotation="90"/>
    </xf>
    <xf numFmtId="0" fontId="3" fillId="3" borderId="5" applyAlignment="1" pivotButton="0" quotePrefix="0" xfId="0">
      <alignment horizontal="center" textRotation="90"/>
    </xf>
    <xf numFmtId="0" fontId="1" fillId="4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3" fillId="5" borderId="3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1" fillId="6" borderId="3" applyAlignment="1" pivotButton="0" quotePrefix="0" xfId="0">
      <alignment horizontal="center"/>
    </xf>
    <xf numFmtId="0" fontId="1" fillId="7" borderId="3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/>
    </xf>
    <xf numFmtId="0" fontId="1" fillId="7" borderId="4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3" fillId="3" borderId="1" applyAlignment="1" pivotButton="0" quotePrefix="0" xfId="0">
      <alignment horizontal="center" textRotation="90"/>
    </xf>
    <xf numFmtId="0" fontId="0" fillId="0" borderId="5" pivotButton="0" quotePrefix="0" xfId="0"/>
    <xf numFmtId="0" fontId="10" fillId="0" borderId="0" pivotButton="0" quotePrefix="0" xfId="0"/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/>
    </xf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11" fillId="12" borderId="0" pivotButton="0" quotePrefix="0" xfId="0"/>
    <xf numFmtId="165" fontId="10" fillId="0" borderId="0" pivotButton="0" quotePrefix="0" xfId="0"/>
    <xf numFmtId="0" fontId="11" fillId="12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Normal" xfId="0" builtinId="0"/>
  </cellStyles>
  <dxfs count="4">
    <dxf>
      <fill>
        <patternFill patternType="solid">
          <fgColor rgb="FFD09996"/>
          <bgColor rgb="FFD09996"/>
        </patternFill>
      </fill>
    </dxf>
    <dxf>
      <fill>
        <patternFill patternType="solid">
          <fgColor rgb="FFC8D6A1"/>
          <bgColor rgb="FFC8D6A1"/>
        </patternFill>
      </fill>
    </dxf>
    <dxf>
      <fill>
        <patternFill patternType="solid">
          <fgColor rgb="00C8D6A1"/>
          <bgColor rgb="00C8D6A1"/>
        </patternFill>
      </fill>
    </dxf>
    <dxf>
      <fill>
        <patternFill patternType="solid">
          <fgColor rgb="00FFFF54"/>
          <bgColor rgb="00FFFF5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92"/>
  <sheetViews>
    <sheetView tabSelected="1" zoomScale="150" zoomScaleNormal="150" workbookViewId="0">
      <pane ySplit="1" topLeftCell="A2" activePane="bottomLeft" state="frozen"/>
      <selection pane="bottomLeft" activeCell="A2" sqref="A2"/>
    </sheetView>
  </sheetViews>
  <sheetFormatPr baseColWidth="10" defaultColWidth="8.83203125" defaultRowHeight="15"/>
  <sheetData>
    <row r="1" ht="125" customHeight="1">
      <c r="A1" s="12" t="inlineStr">
        <is>
          <t>Key</t>
        </is>
      </c>
      <c r="B1" s="12" t="inlineStr">
        <is>
          <t>Scouter PIN</t>
        </is>
      </c>
      <c r="C1" s="12" t="inlineStr">
        <is>
          <t>Match</t>
        </is>
      </c>
      <c r="D1" s="12" t="inlineStr">
        <is>
          <t>Alliance</t>
        </is>
      </c>
      <c r="E1" s="12" t="inlineStr">
        <is>
          <t>Team</t>
        </is>
      </c>
      <c r="F1" s="12" t="inlineStr">
        <is>
          <t>Climbing Attempted</t>
        </is>
      </c>
      <c r="G1" s="12" t="inlineStr">
        <is>
          <t>Robot Reach Level 1</t>
        </is>
      </c>
      <c r="H1" s="12" t="inlineStr">
        <is>
          <t>Robot Move in Auto</t>
        </is>
      </c>
      <c r="I1" s="12" t="inlineStr">
        <is>
          <t>A-Stop Activated</t>
        </is>
      </c>
      <c r="J1" s="12" t="inlineStr">
        <is>
          <t>Total Fuel Scored</t>
        </is>
      </c>
      <c r="K1" s="12" t="inlineStr">
        <is>
          <t>Speed to Shoot Fuel</t>
        </is>
      </c>
      <c r="L1" s="12" t="inlineStr">
        <is>
          <t>Accuracy to Shoot Fuel</t>
        </is>
      </c>
      <c r="M1" s="12" t="inlineStr">
        <is>
          <t>Number of Fuel Collected</t>
        </is>
      </c>
      <c r="N1" s="12" t="inlineStr">
        <is>
          <t>Duirng Inactive, did Collect</t>
        </is>
      </c>
      <c r="O1" s="12" t="inlineStr">
        <is>
          <t>During Inactive, did Pass</t>
        </is>
      </c>
      <c r="P1" s="12" t="inlineStr">
        <is>
          <t>Collect from Alliance Zone</t>
        </is>
      </c>
      <c r="Q1" s="12" t="inlineStr">
        <is>
          <t>Collect from Neutral Zone</t>
        </is>
      </c>
      <c r="R1" s="12" t="inlineStr">
        <is>
          <t>Was Intake Good</t>
        </is>
      </c>
      <c r="S1" s="12" t="inlineStr">
        <is>
          <t>Climb, Scucess, Level (Endgame)</t>
        </is>
      </c>
      <c r="T1" s="12" t="inlineStr">
        <is>
          <t>Defensive Whole Game</t>
        </is>
      </c>
      <c r="U1" s="12" t="inlineStr">
        <is>
          <t>Shot from Same Position</t>
        </is>
      </c>
      <c r="V1" s="12" t="inlineStr">
        <is>
          <t>Continue to Shoot Until End</t>
        </is>
      </c>
      <c r="W1" s="12" t="inlineStr">
        <is>
          <t>Grade Robot's Performance</t>
        </is>
      </c>
      <c r="X1" s="12" t="inlineStr">
        <is>
          <t>Result of Match (Postmatch)</t>
        </is>
      </c>
      <c r="Y1" s="12" t="inlineStr">
        <is>
          <t>Energized Ranking Point</t>
        </is>
      </c>
      <c r="Z1" s="12" t="inlineStr">
        <is>
          <t>Supercharged Ranking Point</t>
        </is>
      </c>
      <c r="AA1" s="12" t="inlineStr">
        <is>
          <t>Traversal Ranking Point</t>
        </is>
      </c>
      <c r="AB1" s="12" t="inlineStr">
        <is>
          <t>Total Points Scored</t>
        </is>
      </c>
      <c r="AC1" s="12" t="inlineStr">
        <is>
          <t>Comments</t>
        </is>
      </c>
    </row>
    <row r="2" ht="16" customHeight="1">
      <c r="A2" s="1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16" customHeight="1">
      <c r="A3" s="1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6" customHeight="1">
      <c r="A4" s="1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 ht="16" customHeight="1">
      <c r="A5" s="1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</row>
    <row r="6" ht="16" customHeight="1">
      <c r="A6" s="1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</row>
    <row r="7" ht="16" customHeight="1">
      <c r="A7" s="1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</row>
    <row r="8" ht="16" customHeight="1">
      <c r="A8" s="1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</row>
    <row r="9" ht="16" customHeight="1">
      <c r="A9" s="1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</row>
    <row r="10" ht="16" customHeight="1">
      <c r="A10" s="1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</row>
    <row r="11" ht="16" customHeight="1">
      <c r="A11" s="1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</row>
    <row r="12" ht="16" customHeight="1">
      <c r="A12" s="1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</row>
    <row r="13" ht="16" customHeight="1">
      <c r="A13" s="1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</row>
    <row r="14" ht="16" customHeight="1">
      <c r="A14" s="1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</row>
    <row r="15" ht="16" customHeight="1">
      <c r="A15" s="1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</row>
    <row r="16" ht="16" customHeight="1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</row>
    <row r="17" ht="16" customHeight="1">
      <c r="A17" s="1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</row>
    <row r="18" ht="16" customHeight="1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</row>
    <row r="19" ht="16" customHeight="1">
      <c r="A19" s="1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</row>
    <row r="20" ht="16" customHeight="1">
      <c r="A20" s="1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</row>
    <row r="21" ht="16" customHeight="1">
      <c r="A21" s="1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</row>
    <row r="22" ht="16" customHeight="1">
      <c r="A22" s="1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</row>
    <row r="23" ht="16" customHeight="1">
      <c r="A23" s="1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</row>
    <row r="24" ht="16" customHeight="1">
      <c r="A24" s="1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</row>
    <row r="25" ht="16" customHeight="1">
      <c r="A25" s="1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</row>
    <row r="26" ht="16" customHeight="1">
      <c r="A26" s="1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</row>
    <row r="27" ht="16" customHeight="1">
      <c r="A27" s="1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</row>
    <row r="28" ht="16" customHeight="1">
      <c r="A28" s="1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</row>
    <row r="29" ht="16" customHeight="1">
      <c r="A29" s="1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</row>
    <row r="30" ht="16" customHeight="1">
      <c r="A30" s="1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</row>
    <row r="31" ht="16" customHeight="1">
      <c r="A31" s="1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</row>
    <row r="32" ht="16" customHeight="1">
      <c r="A32" s="1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</row>
    <row r="33" ht="16" customHeight="1">
      <c r="A33" s="1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</row>
    <row r="34" ht="16" customHeight="1">
      <c r="A34" s="1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</row>
    <row r="35" ht="16" customHeight="1">
      <c r="A35" s="1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</row>
    <row r="36" ht="16" customHeight="1">
      <c r="A36" s="1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</row>
    <row r="37" ht="16" customHeight="1">
      <c r="A37" s="1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</row>
    <row r="38" ht="16" customHeight="1">
      <c r="A38" s="1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</row>
    <row r="39" ht="16" customHeight="1">
      <c r="A39" s="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</row>
    <row r="40" ht="16" customHeight="1">
      <c r="A40" s="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</row>
    <row r="41" ht="16" customHeight="1">
      <c r="A41" s="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</row>
    <row r="42" ht="16" customHeight="1">
      <c r="A42" s="1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</row>
    <row r="43" ht="16" customHeight="1">
      <c r="A43" s="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</row>
    <row r="44" ht="16" customHeight="1">
      <c r="A44" s="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</row>
    <row r="45" ht="16" customHeight="1">
      <c r="A45" s="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</row>
    <row r="46" ht="16" customHeight="1">
      <c r="A46" s="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</row>
    <row r="47" ht="16" customHeight="1">
      <c r="A47" s="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</row>
    <row r="48" ht="16" customHeight="1">
      <c r="A48" s="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</row>
    <row r="49" ht="16" customHeight="1">
      <c r="A49" s="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</row>
    <row r="50" ht="16" customHeight="1">
      <c r="A50" s="1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</row>
    <row r="51" ht="16" customHeight="1">
      <c r="A51" s="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</row>
    <row r="52" ht="16" customHeight="1">
      <c r="A52" s="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</row>
    <row r="53" ht="16" customHeight="1">
      <c r="A53" s="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</row>
    <row r="54" ht="16" customHeight="1">
      <c r="A54" s="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</row>
    <row r="55" ht="16" customHeight="1">
      <c r="A55" s="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</row>
    <row r="56" ht="16" customHeight="1">
      <c r="A56" s="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</row>
    <row r="57" ht="16" customHeight="1">
      <c r="A57" s="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</row>
    <row r="58" ht="16" customHeight="1">
      <c r="A58" s="1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</row>
    <row r="59" ht="16" customHeight="1">
      <c r="A59" s="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</row>
    <row r="60" ht="16" customHeight="1">
      <c r="A60" s="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</row>
    <row r="61" ht="16" customHeight="1">
      <c r="A61" s="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</row>
    <row r="62" ht="16" customHeight="1">
      <c r="A62" s="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</row>
    <row r="63" ht="16" customHeight="1">
      <c r="A63" s="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</row>
    <row r="64" ht="16" customHeight="1">
      <c r="A64" s="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</row>
    <row r="65" ht="16" customHeight="1">
      <c r="A65" s="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</row>
    <row r="66" ht="16" customHeight="1">
      <c r="A66" s="1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</row>
    <row r="67" ht="16" customHeight="1">
      <c r="A67" s="1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</row>
    <row r="68" ht="16" customHeight="1">
      <c r="A68" s="1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</row>
    <row r="69" ht="16" customHeight="1">
      <c r="A69" s="1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</row>
    <row r="70" ht="16" customHeight="1">
      <c r="A70" s="1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</row>
    <row r="71" ht="16" customHeight="1">
      <c r="A71" s="1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</row>
    <row r="72" ht="16" customHeight="1">
      <c r="A72" s="1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</row>
    <row r="73" ht="16" customHeight="1">
      <c r="A73" s="1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</row>
    <row r="74" ht="16" customHeight="1">
      <c r="A74" s="1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</row>
    <row r="75" ht="16" customHeight="1">
      <c r="A75" s="1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</row>
    <row r="76" ht="16" customHeight="1">
      <c r="A76" s="1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</row>
    <row r="77" ht="16" customHeight="1">
      <c r="A77" s="1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</row>
    <row r="78" ht="16" customHeight="1">
      <c r="A78" s="1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</row>
    <row r="79" ht="16" customHeight="1">
      <c r="A79" s="1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</row>
    <row r="80" ht="16" customHeight="1">
      <c r="A80" s="1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</row>
    <row r="81" ht="16" customHeight="1">
      <c r="A81" s="1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</row>
    <row r="82" ht="16" customHeight="1">
      <c r="A82" s="1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</row>
    <row r="83" ht="16" customHeight="1">
      <c r="A83" s="1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</row>
    <row r="84" ht="16" customHeight="1">
      <c r="A84" s="1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</row>
    <row r="85" ht="16" customHeight="1">
      <c r="A85" s="1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</row>
    <row r="86" ht="16" customHeight="1">
      <c r="A86" s="1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</row>
    <row r="87" ht="16" customHeight="1">
      <c r="A87" s="1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</row>
    <row r="88" ht="16" customHeight="1">
      <c r="A88" s="1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</row>
    <row r="89" ht="16" customHeight="1">
      <c r="A89" s="1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</row>
    <row r="90" ht="16" customHeight="1">
      <c r="A90" s="1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</row>
    <row r="91" ht="16" customHeight="1">
      <c r="A91" s="1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</row>
    <row r="92" ht="16" customHeight="1">
      <c r="A92" s="1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</row>
    <row r="93" ht="16" customHeight="1">
      <c r="A93" s="1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</row>
    <row r="94" ht="16" customHeight="1">
      <c r="A94" s="1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</row>
    <row r="95" ht="16" customHeight="1">
      <c r="A95" s="1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</row>
    <row r="96" ht="16" customHeight="1">
      <c r="A96" s="1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</row>
    <row r="97" ht="16" customHeight="1">
      <c r="A97" s="1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</row>
    <row r="98" ht="16" customHeight="1">
      <c r="A98" s="1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</row>
    <row r="99" ht="16" customHeight="1">
      <c r="A99" s="1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</row>
    <row r="100" ht="16" customHeight="1">
      <c r="A100" s="1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</row>
    <row r="101" ht="16" customHeight="1">
      <c r="A101" s="1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</row>
    <row r="102" ht="16" customHeight="1">
      <c r="A102" s="1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</row>
    <row r="103" ht="16" customHeight="1">
      <c r="A103" s="1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</row>
    <row r="104" ht="16" customHeight="1">
      <c r="A104" s="1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</row>
    <row r="105" ht="16" customHeight="1">
      <c r="A105" s="1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</row>
    <row r="106" ht="16" customHeight="1">
      <c r="A106" s="1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</row>
    <row r="107" ht="16" customHeight="1">
      <c r="A107" s="1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</row>
    <row r="108" ht="16" customHeight="1">
      <c r="A108" s="1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</row>
    <row r="109" ht="16" customHeight="1">
      <c r="A109" s="1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</row>
    <row r="110" ht="16" customHeight="1">
      <c r="A110" s="1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</row>
    <row r="111" ht="16" customHeight="1">
      <c r="A111" s="1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</row>
    <row r="112" ht="16" customHeight="1">
      <c r="A112" s="1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</row>
    <row r="113" ht="16" customHeight="1">
      <c r="A113" s="1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</row>
    <row r="114" ht="16" customHeight="1">
      <c r="A114" s="1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</row>
    <row r="115" ht="16" customHeight="1">
      <c r="A115" s="1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</row>
    <row r="116" ht="16" customHeight="1">
      <c r="A116" s="1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</row>
    <row r="117" ht="16" customHeight="1">
      <c r="A117" s="1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</row>
    <row r="118" ht="16" customHeight="1">
      <c r="A118" s="1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</row>
    <row r="119" ht="16" customHeight="1">
      <c r="A119" s="1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</row>
    <row r="120" ht="16" customHeight="1">
      <c r="A120" s="1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</row>
    <row r="121" ht="16" customHeight="1">
      <c r="A121" s="1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</row>
    <row r="122" ht="16" customHeight="1">
      <c r="A122" s="1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</row>
    <row r="123" ht="16" customHeight="1">
      <c r="A123" s="1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</row>
    <row r="124" ht="16" customHeight="1">
      <c r="A124" s="1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</row>
    <row r="125" ht="16" customHeight="1">
      <c r="A125" s="1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</row>
    <row r="126" ht="16" customHeight="1">
      <c r="A126" s="1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</row>
    <row r="127" ht="16" customHeight="1">
      <c r="A127" s="1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</row>
    <row r="128" ht="16" customHeight="1">
      <c r="A128" s="1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</row>
    <row r="129" ht="16" customHeight="1">
      <c r="A129" s="1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</row>
    <row r="130" ht="16" customHeight="1">
      <c r="A130" s="1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</row>
    <row r="131" ht="16" customHeight="1">
      <c r="A131" s="1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</row>
    <row r="132" ht="16" customHeight="1">
      <c r="A132" s="1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</row>
    <row r="133" ht="16" customHeight="1">
      <c r="A133" s="1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</row>
    <row r="134" ht="16" customHeight="1">
      <c r="A134" s="1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</row>
    <row r="135" ht="16" customHeight="1">
      <c r="A135" s="1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</row>
    <row r="136" ht="16" customHeight="1">
      <c r="A136" s="1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</row>
    <row r="137" ht="16" customHeight="1">
      <c r="A137" s="1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</row>
    <row r="138" ht="16" customHeight="1">
      <c r="A138" s="1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</row>
    <row r="139" ht="16" customHeight="1">
      <c r="A139" s="1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</row>
    <row r="140" ht="16" customHeight="1">
      <c r="A140" s="1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</row>
    <row r="141" ht="16" customHeight="1">
      <c r="A141" s="1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</row>
    <row r="142" ht="16" customHeight="1">
      <c r="A142" s="1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</row>
    <row r="143" ht="16" customHeight="1">
      <c r="A143" s="1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</row>
    <row r="144" ht="16" customHeight="1">
      <c r="A144" s="1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</row>
    <row r="145" ht="16" customHeight="1">
      <c r="A145" s="1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</row>
    <row r="146" ht="16" customHeight="1">
      <c r="A146" s="1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</row>
    <row r="147" ht="16" customHeight="1">
      <c r="A147" s="1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</row>
    <row r="148" ht="16" customHeight="1">
      <c r="A148" s="1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</row>
    <row r="149" ht="16" customHeight="1">
      <c r="A149" s="1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</row>
    <row r="150" ht="16" customHeight="1">
      <c r="A150" s="1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</row>
    <row r="151" ht="16" customHeight="1">
      <c r="A151" s="1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</row>
    <row r="152" ht="16" customHeight="1">
      <c r="A152" s="1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</row>
    <row r="153" ht="16" customHeight="1">
      <c r="A153" s="1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</row>
    <row r="154" ht="16" customHeight="1">
      <c r="A154" s="1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</row>
    <row r="155" ht="16" customHeight="1">
      <c r="A155" s="1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</row>
    <row r="156" ht="16" customHeight="1">
      <c r="A156" s="1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</row>
    <row r="157" ht="16" customHeight="1">
      <c r="A157" s="1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</row>
    <row r="158" ht="16" customHeight="1">
      <c r="A158" s="1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</row>
    <row r="159" ht="16" customHeight="1">
      <c r="A159" s="1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</row>
    <row r="160" ht="16" customHeight="1">
      <c r="A160" s="1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</row>
    <row r="161" ht="16" customHeight="1">
      <c r="A161" s="1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</row>
    <row r="162" ht="16" customHeight="1">
      <c r="A162" s="1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</row>
    <row r="163" ht="16" customHeight="1">
      <c r="A163" s="1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</row>
    <row r="164" ht="16" customHeight="1">
      <c r="A164" s="1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</row>
    <row r="165" ht="16" customHeight="1">
      <c r="A165" s="1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</row>
    <row r="166" ht="16" customHeight="1">
      <c r="A166" s="1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</row>
    <row r="167" ht="16" customHeight="1">
      <c r="A167" s="1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</row>
    <row r="168" ht="16" customHeight="1">
      <c r="A168" s="1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</row>
    <row r="169" ht="16" customHeight="1">
      <c r="A169" s="1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</row>
    <row r="170" ht="16" customHeight="1">
      <c r="A170" s="1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</row>
    <row r="171" ht="16" customHeight="1">
      <c r="A171" s="1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</row>
    <row r="172" ht="16" customHeight="1">
      <c r="A172" s="1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</row>
    <row r="173" ht="16" customHeight="1">
      <c r="A173" s="1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</row>
    <row r="174" ht="16" customHeight="1">
      <c r="A174" s="1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</row>
    <row r="175" ht="16" customHeight="1">
      <c r="A175" s="1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</row>
    <row r="176" ht="16" customHeight="1">
      <c r="A176" s="1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</row>
    <row r="177" ht="16" customHeight="1">
      <c r="A177" s="1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</row>
    <row r="178" ht="16" customHeight="1">
      <c r="A178" s="1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</row>
    <row r="179" ht="16" customHeight="1">
      <c r="A179" s="1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</row>
    <row r="180" ht="16" customHeight="1">
      <c r="A180" s="1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</row>
    <row r="181" ht="16" customHeight="1">
      <c r="A181" s="1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</row>
    <row r="182" ht="16" customHeight="1">
      <c r="A182" s="1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</row>
    <row r="183" ht="16" customHeight="1">
      <c r="A183" s="1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</row>
    <row r="184" ht="16" customHeight="1">
      <c r="A184" s="1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</row>
    <row r="185" ht="16" customHeight="1">
      <c r="A185" s="1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</row>
    <row r="186" ht="16" customHeight="1">
      <c r="A186" s="1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</row>
    <row r="187" ht="16" customHeight="1">
      <c r="A187" s="1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</row>
    <row r="188" ht="16" customHeight="1">
      <c r="A188" s="1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</row>
    <row r="189" ht="16" customHeight="1">
      <c r="A189" s="1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</row>
    <row r="190" ht="16" customHeight="1">
      <c r="A190" s="1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</row>
    <row r="191" ht="16" customHeight="1">
      <c r="A191" s="1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</row>
    <row r="192" ht="16" customHeight="1">
      <c r="A192" s="1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</row>
    <row r="193" ht="16" customHeight="1">
      <c r="A193" s="1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</row>
    <row r="194" ht="16" customHeight="1">
      <c r="A194" s="1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</row>
    <row r="195" ht="16" customHeight="1">
      <c r="A195" s="1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</row>
    <row r="196" ht="16" customHeight="1">
      <c r="A196" s="1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</row>
    <row r="197" ht="16" customHeight="1">
      <c r="A197" s="1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</row>
    <row r="198" ht="16" customHeight="1">
      <c r="A198" s="1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</row>
    <row r="199" ht="16" customHeight="1">
      <c r="A199" s="1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</row>
    <row r="200" ht="16" customHeight="1">
      <c r="A200" s="1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</row>
    <row r="201" ht="16" customHeight="1">
      <c r="A201" s="1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</row>
    <row r="202" ht="16" customHeight="1">
      <c r="A202" s="1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</row>
    <row r="203" ht="16" customHeight="1">
      <c r="A203" s="1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</row>
    <row r="204" ht="16" customHeight="1">
      <c r="A204" s="1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</row>
    <row r="205" ht="16" customHeight="1">
      <c r="A205" s="1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</row>
    <row r="206" ht="16" customHeight="1">
      <c r="A206" s="1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</row>
    <row r="207" ht="16" customHeight="1">
      <c r="A207" s="1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</row>
    <row r="208" ht="16" customHeight="1">
      <c r="A208" s="1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</row>
    <row r="209" ht="16" customHeight="1">
      <c r="A209" s="1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</row>
    <row r="210" ht="16" customHeight="1">
      <c r="A210" s="1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</row>
    <row r="211" ht="16" customHeight="1">
      <c r="A211" s="1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</row>
    <row r="212" ht="16" customHeight="1">
      <c r="A212" s="1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</row>
    <row r="213" ht="16" customHeight="1">
      <c r="A213" s="1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</row>
    <row r="214" ht="16" customHeight="1">
      <c r="A214" s="1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</row>
    <row r="215" ht="16" customHeight="1">
      <c r="A215" s="1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</row>
    <row r="216" ht="16" customHeight="1">
      <c r="A216" s="1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</row>
    <row r="217" ht="16" customHeight="1">
      <c r="A217" s="1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</row>
    <row r="218" ht="16" customHeight="1">
      <c r="A218" s="1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</row>
    <row r="219" ht="16" customHeight="1">
      <c r="A219" s="1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</row>
    <row r="220" ht="16" customHeight="1">
      <c r="A220" s="1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</row>
    <row r="221" ht="16" customHeight="1">
      <c r="A221" s="1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</row>
    <row r="222" ht="16" customHeight="1">
      <c r="A222" s="1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</row>
    <row r="223" ht="16" customHeight="1">
      <c r="A223" s="1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</row>
    <row r="224" ht="16" customHeight="1">
      <c r="A224" s="1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</row>
    <row r="225" ht="16" customHeight="1">
      <c r="A225" s="1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</row>
    <row r="226" ht="16" customHeight="1">
      <c r="A226" s="1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</row>
    <row r="227" ht="16" customHeight="1">
      <c r="A227" s="1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</row>
    <row r="228" ht="16" customHeight="1">
      <c r="A228" s="1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</row>
    <row r="229" ht="16" customHeight="1">
      <c r="A229" s="1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</row>
    <row r="230" ht="16" customHeight="1">
      <c r="A230" s="1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</row>
    <row r="231" ht="16" customHeight="1">
      <c r="A231" s="1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</row>
    <row r="232" ht="16" customHeight="1">
      <c r="A232" s="1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</row>
    <row r="233" ht="16" customHeight="1">
      <c r="A233" s="1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</row>
    <row r="234" ht="16" customHeight="1">
      <c r="A234" s="1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</row>
    <row r="235" ht="16" customHeight="1">
      <c r="A235" s="1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</row>
    <row r="236" ht="16" customHeight="1">
      <c r="A236" s="1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</row>
    <row r="237" ht="16" customHeight="1">
      <c r="A237" s="1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</row>
    <row r="238" ht="16" customHeight="1">
      <c r="A238" s="1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</row>
    <row r="239" ht="16" customHeight="1">
      <c r="A239" s="1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</row>
    <row r="240" ht="16" customHeight="1">
      <c r="A240" s="1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</row>
    <row r="241" ht="16" customHeight="1">
      <c r="A241" s="1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</row>
    <row r="242" ht="16" customHeight="1">
      <c r="A242" s="1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</row>
    <row r="243" ht="16" customHeight="1">
      <c r="A243" s="1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</row>
    <row r="244" ht="16" customHeight="1">
      <c r="A244" s="1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</row>
    <row r="245" ht="16" customHeight="1">
      <c r="A245" s="1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</row>
    <row r="246" ht="16" customHeight="1">
      <c r="A246" s="1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</row>
    <row r="247" ht="16" customHeight="1">
      <c r="A247" s="1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</row>
    <row r="248" ht="16" customHeight="1">
      <c r="A248" s="1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</row>
    <row r="249" ht="16" customHeight="1">
      <c r="A249" s="1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</row>
    <row r="250" ht="16" customHeight="1">
      <c r="A250" s="1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</row>
    <row r="251" ht="16" customHeight="1">
      <c r="A251" s="1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</row>
    <row r="252" ht="16" customHeight="1">
      <c r="A252" s="1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</row>
    <row r="253" ht="16" customHeight="1">
      <c r="A253" s="1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</row>
    <row r="254" ht="16" customHeight="1">
      <c r="A254" s="1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</row>
    <row r="255" ht="16" customHeight="1">
      <c r="A255" s="1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</row>
    <row r="256" ht="16" customHeight="1">
      <c r="A256" s="1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</row>
    <row r="257" ht="16" customHeight="1">
      <c r="A257" s="1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</row>
    <row r="258" ht="16" customHeight="1">
      <c r="A258" s="1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</row>
    <row r="259" ht="16" customHeight="1">
      <c r="A259" s="1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</row>
    <row r="260" ht="16" customHeight="1">
      <c r="A260" s="1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</row>
    <row r="261" ht="16" customHeight="1">
      <c r="A261" s="1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</row>
    <row r="262" ht="16" customHeight="1">
      <c r="A262" s="1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</row>
    <row r="263" ht="16" customHeight="1">
      <c r="A263" s="1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</row>
    <row r="264" ht="16" customHeight="1">
      <c r="A264" s="1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</row>
    <row r="265" ht="16" customHeight="1">
      <c r="A265" s="1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</row>
    <row r="266" ht="16" customHeight="1">
      <c r="A266" s="1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</row>
    <row r="267" ht="16" customHeight="1">
      <c r="A267" s="1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</row>
    <row r="268" ht="16" customHeight="1">
      <c r="A268" s="1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</row>
    <row r="269" ht="16" customHeight="1">
      <c r="A269" s="1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</row>
    <row r="270" ht="16" customHeight="1">
      <c r="A270" s="1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</row>
    <row r="271" ht="16" customHeight="1">
      <c r="A271" s="1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</row>
    <row r="272" ht="16" customHeight="1">
      <c r="A272" s="1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</row>
    <row r="273" ht="16" customHeight="1">
      <c r="A273" s="1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</row>
    <row r="274" ht="16" customHeight="1">
      <c r="A274" s="1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</row>
    <row r="275" ht="16" customHeight="1">
      <c r="A275" s="1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</row>
    <row r="276" ht="16" customHeight="1">
      <c r="A276" s="1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</row>
    <row r="277" ht="16" customHeight="1">
      <c r="A277" s="1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</row>
    <row r="278" ht="16" customHeight="1">
      <c r="A278" s="1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</row>
    <row r="279" ht="16" customHeight="1">
      <c r="A279" s="1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</row>
    <row r="280" ht="16" customHeight="1">
      <c r="A280" s="1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</row>
    <row r="281" ht="16" customHeight="1">
      <c r="A281" s="1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</row>
    <row r="282" ht="16" customHeight="1">
      <c r="A282" s="1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</row>
    <row r="283" ht="16" customHeight="1">
      <c r="A283" s="1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</row>
    <row r="284" ht="16" customHeight="1">
      <c r="A284" s="1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</row>
    <row r="285" ht="16" customHeight="1">
      <c r="A285" s="1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</row>
    <row r="286" ht="16" customHeight="1">
      <c r="A286" s="1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</row>
    <row r="287" ht="16" customHeight="1">
      <c r="A287" s="1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</row>
    <row r="288" ht="16" customHeight="1">
      <c r="A288" s="1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</row>
    <row r="289" ht="16" customHeight="1">
      <c r="A289" s="1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</row>
    <row r="290" ht="16" customHeight="1">
      <c r="A290" s="1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</row>
    <row r="291" ht="16" customHeight="1">
      <c r="A291" s="1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</row>
    <row r="292" ht="16" customHeight="1">
      <c r="A292" s="1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</row>
    <row r="293" ht="16" customHeight="1">
      <c r="A293" s="1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</row>
    <row r="294" ht="16" customHeight="1">
      <c r="A294" s="1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</row>
    <row r="295" ht="16" customHeight="1">
      <c r="A295" s="1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</row>
    <row r="296" ht="16" customHeight="1">
      <c r="A296" s="1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</row>
    <row r="297" ht="16" customHeight="1">
      <c r="A297" s="1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</row>
    <row r="298" ht="16" customHeight="1">
      <c r="A298" s="1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</row>
    <row r="299" ht="16" customHeight="1">
      <c r="A299" s="1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</row>
    <row r="300" ht="16" customHeight="1">
      <c r="A300" s="1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</row>
    <row r="301" ht="16" customHeight="1">
      <c r="A301" s="1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</row>
    <row r="302" ht="16" customHeight="1">
      <c r="A302" s="1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</row>
    <row r="303" ht="16" customHeight="1">
      <c r="A303" s="1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</row>
    <row r="304" ht="16" customHeight="1">
      <c r="A304" s="1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</row>
    <row r="305" ht="16" customHeight="1">
      <c r="A305" s="1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</row>
    <row r="306" ht="16" customHeight="1">
      <c r="A306" s="1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</row>
    <row r="307" ht="16" customHeight="1">
      <c r="A307" s="1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</row>
    <row r="308" ht="16" customHeight="1">
      <c r="A308" s="1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</row>
    <row r="309" ht="16" customHeight="1">
      <c r="A309" s="1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</row>
    <row r="310" ht="16" customHeight="1">
      <c r="A310" s="1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</row>
    <row r="311" ht="16" customHeight="1">
      <c r="A311" s="1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</row>
    <row r="312" ht="16" customHeight="1">
      <c r="A312" s="1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</row>
    <row r="313" ht="16" customHeight="1">
      <c r="A313" s="1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</row>
    <row r="314" ht="16" customHeight="1">
      <c r="A314" s="1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</row>
    <row r="315" ht="16" customHeight="1">
      <c r="A315" s="1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</row>
    <row r="316" ht="16" customHeight="1">
      <c r="A316" s="1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</row>
    <row r="317" ht="16" customHeight="1">
      <c r="A317" s="1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</row>
    <row r="318" ht="16" customHeight="1">
      <c r="A318" s="1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</row>
    <row r="319" ht="16" customHeight="1">
      <c r="A319" s="1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</row>
    <row r="320" ht="16" customHeight="1">
      <c r="A320" s="1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</row>
    <row r="321" ht="16" customHeight="1">
      <c r="A321" s="1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</row>
    <row r="322" ht="16" customHeight="1">
      <c r="A322" s="1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</row>
    <row r="323" ht="16" customHeight="1">
      <c r="A323" s="1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</row>
    <row r="324" ht="16" customHeight="1">
      <c r="A324" s="1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</row>
    <row r="325" ht="16" customHeight="1">
      <c r="A325" s="1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</row>
    <row r="326" ht="16" customHeight="1">
      <c r="A326" s="1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</row>
    <row r="327" ht="16" customHeight="1">
      <c r="A327" s="1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</row>
    <row r="328" ht="16" customHeight="1">
      <c r="A328" s="1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</row>
    <row r="329" ht="16" customHeight="1">
      <c r="A329" s="1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</row>
    <row r="330" ht="16" customHeight="1">
      <c r="A330" s="1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</row>
    <row r="331" ht="16" customHeight="1">
      <c r="A331" s="1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</row>
    <row r="332" ht="16" customHeight="1">
      <c r="A332" s="1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</row>
    <row r="333" ht="16" customHeight="1">
      <c r="A333" s="1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</row>
    <row r="334" ht="16" customHeight="1">
      <c r="A334" s="1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</row>
    <row r="335" ht="16" customHeight="1">
      <c r="A335" s="1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</row>
    <row r="336" ht="16" customHeight="1">
      <c r="A336" s="1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</row>
    <row r="337" ht="16" customHeight="1">
      <c r="A337" s="1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</row>
    <row r="338" ht="16" customHeight="1">
      <c r="A338" s="1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</row>
    <row r="339" ht="16" customHeight="1">
      <c r="A339" s="1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</row>
    <row r="340" ht="16" customHeight="1">
      <c r="A340" s="1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</row>
    <row r="341" ht="16" customHeight="1">
      <c r="A341" s="1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</row>
    <row r="342" ht="16" customHeight="1">
      <c r="A342" s="1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</row>
    <row r="343" ht="16" customHeight="1">
      <c r="A343" s="1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</row>
    <row r="344" ht="16" customHeight="1">
      <c r="A344" s="1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</row>
    <row r="345" ht="16" customHeight="1">
      <c r="A345" s="1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</row>
    <row r="346" ht="16" customHeight="1">
      <c r="A346" s="1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</row>
    <row r="347" ht="16" customHeight="1">
      <c r="A347" s="1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</row>
    <row r="348" ht="16" customHeight="1">
      <c r="A348" s="1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</row>
    <row r="349" ht="16" customHeight="1">
      <c r="A349" s="1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</row>
    <row r="350" ht="16" customHeight="1">
      <c r="A350" s="1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</row>
    <row r="351" ht="16" customHeight="1">
      <c r="A351" s="1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</row>
    <row r="352" ht="16" customHeight="1">
      <c r="A352" s="1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</row>
    <row r="353" ht="16" customHeight="1">
      <c r="A353" s="1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</row>
    <row r="354" ht="16" customHeight="1">
      <c r="A354" s="1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</row>
    <row r="355" ht="16" customHeight="1">
      <c r="A355" s="1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</row>
    <row r="356" ht="16" customHeight="1">
      <c r="A356" s="1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</row>
    <row r="357" ht="16" customHeight="1">
      <c r="A357" s="1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</row>
    <row r="358" ht="16" customHeight="1">
      <c r="A358" s="1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</row>
    <row r="359" ht="16" customHeight="1">
      <c r="A359" s="1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</row>
    <row r="360" ht="16" customHeight="1">
      <c r="A360" s="1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</row>
    <row r="361" ht="16" customHeight="1">
      <c r="A361" s="1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</row>
    <row r="362" ht="16" customHeight="1">
      <c r="A362" s="1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</row>
    <row r="363" ht="16" customHeight="1">
      <c r="A363" s="1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</row>
    <row r="364" ht="16" customHeight="1">
      <c r="A364" s="1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</row>
    <row r="365" ht="16" customHeight="1">
      <c r="A365" s="1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</row>
    <row r="366" ht="16" customHeight="1">
      <c r="A366" s="1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</row>
    <row r="367" ht="16" customHeight="1">
      <c r="A367" s="1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</row>
    <row r="368" ht="16" customHeight="1">
      <c r="A368" s="1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</row>
    <row r="369" ht="16" customHeight="1">
      <c r="A369" s="1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</row>
    <row r="370" ht="16" customHeight="1">
      <c r="A370" s="1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</row>
    <row r="371" ht="16" customHeight="1">
      <c r="A371" s="1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</row>
    <row r="372" ht="16" customHeight="1">
      <c r="A372" s="1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</row>
    <row r="373" ht="16" customHeight="1">
      <c r="A373" s="1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</row>
    <row r="374" ht="16" customHeight="1">
      <c r="A374" s="1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</row>
    <row r="375" ht="16" customHeight="1">
      <c r="A375" s="1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</row>
    <row r="376" ht="16" customHeight="1">
      <c r="A376" s="1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</row>
    <row r="377" ht="16" customHeight="1">
      <c r="A377" s="1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</row>
    <row r="378" ht="16" customHeight="1">
      <c r="A378" s="1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</row>
    <row r="379" ht="16" customHeight="1">
      <c r="A379" s="1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</row>
    <row r="380" ht="16" customHeight="1">
      <c r="A380" s="1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</row>
    <row r="381" ht="16" customHeight="1">
      <c r="A381" s="1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</row>
    <row r="382" ht="16" customHeight="1">
      <c r="A382" s="1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</row>
    <row r="383" ht="16" customHeight="1">
      <c r="A383" s="1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</row>
    <row r="384" ht="16" customHeight="1">
      <c r="A384" s="1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</row>
    <row r="385" ht="16" customHeight="1">
      <c r="A385" s="1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</row>
    <row r="386" ht="16" customHeight="1">
      <c r="A386" s="1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</row>
    <row r="387" ht="16" customHeight="1">
      <c r="A387" s="1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</row>
    <row r="388" ht="16" customHeight="1">
      <c r="A388" s="1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</row>
    <row r="389" ht="16" customHeight="1">
      <c r="A389" s="1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</row>
    <row r="390" ht="16" customHeight="1">
      <c r="A390" s="1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</row>
    <row r="391" ht="16" customHeight="1">
      <c r="A391" s="1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</row>
    <row r="392" ht="16" customHeight="1">
      <c r="A392" s="1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</row>
    <row r="393" ht="16" customHeight="1">
      <c r="A393" s="1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</row>
    <row r="394" ht="16" customHeight="1">
      <c r="A394" s="1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</row>
    <row r="395" ht="16" customHeight="1">
      <c r="A395" s="1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</row>
    <row r="396" ht="16" customHeight="1">
      <c r="A396" s="1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</row>
    <row r="397" ht="16" customHeight="1">
      <c r="A397" s="1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</row>
    <row r="398" ht="16" customHeight="1">
      <c r="A398" s="1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</row>
    <row r="399" ht="16" customHeight="1">
      <c r="A399" s="1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</row>
    <row r="400" ht="16" customHeight="1">
      <c r="A400" s="1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</row>
    <row r="401" ht="16" customHeight="1">
      <c r="A401" s="1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</row>
    <row r="402" ht="16" customHeight="1">
      <c r="A402" s="1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</row>
    <row r="403" ht="16" customHeight="1">
      <c r="A403" s="1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</row>
    <row r="404" ht="16" customHeight="1">
      <c r="A404" s="1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</row>
    <row r="405" ht="16" customHeight="1">
      <c r="A405" s="1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</row>
    <row r="406" ht="16" customHeight="1">
      <c r="A406" s="1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</row>
    <row r="407" ht="16" customHeight="1">
      <c r="A407" s="1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</row>
    <row r="408" ht="16" customHeight="1">
      <c r="A408" s="1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</row>
    <row r="409" ht="16" customHeight="1">
      <c r="A409" s="1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</row>
    <row r="410" ht="16" customHeight="1">
      <c r="A410" s="1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</row>
    <row r="411" ht="16" customHeight="1">
      <c r="A411" s="1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</row>
    <row r="412" ht="16" customHeight="1">
      <c r="A412" s="1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</row>
    <row r="413" ht="16" customHeight="1">
      <c r="A413" s="1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</row>
    <row r="414" ht="16" customHeight="1">
      <c r="A414" s="1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</row>
    <row r="415" ht="16" customHeight="1">
      <c r="A415" s="1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</row>
    <row r="416" ht="16" customHeight="1">
      <c r="A416" s="1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</row>
    <row r="417" ht="16" customHeight="1">
      <c r="A417" s="1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</row>
    <row r="418" ht="16" customHeight="1">
      <c r="A418" s="1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</row>
    <row r="419" ht="16" customHeight="1">
      <c r="A419" s="1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</row>
    <row r="420" ht="16" customHeight="1">
      <c r="A420" s="1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</row>
    <row r="421" ht="16" customHeight="1">
      <c r="A421" s="1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</row>
    <row r="422" ht="16" customHeight="1">
      <c r="A422" s="1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</row>
    <row r="423" ht="16" customHeight="1">
      <c r="A423" s="1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</row>
    <row r="424" ht="16" customHeight="1">
      <c r="A424" s="1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</row>
    <row r="425" ht="16" customHeight="1">
      <c r="A425" s="1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</row>
    <row r="426" ht="16" customHeight="1">
      <c r="A426" s="1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</row>
    <row r="427" ht="16" customHeight="1">
      <c r="A427" s="1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</row>
    <row r="428" ht="16" customHeight="1">
      <c r="A428" s="1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</row>
    <row r="429" ht="16" customHeight="1">
      <c r="A429" s="1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</row>
    <row r="430" ht="16" customHeight="1">
      <c r="A430" s="1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</row>
    <row r="431" ht="16" customHeight="1">
      <c r="A431" s="1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</row>
    <row r="432" ht="16" customHeight="1">
      <c r="A432" s="1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</row>
    <row r="433" ht="16" customHeight="1">
      <c r="A433" s="1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</row>
    <row r="434" ht="16" customHeight="1">
      <c r="A434" s="1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</row>
    <row r="435" ht="16" customHeight="1">
      <c r="A435" s="1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</row>
    <row r="436" ht="16" customHeight="1">
      <c r="A436" s="1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</row>
    <row r="437" ht="16" customHeight="1">
      <c r="A437" s="1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</row>
    <row r="438" ht="16" customHeight="1">
      <c r="A438" s="1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</row>
    <row r="439" ht="16" customHeight="1">
      <c r="A439" s="1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</row>
    <row r="440" ht="16" customHeight="1">
      <c r="A440" s="1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</row>
    <row r="441" ht="16" customHeight="1">
      <c r="A441" s="1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</row>
    <row r="442" ht="16" customHeight="1">
      <c r="A442" s="1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</row>
    <row r="443" ht="16" customHeight="1">
      <c r="A443" s="1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</row>
    <row r="444" ht="16" customHeight="1">
      <c r="A444" s="1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</row>
    <row r="445" ht="16" customHeight="1">
      <c r="A445" s="1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</row>
    <row r="446" ht="16" customHeight="1">
      <c r="A446" s="1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</row>
    <row r="447" ht="16" customHeight="1">
      <c r="A447" s="1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</row>
    <row r="448" ht="16" customHeight="1">
      <c r="A448" s="1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</row>
    <row r="449" ht="16" customHeight="1">
      <c r="A449" s="1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</row>
    <row r="450" ht="16" customHeight="1">
      <c r="A450" s="1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</row>
    <row r="451" ht="16" customHeight="1">
      <c r="A451" s="1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</row>
    <row r="452" ht="16" customHeight="1">
      <c r="A452" s="1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</row>
    <row r="453" ht="16" customHeight="1">
      <c r="A453" s="1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</row>
    <row r="454" ht="16" customHeight="1">
      <c r="A454" s="1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</row>
    <row r="455" ht="16" customHeight="1">
      <c r="A455" s="1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</row>
    <row r="456" ht="16" customHeight="1">
      <c r="A456" s="1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</row>
    <row r="457" ht="16" customHeight="1">
      <c r="A457" s="1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</row>
    <row r="458" ht="16" customHeight="1">
      <c r="A458" s="1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</row>
    <row r="459" ht="16" customHeight="1">
      <c r="A459" s="1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</row>
    <row r="460" ht="16" customHeight="1">
      <c r="A460" s="1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</row>
    <row r="461" ht="16" customHeight="1">
      <c r="A461" s="1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</row>
    <row r="462" ht="16" customHeight="1">
      <c r="A462" s="1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</row>
    <row r="463" ht="16" customHeight="1">
      <c r="A463" s="1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</row>
    <row r="464" ht="16" customHeight="1">
      <c r="A464" s="1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</row>
    <row r="465" ht="16" customHeight="1">
      <c r="A465" s="1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</row>
    <row r="466" ht="16" customHeight="1">
      <c r="A466" s="1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</row>
    <row r="467" ht="16" customHeight="1">
      <c r="A467" s="1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</row>
    <row r="468" ht="16" customHeight="1">
      <c r="A468" s="1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</row>
    <row r="469" ht="16" customHeight="1">
      <c r="A469" s="1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</row>
    <row r="470" ht="16" customHeight="1">
      <c r="A470" s="1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</row>
    <row r="471" ht="16" customHeight="1">
      <c r="A471" s="1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</row>
    <row r="472" ht="16" customHeight="1">
      <c r="A472" s="1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</row>
    <row r="473" ht="16" customHeight="1">
      <c r="A473" s="1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</row>
    <row r="474" ht="16" customHeight="1">
      <c r="A474" s="1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</row>
    <row r="475" ht="16" customHeight="1">
      <c r="A475" s="1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</row>
    <row r="476" ht="16" customHeight="1">
      <c r="A476" s="1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</row>
    <row r="477" ht="16" customHeight="1">
      <c r="A477" s="1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</row>
    <row r="478" ht="16" customHeight="1">
      <c r="A478" s="1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</row>
    <row r="479" ht="16" customHeight="1">
      <c r="A479" s="1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</row>
    <row r="480" ht="16" customHeight="1">
      <c r="A480" s="1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</row>
    <row r="481" ht="16" customHeight="1">
      <c r="A481" s="1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</row>
    <row r="482" ht="16" customHeight="1">
      <c r="A482" s="1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</row>
    <row r="483" ht="16" customHeight="1">
      <c r="A483" s="1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</row>
    <row r="484" ht="16" customHeight="1">
      <c r="A484" s="1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</row>
    <row r="485" ht="16" customHeight="1">
      <c r="A485" s="1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</row>
    <row r="486" ht="16" customHeight="1">
      <c r="A486" s="1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</row>
    <row r="487" ht="16" customHeight="1">
      <c r="A487" s="1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</row>
    <row r="488" ht="16" customHeight="1">
      <c r="A488" s="1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</row>
    <row r="489" ht="16" customHeight="1">
      <c r="A489" s="1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</row>
    <row r="490" ht="16" customHeight="1">
      <c r="A490" s="1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</row>
    <row r="491" ht="16" customHeight="1">
      <c r="A491" s="1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</row>
    <row r="492" ht="16" customHeight="1">
      <c r="A492" s="1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</row>
    <row r="493" ht="16" customHeight="1">
      <c r="A493" s="1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</row>
    <row r="494" ht="16" customHeight="1">
      <c r="A494" s="1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</row>
    <row r="495" ht="16" customHeight="1">
      <c r="A495" s="1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</row>
    <row r="496" ht="16" customHeight="1">
      <c r="A496" s="1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</row>
    <row r="497" ht="16" customHeight="1">
      <c r="A497" s="1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</row>
    <row r="498" ht="16" customHeight="1">
      <c r="A498" s="1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</row>
    <row r="499" ht="16" customHeight="1">
      <c r="A499" s="1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</row>
    <row r="500" ht="16" customHeight="1">
      <c r="A500" s="1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</row>
    <row r="501" ht="16" customHeight="1">
      <c r="A501" s="1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</row>
    <row r="502" ht="16" customHeight="1">
      <c r="A502" s="1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</row>
    <row r="503" ht="16" customHeight="1">
      <c r="A503" s="1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</row>
    <row r="504" ht="16" customHeight="1">
      <c r="A504" s="1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</row>
    <row r="505" ht="16" customHeight="1">
      <c r="A505" s="1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</row>
    <row r="506" ht="16" customHeight="1">
      <c r="A506" s="1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</row>
    <row r="507" ht="16" customHeight="1">
      <c r="A507" s="1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</row>
    <row r="508" ht="16" customHeight="1">
      <c r="A508" s="1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</row>
    <row r="509" ht="16" customHeight="1">
      <c r="A509" s="1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</row>
    <row r="510" ht="16" customHeight="1">
      <c r="A510" s="1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</row>
    <row r="511" ht="16" customHeight="1">
      <c r="A511" s="1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</row>
    <row r="512" ht="16" customHeight="1">
      <c r="A512" s="1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</row>
    <row r="513" ht="16" customHeight="1">
      <c r="A513" s="1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</row>
    <row r="514" ht="16" customHeight="1">
      <c r="A514" s="1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</row>
    <row r="515" ht="16" customHeight="1">
      <c r="A515" s="1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</row>
    <row r="516" ht="16" customHeight="1">
      <c r="A516" s="1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</row>
    <row r="517" ht="16" customHeight="1">
      <c r="A517" s="1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</row>
    <row r="518" ht="16" customHeight="1">
      <c r="A518" s="1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</row>
    <row r="519" ht="16" customHeight="1">
      <c r="A519" s="1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</row>
    <row r="520" ht="16" customHeight="1">
      <c r="A520" s="1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</row>
    <row r="521" ht="16" customHeight="1">
      <c r="A521" s="1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</row>
    <row r="522" ht="16" customHeight="1">
      <c r="A522" s="1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</row>
    <row r="523" ht="16" customHeight="1">
      <c r="A523" s="1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</row>
    <row r="524" ht="16" customHeight="1">
      <c r="A524" s="1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</row>
    <row r="525" ht="16" customHeight="1">
      <c r="A525" s="1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</row>
    <row r="526" ht="16" customHeight="1">
      <c r="A526" s="1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</row>
    <row r="527" ht="16" customHeight="1">
      <c r="A527" s="1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</row>
    <row r="528" ht="16" customHeight="1">
      <c r="A528" s="1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</row>
    <row r="529" ht="16" customHeight="1">
      <c r="A529" s="1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</row>
    <row r="530" ht="16" customHeight="1">
      <c r="A530" s="1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</row>
    <row r="531" ht="16" customHeight="1">
      <c r="A531" s="1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</row>
    <row r="532" ht="16" customHeight="1">
      <c r="A532" s="1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</row>
    <row r="533" ht="16" customHeight="1">
      <c r="A533" s="1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</row>
    <row r="534" ht="16" customHeight="1">
      <c r="A534" s="1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</row>
    <row r="535" ht="16" customHeight="1">
      <c r="A535" s="1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</row>
    <row r="536" ht="16" customHeight="1">
      <c r="A536" s="1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</row>
    <row r="537" ht="16" customHeight="1">
      <c r="A537" s="1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</row>
    <row r="538" ht="16" customHeight="1">
      <c r="A538" s="1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</row>
    <row r="539" ht="16" customHeight="1">
      <c r="A539" s="1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</row>
    <row r="540" ht="16" customHeight="1">
      <c r="A540" s="1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</row>
    <row r="541" ht="16" customHeight="1">
      <c r="A541" s="1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</row>
    <row r="542" ht="16" customHeight="1">
      <c r="A542" s="1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</row>
    <row r="543" ht="16" customHeight="1">
      <c r="A543" s="1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</row>
    <row r="544" ht="16" customHeight="1">
      <c r="A544" s="1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</row>
    <row r="545" ht="16" customHeight="1">
      <c r="A545" s="1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</row>
    <row r="546" ht="16" customHeight="1">
      <c r="A546" s="1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</row>
    <row r="547" ht="16" customHeight="1">
      <c r="A547" s="1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</row>
    <row r="548" ht="16" customHeight="1">
      <c r="A548" s="1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</row>
    <row r="549" ht="16" customHeight="1">
      <c r="A549" s="1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</row>
    <row r="550" ht="16" customHeight="1">
      <c r="A550" s="1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</row>
    <row r="551" ht="16" customHeight="1">
      <c r="A551" s="1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</row>
    <row r="552" ht="16" customHeight="1">
      <c r="A552" s="1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</row>
    <row r="553" ht="16" customHeight="1">
      <c r="A553" s="1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</row>
    <row r="554" ht="16" customHeight="1">
      <c r="A554" s="1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</row>
    <row r="555" ht="16" customHeight="1">
      <c r="A555" s="1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</row>
    <row r="556" ht="16" customHeight="1">
      <c r="A556" s="1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</row>
    <row r="557" ht="16" customHeight="1">
      <c r="A557" s="1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</row>
    <row r="558" ht="16" customHeight="1">
      <c r="A558" s="1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</row>
    <row r="559" ht="16" customHeight="1">
      <c r="A559" s="1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</row>
    <row r="560" ht="16" customHeight="1">
      <c r="A560" s="1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</row>
    <row r="561" ht="16" customHeight="1">
      <c r="A561" s="1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</row>
    <row r="562" ht="16" customHeight="1">
      <c r="A562" s="1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</row>
    <row r="563" ht="16" customHeight="1">
      <c r="A563" s="1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</row>
    <row r="564" ht="16" customHeight="1">
      <c r="A564" s="1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</row>
    <row r="565" ht="16" customHeight="1">
      <c r="A565" s="1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</row>
    <row r="566" ht="16" customHeight="1">
      <c r="A566" s="1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</row>
    <row r="567" ht="16" customHeight="1">
      <c r="A567" s="1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</row>
    <row r="568" ht="16" customHeight="1">
      <c r="A568" s="1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</row>
    <row r="569" ht="16" customHeight="1">
      <c r="A569" s="1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</row>
    <row r="570" ht="16" customHeight="1">
      <c r="A570" s="1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</row>
    <row r="571" ht="16" customHeight="1">
      <c r="A571" s="1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</row>
    <row r="572" ht="16" customHeight="1">
      <c r="A572" s="1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</row>
    <row r="573" ht="16" customHeight="1">
      <c r="A573" s="1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</row>
    <row r="574" ht="16" customHeight="1">
      <c r="A574" s="1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</row>
    <row r="575" ht="16" customHeight="1">
      <c r="A575" s="1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</row>
    <row r="576" ht="16" customHeight="1">
      <c r="A576" s="1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</row>
    <row r="577" ht="16" customHeight="1">
      <c r="A577" s="1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</row>
    <row r="578" ht="16" customHeight="1">
      <c r="A578" s="1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</row>
    <row r="579" ht="16" customHeight="1">
      <c r="A579" s="1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</row>
    <row r="580" ht="16" customHeight="1">
      <c r="A580" s="1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</row>
    <row r="581" ht="16" customHeight="1">
      <c r="A581" s="1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</row>
    <row r="582" ht="16" customHeight="1">
      <c r="A582" s="1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</row>
    <row r="583" ht="16" customHeight="1">
      <c r="A583" s="1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</row>
    <row r="584" ht="16" customHeight="1">
      <c r="A584" s="1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</row>
    <row r="585" ht="16" customHeight="1">
      <c r="A585" s="1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</row>
    <row r="586" ht="16" customHeight="1">
      <c r="A586" s="1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</row>
    <row r="587" ht="16" customHeight="1">
      <c r="A587" s="1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</row>
    <row r="588" ht="16" customHeight="1">
      <c r="A588" s="1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</row>
    <row r="589" ht="16" customHeight="1">
      <c r="A589" s="1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</row>
    <row r="590" ht="16" customHeight="1">
      <c r="A590" s="1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</row>
    <row r="591" ht="16" customHeight="1">
      <c r="A591" s="1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</row>
    <row r="592" ht="16" customHeight="1">
      <c r="A592" s="1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</row>
    <row r="593" ht="16" customHeight="1">
      <c r="A593" s="1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</row>
    <row r="594" ht="16" customHeight="1">
      <c r="A594" s="1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</row>
    <row r="595" ht="16" customHeight="1">
      <c r="A595" s="1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</row>
    <row r="596" ht="16" customHeight="1">
      <c r="A596" s="1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</row>
    <row r="597" ht="16" customHeight="1">
      <c r="A597" s="1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</row>
    <row r="598" ht="16" customHeight="1">
      <c r="A598" s="1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</row>
    <row r="599" ht="16" customHeight="1">
      <c r="A599" s="1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</row>
    <row r="600" ht="16" customHeight="1">
      <c r="A600" s="1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</row>
    <row r="601" ht="16" customHeight="1">
      <c r="A601" s="1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</row>
    <row r="602" ht="16" customHeight="1">
      <c r="A602" s="1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</row>
    <row r="603" ht="16" customHeight="1">
      <c r="A603" s="1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</row>
    <row r="604" ht="16" customHeight="1">
      <c r="A604" s="1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</row>
    <row r="605" ht="16" customHeight="1">
      <c r="A605" s="1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</row>
    <row r="606" ht="16" customHeight="1">
      <c r="A606" s="1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</row>
    <row r="607" ht="16" customHeight="1">
      <c r="A607" s="1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</row>
    <row r="608" ht="16" customHeight="1">
      <c r="A608" s="1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</row>
    <row r="609" ht="16" customHeight="1">
      <c r="A609" s="1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</row>
    <row r="610" ht="16" customHeight="1">
      <c r="A610" s="1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</row>
    <row r="611" ht="16" customHeight="1">
      <c r="A611" s="1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</row>
    <row r="612" ht="16" customHeight="1">
      <c r="A612" s="1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</row>
    <row r="613" ht="16" customHeight="1">
      <c r="A613" s="1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</row>
    <row r="614" ht="16" customHeight="1">
      <c r="A614" s="1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</row>
    <row r="615" ht="16" customHeight="1">
      <c r="A615" s="1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</row>
    <row r="616" ht="16" customHeight="1">
      <c r="A616" s="1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</row>
    <row r="617" ht="16" customHeight="1">
      <c r="A617" s="1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</row>
    <row r="618" ht="16" customHeight="1">
      <c r="A618" s="1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</row>
    <row r="619" ht="16" customHeight="1">
      <c r="A619" s="1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</row>
    <row r="620" ht="16" customHeight="1">
      <c r="A620" s="1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</row>
    <row r="621" ht="16" customHeight="1">
      <c r="A621" s="1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</row>
    <row r="622" ht="16" customHeight="1">
      <c r="A622" s="1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</row>
    <row r="623" ht="16" customHeight="1">
      <c r="A623" s="1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</row>
    <row r="624" ht="16" customHeight="1">
      <c r="A624" s="1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</row>
    <row r="625" ht="16" customHeight="1">
      <c r="A625" s="1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</row>
    <row r="626" ht="16" customHeight="1">
      <c r="A626" s="1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</row>
    <row r="627" ht="16" customHeight="1">
      <c r="A627" s="1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</row>
    <row r="628" ht="16" customHeight="1">
      <c r="A628" s="1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</row>
    <row r="629" ht="16" customHeight="1">
      <c r="A629" s="1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</row>
    <row r="630" ht="16" customHeight="1">
      <c r="A630" s="1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</row>
    <row r="631" ht="16" customHeight="1">
      <c r="A631" s="1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</row>
    <row r="632" ht="16" customHeight="1">
      <c r="A632" s="1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</row>
    <row r="633" ht="16" customHeight="1">
      <c r="A633" s="1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</row>
    <row r="634" ht="16" customHeight="1">
      <c r="A634" s="1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</row>
    <row r="635" ht="16" customHeight="1">
      <c r="A635" s="1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</row>
    <row r="636" ht="16" customHeight="1">
      <c r="A636" s="1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</row>
    <row r="637" ht="16" customHeight="1">
      <c r="A637" s="1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</row>
    <row r="638" ht="16" customHeight="1">
      <c r="A638" s="1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</row>
    <row r="639" ht="16" customHeight="1">
      <c r="A639" s="1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</row>
    <row r="640" ht="16" customHeight="1">
      <c r="A640" s="1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</row>
    <row r="641" ht="16" customHeight="1">
      <c r="A641" s="1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</row>
    <row r="642" ht="16" customHeight="1">
      <c r="A642" s="1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</row>
    <row r="643" ht="16" customHeight="1">
      <c r="A643" s="1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</row>
    <row r="644" ht="16" customHeight="1">
      <c r="A644" s="1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</row>
    <row r="645" ht="16" customHeight="1">
      <c r="A645" s="1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</row>
    <row r="646" ht="16" customHeight="1">
      <c r="A646" s="1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</row>
    <row r="647" ht="16" customHeight="1">
      <c r="A647" s="1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</row>
    <row r="648" ht="16" customHeight="1">
      <c r="A648" s="1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</row>
    <row r="649" ht="16" customHeight="1">
      <c r="A649" s="1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</row>
    <row r="650" ht="16" customHeight="1">
      <c r="A650" s="1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</row>
    <row r="651" ht="16" customHeight="1">
      <c r="A651" s="1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</row>
    <row r="652" ht="16" customHeight="1">
      <c r="A652" s="1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</row>
    <row r="653" ht="16" customHeight="1">
      <c r="A653" s="1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</row>
    <row r="654" ht="16" customHeight="1">
      <c r="A654" s="1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</row>
    <row r="655" ht="16" customHeight="1">
      <c r="A655" s="1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</row>
    <row r="656" ht="16" customHeight="1">
      <c r="A656" s="1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</row>
    <row r="657" ht="16" customHeight="1">
      <c r="A657" s="1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</row>
    <row r="658" ht="16" customHeight="1">
      <c r="A658" s="1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</row>
    <row r="659" ht="16" customHeight="1">
      <c r="A659" s="1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</row>
    <row r="660" ht="16" customHeight="1">
      <c r="A660" s="1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</row>
    <row r="661" ht="16" customHeight="1">
      <c r="A661" s="1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</row>
    <row r="662" ht="16" customHeight="1">
      <c r="A662" s="1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</row>
    <row r="663" ht="16" customHeight="1">
      <c r="A663" s="1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</row>
    <row r="664" ht="16" customHeight="1">
      <c r="A664" s="1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</row>
    <row r="665" ht="16" customHeight="1">
      <c r="A665" s="1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</row>
    <row r="666" ht="16" customHeight="1">
      <c r="A666" s="1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</row>
    <row r="667" ht="16" customHeight="1">
      <c r="A667" s="1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</row>
    <row r="668" ht="16" customHeight="1">
      <c r="A668" s="1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</row>
    <row r="669" ht="16" customHeight="1">
      <c r="A669" s="1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</row>
    <row r="670" ht="16" customHeight="1">
      <c r="A670" s="1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</row>
    <row r="671" ht="16" customHeight="1">
      <c r="A671" s="1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</row>
    <row r="672" ht="16" customHeight="1">
      <c r="A672" s="1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</row>
    <row r="673" ht="16" customHeight="1">
      <c r="A673" s="1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</row>
    <row r="674" ht="16" customHeight="1">
      <c r="A674" s="1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</row>
    <row r="675" ht="16" customHeight="1">
      <c r="A675" s="1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</row>
    <row r="676" ht="16" customHeight="1">
      <c r="A676" s="1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</row>
    <row r="677" ht="16" customHeight="1">
      <c r="A677" s="1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</row>
    <row r="678" ht="16" customHeight="1">
      <c r="A678" s="1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</row>
    <row r="679" ht="16" customHeight="1">
      <c r="A679" s="1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</row>
    <row r="680" ht="16" customHeight="1">
      <c r="A680" s="1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</row>
    <row r="681" ht="16" customHeight="1">
      <c r="A681" s="1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</row>
    <row r="682" ht="16" customHeight="1">
      <c r="A682" s="1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</row>
    <row r="683" ht="16" customHeight="1">
      <c r="A683" s="1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</row>
    <row r="684" ht="16" customHeight="1">
      <c r="A684" s="1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</row>
    <row r="685" ht="16" customHeight="1">
      <c r="A685" s="1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</row>
    <row r="686" ht="16" customHeight="1">
      <c r="A686" s="1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</row>
    <row r="687" ht="16" customHeight="1">
      <c r="A687" s="1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</row>
    <row r="688" ht="16" customHeight="1">
      <c r="A688" s="1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</row>
    <row r="689" ht="16" customHeight="1">
      <c r="A689" s="1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</row>
    <row r="690" ht="16" customHeight="1">
      <c r="A690" s="1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</row>
    <row r="691" ht="16" customHeight="1">
      <c r="A691" s="1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</row>
    <row r="692" ht="16" customHeight="1">
      <c r="A692" s="1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</row>
    <row r="693" ht="16" customHeight="1">
      <c r="A693" s="1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</row>
    <row r="694" ht="16" customHeight="1">
      <c r="A694" s="1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</row>
    <row r="695" ht="16" customHeight="1">
      <c r="A695" s="1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</row>
    <row r="696" ht="16" customHeight="1">
      <c r="A696" s="1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</row>
    <row r="697" ht="16" customHeight="1">
      <c r="A697" s="1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</row>
    <row r="698" ht="16" customHeight="1">
      <c r="A698" s="1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</row>
    <row r="699" ht="16" customHeight="1">
      <c r="A699" s="1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</row>
    <row r="700" ht="16" customHeight="1">
      <c r="A700" s="1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</row>
    <row r="701" ht="16" customHeight="1">
      <c r="A701" s="1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</row>
    <row r="702" ht="16" customHeight="1">
      <c r="A702" s="1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</row>
    <row r="703" ht="16" customHeight="1">
      <c r="A703" s="1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</row>
    <row r="704" ht="16" customHeight="1">
      <c r="A704" s="1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</row>
    <row r="705" ht="16" customHeight="1">
      <c r="A705" s="1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</row>
    <row r="706" ht="16" customHeight="1">
      <c r="A706" s="1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</row>
    <row r="707" ht="16" customHeight="1">
      <c r="A707" s="1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</row>
    <row r="708" ht="16" customHeight="1">
      <c r="A708" s="1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</row>
    <row r="709" ht="16" customHeight="1">
      <c r="A709" s="1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</row>
    <row r="710" ht="16" customHeight="1">
      <c r="A710" s="1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</row>
    <row r="711" ht="16" customHeight="1">
      <c r="A711" s="1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</row>
    <row r="712" ht="16" customHeight="1">
      <c r="A712" s="1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</row>
    <row r="713" ht="16" customHeight="1">
      <c r="A713" s="1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</row>
    <row r="714" ht="16" customHeight="1">
      <c r="A714" s="1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</row>
    <row r="715" ht="16" customHeight="1">
      <c r="A715" s="1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</row>
    <row r="716" ht="16" customHeight="1">
      <c r="A716" s="1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</row>
    <row r="717" ht="16" customHeight="1">
      <c r="A717" s="1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</row>
    <row r="718" ht="16" customHeight="1">
      <c r="A718" s="1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</row>
    <row r="719" ht="16" customHeight="1">
      <c r="A719" s="1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</row>
    <row r="720" ht="16" customHeight="1">
      <c r="A720" s="1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</row>
    <row r="721" ht="16" customHeight="1">
      <c r="A721" s="1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</row>
    <row r="722" ht="16" customHeight="1">
      <c r="A722" s="1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</row>
    <row r="723" ht="16" customHeight="1">
      <c r="A723" s="1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</row>
    <row r="724" ht="16" customHeight="1">
      <c r="A724" s="1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</row>
    <row r="725" ht="16" customHeight="1">
      <c r="A725" s="1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</row>
    <row r="726" ht="16" customHeight="1">
      <c r="A726" s="1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</row>
    <row r="727" ht="16" customHeight="1">
      <c r="A727" s="1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</row>
    <row r="728" ht="16" customHeight="1">
      <c r="A728" s="1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</row>
    <row r="729" ht="16" customHeight="1">
      <c r="A729" s="1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</row>
    <row r="730" ht="16" customHeight="1">
      <c r="A730" s="1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</row>
    <row r="731" ht="16" customHeight="1">
      <c r="A731" s="1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</row>
    <row r="732" ht="16" customHeight="1">
      <c r="A732" s="1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</row>
    <row r="733" ht="16" customHeight="1">
      <c r="A733" s="1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</row>
    <row r="734" ht="16" customHeight="1">
      <c r="A734" s="1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</row>
    <row r="735" ht="16" customHeight="1">
      <c r="A735" s="1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</row>
    <row r="736" ht="16" customHeight="1">
      <c r="A736" s="1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</row>
    <row r="737" ht="16" customHeight="1">
      <c r="A737" s="1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</row>
    <row r="738" ht="16" customHeight="1">
      <c r="A738" s="1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</row>
    <row r="739" ht="16" customHeight="1">
      <c r="A739" s="1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</row>
    <row r="740" ht="16" customHeight="1">
      <c r="A740" s="1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</row>
    <row r="741" ht="16" customHeight="1">
      <c r="A741" s="1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</row>
    <row r="742" ht="16" customHeight="1">
      <c r="A742" s="1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</row>
    <row r="743" ht="16" customHeight="1">
      <c r="A743" s="1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</row>
    <row r="744" ht="16" customHeight="1">
      <c r="A744" s="1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</row>
    <row r="745" ht="16" customHeight="1">
      <c r="A745" s="1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</row>
    <row r="746" ht="16" customHeight="1">
      <c r="A746" s="1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</row>
    <row r="747" ht="16" customHeight="1">
      <c r="A747" s="1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</row>
    <row r="748" ht="16" customHeight="1">
      <c r="A748" s="1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</row>
    <row r="749" ht="16" customHeight="1">
      <c r="A749" s="1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</row>
    <row r="750" ht="16" customHeight="1">
      <c r="A750" s="1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</row>
    <row r="751" ht="16" customHeight="1">
      <c r="A751" s="1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</row>
    <row r="752" ht="16" customHeight="1">
      <c r="A752" s="1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</row>
    <row r="753" ht="16" customHeight="1">
      <c r="A753" s="1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</row>
    <row r="754" ht="16" customHeight="1">
      <c r="A754" s="1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</row>
    <row r="755" ht="16" customHeight="1">
      <c r="A755" s="1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</row>
    <row r="756" ht="16" customHeight="1">
      <c r="A756" s="1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</row>
    <row r="757" ht="16" customHeight="1">
      <c r="A757" s="1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</row>
    <row r="758" ht="16" customHeight="1">
      <c r="A758" s="1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</row>
    <row r="759" ht="16" customHeight="1">
      <c r="A759" s="1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</row>
    <row r="760" ht="16" customHeight="1">
      <c r="A760" s="1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</row>
    <row r="761" ht="16" customHeight="1">
      <c r="A761" s="1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</row>
    <row r="762" ht="16" customHeight="1">
      <c r="A762" s="1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</row>
    <row r="763" ht="16" customHeight="1">
      <c r="A763" s="1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</row>
    <row r="764" ht="16" customHeight="1">
      <c r="A764" s="1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</row>
    <row r="765" ht="16" customHeight="1">
      <c r="A765" s="1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</row>
    <row r="766" ht="16" customHeight="1">
      <c r="A766" s="1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</row>
    <row r="767" ht="16" customHeight="1">
      <c r="A767" s="1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</row>
    <row r="768" ht="16" customHeight="1">
      <c r="A768" s="1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</row>
    <row r="769" ht="16" customHeight="1">
      <c r="A769" s="1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</row>
    <row r="770" ht="16" customHeight="1">
      <c r="A770" s="1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</row>
    <row r="771" ht="16" customHeight="1">
      <c r="A771" s="1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</row>
    <row r="772" ht="16" customHeight="1">
      <c r="A772" s="1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</row>
    <row r="773" ht="16" customHeight="1">
      <c r="A773" s="1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</row>
    <row r="774" ht="16" customHeight="1">
      <c r="A774" s="1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</row>
    <row r="775" ht="16" customHeight="1">
      <c r="A775" s="1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</row>
    <row r="776" ht="16" customHeight="1">
      <c r="A776" s="1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</row>
    <row r="777" ht="16" customHeight="1">
      <c r="A777" s="1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</row>
    <row r="778" ht="16" customHeight="1">
      <c r="A778" s="1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</row>
    <row r="779" ht="16" customHeight="1">
      <c r="A779" s="1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</row>
    <row r="780" ht="16" customHeight="1">
      <c r="A780" s="1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</row>
    <row r="781" ht="16" customHeight="1">
      <c r="A781" s="1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</row>
    <row r="782" ht="16" customHeight="1">
      <c r="A782" s="1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</row>
    <row r="783" ht="16" customHeight="1">
      <c r="A783" s="1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</row>
    <row r="784" ht="16" customHeight="1">
      <c r="A784" s="1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</row>
    <row r="785" ht="16" customHeight="1">
      <c r="A785" s="1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</row>
    <row r="786" ht="16" customHeight="1">
      <c r="A786" s="1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</row>
    <row r="787" ht="16" customHeight="1">
      <c r="A787" s="1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</row>
    <row r="788" ht="16" customHeight="1">
      <c r="A788" s="1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</row>
    <row r="789" ht="16" customHeight="1">
      <c r="A789" s="1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</row>
    <row r="790" ht="16" customHeight="1">
      <c r="A790" s="1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</row>
    <row r="791" ht="16" customHeight="1">
      <c r="A791" s="1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</row>
    <row r="792" ht="16" customHeight="1">
      <c r="A792" s="1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</row>
    <row r="793" ht="16" customHeight="1">
      <c r="A793" s="1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</row>
    <row r="794" ht="16" customHeight="1">
      <c r="A794" s="1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</row>
    <row r="795" ht="16" customHeight="1">
      <c r="A795" s="1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</row>
    <row r="796" ht="16" customHeight="1">
      <c r="A796" s="1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</row>
    <row r="797" ht="16" customHeight="1">
      <c r="A797" s="1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</row>
    <row r="798" ht="16" customHeight="1">
      <c r="A798" s="1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</row>
    <row r="799" ht="16" customHeight="1">
      <c r="A799" s="1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</row>
    <row r="800" ht="16" customHeight="1">
      <c r="A800" s="1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</row>
    <row r="801" ht="16" customHeight="1">
      <c r="A801" s="1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</row>
    <row r="802" ht="16" customHeight="1">
      <c r="A802" s="1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</row>
    <row r="803" ht="16" customHeight="1">
      <c r="A803" s="1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</row>
    <row r="804" ht="16" customHeight="1">
      <c r="A804" s="1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</row>
    <row r="805" ht="16" customHeight="1">
      <c r="A805" s="1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</row>
    <row r="806" ht="16" customHeight="1">
      <c r="A806" s="1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</row>
    <row r="807" ht="16" customHeight="1">
      <c r="A807" s="1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</row>
    <row r="808" ht="16" customHeight="1">
      <c r="A808" s="1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</row>
    <row r="809" ht="16" customHeight="1">
      <c r="A809" s="1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</row>
    <row r="810" ht="16" customHeight="1">
      <c r="A810" s="1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</row>
    <row r="811" ht="16" customHeight="1">
      <c r="A811" s="1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</row>
    <row r="812" ht="16" customHeight="1">
      <c r="A812" s="1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</row>
    <row r="813" ht="16" customHeight="1">
      <c r="A813" s="1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</row>
    <row r="814" ht="16" customHeight="1">
      <c r="A814" s="1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</row>
    <row r="815" ht="16" customHeight="1">
      <c r="A815" s="1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</row>
    <row r="816" ht="16" customHeight="1">
      <c r="A816" s="1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</row>
    <row r="817" ht="16" customHeight="1">
      <c r="A817" s="1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</row>
    <row r="818" ht="16" customHeight="1">
      <c r="A818" s="1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</row>
    <row r="819" ht="16" customHeight="1">
      <c r="A819" s="1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</row>
    <row r="820" ht="16" customHeight="1">
      <c r="A820" s="1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</row>
    <row r="821" ht="16" customHeight="1">
      <c r="A821" s="1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</row>
    <row r="822" ht="16" customHeight="1">
      <c r="A822" s="1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</row>
    <row r="823" ht="16" customHeight="1">
      <c r="A823" s="1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</row>
    <row r="824" ht="16" customHeight="1">
      <c r="A824" s="1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</row>
    <row r="825" ht="16" customHeight="1">
      <c r="A825" s="1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</row>
    <row r="826" ht="16" customHeight="1">
      <c r="A826" s="1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</row>
    <row r="827" ht="16" customHeight="1">
      <c r="A827" s="1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</row>
    <row r="828" ht="16" customHeight="1">
      <c r="A828" s="1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</row>
    <row r="829" ht="16" customHeight="1">
      <c r="A829" s="1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</row>
    <row r="830" ht="16" customHeight="1">
      <c r="A830" s="1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</row>
    <row r="831" ht="16" customHeight="1">
      <c r="A831" s="1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</row>
    <row r="832" ht="16" customHeight="1">
      <c r="A832" s="1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</row>
    <row r="833" ht="16" customHeight="1">
      <c r="A833" s="1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</row>
    <row r="834" ht="16" customHeight="1">
      <c r="A834" s="1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</row>
    <row r="835" ht="16" customHeight="1">
      <c r="A835" s="1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</row>
    <row r="836" ht="16" customHeight="1">
      <c r="A836" s="1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</row>
    <row r="837" ht="16" customHeight="1">
      <c r="A837" s="1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</row>
    <row r="838" ht="16" customHeight="1">
      <c r="A838" s="1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</row>
    <row r="839" ht="16" customHeight="1">
      <c r="A839" s="1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</row>
    <row r="840" ht="16" customHeight="1">
      <c r="A840" s="1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</row>
    <row r="841" ht="16" customHeight="1">
      <c r="A841" s="1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</row>
    <row r="842" ht="16" customHeight="1">
      <c r="A842" s="1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</row>
    <row r="843" ht="16" customHeight="1">
      <c r="A843" s="1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</row>
    <row r="844" ht="16" customHeight="1">
      <c r="A844" s="1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</row>
    <row r="845" ht="16" customHeight="1">
      <c r="A845" s="1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</row>
    <row r="846" ht="16" customHeight="1">
      <c r="A846" s="1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</row>
    <row r="847" ht="16" customHeight="1">
      <c r="A847" s="1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</row>
    <row r="848" ht="16" customHeight="1">
      <c r="A848" s="1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</row>
    <row r="849" ht="16" customHeight="1">
      <c r="A849" s="1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</row>
    <row r="850" ht="16" customHeight="1">
      <c r="A850" s="1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</row>
    <row r="851" ht="16" customHeight="1">
      <c r="A851" s="1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</row>
    <row r="852" ht="16" customHeight="1">
      <c r="A852" s="1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</row>
    <row r="853" ht="16" customHeight="1">
      <c r="A853" s="1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</row>
    <row r="854" ht="16" customHeight="1">
      <c r="A854" s="1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</row>
    <row r="855" ht="16" customHeight="1">
      <c r="A855" s="1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</row>
    <row r="856" ht="16" customHeight="1">
      <c r="A856" s="1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</row>
    <row r="857" ht="16" customHeight="1">
      <c r="A857" s="1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</row>
    <row r="858" ht="16" customHeight="1">
      <c r="A858" s="1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</row>
    <row r="859" ht="16" customHeight="1">
      <c r="A859" s="1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</row>
    <row r="860" ht="16" customHeight="1">
      <c r="A860" s="1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</row>
    <row r="861" ht="16" customHeight="1">
      <c r="A861" s="1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</row>
    <row r="862" ht="16" customHeight="1">
      <c r="A862" s="1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</row>
    <row r="863" ht="16" customHeight="1">
      <c r="A863" s="1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</row>
    <row r="864" ht="16" customHeight="1">
      <c r="A864" s="1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</row>
    <row r="865" ht="16" customHeight="1">
      <c r="A865" s="1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</row>
    <row r="866" ht="16" customHeight="1">
      <c r="A866" s="1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</row>
    <row r="867" ht="16" customHeight="1">
      <c r="A867" s="1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</row>
    <row r="868" ht="16" customHeight="1">
      <c r="A868" s="1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</row>
    <row r="869" ht="16" customHeight="1">
      <c r="A869" s="1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</row>
    <row r="870" ht="16" customHeight="1">
      <c r="A870" s="1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</row>
    <row r="871" ht="16" customHeight="1">
      <c r="A871" s="1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</row>
    <row r="872" ht="16" customHeight="1">
      <c r="A872" s="1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</row>
    <row r="873" ht="16" customHeight="1">
      <c r="A873" s="1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</row>
    <row r="874" ht="16" customHeight="1">
      <c r="A874" s="1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</row>
    <row r="875" ht="16" customHeight="1">
      <c r="A875" s="1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</row>
    <row r="876" ht="16" customHeight="1">
      <c r="A876" s="1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</row>
    <row r="877" ht="16" customHeight="1">
      <c r="A877" s="1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</row>
    <row r="878" ht="16" customHeight="1">
      <c r="A878" s="1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</row>
    <row r="879" ht="16" customHeight="1">
      <c r="A879" s="1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</row>
    <row r="880" ht="16" customHeight="1">
      <c r="A880" s="1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</row>
    <row r="881" ht="16" customHeight="1">
      <c r="A881" s="1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</row>
    <row r="882" ht="16" customHeight="1">
      <c r="A882" s="1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</row>
    <row r="883" ht="16" customHeight="1">
      <c r="A883" s="1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</row>
    <row r="884" ht="16" customHeight="1">
      <c r="A884" s="1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</row>
    <row r="885" ht="16" customHeight="1">
      <c r="A885" s="1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</row>
    <row r="886" ht="16" customHeight="1">
      <c r="A886" s="1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</row>
    <row r="887" ht="16" customHeight="1">
      <c r="A887" s="1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</row>
    <row r="888" ht="16" customHeight="1">
      <c r="A888" s="1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</row>
    <row r="889" ht="16" customHeight="1">
      <c r="A889" s="1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</row>
    <row r="890" ht="16" customHeight="1">
      <c r="A890" s="1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</row>
    <row r="891" ht="16" customHeight="1">
      <c r="A891" s="1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</row>
    <row r="892" ht="16" customHeight="1">
      <c r="A892" s="1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</row>
    <row r="893" ht="16" customHeight="1">
      <c r="A893" s="1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</row>
    <row r="894" ht="16" customHeight="1">
      <c r="A894" s="1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</row>
    <row r="895" ht="16" customHeight="1">
      <c r="A895" s="1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</row>
    <row r="896" ht="16" customHeight="1">
      <c r="A896" s="1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</row>
    <row r="897" ht="16" customHeight="1">
      <c r="A897" s="1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</row>
    <row r="898" ht="16" customHeight="1">
      <c r="A898" s="1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</row>
    <row r="899" ht="16" customHeight="1">
      <c r="A899" s="1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</row>
    <row r="900" ht="16" customHeight="1">
      <c r="A900" s="1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</row>
    <row r="901" ht="16" customHeight="1">
      <c r="A901" s="1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</row>
    <row r="902" ht="16" customHeight="1">
      <c r="A902" s="1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</row>
    <row r="903" ht="16" customHeight="1">
      <c r="A903" s="1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</row>
    <row r="904" ht="16" customHeight="1">
      <c r="A904" s="1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</row>
    <row r="905" ht="16" customHeight="1">
      <c r="A905" s="1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</row>
    <row r="906" ht="16" customHeight="1">
      <c r="A906" s="1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</row>
    <row r="907" ht="16" customHeight="1">
      <c r="A907" s="1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</row>
    <row r="908" ht="16" customHeight="1">
      <c r="A908" s="1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</row>
    <row r="909" ht="16" customHeight="1">
      <c r="A909" s="1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</row>
    <row r="910" ht="16" customHeight="1">
      <c r="A910" s="1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</row>
    <row r="911" ht="16" customHeight="1">
      <c r="A911" s="1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</row>
    <row r="912" ht="16" customHeight="1">
      <c r="A912" s="1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</row>
    <row r="913" ht="16" customHeight="1">
      <c r="A913" s="1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</row>
    <row r="914" ht="16" customHeight="1">
      <c r="A914" s="1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</row>
    <row r="915" ht="16" customHeight="1">
      <c r="A915" s="1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</row>
    <row r="916" ht="16" customHeight="1">
      <c r="A916" s="1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</row>
    <row r="917" ht="16" customHeight="1">
      <c r="A917" s="1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</row>
    <row r="918" ht="16" customHeight="1">
      <c r="A918" s="1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</row>
    <row r="919" ht="16" customHeight="1">
      <c r="A919" s="1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</row>
    <row r="920" ht="16" customHeight="1">
      <c r="A920" s="1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</row>
    <row r="921" ht="16" customHeight="1">
      <c r="A921" s="1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</row>
    <row r="922" ht="16" customHeight="1">
      <c r="A922" s="1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</row>
    <row r="923" ht="16" customHeight="1">
      <c r="A923" s="1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</row>
    <row r="924" ht="16" customHeight="1">
      <c r="A924" s="1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</row>
    <row r="925" ht="16" customHeight="1">
      <c r="A925" s="1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</row>
    <row r="926" ht="16" customHeight="1">
      <c r="A926" s="1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</row>
    <row r="927" ht="16" customHeight="1">
      <c r="A927" s="1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</row>
    <row r="928" ht="16" customHeight="1">
      <c r="A928" s="1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</row>
    <row r="929" ht="16" customHeight="1">
      <c r="A929" s="1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</row>
    <row r="930" ht="16" customHeight="1">
      <c r="A930" s="1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</row>
    <row r="931" ht="16" customHeight="1">
      <c r="A931" s="1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</row>
    <row r="932" ht="16" customHeight="1">
      <c r="A932" s="1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</row>
    <row r="933" ht="16" customHeight="1">
      <c r="A933" s="1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</row>
    <row r="934" ht="16" customHeight="1">
      <c r="A934" s="1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</row>
    <row r="935" ht="16" customHeight="1">
      <c r="A935" s="1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</row>
    <row r="936" ht="16" customHeight="1">
      <c r="A936" s="1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</row>
    <row r="937" ht="16" customHeight="1">
      <c r="A937" s="1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</row>
    <row r="938" ht="16" customHeight="1">
      <c r="A938" s="1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</row>
    <row r="939" ht="16" customHeight="1">
      <c r="A939" s="1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</row>
    <row r="940" ht="16" customHeight="1">
      <c r="A940" s="1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</row>
    <row r="941" ht="16" customHeight="1">
      <c r="A941" s="1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</row>
    <row r="942" ht="16" customHeight="1">
      <c r="A942" s="1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</row>
    <row r="943" ht="16" customHeight="1">
      <c r="A943" s="1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</row>
    <row r="944" ht="16" customHeight="1">
      <c r="A944" s="1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</row>
    <row r="945" ht="16" customHeight="1">
      <c r="A945" s="1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</row>
    <row r="946" ht="16" customHeight="1">
      <c r="A946" s="1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</row>
    <row r="947" ht="16" customHeight="1">
      <c r="A947" s="1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</row>
    <row r="948" ht="16" customHeight="1">
      <c r="A948" s="1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</row>
    <row r="949" ht="16" customHeight="1">
      <c r="A949" s="1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</row>
    <row r="950" ht="16" customHeight="1">
      <c r="A950" s="1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</row>
    <row r="951" ht="16" customHeight="1">
      <c r="A951" s="1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</row>
    <row r="952" ht="16" customHeight="1">
      <c r="A952" s="1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</row>
    <row r="953" ht="16" customHeight="1">
      <c r="A953" s="1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</row>
    <row r="954" ht="16" customHeight="1">
      <c r="A954" s="1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</row>
    <row r="955" ht="16" customHeight="1">
      <c r="A955" s="1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</row>
    <row r="956" ht="16" customHeight="1">
      <c r="A956" s="1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</row>
    <row r="957" ht="16" customHeight="1">
      <c r="A957" s="1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</row>
    <row r="958" ht="16" customHeight="1">
      <c r="A958" s="1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</row>
    <row r="959" ht="16" customHeight="1">
      <c r="A959" s="1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</row>
    <row r="960" ht="16" customHeight="1">
      <c r="A960" s="1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</row>
    <row r="961" ht="16" customHeight="1">
      <c r="A961" s="1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</row>
    <row r="962" ht="16" customHeight="1">
      <c r="A962" s="1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</row>
    <row r="963" ht="16" customHeight="1">
      <c r="A963" s="1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</row>
    <row r="964" ht="16" customHeight="1">
      <c r="A964" s="1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</row>
    <row r="965" ht="16" customHeight="1">
      <c r="A965" s="1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</row>
    <row r="966" ht="16" customHeight="1">
      <c r="A966" s="1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</row>
    <row r="967" ht="16" customHeight="1">
      <c r="A967" s="1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</row>
    <row r="968" ht="16" customHeight="1">
      <c r="A968" s="1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</row>
    <row r="969" ht="16" customHeight="1">
      <c r="A969" s="1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</row>
    <row r="970" ht="16" customHeight="1">
      <c r="A970" s="1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</row>
    <row r="971" ht="16" customHeight="1">
      <c r="A971" s="1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</row>
    <row r="972" ht="16" customHeight="1">
      <c r="A972" s="1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</row>
    <row r="973" ht="16" customHeight="1">
      <c r="A973" s="1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</row>
    <row r="974" ht="16" customHeight="1">
      <c r="A974" s="1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</row>
    <row r="975" ht="16" customHeight="1">
      <c r="A975" s="1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</row>
    <row r="976" ht="16" customHeight="1">
      <c r="A976" s="1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</row>
    <row r="977" ht="16" customHeight="1">
      <c r="A977" s="1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</row>
    <row r="978" ht="16" customHeight="1">
      <c r="A978" s="1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</row>
    <row r="979" ht="16" customHeight="1">
      <c r="A979" s="1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</row>
    <row r="980" ht="16" customHeight="1">
      <c r="A980" s="1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</row>
    <row r="981" ht="16" customHeight="1">
      <c r="A981" s="1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</row>
    <row r="982" ht="16" customHeight="1">
      <c r="A982" s="1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</row>
    <row r="983" ht="16" customHeight="1">
      <c r="A983" s="1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</row>
    <row r="984" ht="16" customHeight="1">
      <c r="A984" s="1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</row>
    <row r="985" ht="16" customHeight="1">
      <c r="A985" s="1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</row>
    <row r="986" ht="16" customHeight="1">
      <c r="A986" s="1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</row>
    <row r="987" ht="16" customHeight="1">
      <c r="A987" s="1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</row>
    <row r="988" ht="16" customHeight="1">
      <c r="A988" s="1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</row>
    <row r="989" ht="16" customHeight="1">
      <c r="A989" s="1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</row>
    <row r="990" ht="16" customHeight="1">
      <c r="A990" s="1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</row>
    <row r="991" ht="16" customHeight="1">
      <c r="A991" s="1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</row>
    <row r="992" ht="16" customHeight="1">
      <c r="A992" s="1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</row>
  </sheetData>
  <autoFilter ref="A1:AI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="150" zoomScaleNormal="150" workbookViewId="0">
      <selection activeCell="B1" sqref="B1"/>
    </sheetView>
  </sheetViews>
  <sheetFormatPr baseColWidth="10" defaultColWidth="8.83203125" defaultRowHeight="15" outlineLevelCol="0"/>
  <cols>
    <col width="15" customWidth="1" min="1" max="1"/>
    <col width="50" customWidth="1" min="2" max="2"/>
  </cols>
  <sheetData>
    <row r="1" ht="16" customHeight="1">
      <c r="A1" s="3" t="inlineStr">
        <is>
          <t>TBA Key</t>
        </is>
      </c>
      <c r="B1" s="40" t="inlineStr">
        <is>
          <t>2026ohmv</t>
        </is>
      </c>
    </row>
    <row r="2" ht="16" customHeight="1">
      <c r="A2" s="3" t="inlineStr">
        <is>
          <t>FIRST Key</t>
        </is>
      </c>
      <c r="B2" s="40" t="inlineStr">
        <is>
          <t>ohmv</t>
        </is>
      </c>
    </row>
    <row r="3" ht="16" customHeight="1">
      <c r="A3" s="3" t="inlineStr">
        <is>
          <t>Name</t>
        </is>
      </c>
      <c r="B3" s="40" t="inlineStr">
        <is>
          <t>Miami Valley Regional</t>
        </is>
      </c>
    </row>
    <row r="4" ht="16" customHeight="1">
      <c r="A4" s="3" t="inlineStr">
        <is>
          <t>Location</t>
        </is>
      </c>
      <c r="B4" s="40" t="inlineStr">
        <is>
          <t>Xavier University - Cintas Center</t>
        </is>
      </c>
    </row>
    <row r="5" ht="16" customHeight="1">
      <c r="A5" s="3" t="inlineStr">
        <is>
          <t>Start Date</t>
        </is>
      </c>
      <c r="B5" s="40" t="inlineStr">
        <is>
          <t>2026-04-01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51"/>
  <sheetViews>
    <sheetView zoomScale="150" zoomScaleNormal="150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 outlineLevelCol="0"/>
  <cols>
    <col width="16.5" customWidth="1" min="1" max="1"/>
    <col width="35" customWidth="1" min="2" max="2"/>
    <col width="50" customWidth="1" min="3" max="3"/>
    <col width="20" customWidth="1" min="4" max="4"/>
    <col width="15" customWidth="1" min="5" max="5"/>
  </cols>
  <sheetData>
    <row r="1" ht="20" customHeight="1">
      <c r="A1" s="5" t="inlineStr">
        <is>
          <t>Team Number</t>
        </is>
      </c>
      <c r="B1" s="5" t="inlineStr">
        <is>
          <t>Nickname</t>
        </is>
      </c>
      <c r="C1" s="5" t="inlineStr">
        <is>
          <t>School</t>
        </is>
      </c>
      <c r="D1" s="5" t="inlineStr">
        <is>
          <t>Rookie Year</t>
        </is>
      </c>
      <c r="E1" s="5" t="inlineStr">
        <is>
          <t>TBA Key</t>
        </is>
      </c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O1" s="5" t="n"/>
      <c r="P1" s="5" t="n"/>
      <c r="Q1" s="5" t="n"/>
      <c r="R1" s="5" t="n"/>
      <c r="S1" s="5" t="n"/>
      <c r="T1" s="5" t="n"/>
      <c r="U1" s="5" t="n"/>
      <c r="V1" s="5" t="n"/>
      <c r="W1" s="5" t="n"/>
      <c r="X1" s="5" t="n"/>
      <c r="Y1" s="5" t="n"/>
      <c r="Z1" s="5" t="n"/>
      <c r="AA1" s="5" t="n"/>
      <c r="AB1" s="5" t="n"/>
      <c r="AC1" s="5" t="n"/>
      <c r="AD1" s="5" t="n"/>
      <c r="AE1" s="5" t="n"/>
    </row>
    <row r="2" ht="16" customHeight="1">
      <c r="A2" s="40" t="n">
        <v>117</v>
      </c>
      <c r="B2" t="inlineStr">
        <is>
          <t>Steel Dragons</t>
        </is>
      </c>
      <c r="C2" t="inlineStr">
        <is>
          <t>Pittsburgh Allderdice High Sch</t>
        </is>
      </c>
      <c r="D2" t="n">
        <v>1998</v>
      </c>
      <c r="E2" t="inlineStr">
        <is>
          <t>frc117</t>
        </is>
      </c>
    </row>
    <row r="3" ht="16" customHeight="1">
      <c r="A3" s="40" t="n">
        <v>144</v>
      </c>
      <c r="B3" t="inlineStr">
        <is>
          <t>Operation Orange</t>
        </is>
      </c>
      <c r="C3" t="inlineStr">
        <is>
          <t>Butler Tech Career Center</t>
        </is>
      </c>
      <c r="D3" t="n">
        <v>1994</v>
      </c>
      <c r="E3" t="inlineStr">
        <is>
          <t>frc144</t>
        </is>
      </c>
    </row>
    <row r="4" ht="16" customHeight="1">
      <c r="A4" s="40" t="n">
        <v>325</v>
      </c>
      <c r="B4" t="inlineStr">
        <is>
          <t>Respawn Robotics</t>
        </is>
      </c>
      <c r="C4" t="inlineStr">
        <is>
          <t>Butler Tech</t>
        </is>
      </c>
      <c r="D4" t="n">
        <v>1998</v>
      </c>
      <c r="E4" t="inlineStr">
        <is>
          <t>frc325</t>
        </is>
      </c>
    </row>
    <row r="5" ht="16" customHeight="1">
      <c r="A5" s="40" t="n">
        <v>379</v>
      </c>
      <c r="B5" t="inlineStr">
        <is>
          <t>The RoboCats</t>
        </is>
      </c>
      <c r="C5" t="inlineStr">
        <is>
          <t>Girard High School</t>
        </is>
      </c>
      <c r="D5" t="n">
        <v>2000</v>
      </c>
      <c r="E5" t="inlineStr">
        <is>
          <t>frc379</t>
        </is>
      </c>
    </row>
    <row r="6" ht="16" customHeight="1">
      <c r="A6" s="40" t="n">
        <v>432</v>
      </c>
      <c r="B6" t="inlineStr">
        <is>
          <t>The Final Countdown</t>
        </is>
      </c>
      <c r="C6" t="inlineStr">
        <is>
          <t>Butler Tech AM-Hub</t>
        </is>
      </c>
      <c r="D6" t="n">
        <v>1994</v>
      </c>
      <c r="E6" t="inlineStr">
        <is>
          <t>frc432</t>
        </is>
      </c>
    </row>
    <row r="7" ht="16" customHeight="1">
      <c r="A7" s="40" t="n">
        <v>451</v>
      </c>
      <c r="B7" t="inlineStr">
        <is>
          <t>Cat Attack Robotics</t>
        </is>
      </c>
      <c r="C7" t="inlineStr">
        <is>
          <t>Eastwood I High School &amp; Home School &amp; Explorers Academy of Science and Technology &amp; Anthony Wayne High School &amp; Perrysburg High School &amp; Sylvania Northview High School &amp; Napoleon Junior/Senior High School &amp; Ohio Virtual Academy</t>
        </is>
      </c>
      <c r="D7" t="n">
        <v>2000</v>
      </c>
      <c r="E7" t="inlineStr">
        <is>
          <t>frc451</t>
        </is>
      </c>
    </row>
    <row r="8" ht="16" customHeight="1">
      <c r="A8" s="40" t="n">
        <v>554</v>
      </c>
      <c r="B8" t="inlineStr">
        <is>
          <t>The Blue Grease Crew</t>
        </is>
      </c>
      <c r="C8" t="inlineStr">
        <is>
          <t>Highlands High School</t>
        </is>
      </c>
      <c r="D8" t="n">
        <v>2001</v>
      </c>
      <c r="E8" t="inlineStr">
        <is>
          <t>frc554</t>
        </is>
      </c>
    </row>
    <row r="9" ht="16" customHeight="1">
      <c r="A9" s="40" t="n">
        <v>578</v>
      </c>
      <c r="B9" t="inlineStr">
        <is>
          <t>Fairport Robotics</t>
        </is>
      </c>
      <c r="C9" t="inlineStr">
        <is>
          <t>Fairport High School</t>
        </is>
      </c>
      <c r="D9" t="n">
        <v>2001</v>
      </c>
      <c r="E9" t="inlineStr">
        <is>
          <t>frc578</t>
        </is>
      </c>
    </row>
    <row r="10" ht="16" customHeight="1">
      <c r="A10" s="40" t="n">
        <v>677</v>
      </c>
      <c r="B10" t="inlineStr">
        <is>
          <t>Murphy's Outlaws</t>
        </is>
      </c>
      <c r="C10" t="inlineStr">
        <is>
          <t>Columbus School for Girls</t>
        </is>
      </c>
      <c r="D10" t="n">
        <v>2001</v>
      </c>
      <c r="E10" t="inlineStr">
        <is>
          <t>frc677</t>
        </is>
      </c>
    </row>
    <row r="11" ht="16" customHeight="1">
      <c r="A11" s="40" t="n">
        <v>695</v>
      </c>
      <c r="B11" t="inlineStr">
        <is>
          <t>Bison Robotics</t>
        </is>
      </c>
      <c r="C11" t="inlineStr">
        <is>
          <t>Beachwood High School</t>
        </is>
      </c>
      <c r="D11" t="n">
        <v>2001</v>
      </c>
      <c r="E11" t="inlineStr">
        <is>
          <t>frc695</t>
        </is>
      </c>
    </row>
    <row r="12" ht="16" customHeight="1">
      <c r="A12" s="40" t="n">
        <v>1014</v>
      </c>
      <c r="B12" t="inlineStr">
        <is>
          <t>Bad Robots</t>
        </is>
      </c>
      <c r="C12" t="inlineStr">
        <is>
          <t>Dublin Coffman High School &amp; Dublin Scioto High School &amp; Dublin Jerome High School</t>
        </is>
      </c>
      <c r="D12" t="n">
        <v>2003</v>
      </c>
      <c r="E12" t="inlineStr">
        <is>
          <t>frc1014</t>
        </is>
      </c>
    </row>
    <row r="13" ht="16" customHeight="1">
      <c r="A13" s="40" t="n">
        <v>1038</v>
      </c>
      <c r="B13" t="inlineStr">
        <is>
          <t>Lakota Robotics</t>
        </is>
      </c>
      <c r="C13" t="inlineStr">
        <is>
          <t>Lakota Robotics, LLC &amp; William Mason High School &amp; Lakota East High School &amp; Lakota West High School</t>
        </is>
      </c>
      <c r="D13" t="n">
        <v>2003</v>
      </c>
      <c r="E13" t="inlineStr">
        <is>
          <t>frc1038</t>
        </is>
      </c>
    </row>
    <row r="14" ht="16" customHeight="1">
      <c r="A14" s="40" t="n">
        <v>1736</v>
      </c>
      <c r="B14" t="inlineStr">
        <is>
          <t>Robot Casserole</t>
        </is>
      </c>
      <c r="C14" t="inlineStr">
        <is>
          <t>Peoria Area High Schools</t>
        </is>
      </c>
      <c r="D14" t="n">
        <v>2006</v>
      </c>
      <c r="E14" t="inlineStr">
        <is>
          <t>frc1736</t>
        </is>
      </c>
    </row>
    <row r="15" ht="16" customHeight="1">
      <c r="A15" s="40" t="n">
        <v>1756</v>
      </c>
      <c r="B15" t="inlineStr">
        <is>
          <t>Argos</t>
        </is>
      </c>
      <c r="C15" t="inlineStr">
        <is>
          <t>Limestone Cmty High School</t>
        </is>
      </c>
      <c r="D15" t="n">
        <v>2006</v>
      </c>
      <c r="E15" t="inlineStr">
        <is>
          <t>frc1756</t>
        </is>
      </c>
    </row>
    <row r="16" ht="16" customHeight="1">
      <c r="A16" s="40" t="n">
        <v>1787</v>
      </c>
      <c r="B16" t="inlineStr">
        <is>
          <t>The Flying Circuits</t>
        </is>
      </c>
      <c r="C16" t="inlineStr">
        <is>
          <t>Orange High School</t>
        </is>
      </c>
      <c r="D16" t="n">
        <v>2006</v>
      </c>
      <c r="E16" t="inlineStr">
        <is>
          <t>frc1787</t>
        </is>
      </c>
    </row>
    <row r="17" ht="16" customHeight="1">
      <c r="A17" s="40" t="n">
        <v>2010</v>
      </c>
      <c r="B17" t="inlineStr">
        <is>
          <t>The Lightning Bots</t>
        </is>
      </c>
      <c r="C17" t="inlineStr">
        <is>
          <t>Champion High School</t>
        </is>
      </c>
      <c r="D17" t="n">
        <v>2007</v>
      </c>
      <c r="E17" t="inlineStr">
        <is>
          <t>frc2010</t>
        </is>
      </c>
    </row>
    <row r="18" ht="16" customHeight="1">
      <c r="A18" s="40" t="n">
        <v>2172</v>
      </c>
      <c r="B18" t="inlineStr">
        <is>
          <t>Steel Unit-E</t>
        </is>
      </c>
      <c r="C18" t="inlineStr">
        <is>
          <t>St Edward High School</t>
        </is>
      </c>
      <c r="D18" t="n">
        <v>2007</v>
      </c>
      <c r="E18" t="inlineStr">
        <is>
          <t>frc2172</t>
        </is>
      </c>
    </row>
    <row r="19" ht="16" customHeight="1">
      <c r="A19" s="40" t="n">
        <v>2228</v>
      </c>
      <c r="B19" t="inlineStr">
        <is>
          <t>CougarTech</t>
        </is>
      </c>
      <c r="C19" t="inlineStr">
        <is>
          <t>Honeoye Falls Lima High School &amp; Rush Henrietta Senior High Sch</t>
        </is>
      </c>
      <c r="D19" t="n">
        <v>2007</v>
      </c>
      <c r="E19" t="inlineStr">
        <is>
          <t>frc2228</t>
        </is>
      </c>
    </row>
    <row r="20" ht="16" customHeight="1">
      <c r="A20" s="40" t="n">
        <v>2252</v>
      </c>
      <c r="B20" t="inlineStr">
        <is>
          <t>The Mavericks</t>
        </is>
      </c>
      <c r="C20" t="inlineStr">
        <is>
          <t>Ehove Career Center</t>
        </is>
      </c>
      <c r="D20" t="n">
        <v>2007</v>
      </c>
      <c r="E20" t="inlineStr">
        <is>
          <t>frc2252</t>
        </is>
      </c>
    </row>
    <row r="21" ht="16" customHeight="1">
      <c r="A21" s="40" t="n">
        <v>2338</v>
      </c>
      <c r="B21" t="inlineStr">
        <is>
          <t>Gear It Forward</t>
        </is>
      </c>
      <c r="C21" t="inlineStr">
        <is>
          <t>Oswego High School &amp; Oswego East High School</t>
        </is>
      </c>
      <c r="D21" t="n">
        <v>2008</v>
      </c>
      <c r="E21" t="inlineStr">
        <is>
          <t>frc2338</t>
        </is>
      </c>
    </row>
    <row r="22" ht="16" customHeight="1">
      <c r="A22" s="40" t="n">
        <v>2399</v>
      </c>
      <c r="B22" t="inlineStr">
        <is>
          <t>The Fighting Unicorns</t>
        </is>
      </c>
      <c r="C22" t="inlineStr">
        <is>
          <t>Hathaway Brown School</t>
        </is>
      </c>
      <c r="D22" t="n">
        <v>2008</v>
      </c>
      <c r="E22" t="inlineStr">
        <is>
          <t>frc2399</t>
        </is>
      </c>
    </row>
    <row r="23" ht="16" customHeight="1">
      <c r="A23" s="40" t="n">
        <v>2603</v>
      </c>
      <c r="B23" t="inlineStr">
        <is>
          <t>Steel Stingers</t>
        </is>
      </c>
      <c r="C23" t="inlineStr">
        <is>
          <t>Highland High School</t>
        </is>
      </c>
      <c r="D23" t="n">
        <v>2008</v>
      </c>
      <c r="E23" t="inlineStr">
        <is>
          <t>frc2603</t>
        </is>
      </c>
    </row>
    <row r="24" ht="16" customHeight="1">
      <c r="A24" s="40" t="n">
        <v>2614</v>
      </c>
      <c r="B24" t="inlineStr">
        <is>
          <t>Mountaineer Area RoboticS (MARS)</t>
        </is>
      </c>
      <c r="C24" t="inlineStr">
        <is>
          <t>MARS &amp; NASA</t>
        </is>
      </c>
      <c r="D24" t="n">
        <v>2008</v>
      </c>
      <c r="E24" t="inlineStr">
        <is>
          <t>frc2614</t>
        </is>
      </c>
    </row>
    <row r="25" ht="16" customHeight="1">
      <c r="A25" s="40" t="n">
        <v>3138</v>
      </c>
      <c r="B25" t="inlineStr">
        <is>
          <t>Innovators Robotics</t>
        </is>
      </c>
      <c r="C25" t="inlineStr">
        <is>
          <t>Innovators Robotics - Non-profit</t>
        </is>
      </c>
      <c r="D25" t="n">
        <v>2010</v>
      </c>
      <c r="E25" t="inlineStr">
        <is>
          <t>frc3138</t>
        </is>
      </c>
    </row>
    <row r="26" ht="16" customHeight="1">
      <c r="A26" s="40" t="n">
        <v>3324</v>
      </c>
      <c r="B26" t="inlineStr">
        <is>
          <t>The Metrobots</t>
        </is>
      </c>
      <c r="C26" t="inlineStr">
        <is>
          <t>Metro Early Clg Mid High Sch</t>
        </is>
      </c>
      <c r="D26" t="n">
        <v>2010</v>
      </c>
      <c r="E26" t="inlineStr">
        <is>
          <t>frc3324</t>
        </is>
      </c>
    </row>
    <row r="27" ht="16" customHeight="1">
      <c r="A27" s="40" t="n">
        <v>3484</v>
      </c>
      <c r="B27" t="inlineStr">
        <is>
          <t>Short Circuit</t>
        </is>
      </c>
      <c r="C27" t="inlineStr">
        <is>
          <t>Marysville Early College High School &amp; Marysville High School</t>
        </is>
      </c>
      <c r="D27" t="n">
        <v>2011</v>
      </c>
      <c r="E27" t="inlineStr">
        <is>
          <t>frc3484</t>
        </is>
      </c>
    </row>
    <row r="28" ht="16" customHeight="1">
      <c r="A28" s="40" t="n">
        <v>3504</v>
      </c>
      <c r="B28" t="inlineStr">
        <is>
          <t>Girls of Steel</t>
        </is>
      </c>
      <c r="C28" t="inlineStr">
        <is>
          <t>Commonwealth Charter Academy &amp; Home School &amp; Shady Side Academy &amp; North Allegheny Intermediate HS &amp; Ellis School &amp; North Allegheny Sr High School &amp; South Fayette Twp High School &amp; Peters Twp HS &amp; North Hills Senior High School &amp; Mt Lebanon High School &amp; Moon Shs &amp; Hampton HS &amp; Franklin Regional Shs &amp; Winchester Thurston School &amp; Seton-La Salle High School &amp; Fox Chapel Area High School &amp; Plum Senior High School</t>
        </is>
      </c>
      <c r="D28" t="n">
        <v>2011</v>
      </c>
      <c r="E28" t="inlineStr">
        <is>
          <t>frc3504</t>
        </is>
      </c>
    </row>
    <row r="29" ht="16" customHeight="1">
      <c r="A29" s="40" t="n">
        <v>3814</v>
      </c>
      <c r="B29" t="inlineStr">
        <is>
          <t>PiBotics</t>
        </is>
      </c>
      <c r="C29" t="inlineStr">
        <is>
          <t>Family/Community</t>
        </is>
      </c>
      <c r="D29" t="n">
        <v>2011</v>
      </c>
      <c r="E29" t="inlineStr">
        <is>
          <t>frc3814</t>
        </is>
      </c>
    </row>
    <row r="30" ht="16" customHeight="1">
      <c r="A30" s="40" t="n">
        <v>4028</v>
      </c>
      <c r="B30" t="inlineStr">
        <is>
          <t>The Beak Squad</t>
        </is>
      </c>
      <c r="C30" t="inlineStr">
        <is>
          <t>Cincinnati Hills Christian Academy</t>
        </is>
      </c>
      <c r="D30" t="n">
        <v>2012</v>
      </c>
      <c r="E30" t="inlineStr">
        <is>
          <t>frc4028</t>
        </is>
      </c>
    </row>
    <row r="31" ht="16" customHeight="1">
      <c r="A31" s="40" t="n">
        <v>4085</v>
      </c>
      <c r="B31" t="inlineStr">
        <is>
          <t>Technical Difficulties</t>
        </is>
      </c>
      <c r="C31" t="inlineStr">
        <is>
          <t>Reynoldsburg High School</t>
        </is>
      </c>
      <c r="D31" t="n">
        <v>2012</v>
      </c>
      <c r="E31" t="inlineStr">
        <is>
          <t>frc4085</t>
        </is>
      </c>
    </row>
    <row r="32" ht="16" customHeight="1">
      <c r="A32" s="40" t="n">
        <v>4096</v>
      </c>
      <c r="B32" t="inlineStr">
        <is>
          <t>Ctrl-Z</t>
        </is>
      </c>
      <c r="C32" t="inlineStr">
        <is>
          <t>Family/Community</t>
        </is>
      </c>
      <c r="D32" t="n">
        <v>2012</v>
      </c>
      <c r="E32" t="inlineStr">
        <is>
          <t>frc4096</t>
        </is>
      </c>
    </row>
    <row r="33">
      <c r="A33" s="40" t="n">
        <v>4145</v>
      </c>
      <c r="B33" t="inlineStr">
        <is>
          <t>WorBots</t>
        </is>
      </c>
      <c r="C33" t="inlineStr">
        <is>
          <t>Thomas Worthington High School &amp; Worthington Kilbourne High Sch</t>
        </is>
      </c>
      <c r="D33" t="n">
        <v>2012</v>
      </c>
      <c r="E33" t="inlineStr">
        <is>
          <t>frc4145</t>
        </is>
      </c>
    </row>
    <row r="34">
      <c r="A34" s="40" t="n">
        <v>4467</v>
      </c>
      <c r="B34" t="inlineStr">
        <is>
          <t>Titanium Titans</t>
        </is>
      </c>
      <c r="C34" t="inlineStr">
        <is>
          <t>Family/Community</t>
        </is>
      </c>
      <c r="D34" t="n">
        <v>2013</v>
      </c>
      <c r="E34" t="inlineStr">
        <is>
          <t>frc4467</t>
        </is>
      </c>
    </row>
    <row r="35">
      <c r="A35" s="40" t="n">
        <v>4601</v>
      </c>
      <c r="B35" t="inlineStr">
        <is>
          <t>Circuit Birds</t>
        </is>
      </c>
      <c r="C35" t="inlineStr">
        <is>
          <t>Canfield High School</t>
        </is>
      </c>
      <c r="D35" t="n">
        <v>2013</v>
      </c>
      <c r="E35" t="inlineStr">
        <is>
          <t>frc4601</t>
        </is>
      </c>
    </row>
    <row r="36">
      <c r="A36" s="40" t="n">
        <v>4611</v>
      </c>
      <c r="B36" t="inlineStr">
        <is>
          <t>OZone</t>
        </is>
      </c>
      <c r="C36" t="inlineStr">
        <is>
          <t>Berlin High School &amp; Olentangy High School &amp; Orange High School &amp; Liberty High School</t>
        </is>
      </c>
      <c r="D36" t="n">
        <v>2013</v>
      </c>
      <c r="E36" t="inlineStr">
        <is>
          <t>frc4611</t>
        </is>
      </c>
    </row>
    <row r="37">
      <c r="A37" s="40" t="n">
        <v>5667</v>
      </c>
      <c r="B37" t="inlineStr">
        <is>
          <t>The Digital Eagles</t>
        </is>
      </c>
      <c r="C37" t="inlineStr">
        <is>
          <t>New Albany High School</t>
        </is>
      </c>
      <c r="D37" t="n">
        <v>2015</v>
      </c>
      <c r="E37" t="inlineStr">
        <is>
          <t>frc5667</t>
        </is>
      </c>
    </row>
    <row r="38">
      <c r="A38" s="40" t="n">
        <v>5811</v>
      </c>
      <c r="B38" t="inlineStr">
        <is>
          <t>BONDS</t>
        </is>
      </c>
      <c r="C38" t="inlineStr">
        <is>
          <t>K12 Gallery and TEJAS</t>
        </is>
      </c>
      <c r="D38" t="n">
        <v>2016</v>
      </c>
      <c r="E38" t="inlineStr">
        <is>
          <t>frc5811</t>
        </is>
      </c>
    </row>
    <row r="39">
      <c r="A39" s="40" t="n">
        <v>6237</v>
      </c>
      <c r="B39" t="inlineStr">
        <is>
          <t>Martin Motion</t>
        </is>
      </c>
      <c r="C39" t="inlineStr">
        <is>
          <t>Family/Community</t>
        </is>
      </c>
      <c r="D39" t="n">
        <v>2016</v>
      </c>
      <c r="E39" t="inlineStr">
        <is>
          <t>frc6237</t>
        </is>
      </c>
    </row>
    <row r="40">
      <c r="A40" s="40" t="n">
        <v>6302</v>
      </c>
      <c r="B40" t="inlineStr">
        <is>
          <t>Greeneville High School Robotics</t>
        </is>
      </c>
      <c r="C40" t="inlineStr">
        <is>
          <t>Greeneville High School</t>
        </is>
      </c>
      <c r="D40" t="n">
        <v>2017</v>
      </c>
      <c r="E40" t="inlineStr">
        <is>
          <t>frc6302</t>
        </is>
      </c>
    </row>
    <row r="41">
      <c r="A41" s="40" t="n">
        <v>6964</v>
      </c>
      <c r="B41" t="inlineStr">
        <is>
          <t>BearBots (FRC)</t>
        </is>
      </c>
      <c r="C41" t="inlineStr">
        <is>
          <t>Upper Arlington High School</t>
        </is>
      </c>
      <c r="D41" t="n">
        <v>2018</v>
      </c>
      <c r="E41" t="inlineStr">
        <is>
          <t>frc6964</t>
        </is>
      </c>
    </row>
    <row r="42">
      <c r="A42" s="40" t="n">
        <v>8145</v>
      </c>
      <c r="B42" t="inlineStr">
        <is>
          <t>Tech Warriors</t>
        </is>
      </c>
      <c r="C42" t="inlineStr">
        <is>
          <t>East Technical High School</t>
        </is>
      </c>
      <c r="D42" t="n">
        <v>2020</v>
      </c>
      <c r="E42" t="inlineStr">
        <is>
          <t>frc8145</t>
        </is>
      </c>
    </row>
    <row r="43">
      <c r="A43" s="40" t="n">
        <v>8243</v>
      </c>
      <c r="B43" t="inlineStr">
        <is>
          <t>AstroCircuits</t>
        </is>
      </c>
      <c r="C43" t="inlineStr">
        <is>
          <t>John Marshall-Info Tech</t>
        </is>
      </c>
      <c r="D43" t="n">
        <v>2020</v>
      </c>
      <c r="E43" t="inlineStr">
        <is>
          <t>frc8243</t>
        </is>
      </c>
    </row>
    <row r="44">
      <c r="A44" s="40" t="n">
        <v>9075</v>
      </c>
      <c r="B44" t="inlineStr">
        <is>
          <t>Redskin Robotics</t>
        </is>
      </c>
      <c r="C44" t="inlineStr">
        <is>
          <t>Wapakoneta High School</t>
        </is>
      </c>
      <c r="D44" t="n">
        <v>2023</v>
      </c>
      <c r="E44" t="inlineStr">
        <is>
          <t>frc9075</t>
        </is>
      </c>
    </row>
    <row r="45">
      <c r="A45" s="40" t="n">
        <v>9097</v>
      </c>
      <c r="B45" t="inlineStr">
        <is>
          <t>MachBusters</t>
        </is>
      </c>
      <c r="C45" t="inlineStr">
        <is>
          <t>Sycamore High School</t>
        </is>
      </c>
      <c r="D45" t="n">
        <v>2023</v>
      </c>
      <c r="E45" t="inlineStr">
        <is>
          <t>frc9097</t>
        </is>
      </c>
    </row>
    <row r="46">
      <c r="A46" s="40" t="n">
        <v>9139</v>
      </c>
      <c r="B46" t="inlineStr">
        <is>
          <t>Reserve Robotics</t>
        </is>
      </c>
      <c r="C46" t="inlineStr">
        <is>
          <t>Western Reserve Academy</t>
        </is>
      </c>
      <c r="D46" t="n">
        <v>2023</v>
      </c>
      <c r="E46" t="inlineStr">
        <is>
          <t>frc9139</t>
        </is>
      </c>
    </row>
    <row r="47">
      <c r="A47" s="40" t="n">
        <v>9152</v>
      </c>
      <c r="B47" t="inlineStr">
        <is>
          <t>Rat Fight</t>
        </is>
      </c>
      <c r="C47" t="inlineStr">
        <is>
          <t>Family/Community</t>
        </is>
      </c>
      <c r="D47" t="n">
        <v>2023</v>
      </c>
      <c r="E47" t="inlineStr">
        <is>
          <t>frc9152</t>
        </is>
      </c>
    </row>
    <row r="48">
      <c r="A48" s="40" t="n">
        <v>10011</v>
      </c>
      <c r="B48" t="inlineStr">
        <is>
          <t>Gridrunners</t>
        </is>
      </c>
      <c r="C48" t="inlineStr">
        <is>
          <t>Dayton Regional STEM School</t>
        </is>
      </c>
      <c r="D48" t="n">
        <v>2025</v>
      </c>
      <c r="E48" t="inlineStr">
        <is>
          <t>frc10011</t>
        </is>
      </c>
    </row>
    <row r="49">
      <c r="A49" s="40" t="n">
        <v>10207</v>
      </c>
      <c r="B49" t="inlineStr">
        <is>
          <t>Doomsday Engineering</t>
        </is>
      </c>
      <c r="C49" t="inlineStr">
        <is>
          <t>Millstream Career Center</t>
        </is>
      </c>
      <c r="D49" t="n">
        <v>2025</v>
      </c>
      <c r="E49" t="inlineStr">
        <is>
          <t>frc10207</t>
        </is>
      </c>
    </row>
    <row r="50">
      <c r="A50" s="40" t="n">
        <v>10208</v>
      </c>
      <c r="B50" t="inlineStr">
        <is>
          <t>Mayhem Manufacturing</t>
        </is>
      </c>
      <c r="C50" t="inlineStr">
        <is>
          <t>Millstream Career Center</t>
        </is>
      </c>
      <c r="D50" t="n">
        <v>2025</v>
      </c>
      <c r="E50" t="inlineStr">
        <is>
          <t>frc10208</t>
        </is>
      </c>
    </row>
    <row r="51">
      <c r="A51" s="40" t="n">
        <v>10987</v>
      </c>
      <c r="B51" t="inlineStr">
        <is>
          <t>The Legion</t>
        </is>
      </c>
      <c r="C51" t="inlineStr">
        <is>
          <t>Western High</t>
        </is>
      </c>
      <c r="D51" t="n">
        <v>2026</v>
      </c>
      <c r="E51" t="inlineStr">
        <is>
          <t>frc10987</t>
        </is>
      </c>
    </row>
  </sheetData>
  <autoFilter ref="A1:E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"/>
  <sheetViews>
    <sheetView zoomScale="150" zoomScaleNormal="150" workbookViewId="0">
      <pane ySplit="1" topLeftCell="A2" activePane="bottomLeft" state="frozen"/>
      <selection pane="bottomLeft" activeCell="J3" sqref="J3"/>
    </sheetView>
  </sheetViews>
  <sheetFormatPr baseColWidth="10" defaultColWidth="8.83203125" defaultRowHeight="15" outlineLevelCol="0"/>
  <cols>
    <col width="15" customWidth="1" min="1" max="1"/>
    <col width="25" customWidth="1" min="2" max="2"/>
    <col width="15" customWidth="1" min="3" max="8"/>
    <col width="35.83203125" customWidth="1" min="10" max="10"/>
  </cols>
  <sheetData>
    <row r="1" ht="20" customHeight="1">
      <c r="A1" s="41" t="inlineStr">
        <is>
          <t>Match</t>
        </is>
      </c>
      <c r="B1" s="41" t="inlineStr">
        <is>
          <t>Start Time</t>
        </is>
      </c>
      <c r="C1" s="42" t="inlineStr">
        <is>
          <t>Blue 1</t>
        </is>
      </c>
      <c r="D1" s="42" t="inlineStr">
        <is>
          <t>Blue 2</t>
        </is>
      </c>
      <c r="E1" s="42" t="inlineStr">
        <is>
          <t>Blue 3</t>
        </is>
      </c>
      <c r="F1" s="43" t="inlineStr">
        <is>
          <t>Red 1</t>
        </is>
      </c>
      <c r="G1" s="43" t="inlineStr">
        <is>
          <t>Red 2</t>
        </is>
      </c>
      <c r="H1" s="43" t="inlineStr">
        <is>
          <t>Red 3</t>
        </is>
      </c>
    </row>
    <row r="2">
      <c r="J2" t="inlineStr">
        <is>
          <t>Match has not yet been scouted</t>
        </is>
      </c>
    </row>
    <row r="3">
      <c r="J3" s="44" t="inlineStr">
        <is>
          <t>Match has been scouted</t>
        </is>
      </c>
    </row>
    <row r="4">
      <c r="J4" s="45" t="inlineStr">
        <is>
          <t>Match was scouted more than once</t>
        </is>
      </c>
    </row>
    <row r="5">
      <c r="J5" s="46" t="inlineStr">
        <is>
          <t>Wrong team was scouted</t>
        </is>
      </c>
    </row>
    <row r="8" ht="16" customHeight="1">
      <c r="J8" s="21" t="n"/>
    </row>
  </sheetData>
  <autoFilter ref="A1:H1"/>
  <conditionalFormatting sqref="C2:H1000">
    <cfRule type="expression" priority="1" dxfId="2">
      <formula>=COUNTIF(MatchScoutingData!$A$2:$A$1000, CONCATENATE($A2,".",C$1)) = 1</formula>
    </cfRule>
    <cfRule type="expression" priority="2" dxfId="3">
      <formula>=COUNTIF(MatchScoutingData!$A$2:$A$1000, CONCATENATE($A2,".",C$1)) &gt; 1</formula>
    </cfRule>
  </conditionalFormatting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99"/>
  <sheetViews>
    <sheetView zoomScale="150" zoomScaleNormal="150"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2" sqref="A2"/>
    </sheetView>
  </sheetViews>
  <sheetFormatPr baseColWidth="10" defaultColWidth="8.83203125" defaultRowHeight="15" outlineLevelCol="0"/>
  <cols>
    <col width="6.83203125" customWidth="1" min="2" max="26"/>
  </cols>
  <sheetData>
    <row r="1" ht="17" customHeight="1" thickBot="1">
      <c r="A1" s="6" t="n"/>
      <c r="B1" s="6" t="n"/>
      <c r="C1" s="27" t="inlineStr">
        <is>
          <t>Auto</t>
        </is>
      </c>
      <c r="D1" s="36" t="n"/>
      <c r="E1" s="36" t="n"/>
      <c r="F1" s="36" t="n"/>
      <c r="G1" s="36" t="n"/>
      <c r="H1" s="29" t="inlineStr">
        <is>
          <t>Teleop</t>
        </is>
      </c>
      <c r="I1" s="36" t="n"/>
      <c r="J1" s="36" t="n"/>
      <c r="K1" s="36" t="n"/>
      <c r="L1" s="36" t="n"/>
      <c r="M1" s="36" t="n"/>
      <c r="N1" s="36" t="n"/>
      <c r="O1" s="36" t="n"/>
      <c r="P1" s="31" t="inlineStr">
        <is>
          <t>Endgame</t>
        </is>
      </c>
      <c r="Q1" s="36" t="n"/>
      <c r="R1" s="36" t="n"/>
      <c r="S1" s="36" t="n"/>
      <c r="T1" s="36" t="n"/>
      <c r="U1" s="35" t="inlineStr">
        <is>
          <t>Post Match</t>
        </is>
      </c>
      <c r="V1" s="36" t="n"/>
      <c r="W1" s="36" t="n"/>
      <c r="X1" s="36" t="n"/>
      <c r="Y1" s="36" t="n"/>
      <c r="Z1" s="37" t="n"/>
    </row>
    <row r="2" ht="130" customHeight="1" thickBot="1">
      <c r="A2" s="26" t="inlineStr">
        <is>
          <t>Team</t>
        </is>
      </c>
      <c r="B2" s="14" t="inlineStr">
        <is>
          <t>Matches Scouted</t>
        </is>
      </c>
      <c r="C2" s="15" t="inlineStr">
        <is>
          <t>Climbed</t>
        </is>
      </c>
      <c r="D2" s="15" t="inlineStr">
        <is>
          <t>Level 1</t>
        </is>
      </c>
      <c r="E2" s="15" t="inlineStr">
        <is>
          <t>Moved</t>
        </is>
      </c>
      <c r="F2" s="15" t="inlineStr">
        <is>
          <t>A-Stop</t>
        </is>
      </c>
      <c r="G2" s="15" t="inlineStr">
        <is>
          <t>Fuel Scored</t>
        </is>
      </c>
      <c r="H2" s="16" t="inlineStr">
        <is>
          <t>Shoot Speed</t>
        </is>
      </c>
      <c r="I2" s="16" t="inlineStr">
        <is>
          <t>Accuracy</t>
        </is>
      </c>
      <c r="J2" s="16" t="inlineStr">
        <is>
          <t>Fuel Collected</t>
        </is>
      </c>
      <c r="K2" s="16" t="inlineStr">
        <is>
          <t>Collect Inactive</t>
        </is>
      </c>
      <c r="L2" s="16" t="inlineStr">
        <is>
          <t>Did Pass</t>
        </is>
      </c>
      <c r="M2" s="16" t="inlineStr">
        <is>
          <t>Collect Alliance Zone</t>
        </is>
      </c>
      <c r="N2" s="16" t="inlineStr">
        <is>
          <t>Collect Neutral Zone</t>
        </is>
      </c>
      <c r="O2" s="16" t="inlineStr">
        <is>
          <t>Was Intake Good</t>
        </is>
      </c>
      <c r="P2" s="17" t="inlineStr">
        <is>
          <t>Climb Success</t>
        </is>
      </c>
      <c r="Q2" s="17" t="inlineStr">
        <is>
          <t>Defense Whole Game</t>
        </is>
      </c>
      <c r="R2" s="17" t="inlineStr">
        <is>
          <t>Shot from Same Position</t>
        </is>
      </c>
      <c r="S2" s="17" t="inlineStr">
        <is>
          <t>Shoot to End</t>
        </is>
      </c>
      <c r="T2" s="17" t="inlineStr">
        <is>
          <t>Performance</t>
        </is>
      </c>
      <c r="U2" s="23" t="inlineStr">
        <is>
          <t>Match Results</t>
        </is>
      </c>
      <c r="V2" s="23" t="inlineStr">
        <is>
          <t>Total Points</t>
        </is>
      </c>
      <c r="W2" s="23" t="inlineStr">
        <is>
          <t>Energized Ranking</t>
        </is>
      </c>
      <c r="X2" s="23" t="inlineStr">
        <is>
          <t>Supercharged Ranking</t>
        </is>
      </c>
      <c r="Y2" s="23" t="inlineStr">
        <is>
          <t>Traversal Ranking</t>
        </is>
      </c>
      <c r="Z2" s="18" t="inlineStr">
        <is>
          <t>Total Ranking Points</t>
        </is>
      </c>
    </row>
    <row r="3">
      <c r="A3" s="47" t="n">
        <v>117</v>
      </c>
      <c r="B3" s="47">
        <f>COUNTIF(MatchScoutingData!E$2:E$1000, $A3)</f>
        <v/>
      </c>
      <c r="C3" s="48">
        <f>SUMIF(MatchScoutingData!$E$2:$E$1000, $A3, MatchScoutingData!F$2:F$1000)</f>
        <v/>
      </c>
      <c r="D3" s="48">
        <f>SUMIF(MatchScoutingData!$E$2:$E$1000, $A3, MatchScoutingData!G$2:G$1000)</f>
        <v/>
      </c>
      <c r="E3" s="48">
        <f>SUMIF(MatchScoutingData!$E$2:$E$1000, $A3, MatchScoutingData!H$2:H$1000)</f>
        <v/>
      </c>
      <c r="F3" s="48">
        <f>SUMIF(MatchScoutingData!$E$2:$E$1000, $A3, MatchScoutingData!I$2:I$1000)</f>
        <v/>
      </c>
      <c r="G3" s="48">
        <f>SUMIF(MatchScoutingData!$E$2:$E$1000, $A3, MatchScoutingData!J$2:J$1000)</f>
        <v/>
      </c>
      <c r="H3" s="48">
        <f>SUMIF(MatchScoutingData!$E$2:$E$1000, $A3, MatchScoutingData!K$2:K$1000)</f>
        <v/>
      </c>
      <c r="I3" s="48">
        <f>SUMIF(MatchScoutingData!$E$2:$E$1000, $A3, MatchScoutingData!L$2:L$1000)</f>
        <v/>
      </c>
      <c r="J3" s="48">
        <f>SUMIF(MatchScoutingData!$E$2:$E$1000, $A3, MatchScoutingData!M$2:M$1000)</f>
        <v/>
      </c>
      <c r="K3" s="48">
        <f>SUMIF(MatchScoutingData!$E$2:$E$1000, $A3, MatchScoutingData!N$2:N$1000)</f>
        <v/>
      </c>
      <c r="L3" s="48">
        <f>SUMIF(MatchScoutingData!$E$2:$E$1000, $A3, MatchScoutingData!O$2:O$1000)</f>
        <v/>
      </c>
      <c r="M3" s="48">
        <f>SUMIF(MatchScoutingData!$E$2:$E$1000, $A3, MatchScoutingData!P$2:P$1000)</f>
        <v/>
      </c>
      <c r="N3" s="48">
        <f>SUMIF(MatchScoutingData!$E$2:$E$1000, $A3, MatchScoutingData!Q$2:Q$1000)</f>
        <v/>
      </c>
      <c r="O3" s="48">
        <f>SUMIF(MatchScoutingData!$E$2:$E$1000, $A3, MatchScoutingData!R$2:R$1000)</f>
        <v/>
      </c>
      <c r="P3" s="48">
        <f>SUMIF(MatchScoutingData!$E$2:$E$1000, $A3, MatchScoutingData!S$2:S$1000)</f>
        <v/>
      </c>
      <c r="Q3" s="48">
        <f>SUMIF(MatchScoutingData!$E$2:$E$1000, $A3, MatchScoutingData!T$2:T$1000)</f>
        <v/>
      </c>
      <c r="R3" s="48">
        <f>SUMIF(MatchScoutingData!$E$2:$E$1000, $A3, MatchScoutingData!U$2:U$1000)</f>
        <v/>
      </c>
      <c r="S3" s="48">
        <f>SUMIF(MatchScoutingData!$E$2:$E$1000, $A3, MatchScoutingData!V$2:V$1000)</f>
        <v/>
      </c>
      <c r="T3" s="48">
        <f>SUMIF(MatchScoutingData!$E$2:$E$1000, $A3, MatchScoutingData!W$2:W$1000)</f>
        <v/>
      </c>
      <c r="U3" s="48">
        <f>SUMIF(MatchScoutingData!$E$2:$E$1000, $A3, MatchScoutingData!X$2:X$1000)</f>
        <v/>
      </c>
      <c r="V3" s="48">
        <f>SUMIF(MatchScoutingData!$E$2:$E$1000, $A3, MatchScoutingData!AB$2:AB$1000)</f>
        <v/>
      </c>
      <c r="W3" s="48">
        <f>SUMIF(MatchScoutingData!$E$2:$E$1000, $A3, MatchScoutingData!Y$2:Y$1000)</f>
        <v/>
      </c>
      <c r="X3" s="48">
        <f>SUMIF(MatchScoutingData!$E$2:$E$1000, $A3, MatchScoutingData!Z$2:Z$1000)</f>
        <v/>
      </c>
      <c r="Y3" s="48">
        <f>SUMIF(MatchScoutingData!$E$2:$E$1000, $A3, MatchScoutingData!AA$2:AA$1000)</f>
        <v/>
      </c>
      <c r="Z3" s="48">
        <f>SUM(W3:Y3)</f>
        <v/>
      </c>
    </row>
    <row r="4">
      <c r="A4" s="47" t="n">
        <v>144</v>
      </c>
      <c r="B4" s="47">
        <f>COUNTIF(MatchScoutingData!E$2:E$1000, $A4)</f>
        <v/>
      </c>
      <c r="C4" s="48">
        <f>SUMIF(MatchScoutingData!$E$2:$E$1000, $A4, MatchScoutingData!F$2:F$1000)</f>
        <v/>
      </c>
      <c r="D4" s="48">
        <f>SUMIF(MatchScoutingData!$E$2:$E$1000, $A4, MatchScoutingData!G$2:G$1000)</f>
        <v/>
      </c>
      <c r="E4" s="48">
        <f>SUMIF(MatchScoutingData!$E$2:$E$1000, $A4, MatchScoutingData!H$2:H$1000)</f>
        <v/>
      </c>
      <c r="F4" s="48">
        <f>SUMIF(MatchScoutingData!$E$2:$E$1000, $A4, MatchScoutingData!I$2:I$1000)</f>
        <v/>
      </c>
      <c r="G4" s="48">
        <f>SUMIF(MatchScoutingData!$E$2:$E$1000, $A4, MatchScoutingData!J$2:J$1000)</f>
        <v/>
      </c>
      <c r="H4" s="48">
        <f>SUMIF(MatchScoutingData!$E$2:$E$1000, $A4, MatchScoutingData!K$2:K$1000)</f>
        <v/>
      </c>
      <c r="I4" s="48">
        <f>SUMIF(MatchScoutingData!$E$2:$E$1000, $A4, MatchScoutingData!L$2:L$1000)</f>
        <v/>
      </c>
      <c r="J4" s="48">
        <f>SUMIF(MatchScoutingData!$E$2:$E$1000, $A4, MatchScoutingData!M$2:M$1000)</f>
        <v/>
      </c>
      <c r="K4" s="48">
        <f>SUMIF(MatchScoutingData!$E$2:$E$1000, $A4, MatchScoutingData!N$2:N$1000)</f>
        <v/>
      </c>
      <c r="L4" s="48">
        <f>SUMIF(MatchScoutingData!$E$2:$E$1000, $A4, MatchScoutingData!O$2:O$1000)</f>
        <v/>
      </c>
      <c r="M4" s="48">
        <f>SUMIF(MatchScoutingData!$E$2:$E$1000, $A4, MatchScoutingData!P$2:P$1000)</f>
        <v/>
      </c>
      <c r="N4" s="48">
        <f>SUMIF(MatchScoutingData!$E$2:$E$1000, $A4, MatchScoutingData!Q$2:Q$1000)</f>
        <v/>
      </c>
      <c r="O4" s="48">
        <f>SUMIF(MatchScoutingData!$E$2:$E$1000, $A4, MatchScoutingData!R$2:R$1000)</f>
        <v/>
      </c>
      <c r="P4" s="48">
        <f>SUMIF(MatchScoutingData!$E$2:$E$1000, $A4, MatchScoutingData!S$2:S$1000)</f>
        <v/>
      </c>
      <c r="Q4" s="48">
        <f>SUMIF(MatchScoutingData!$E$2:$E$1000, $A4, MatchScoutingData!T$2:T$1000)</f>
        <v/>
      </c>
      <c r="R4" s="48">
        <f>SUMIF(MatchScoutingData!$E$2:$E$1000, $A4, MatchScoutingData!U$2:U$1000)</f>
        <v/>
      </c>
      <c r="S4" s="48">
        <f>SUMIF(MatchScoutingData!$E$2:$E$1000, $A4, MatchScoutingData!V$2:V$1000)</f>
        <v/>
      </c>
      <c r="T4" s="48">
        <f>SUMIF(MatchScoutingData!$E$2:$E$1000, $A4, MatchScoutingData!W$2:W$1000)</f>
        <v/>
      </c>
      <c r="U4" s="48">
        <f>SUMIF(MatchScoutingData!$E$2:$E$1000, $A4, MatchScoutingData!X$2:X$1000)</f>
        <v/>
      </c>
      <c r="V4" s="48">
        <f>SUMIF(MatchScoutingData!$E$2:$E$1000, $A4, MatchScoutingData!AB$2:AB$1000)</f>
        <v/>
      </c>
      <c r="W4" s="48">
        <f>SUMIF(MatchScoutingData!$E$2:$E$1000, $A4, MatchScoutingData!Y$2:Y$1000)</f>
        <v/>
      </c>
      <c r="X4" s="48">
        <f>SUMIF(MatchScoutingData!$E$2:$E$1000, $A4, MatchScoutingData!Z$2:Z$1000)</f>
        <v/>
      </c>
      <c r="Y4" s="48">
        <f>SUMIF(MatchScoutingData!$E$2:$E$1000, $A4, MatchScoutingData!AA$2:AA$1000)</f>
        <v/>
      </c>
      <c r="Z4" s="48">
        <f>SUM(W4:Y4)</f>
        <v/>
      </c>
    </row>
    <row r="5">
      <c r="A5" s="47" t="n">
        <v>325</v>
      </c>
      <c r="B5" s="47">
        <f>COUNTIF(MatchScoutingData!E$2:E$1000, $A5)</f>
        <v/>
      </c>
      <c r="C5" s="48">
        <f>SUMIF(MatchScoutingData!$E$2:$E$1000, $A5, MatchScoutingData!F$2:F$1000)</f>
        <v/>
      </c>
      <c r="D5" s="48">
        <f>SUMIF(MatchScoutingData!$E$2:$E$1000, $A5, MatchScoutingData!G$2:G$1000)</f>
        <v/>
      </c>
      <c r="E5" s="48">
        <f>SUMIF(MatchScoutingData!$E$2:$E$1000, $A5, MatchScoutingData!H$2:H$1000)</f>
        <v/>
      </c>
      <c r="F5" s="48">
        <f>SUMIF(MatchScoutingData!$E$2:$E$1000, $A5, MatchScoutingData!I$2:I$1000)</f>
        <v/>
      </c>
      <c r="G5" s="48">
        <f>SUMIF(MatchScoutingData!$E$2:$E$1000, $A5, MatchScoutingData!J$2:J$1000)</f>
        <v/>
      </c>
      <c r="H5" s="48">
        <f>SUMIF(MatchScoutingData!$E$2:$E$1000, $A5, MatchScoutingData!K$2:K$1000)</f>
        <v/>
      </c>
      <c r="I5" s="48">
        <f>SUMIF(MatchScoutingData!$E$2:$E$1000, $A5, MatchScoutingData!L$2:L$1000)</f>
        <v/>
      </c>
      <c r="J5" s="48">
        <f>SUMIF(MatchScoutingData!$E$2:$E$1000, $A5, MatchScoutingData!M$2:M$1000)</f>
        <v/>
      </c>
      <c r="K5" s="48">
        <f>SUMIF(MatchScoutingData!$E$2:$E$1000, $A5, MatchScoutingData!N$2:N$1000)</f>
        <v/>
      </c>
      <c r="L5" s="48">
        <f>SUMIF(MatchScoutingData!$E$2:$E$1000, $A5, MatchScoutingData!O$2:O$1000)</f>
        <v/>
      </c>
      <c r="M5" s="48">
        <f>SUMIF(MatchScoutingData!$E$2:$E$1000, $A5, MatchScoutingData!P$2:P$1000)</f>
        <v/>
      </c>
      <c r="N5" s="48">
        <f>SUMIF(MatchScoutingData!$E$2:$E$1000, $A5, MatchScoutingData!Q$2:Q$1000)</f>
        <v/>
      </c>
      <c r="O5" s="48">
        <f>SUMIF(MatchScoutingData!$E$2:$E$1000, $A5, MatchScoutingData!R$2:R$1000)</f>
        <v/>
      </c>
      <c r="P5" s="48">
        <f>SUMIF(MatchScoutingData!$E$2:$E$1000, $A5, MatchScoutingData!S$2:S$1000)</f>
        <v/>
      </c>
      <c r="Q5" s="48">
        <f>SUMIF(MatchScoutingData!$E$2:$E$1000, $A5, MatchScoutingData!T$2:T$1000)</f>
        <v/>
      </c>
      <c r="R5" s="48">
        <f>SUMIF(MatchScoutingData!$E$2:$E$1000, $A5, MatchScoutingData!U$2:U$1000)</f>
        <v/>
      </c>
      <c r="S5" s="48">
        <f>SUMIF(MatchScoutingData!$E$2:$E$1000, $A5, MatchScoutingData!V$2:V$1000)</f>
        <v/>
      </c>
      <c r="T5" s="48">
        <f>SUMIF(MatchScoutingData!$E$2:$E$1000, $A5, MatchScoutingData!W$2:W$1000)</f>
        <v/>
      </c>
      <c r="U5" s="48">
        <f>SUMIF(MatchScoutingData!$E$2:$E$1000, $A5, MatchScoutingData!X$2:X$1000)</f>
        <v/>
      </c>
      <c r="V5" s="48">
        <f>SUMIF(MatchScoutingData!$E$2:$E$1000, $A5, MatchScoutingData!AB$2:AB$1000)</f>
        <v/>
      </c>
      <c r="W5" s="48">
        <f>SUMIF(MatchScoutingData!$E$2:$E$1000, $A5, MatchScoutingData!Y$2:Y$1000)</f>
        <v/>
      </c>
      <c r="X5" s="48">
        <f>SUMIF(MatchScoutingData!$E$2:$E$1000, $A5, MatchScoutingData!Z$2:Z$1000)</f>
        <v/>
      </c>
      <c r="Y5" s="48">
        <f>SUMIF(MatchScoutingData!$E$2:$E$1000, $A5, MatchScoutingData!AA$2:AA$1000)</f>
        <v/>
      </c>
      <c r="Z5" s="48">
        <f>SUM(W5:Y5)</f>
        <v/>
      </c>
    </row>
    <row r="6">
      <c r="A6" s="47" t="n">
        <v>379</v>
      </c>
      <c r="B6" s="47">
        <f>COUNTIF(MatchScoutingData!E$2:E$1000, $A6)</f>
        <v/>
      </c>
      <c r="C6" s="48">
        <f>SUMIF(MatchScoutingData!$E$2:$E$1000, $A6, MatchScoutingData!F$2:F$1000)</f>
        <v/>
      </c>
      <c r="D6" s="48">
        <f>SUMIF(MatchScoutingData!$E$2:$E$1000, $A6, MatchScoutingData!G$2:G$1000)</f>
        <v/>
      </c>
      <c r="E6" s="48">
        <f>SUMIF(MatchScoutingData!$E$2:$E$1000, $A6, MatchScoutingData!H$2:H$1000)</f>
        <v/>
      </c>
      <c r="F6" s="48">
        <f>SUMIF(MatchScoutingData!$E$2:$E$1000, $A6, MatchScoutingData!I$2:I$1000)</f>
        <v/>
      </c>
      <c r="G6" s="48">
        <f>SUMIF(MatchScoutingData!$E$2:$E$1000, $A6, MatchScoutingData!J$2:J$1000)</f>
        <v/>
      </c>
      <c r="H6" s="48">
        <f>SUMIF(MatchScoutingData!$E$2:$E$1000, $A6, MatchScoutingData!K$2:K$1000)</f>
        <v/>
      </c>
      <c r="I6" s="48">
        <f>SUMIF(MatchScoutingData!$E$2:$E$1000, $A6, MatchScoutingData!L$2:L$1000)</f>
        <v/>
      </c>
      <c r="J6" s="48">
        <f>SUMIF(MatchScoutingData!$E$2:$E$1000, $A6, MatchScoutingData!M$2:M$1000)</f>
        <v/>
      </c>
      <c r="K6" s="48">
        <f>SUMIF(MatchScoutingData!$E$2:$E$1000, $A6, MatchScoutingData!N$2:N$1000)</f>
        <v/>
      </c>
      <c r="L6" s="48">
        <f>SUMIF(MatchScoutingData!$E$2:$E$1000, $A6, MatchScoutingData!O$2:O$1000)</f>
        <v/>
      </c>
      <c r="M6" s="48">
        <f>SUMIF(MatchScoutingData!$E$2:$E$1000, $A6, MatchScoutingData!P$2:P$1000)</f>
        <v/>
      </c>
      <c r="N6" s="48">
        <f>SUMIF(MatchScoutingData!$E$2:$E$1000, $A6, MatchScoutingData!Q$2:Q$1000)</f>
        <v/>
      </c>
      <c r="O6" s="48">
        <f>SUMIF(MatchScoutingData!$E$2:$E$1000, $A6, MatchScoutingData!R$2:R$1000)</f>
        <v/>
      </c>
      <c r="P6" s="48">
        <f>SUMIF(MatchScoutingData!$E$2:$E$1000, $A6, MatchScoutingData!S$2:S$1000)</f>
        <v/>
      </c>
      <c r="Q6" s="48">
        <f>SUMIF(MatchScoutingData!$E$2:$E$1000, $A6, MatchScoutingData!T$2:T$1000)</f>
        <v/>
      </c>
      <c r="R6" s="48">
        <f>SUMIF(MatchScoutingData!$E$2:$E$1000, $A6, MatchScoutingData!U$2:U$1000)</f>
        <v/>
      </c>
      <c r="S6" s="48">
        <f>SUMIF(MatchScoutingData!$E$2:$E$1000, $A6, MatchScoutingData!V$2:V$1000)</f>
        <v/>
      </c>
      <c r="T6" s="48">
        <f>SUMIF(MatchScoutingData!$E$2:$E$1000, $A6, MatchScoutingData!W$2:W$1000)</f>
        <v/>
      </c>
      <c r="U6" s="48">
        <f>SUMIF(MatchScoutingData!$E$2:$E$1000, $A6, MatchScoutingData!X$2:X$1000)</f>
        <v/>
      </c>
      <c r="V6" s="48">
        <f>SUMIF(MatchScoutingData!$E$2:$E$1000, $A6, MatchScoutingData!AB$2:AB$1000)</f>
        <v/>
      </c>
      <c r="W6" s="48">
        <f>SUMIF(MatchScoutingData!$E$2:$E$1000, $A6, MatchScoutingData!Y$2:Y$1000)</f>
        <v/>
      </c>
      <c r="X6" s="48">
        <f>SUMIF(MatchScoutingData!$E$2:$E$1000, $A6, MatchScoutingData!Z$2:Z$1000)</f>
        <v/>
      </c>
      <c r="Y6" s="48">
        <f>SUMIF(MatchScoutingData!$E$2:$E$1000, $A6, MatchScoutingData!AA$2:AA$1000)</f>
        <v/>
      </c>
      <c r="Z6" s="48">
        <f>SUM(W6:Y6)</f>
        <v/>
      </c>
    </row>
    <row r="7">
      <c r="A7" s="47" t="n">
        <v>432</v>
      </c>
      <c r="B7" s="47">
        <f>COUNTIF(MatchScoutingData!E$2:E$1000, $A7)</f>
        <v/>
      </c>
      <c r="C7" s="48">
        <f>SUMIF(MatchScoutingData!$E$2:$E$1000, $A7, MatchScoutingData!F$2:F$1000)</f>
        <v/>
      </c>
      <c r="D7" s="48">
        <f>SUMIF(MatchScoutingData!$E$2:$E$1000, $A7, MatchScoutingData!G$2:G$1000)</f>
        <v/>
      </c>
      <c r="E7" s="48">
        <f>SUMIF(MatchScoutingData!$E$2:$E$1000, $A7, MatchScoutingData!H$2:H$1000)</f>
        <v/>
      </c>
      <c r="F7" s="48">
        <f>SUMIF(MatchScoutingData!$E$2:$E$1000, $A7, MatchScoutingData!I$2:I$1000)</f>
        <v/>
      </c>
      <c r="G7" s="48">
        <f>SUMIF(MatchScoutingData!$E$2:$E$1000, $A7, MatchScoutingData!J$2:J$1000)</f>
        <v/>
      </c>
      <c r="H7" s="48">
        <f>SUMIF(MatchScoutingData!$E$2:$E$1000, $A7, MatchScoutingData!K$2:K$1000)</f>
        <v/>
      </c>
      <c r="I7" s="48">
        <f>SUMIF(MatchScoutingData!$E$2:$E$1000, $A7, MatchScoutingData!L$2:L$1000)</f>
        <v/>
      </c>
      <c r="J7" s="48">
        <f>SUMIF(MatchScoutingData!$E$2:$E$1000, $A7, MatchScoutingData!M$2:M$1000)</f>
        <v/>
      </c>
      <c r="K7" s="48">
        <f>SUMIF(MatchScoutingData!$E$2:$E$1000, $A7, MatchScoutingData!N$2:N$1000)</f>
        <v/>
      </c>
      <c r="L7" s="48">
        <f>SUMIF(MatchScoutingData!$E$2:$E$1000, $A7, MatchScoutingData!O$2:O$1000)</f>
        <v/>
      </c>
      <c r="M7" s="48">
        <f>SUMIF(MatchScoutingData!$E$2:$E$1000, $A7, MatchScoutingData!P$2:P$1000)</f>
        <v/>
      </c>
      <c r="N7" s="48">
        <f>SUMIF(MatchScoutingData!$E$2:$E$1000, $A7, MatchScoutingData!Q$2:Q$1000)</f>
        <v/>
      </c>
      <c r="O7" s="48">
        <f>SUMIF(MatchScoutingData!$E$2:$E$1000, $A7, MatchScoutingData!R$2:R$1000)</f>
        <v/>
      </c>
      <c r="P7" s="48">
        <f>SUMIF(MatchScoutingData!$E$2:$E$1000, $A7, MatchScoutingData!S$2:S$1000)</f>
        <v/>
      </c>
      <c r="Q7" s="48">
        <f>SUMIF(MatchScoutingData!$E$2:$E$1000, $A7, MatchScoutingData!T$2:T$1000)</f>
        <v/>
      </c>
      <c r="R7" s="48">
        <f>SUMIF(MatchScoutingData!$E$2:$E$1000, $A7, MatchScoutingData!U$2:U$1000)</f>
        <v/>
      </c>
      <c r="S7" s="48">
        <f>SUMIF(MatchScoutingData!$E$2:$E$1000, $A7, MatchScoutingData!V$2:V$1000)</f>
        <v/>
      </c>
      <c r="T7" s="48">
        <f>SUMIF(MatchScoutingData!$E$2:$E$1000, $A7, MatchScoutingData!W$2:W$1000)</f>
        <v/>
      </c>
      <c r="U7" s="48">
        <f>SUMIF(MatchScoutingData!$E$2:$E$1000, $A7, MatchScoutingData!X$2:X$1000)</f>
        <v/>
      </c>
      <c r="V7" s="48">
        <f>SUMIF(MatchScoutingData!$E$2:$E$1000, $A7, MatchScoutingData!AB$2:AB$1000)</f>
        <v/>
      </c>
      <c r="W7" s="48">
        <f>SUMIF(MatchScoutingData!$E$2:$E$1000, $A7, MatchScoutingData!Y$2:Y$1000)</f>
        <v/>
      </c>
      <c r="X7" s="48">
        <f>SUMIF(MatchScoutingData!$E$2:$E$1000, $A7, MatchScoutingData!Z$2:Z$1000)</f>
        <v/>
      </c>
      <c r="Y7" s="48">
        <f>SUMIF(MatchScoutingData!$E$2:$E$1000, $A7, MatchScoutingData!AA$2:AA$1000)</f>
        <v/>
      </c>
      <c r="Z7" s="48">
        <f>SUM(W7:Y7)</f>
        <v/>
      </c>
    </row>
    <row r="8">
      <c r="A8" s="47" t="n">
        <v>451</v>
      </c>
      <c r="B8" s="47">
        <f>COUNTIF(MatchScoutingData!E$2:E$1000, $A8)</f>
        <v/>
      </c>
      <c r="C8" s="48">
        <f>SUMIF(MatchScoutingData!$E$2:$E$1000, $A8, MatchScoutingData!F$2:F$1000)</f>
        <v/>
      </c>
      <c r="D8" s="48">
        <f>SUMIF(MatchScoutingData!$E$2:$E$1000, $A8, MatchScoutingData!G$2:G$1000)</f>
        <v/>
      </c>
      <c r="E8" s="48">
        <f>SUMIF(MatchScoutingData!$E$2:$E$1000, $A8, MatchScoutingData!H$2:H$1000)</f>
        <v/>
      </c>
      <c r="F8" s="48">
        <f>SUMIF(MatchScoutingData!$E$2:$E$1000, $A8, MatchScoutingData!I$2:I$1000)</f>
        <v/>
      </c>
      <c r="G8" s="48">
        <f>SUMIF(MatchScoutingData!$E$2:$E$1000, $A8, MatchScoutingData!J$2:J$1000)</f>
        <v/>
      </c>
      <c r="H8" s="48">
        <f>SUMIF(MatchScoutingData!$E$2:$E$1000, $A8, MatchScoutingData!K$2:K$1000)</f>
        <v/>
      </c>
      <c r="I8" s="48">
        <f>SUMIF(MatchScoutingData!$E$2:$E$1000, $A8, MatchScoutingData!L$2:L$1000)</f>
        <v/>
      </c>
      <c r="J8" s="48">
        <f>SUMIF(MatchScoutingData!$E$2:$E$1000, $A8, MatchScoutingData!M$2:M$1000)</f>
        <v/>
      </c>
      <c r="K8" s="48">
        <f>SUMIF(MatchScoutingData!$E$2:$E$1000, $A8, MatchScoutingData!N$2:N$1000)</f>
        <v/>
      </c>
      <c r="L8" s="48">
        <f>SUMIF(MatchScoutingData!$E$2:$E$1000, $A8, MatchScoutingData!O$2:O$1000)</f>
        <v/>
      </c>
      <c r="M8" s="48">
        <f>SUMIF(MatchScoutingData!$E$2:$E$1000, $A8, MatchScoutingData!P$2:P$1000)</f>
        <v/>
      </c>
      <c r="N8" s="48">
        <f>SUMIF(MatchScoutingData!$E$2:$E$1000, $A8, MatchScoutingData!Q$2:Q$1000)</f>
        <v/>
      </c>
      <c r="O8" s="48">
        <f>SUMIF(MatchScoutingData!$E$2:$E$1000, $A8, MatchScoutingData!R$2:R$1000)</f>
        <v/>
      </c>
      <c r="P8" s="48">
        <f>SUMIF(MatchScoutingData!$E$2:$E$1000, $A8, MatchScoutingData!S$2:S$1000)</f>
        <v/>
      </c>
      <c r="Q8" s="48">
        <f>SUMIF(MatchScoutingData!$E$2:$E$1000, $A8, MatchScoutingData!T$2:T$1000)</f>
        <v/>
      </c>
      <c r="R8" s="48">
        <f>SUMIF(MatchScoutingData!$E$2:$E$1000, $A8, MatchScoutingData!U$2:U$1000)</f>
        <v/>
      </c>
      <c r="S8" s="48">
        <f>SUMIF(MatchScoutingData!$E$2:$E$1000, $A8, MatchScoutingData!V$2:V$1000)</f>
        <v/>
      </c>
      <c r="T8" s="48">
        <f>SUMIF(MatchScoutingData!$E$2:$E$1000, $A8, MatchScoutingData!W$2:W$1000)</f>
        <v/>
      </c>
      <c r="U8" s="48">
        <f>SUMIF(MatchScoutingData!$E$2:$E$1000, $A8, MatchScoutingData!X$2:X$1000)</f>
        <v/>
      </c>
      <c r="V8" s="48">
        <f>SUMIF(MatchScoutingData!$E$2:$E$1000, $A8, MatchScoutingData!AB$2:AB$1000)</f>
        <v/>
      </c>
      <c r="W8" s="48">
        <f>SUMIF(MatchScoutingData!$E$2:$E$1000, $A8, MatchScoutingData!Y$2:Y$1000)</f>
        <v/>
      </c>
      <c r="X8" s="48">
        <f>SUMIF(MatchScoutingData!$E$2:$E$1000, $A8, MatchScoutingData!Z$2:Z$1000)</f>
        <v/>
      </c>
      <c r="Y8" s="48">
        <f>SUMIF(MatchScoutingData!$E$2:$E$1000, $A8, MatchScoutingData!AA$2:AA$1000)</f>
        <v/>
      </c>
      <c r="Z8" s="48">
        <f>SUM(W8:Y8)</f>
        <v/>
      </c>
    </row>
    <row r="9">
      <c r="A9" s="47" t="n">
        <v>554</v>
      </c>
      <c r="B9" s="47">
        <f>COUNTIF(MatchScoutingData!E$2:E$1000, $A9)</f>
        <v/>
      </c>
      <c r="C9" s="48">
        <f>SUMIF(MatchScoutingData!$E$2:$E$1000, $A9, MatchScoutingData!F$2:F$1000)</f>
        <v/>
      </c>
      <c r="D9" s="48">
        <f>SUMIF(MatchScoutingData!$E$2:$E$1000, $A9, MatchScoutingData!G$2:G$1000)</f>
        <v/>
      </c>
      <c r="E9" s="48">
        <f>SUMIF(MatchScoutingData!$E$2:$E$1000, $A9, MatchScoutingData!H$2:H$1000)</f>
        <v/>
      </c>
      <c r="F9" s="48">
        <f>SUMIF(MatchScoutingData!$E$2:$E$1000, $A9, MatchScoutingData!I$2:I$1000)</f>
        <v/>
      </c>
      <c r="G9" s="48">
        <f>SUMIF(MatchScoutingData!$E$2:$E$1000, $A9, MatchScoutingData!J$2:J$1000)</f>
        <v/>
      </c>
      <c r="H9" s="48">
        <f>SUMIF(MatchScoutingData!$E$2:$E$1000, $A9, MatchScoutingData!K$2:K$1000)</f>
        <v/>
      </c>
      <c r="I9" s="48">
        <f>SUMIF(MatchScoutingData!$E$2:$E$1000, $A9, MatchScoutingData!L$2:L$1000)</f>
        <v/>
      </c>
      <c r="J9" s="48">
        <f>SUMIF(MatchScoutingData!$E$2:$E$1000, $A9, MatchScoutingData!M$2:M$1000)</f>
        <v/>
      </c>
      <c r="K9" s="48">
        <f>SUMIF(MatchScoutingData!$E$2:$E$1000, $A9, MatchScoutingData!N$2:N$1000)</f>
        <v/>
      </c>
      <c r="L9" s="48">
        <f>SUMIF(MatchScoutingData!$E$2:$E$1000, $A9, MatchScoutingData!O$2:O$1000)</f>
        <v/>
      </c>
      <c r="M9" s="48">
        <f>SUMIF(MatchScoutingData!$E$2:$E$1000, $A9, MatchScoutingData!P$2:P$1000)</f>
        <v/>
      </c>
      <c r="N9" s="48">
        <f>SUMIF(MatchScoutingData!$E$2:$E$1000, $A9, MatchScoutingData!Q$2:Q$1000)</f>
        <v/>
      </c>
      <c r="O9" s="48">
        <f>SUMIF(MatchScoutingData!$E$2:$E$1000, $A9, MatchScoutingData!R$2:R$1000)</f>
        <v/>
      </c>
      <c r="P9" s="48">
        <f>SUMIF(MatchScoutingData!$E$2:$E$1000, $A9, MatchScoutingData!S$2:S$1000)</f>
        <v/>
      </c>
      <c r="Q9" s="48">
        <f>SUMIF(MatchScoutingData!$E$2:$E$1000, $A9, MatchScoutingData!T$2:T$1000)</f>
        <v/>
      </c>
      <c r="R9" s="48">
        <f>SUMIF(MatchScoutingData!$E$2:$E$1000, $A9, MatchScoutingData!U$2:U$1000)</f>
        <v/>
      </c>
      <c r="S9" s="48">
        <f>SUMIF(MatchScoutingData!$E$2:$E$1000, $A9, MatchScoutingData!V$2:V$1000)</f>
        <v/>
      </c>
      <c r="T9" s="48">
        <f>SUMIF(MatchScoutingData!$E$2:$E$1000, $A9, MatchScoutingData!W$2:W$1000)</f>
        <v/>
      </c>
      <c r="U9" s="48">
        <f>SUMIF(MatchScoutingData!$E$2:$E$1000, $A9, MatchScoutingData!X$2:X$1000)</f>
        <v/>
      </c>
      <c r="V9" s="48">
        <f>SUMIF(MatchScoutingData!$E$2:$E$1000, $A9, MatchScoutingData!AB$2:AB$1000)</f>
        <v/>
      </c>
      <c r="W9" s="48">
        <f>SUMIF(MatchScoutingData!$E$2:$E$1000, $A9, MatchScoutingData!Y$2:Y$1000)</f>
        <v/>
      </c>
      <c r="X9" s="48">
        <f>SUMIF(MatchScoutingData!$E$2:$E$1000, $A9, MatchScoutingData!Z$2:Z$1000)</f>
        <v/>
      </c>
      <c r="Y9" s="48">
        <f>SUMIF(MatchScoutingData!$E$2:$E$1000, $A9, MatchScoutingData!AA$2:AA$1000)</f>
        <v/>
      </c>
      <c r="Z9" s="48">
        <f>SUM(W9:Y9)</f>
        <v/>
      </c>
    </row>
    <row r="10">
      <c r="A10" s="47" t="n">
        <v>578</v>
      </c>
      <c r="B10" s="47">
        <f>COUNTIF(MatchScoutingData!E$2:E$1000, $A10)</f>
        <v/>
      </c>
      <c r="C10" s="48">
        <f>SUMIF(MatchScoutingData!$E$2:$E$1000, $A10, MatchScoutingData!F$2:F$1000)</f>
        <v/>
      </c>
      <c r="D10" s="48">
        <f>SUMIF(MatchScoutingData!$E$2:$E$1000, $A10, MatchScoutingData!G$2:G$1000)</f>
        <v/>
      </c>
      <c r="E10" s="48">
        <f>SUMIF(MatchScoutingData!$E$2:$E$1000, $A10, MatchScoutingData!H$2:H$1000)</f>
        <v/>
      </c>
      <c r="F10" s="48">
        <f>SUMIF(MatchScoutingData!$E$2:$E$1000, $A10, MatchScoutingData!I$2:I$1000)</f>
        <v/>
      </c>
      <c r="G10" s="48">
        <f>SUMIF(MatchScoutingData!$E$2:$E$1000, $A10, MatchScoutingData!J$2:J$1000)</f>
        <v/>
      </c>
      <c r="H10" s="48">
        <f>SUMIF(MatchScoutingData!$E$2:$E$1000, $A10, MatchScoutingData!K$2:K$1000)</f>
        <v/>
      </c>
      <c r="I10" s="48">
        <f>SUMIF(MatchScoutingData!$E$2:$E$1000, $A10, MatchScoutingData!L$2:L$1000)</f>
        <v/>
      </c>
      <c r="J10" s="48">
        <f>SUMIF(MatchScoutingData!$E$2:$E$1000, $A10, MatchScoutingData!M$2:M$1000)</f>
        <v/>
      </c>
      <c r="K10" s="48">
        <f>SUMIF(MatchScoutingData!$E$2:$E$1000, $A10, MatchScoutingData!N$2:N$1000)</f>
        <v/>
      </c>
      <c r="L10" s="48">
        <f>SUMIF(MatchScoutingData!$E$2:$E$1000, $A10, MatchScoutingData!O$2:O$1000)</f>
        <v/>
      </c>
      <c r="M10" s="48">
        <f>SUMIF(MatchScoutingData!$E$2:$E$1000, $A10, MatchScoutingData!P$2:P$1000)</f>
        <v/>
      </c>
      <c r="N10" s="48">
        <f>SUMIF(MatchScoutingData!$E$2:$E$1000, $A10, MatchScoutingData!Q$2:Q$1000)</f>
        <v/>
      </c>
      <c r="O10" s="48">
        <f>SUMIF(MatchScoutingData!$E$2:$E$1000, $A10, MatchScoutingData!R$2:R$1000)</f>
        <v/>
      </c>
      <c r="P10" s="48">
        <f>SUMIF(MatchScoutingData!$E$2:$E$1000, $A10, MatchScoutingData!S$2:S$1000)</f>
        <v/>
      </c>
      <c r="Q10" s="48">
        <f>SUMIF(MatchScoutingData!$E$2:$E$1000, $A10, MatchScoutingData!T$2:T$1000)</f>
        <v/>
      </c>
      <c r="R10" s="48">
        <f>SUMIF(MatchScoutingData!$E$2:$E$1000, $A10, MatchScoutingData!U$2:U$1000)</f>
        <v/>
      </c>
      <c r="S10" s="48">
        <f>SUMIF(MatchScoutingData!$E$2:$E$1000, $A10, MatchScoutingData!V$2:V$1000)</f>
        <v/>
      </c>
      <c r="T10" s="48">
        <f>SUMIF(MatchScoutingData!$E$2:$E$1000, $A10, MatchScoutingData!W$2:W$1000)</f>
        <v/>
      </c>
      <c r="U10" s="48">
        <f>SUMIF(MatchScoutingData!$E$2:$E$1000, $A10, MatchScoutingData!X$2:X$1000)</f>
        <v/>
      </c>
      <c r="V10" s="48">
        <f>SUMIF(MatchScoutingData!$E$2:$E$1000, $A10, MatchScoutingData!AB$2:AB$1000)</f>
        <v/>
      </c>
      <c r="W10" s="48">
        <f>SUMIF(MatchScoutingData!$E$2:$E$1000, $A10, MatchScoutingData!Y$2:Y$1000)</f>
        <v/>
      </c>
      <c r="X10" s="48">
        <f>SUMIF(MatchScoutingData!$E$2:$E$1000, $A10, MatchScoutingData!Z$2:Z$1000)</f>
        <v/>
      </c>
      <c r="Y10" s="48">
        <f>SUMIF(MatchScoutingData!$E$2:$E$1000, $A10, MatchScoutingData!AA$2:AA$1000)</f>
        <v/>
      </c>
      <c r="Z10" s="48">
        <f>SUM(W10:Y10)</f>
        <v/>
      </c>
    </row>
    <row r="11">
      <c r="A11" s="47" t="n">
        <v>677</v>
      </c>
      <c r="B11" s="47">
        <f>COUNTIF(MatchScoutingData!E$2:E$1000, $A11)</f>
        <v/>
      </c>
      <c r="C11" s="48">
        <f>SUMIF(MatchScoutingData!$E$2:$E$1000, $A11, MatchScoutingData!F$2:F$1000)</f>
        <v/>
      </c>
      <c r="D11" s="48">
        <f>SUMIF(MatchScoutingData!$E$2:$E$1000, $A11, MatchScoutingData!G$2:G$1000)</f>
        <v/>
      </c>
      <c r="E11" s="48">
        <f>SUMIF(MatchScoutingData!$E$2:$E$1000, $A11, MatchScoutingData!H$2:H$1000)</f>
        <v/>
      </c>
      <c r="F11" s="48">
        <f>SUMIF(MatchScoutingData!$E$2:$E$1000, $A11, MatchScoutingData!I$2:I$1000)</f>
        <v/>
      </c>
      <c r="G11" s="48">
        <f>SUMIF(MatchScoutingData!$E$2:$E$1000, $A11, MatchScoutingData!J$2:J$1000)</f>
        <v/>
      </c>
      <c r="H11" s="48">
        <f>SUMIF(MatchScoutingData!$E$2:$E$1000, $A11, MatchScoutingData!K$2:K$1000)</f>
        <v/>
      </c>
      <c r="I11" s="48">
        <f>SUMIF(MatchScoutingData!$E$2:$E$1000, $A11, MatchScoutingData!L$2:L$1000)</f>
        <v/>
      </c>
      <c r="J11" s="48">
        <f>SUMIF(MatchScoutingData!$E$2:$E$1000, $A11, MatchScoutingData!M$2:M$1000)</f>
        <v/>
      </c>
      <c r="K11" s="48">
        <f>SUMIF(MatchScoutingData!$E$2:$E$1000, $A11, MatchScoutingData!N$2:N$1000)</f>
        <v/>
      </c>
      <c r="L11" s="48">
        <f>SUMIF(MatchScoutingData!$E$2:$E$1000, $A11, MatchScoutingData!O$2:O$1000)</f>
        <v/>
      </c>
      <c r="M11" s="48">
        <f>SUMIF(MatchScoutingData!$E$2:$E$1000, $A11, MatchScoutingData!P$2:P$1000)</f>
        <v/>
      </c>
      <c r="N11" s="48">
        <f>SUMIF(MatchScoutingData!$E$2:$E$1000, $A11, MatchScoutingData!Q$2:Q$1000)</f>
        <v/>
      </c>
      <c r="O11" s="48">
        <f>SUMIF(MatchScoutingData!$E$2:$E$1000, $A11, MatchScoutingData!R$2:R$1000)</f>
        <v/>
      </c>
      <c r="P11" s="48">
        <f>SUMIF(MatchScoutingData!$E$2:$E$1000, $A11, MatchScoutingData!S$2:S$1000)</f>
        <v/>
      </c>
      <c r="Q11" s="48">
        <f>SUMIF(MatchScoutingData!$E$2:$E$1000, $A11, MatchScoutingData!T$2:T$1000)</f>
        <v/>
      </c>
      <c r="R11" s="48">
        <f>SUMIF(MatchScoutingData!$E$2:$E$1000, $A11, MatchScoutingData!U$2:U$1000)</f>
        <v/>
      </c>
      <c r="S11" s="48">
        <f>SUMIF(MatchScoutingData!$E$2:$E$1000, $A11, MatchScoutingData!V$2:V$1000)</f>
        <v/>
      </c>
      <c r="T11" s="48">
        <f>SUMIF(MatchScoutingData!$E$2:$E$1000, $A11, MatchScoutingData!W$2:W$1000)</f>
        <v/>
      </c>
      <c r="U11" s="48">
        <f>SUMIF(MatchScoutingData!$E$2:$E$1000, $A11, MatchScoutingData!X$2:X$1000)</f>
        <v/>
      </c>
      <c r="V11" s="48">
        <f>SUMIF(MatchScoutingData!$E$2:$E$1000, $A11, MatchScoutingData!AB$2:AB$1000)</f>
        <v/>
      </c>
      <c r="W11" s="48">
        <f>SUMIF(MatchScoutingData!$E$2:$E$1000, $A11, MatchScoutingData!Y$2:Y$1000)</f>
        <v/>
      </c>
      <c r="X11" s="48">
        <f>SUMIF(MatchScoutingData!$E$2:$E$1000, $A11, MatchScoutingData!Z$2:Z$1000)</f>
        <v/>
      </c>
      <c r="Y11" s="48">
        <f>SUMIF(MatchScoutingData!$E$2:$E$1000, $A11, MatchScoutingData!AA$2:AA$1000)</f>
        <v/>
      </c>
      <c r="Z11" s="48">
        <f>SUM(W11:Y11)</f>
        <v/>
      </c>
    </row>
    <row r="12">
      <c r="A12" s="47" t="n">
        <v>695</v>
      </c>
      <c r="B12" s="47">
        <f>COUNTIF(MatchScoutingData!E$2:E$1000, $A12)</f>
        <v/>
      </c>
      <c r="C12" s="48">
        <f>SUMIF(MatchScoutingData!$E$2:$E$1000, $A12, MatchScoutingData!F$2:F$1000)</f>
        <v/>
      </c>
      <c r="D12" s="48">
        <f>SUMIF(MatchScoutingData!$E$2:$E$1000, $A12, MatchScoutingData!G$2:G$1000)</f>
        <v/>
      </c>
      <c r="E12" s="48">
        <f>SUMIF(MatchScoutingData!$E$2:$E$1000, $A12, MatchScoutingData!H$2:H$1000)</f>
        <v/>
      </c>
      <c r="F12" s="48">
        <f>SUMIF(MatchScoutingData!$E$2:$E$1000, $A12, MatchScoutingData!I$2:I$1000)</f>
        <v/>
      </c>
      <c r="G12" s="48">
        <f>SUMIF(MatchScoutingData!$E$2:$E$1000, $A12, MatchScoutingData!J$2:J$1000)</f>
        <v/>
      </c>
      <c r="H12" s="48">
        <f>SUMIF(MatchScoutingData!$E$2:$E$1000, $A12, MatchScoutingData!K$2:K$1000)</f>
        <v/>
      </c>
      <c r="I12" s="48">
        <f>SUMIF(MatchScoutingData!$E$2:$E$1000, $A12, MatchScoutingData!L$2:L$1000)</f>
        <v/>
      </c>
      <c r="J12" s="48">
        <f>SUMIF(MatchScoutingData!$E$2:$E$1000, $A12, MatchScoutingData!M$2:M$1000)</f>
        <v/>
      </c>
      <c r="K12" s="48">
        <f>SUMIF(MatchScoutingData!$E$2:$E$1000, $A12, MatchScoutingData!N$2:N$1000)</f>
        <v/>
      </c>
      <c r="L12" s="48">
        <f>SUMIF(MatchScoutingData!$E$2:$E$1000, $A12, MatchScoutingData!O$2:O$1000)</f>
        <v/>
      </c>
      <c r="M12" s="48">
        <f>SUMIF(MatchScoutingData!$E$2:$E$1000, $A12, MatchScoutingData!P$2:P$1000)</f>
        <v/>
      </c>
      <c r="N12" s="48">
        <f>SUMIF(MatchScoutingData!$E$2:$E$1000, $A12, MatchScoutingData!Q$2:Q$1000)</f>
        <v/>
      </c>
      <c r="O12" s="48">
        <f>SUMIF(MatchScoutingData!$E$2:$E$1000, $A12, MatchScoutingData!R$2:R$1000)</f>
        <v/>
      </c>
      <c r="P12" s="48">
        <f>SUMIF(MatchScoutingData!$E$2:$E$1000, $A12, MatchScoutingData!S$2:S$1000)</f>
        <v/>
      </c>
      <c r="Q12" s="48">
        <f>SUMIF(MatchScoutingData!$E$2:$E$1000, $A12, MatchScoutingData!T$2:T$1000)</f>
        <v/>
      </c>
      <c r="R12" s="48">
        <f>SUMIF(MatchScoutingData!$E$2:$E$1000, $A12, MatchScoutingData!U$2:U$1000)</f>
        <v/>
      </c>
      <c r="S12" s="48">
        <f>SUMIF(MatchScoutingData!$E$2:$E$1000, $A12, MatchScoutingData!V$2:V$1000)</f>
        <v/>
      </c>
      <c r="T12" s="48">
        <f>SUMIF(MatchScoutingData!$E$2:$E$1000, $A12, MatchScoutingData!W$2:W$1000)</f>
        <v/>
      </c>
      <c r="U12" s="48">
        <f>SUMIF(MatchScoutingData!$E$2:$E$1000, $A12, MatchScoutingData!X$2:X$1000)</f>
        <v/>
      </c>
      <c r="V12" s="48">
        <f>SUMIF(MatchScoutingData!$E$2:$E$1000, $A12, MatchScoutingData!AB$2:AB$1000)</f>
        <v/>
      </c>
      <c r="W12" s="48">
        <f>SUMIF(MatchScoutingData!$E$2:$E$1000, $A12, MatchScoutingData!Y$2:Y$1000)</f>
        <v/>
      </c>
      <c r="X12" s="48">
        <f>SUMIF(MatchScoutingData!$E$2:$E$1000, $A12, MatchScoutingData!Z$2:Z$1000)</f>
        <v/>
      </c>
      <c r="Y12" s="48">
        <f>SUMIF(MatchScoutingData!$E$2:$E$1000, $A12, MatchScoutingData!AA$2:AA$1000)</f>
        <v/>
      </c>
      <c r="Z12" s="48">
        <f>SUM(W12:Y12)</f>
        <v/>
      </c>
    </row>
    <row r="13">
      <c r="A13" s="47" t="n">
        <v>1014</v>
      </c>
      <c r="B13" s="47">
        <f>COUNTIF(MatchScoutingData!E$2:E$1000, $A13)</f>
        <v/>
      </c>
      <c r="C13" s="48">
        <f>SUMIF(MatchScoutingData!$E$2:$E$1000, $A13, MatchScoutingData!F$2:F$1000)</f>
        <v/>
      </c>
      <c r="D13" s="48">
        <f>SUMIF(MatchScoutingData!$E$2:$E$1000, $A13, MatchScoutingData!G$2:G$1000)</f>
        <v/>
      </c>
      <c r="E13" s="48">
        <f>SUMIF(MatchScoutingData!$E$2:$E$1000, $A13, MatchScoutingData!H$2:H$1000)</f>
        <v/>
      </c>
      <c r="F13" s="48">
        <f>SUMIF(MatchScoutingData!$E$2:$E$1000, $A13, MatchScoutingData!I$2:I$1000)</f>
        <v/>
      </c>
      <c r="G13" s="48">
        <f>SUMIF(MatchScoutingData!$E$2:$E$1000, $A13, MatchScoutingData!J$2:J$1000)</f>
        <v/>
      </c>
      <c r="H13" s="48">
        <f>SUMIF(MatchScoutingData!$E$2:$E$1000, $A13, MatchScoutingData!K$2:K$1000)</f>
        <v/>
      </c>
      <c r="I13" s="48">
        <f>SUMIF(MatchScoutingData!$E$2:$E$1000, $A13, MatchScoutingData!L$2:L$1000)</f>
        <v/>
      </c>
      <c r="J13" s="48">
        <f>SUMIF(MatchScoutingData!$E$2:$E$1000, $A13, MatchScoutingData!M$2:M$1000)</f>
        <v/>
      </c>
      <c r="K13" s="48">
        <f>SUMIF(MatchScoutingData!$E$2:$E$1000, $A13, MatchScoutingData!N$2:N$1000)</f>
        <v/>
      </c>
      <c r="L13" s="48">
        <f>SUMIF(MatchScoutingData!$E$2:$E$1000, $A13, MatchScoutingData!O$2:O$1000)</f>
        <v/>
      </c>
      <c r="M13" s="48">
        <f>SUMIF(MatchScoutingData!$E$2:$E$1000, $A13, MatchScoutingData!P$2:P$1000)</f>
        <v/>
      </c>
      <c r="N13" s="48">
        <f>SUMIF(MatchScoutingData!$E$2:$E$1000, $A13, MatchScoutingData!Q$2:Q$1000)</f>
        <v/>
      </c>
      <c r="O13" s="48">
        <f>SUMIF(MatchScoutingData!$E$2:$E$1000, $A13, MatchScoutingData!R$2:R$1000)</f>
        <v/>
      </c>
      <c r="P13" s="48">
        <f>SUMIF(MatchScoutingData!$E$2:$E$1000, $A13, MatchScoutingData!S$2:S$1000)</f>
        <v/>
      </c>
      <c r="Q13" s="48">
        <f>SUMIF(MatchScoutingData!$E$2:$E$1000, $A13, MatchScoutingData!T$2:T$1000)</f>
        <v/>
      </c>
      <c r="R13" s="48">
        <f>SUMIF(MatchScoutingData!$E$2:$E$1000, $A13, MatchScoutingData!U$2:U$1000)</f>
        <v/>
      </c>
      <c r="S13" s="48">
        <f>SUMIF(MatchScoutingData!$E$2:$E$1000, $A13, MatchScoutingData!V$2:V$1000)</f>
        <v/>
      </c>
      <c r="T13" s="48">
        <f>SUMIF(MatchScoutingData!$E$2:$E$1000, $A13, MatchScoutingData!W$2:W$1000)</f>
        <v/>
      </c>
      <c r="U13" s="48">
        <f>SUMIF(MatchScoutingData!$E$2:$E$1000, $A13, MatchScoutingData!X$2:X$1000)</f>
        <v/>
      </c>
      <c r="V13" s="48">
        <f>SUMIF(MatchScoutingData!$E$2:$E$1000, $A13, MatchScoutingData!AB$2:AB$1000)</f>
        <v/>
      </c>
      <c r="W13" s="48">
        <f>SUMIF(MatchScoutingData!$E$2:$E$1000, $A13, MatchScoutingData!Y$2:Y$1000)</f>
        <v/>
      </c>
      <c r="X13" s="48">
        <f>SUMIF(MatchScoutingData!$E$2:$E$1000, $A13, MatchScoutingData!Z$2:Z$1000)</f>
        <v/>
      </c>
      <c r="Y13" s="48">
        <f>SUMIF(MatchScoutingData!$E$2:$E$1000, $A13, MatchScoutingData!AA$2:AA$1000)</f>
        <v/>
      </c>
      <c r="Z13" s="48">
        <f>SUM(W13:Y13)</f>
        <v/>
      </c>
    </row>
    <row r="14">
      <c r="A14" s="47" t="n">
        <v>1038</v>
      </c>
      <c r="B14" s="47">
        <f>COUNTIF(MatchScoutingData!E$2:E$1000, $A14)</f>
        <v/>
      </c>
      <c r="C14" s="48">
        <f>SUMIF(MatchScoutingData!$E$2:$E$1000, $A14, MatchScoutingData!F$2:F$1000)</f>
        <v/>
      </c>
      <c r="D14" s="48">
        <f>SUMIF(MatchScoutingData!$E$2:$E$1000, $A14, MatchScoutingData!G$2:G$1000)</f>
        <v/>
      </c>
      <c r="E14" s="48">
        <f>SUMIF(MatchScoutingData!$E$2:$E$1000, $A14, MatchScoutingData!H$2:H$1000)</f>
        <v/>
      </c>
      <c r="F14" s="48">
        <f>SUMIF(MatchScoutingData!$E$2:$E$1000, $A14, MatchScoutingData!I$2:I$1000)</f>
        <v/>
      </c>
      <c r="G14" s="48">
        <f>SUMIF(MatchScoutingData!$E$2:$E$1000, $A14, MatchScoutingData!J$2:J$1000)</f>
        <v/>
      </c>
      <c r="H14" s="48">
        <f>SUMIF(MatchScoutingData!$E$2:$E$1000, $A14, MatchScoutingData!K$2:K$1000)</f>
        <v/>
      </c>
      <c r="I14" s="48">
        <f>SUMIF(MatchScoutingData!$E$2:$E$1000, $A14, MatchScoutingData!L$2:L$1000)</f>
        <v/>
      </c>
      <c r="J14" s="48">
        <f>SUMIF(MatchScoutingData!$E$2:$E$1000, $A14, MatchScoutingData!M$2:M$1000)</f>
        <v/>
      </c>
      <c r="K14" s="48">
        <f>SUMIF(MatchScoutingData!$E$2:$E$1000, $A14, MatchScoutingData!N$2:N$1000)</f>
        <v/>
      </c>
      <c r="L14" s="48">
        <f>SUMIF(MatchScoutingData!$E$2:$E$1000, $A14, MatchScoutingData!O$2:O$1000)</f>
        <v/>
      </c>
      <c r="M14" s="48">
        <f>SUMIF(MatchScoutingData!$E$2:$E$1000, $A14, MatchScoutingData!P$2:P$1000)</f>
        <v/>
      </c>
      <c r="N14" s="48">
        <f>SUMIF(MatchScoutingData!$E$2:$E$1000, $A14, MatchScoutingData!Q$2:Q$1000)</f>
        <v/>
      </c>
      <c r="O14" s="48">
        <f>SUMIF(MatchScoutingData!$E$2:$E$1000, $A14, MatchScoutingData!R$2:R$1000)</f>
        <v/>
      </c>
      <c r="P14" s="48">
        <f>SUMIF(MatchScoutingData!$E$2:$E$1000, $A14, MatchScoutingData!S$2:S$1000)</f>
        <v/>
      </c>
      <c r="Q14" s="48">
        <f>SUMIF(MatchScoutingData!$E$2:$E$1000, $A14, MatchScoutingData!T$2:T$1000)</f>
        <v/>
      </c>
      <c r="R14" s="48">
        <f>SUMIF(MatchScoutingData!$E$2:$E$1000, $A14, MatchScoutingData!U$2:U$1000)</f>
        <v/>
      </c>
      <c r="S14" s="48">
        <f>SUMIF(MatchScoutingData!$E$2:$E$1000, $A14, MatchScoutingData!V$2:V$1000)</f>
        <v/>
      </c>
      <c r="T14" s="48">
        <f>SUMIF(MatchScoutingData!$E$2:$E$1000, $A14, MatchScoutingData!W$2:W$1000)</f>
        <v/>
      </c>
      <c r="U14" s="48">
        <f>SUMIF(MatchScoutingData!$E$2:$E$1000, $A14, MatchScoutingData!X$2:X$1000)</f>
        <v/>
      </c>
      <c r="V14" s="48">
        <f>SUMIF(MatchScoutingData!$E$2:$E$1000, $A14, MatchScoutingData!AB$2:AB$1000)</f>
        <v/>
      </c>
      <c r="W14" s="48">
        <f>SUMIF(MatchScoutingData!$E$2:$E$1000, $A14, MatchScoutingData!Y$2:Y$1000)</f>
        <v/>
      </c>
      <c r="X14" s="48">
        <f>SUMIF(MatchScoutingData!$E$2:$E$1000, $A14, MatchScoutingData!Z$2:Z$1000)</f>
        <v/>
      </c>
      <c r="Y14" s="48">
        <f>SUMIF(MatchScoutingData!$E$2:$E$1000, $A14, MatchScoutingData!AA$2:AA$1000)</f>
        <v/>
      </c>
      <c r="Z14" s="48">
        <f>SUM(W14:Y14)</f>
        <v/>
      </c>
    </row>
    <row r="15">
      <c r="A15" s="47" t="n">
        <v>1736</v>
      </c>
      <c r="B15" s="47">
        <f>COUNTIF(MatchScoutingData!E$2:E$1000, $A15)</f>
        <v/>
      </c>
      <c r="C15" s="48">
        <f>SUMIF(MatchScoutingData!$E$2:$E$1000, $A15, MatchScoutingData!F$2:F$1000)</f>
        <v/>
      </c>
      <c r="D15" s="48">
        <f>SUMIF(MatchScoutingData!$E$2:$E$1000, $A15, MatchScoutingData!G$2:G$1000)</f>
        <v/>
      </c>
      <c r="E15" s="48">
        <f>SUMIF(MatchScoutingData!$E$2:$E$1000, $A15, MatchScoutingData!H$2:H$1000)</f>
        <v/>
      </c>
      <c r="F15" s="48">
        <f>SUMIF(MatchScoutingData!$E$2:$E$1000, $A15, MatchScoutingData!I$2:I$1000)</f>
        <v/>
      </c>
      <c r="G15" s="48">
        <f>SUMIF(MatchScoutingData!$E$2:$E$1000, $A15, MatchScoutingData!J$2:J$1000)</f>
        <v/>
      </c>
      <c r="H15" s="48">
        <f>SUMIF(MatchScoutingData!$E$2:$E$1000, $A15, MatchScoutingData!K$2:K$1000)</f>
        <v/>
      </c>
      <c r="I15" s="48">
        <f>SUMIF(MatchScoutingData!$E$2:$E$1000, $A15, MatchScoutingData!L$2:L$1000)</f>
        <v/>
      </c>
      <c r="J15" s="48">
        <f>SUMIF(MatchScoutingData!$E$2:$E$1000, $A15, MatchScoutingData!M$2:M$1000)</f>
        <v/>
      </c>
      <c r="K15" s="48">
        <f>SUMIF(MatchScoutingData!$E$2:$E$1000, $A15, MatchScoutingData!N$2:N$1000)</f>
        <v/>
      </c>
      <c r="L15" s="48">
        <f>SUMIF(MatchScoutingData!$E$2:$E$1000, $A15, MatchScoutingData!O$2:O$1000)</f>
        <v/>
      </c>
      <c r="M15" s="48">
        <f>SUMIF(MatchScoutingData!$E$2:$E$1000, $A15, MatchScoutingData!P$2:P$1000)</f>
        <v/>
      </c>
      <c r="N15" s="48">
        <f>SUMIF(MatchScoutingData!$E$2:$E$1000, $A15, MatchScoutingData!Q$2:Q$1000)</f>
        <v/>
      </c>
      <c r="O15" s="48">
        <f>SUMIF(MatchScoutingData!$E$2:$E$1000, $A15, MatchScoutingData!R$2:R$1000)</f>
        <v/>
      </c>
      <c r="P15" s="48">
        <f>SUMIF(MatchScoutingData!$E$2:$E$1000, $A15, MatchScoutingData!S$2:S$1000)</f>
        <v/>
      </c>
      <c r="Q15" s="48">
        <f>SUMIF(MatchScoutingData!$E$2:$E$1000, $A15, MatchScoutingData!T$2:T$1000)</f>
        <v/>
      </c>
      <c r="R15" s="48">
        <f>SUMIF(MatchScoutingData!$E$2:$E$1000, $A15, MatchScoutingData!U$2:U$1000)</f>
        <v/>
      </c>
      <c r="S15" s="48">
        <f>SUMIF(MatchScoutingData!$E$2:$E$1000, $A15, MatchScoutingData!V$2:V$1000)</f>
        <v/>
      </c>
      <c r="T15" s="48">
        <f>SUMIF(MatchScoutingData!$E$2:$E$1000, $A15, MatchScoutingData!W$2:W$1000)</f>
        <v/>
      </c>
      <c r="U15" s="48">
        <f>SUMIF(MatchScoutingData!$E$2:$E$1000, $A15, MatchScoutingData!X$2:X$1000)</f>
        <v/>
      </c>
      <c r="V15" s="48">
        <f>SUMIF(MatchScoutingData!$E$2:$E$1000, $A15, MatchScoutingData!AB$2:AB$1000)</f>
        <v/>
      </c>
      <c r="W15" s="48">
        <f>SUMIF(MatchScoutingData!$E$2:$E$1000, $A15, MatchScoutingData!Y$2:Y$1000)</f>
        <v/>
      </c>
      <c r="X15" s="48">
        <f>SUMIF(MatchScoutingData!$E$2:$E$1000, $A15, MatchScoutingData!Z$2:Z$1000)</f>
        <v/>
      </c>
      <c r="Y15" s="48">
        <f>SUMIF(MatchScoutingData!$E$2:$E$1000, $A15, MatchScoutingData!AA$2:AA$1000)</f>
        <v/>
      </c>
      <c r="Z15" s="48">
        <f>SUM(W15:Y15)</f>
        <v/>
      </c>
    </row>
    <row r="16">
      <c r="A16" s="47" t="n">
        <v>1756</v>
      </c>
      <c r="B16" s="47">
        <f>COUNTIF(MatchScoutingData!E$2:E$1000, $A16)</f>
        <v/>
      </c>
      <c r="C16" s="48">
        <f>SUMIF(MatchScoutingData!$E$2:$E$1000, $A16, MatchScoutingData!F$2:F$1000)</f>
        <v/>
      </c>
      <c r="D16" s="48">
        <f>SUMIF(MatchScoutingData!$E$2:$E$1000, $A16, MatchScoutingData!G$2:G$1000)</f>
        <v/>
      </c>
      <c r="E16" s="48">
        <f>SUMIF(MatchScoutingData!$E$2:$E$1000, $A16, MatchScoutingData!H$2:H$1000)</f>
        <v/>
      </c>
      <c r="F16" s="48">
        <f>SUMIF(MatchScoutingData!$E$2:$E$1000, $A16, MatchScoutingData!I$2:I$1000)</f>
        <v/>
      </c>
      <c r="G16" s="48">
        <f>SUMIF(MatchScoutingData!$E$2:$E$1000, $A16, MatchScoutingData!J$2:J$1000)</f>
        <v/>
      </c>
      <c r="H16" s="48">
        <f>SUMIF(MatchScoutingData!$E$2:$E$1000, $A16, MatchScoutingData!K$2:K$1000)</f>
        <v/>
      </c>
      <c r="I16" s="48">
        <f>SUMIF(MatchScoutingData!$E$2:$E$1000, $A16, MatchScoutingData!L$2:L$1000)</f>
        <v/>
      </c>
      <c r="J16" s="48">
        <f>SUMIF(MatchScoutingData!$E$2:$E$1000, $A16, MatchScoutingData!M$2:M$1000)</f>
        <v/>
      </c>
      <c r="K16" s="48">
        <f>SUMIF(MatchScoutingData!$E$2:$E$1000, $A16, MatchScoutingData!N$2:N$1000)</f>
        <v/>
      </c>
      <c r="L16" s="48">
        <f>SUMIF(MatchScoutingData!$E$2:$E$1000, $A16, MatchScoutingData!O$2:O$1000)</f>
        <v/>
      </c>
      <c r="M16" s="48">
        <f>SUMIF(MatchScoutingData!$E$2:$E$1000, $A16, MatchScoutingData!P$2:P$1000)</f>
        <v/>
      </c>
      <c r="N16" s="48">
        <f>SUMIF(MatchScoutingData!$E$2:$E$1000, $A16, MatchScoutingData!Q$2:Q$1000)</f>
        <v/>
      </c>
      <c r="O16" s="48">
        <f>SUMIF(MatchScoutingData!$E$2:$E$1000, $A16, MatchScoutingData!R$2:R$1000)</f>
        <v/>
      </c>
      <c r="P16" s="48">
        <f>SUMIF(MatchScoutingData!$E$2:$E$1000, $A16, MatchScoutingData!S$2:S$1000)</f>
        <v/>
      </c>
      <c r="Q16" s="48">
        <f>SUMIF(MatchScoutingData!$E$2:$E$1000, $A16, MatchScoutingData!T$2:T$1000)</f>
        <v/>
      </c>
      <c r="R16" s="48">
        <f>SUMIF(MatchScoutingData!$E$2:$E$1000, $A16, MatchScoutingData!U$2:U$1000)</f>
        <v/>
      </c>
      <c r="S16" s="48">
        <f>SUMIF(MatchScoutingData!$E$2:$E$1000, $A16, MatchScoutingData!V$2:V$1000)</f>
        <v/>
      </c>
      <c r="T16" s="48">
        <f>SUMIF(MatchScoutingData!$E$2:$E$1000, $A16, MatchScoutingData!W$2:W$1000)</f>
        <v/>
      </c>
      <c r="U16" s="48">
        <f>SUMIF(MatchScoutingData!$E$2:$E$1000, $A16, MatchScoutingData!X$2:X$1000)</f>
        <v/>
      </c>
      <c r="V16" s="48">
        <f>SUMIF(MatchScoutingData!$E$2:$E$1000, $A16, MatchScoutingData!AB$2:AB$1000)</f>
        <v/>
      </c>
      <c r="W16" s="48">
        <f>SUMIF(MatchScoutingData!$E$2:$E$1000, $A16, MatchScoutingData!Y$2:Y$1000)</f>
        <v/>
      </c>
      <c r="X16" s="48">
        <f>SUMIF(MatchScoutingData!$E$2:$E$1000, $A16, MatchScoutingData!Z$2:Z$1000)</f>
        <v/>
      </c>
      <c r="Y16" s="48">
        <f>SUMIF(MatchScoutingData!$E$2:$E$1000, $A16, MatchScoutingData!AA$2:AA$1000)</f>
        <v/>
      </c>
      <c r="Z16" s="48">
        <f>SUM(W16:Y16)</f>
        <v/>
      </c>
    </row>
    <row r="17">
      <c r="A17" s="47" t="n">
        <v>1787</v>
      </c>
      <c r="B17" s="47">
        <f>COUNTIF(MatchScoutingData!E$2:E$1000, $A17)</f>
        <v/>
      </c>
      <c r="C17" s="48">
        <f>SUMIF(MatchScoutingData!$E$2:$E$1000, $A17, MatchScoutingData!F$2:F$1000)</f>
        <v/>
      </c>
      <c r="D17" s="48">
        <f>SUMIF(MatchScoutingData!$E$2:$E$1000, $A17, MatchScoutingData!G$2:G$1000)</f>
        <v/>
      </c>
      <c r="E17" s="48">
        <f>SUMIF(MatchScoutingData!$E$2:$E$1000, $A17, MatchScoutingData!H$2:H$1000)</f>
        <v/>
      </c>
      <c r="F17" s="48">
        <f>SUMIF(MatchScoutingData!$E$2:$E$1000, $A17, MatchScoutingData!I$2:I$1000)</f>
        <v/>
      </c>
      <c r="G17" s="48">
        <f>SUMIF(MatchScoutingData!$E$2:$E$1000, $A17, MatchScoutingData!J$2:J$1000)</f>
        <v/>
      </c>
      <c r="H17" s="48">
        <f>SUMIF(MatchScoutingData!$E$2:$E$1000, $A17, MatchScoutingData!K$2:K$1000)</f>
        <v/>
      </c>
      <c r="I17" s="48">
        <f>SUMIF(MatchScoutingData!$E$2:$E$1000, $A17, MatchScoutingData!L$2:L$1000)</f>
        <v/>
      </c>
      <c r="J17" s="48">
        <f>SUMIF(MatchScoutingData!$E$2:$E$1000, $A17, MatchScoutingData!M$2:M$1000)</f>
        <v/>
      </c>
      <c r="K17" s="48">
        <f>SUMIF(MatchScoutingData!$E$2:$E$1000, $A17, MatchScoutingData!N$2:N$1000)</f>
        <v/>
      </c>
      <c r="L17" s="48">
        <f>SUMIF(MatchScoutingData!$E$2:$E$1000, $A17, MatchScoutingData!O$2:O$1000)</f>
        <v/>
      </c>
      <c r="M17" s="48">
        <f>SUMIF(MatchScoutingData!$E$2:$E$1000, $A17, MatchScoutingData!P$2:P$1000)</f>
        <v/>
      </c>
      <c r="N17" s="48">
        <f>SUMIF(MatchScoutingData!$E$2:$E$1000, $A17, MatchScoutingData!Q$2:Q$1000)</f>
        <v/>
      </c>
      <c r="O17" s="48">
        <f>SUMIF(MatchScoutingData!$E$2:$E$1000, $A17, MatchScoutingData!R$2:R$1000)</f>
        <v/>
      </c>
      <c r="P17" s="48">
        <f>SUMIF(MatchScoutingData!$E$2:$E$1000, $A17, MatchScoutingData!S$2:S$1000)</f>
        <v/>
      </c>
      <c r="Q17" s="48">
        <f>SUMIF(MatchScoutingData!$E$2:$E$1000, $A17, MatchScoutingData!T$2:T$1000)</f>
        <v/>
      </c>
      <c r="R17" s="48">
        <f>SUMIF(MatchScoutingData!$E$2:$E$1000, $A17, MatchScoutingData!U$2:U$1000)</f>
        <v/>
      </c>
      <c r="S17" s="48">
        <f>SUMIF(MatchScoutingData!$E$2:$E$1000, $A17, MatchScoutingData!V$2:V$1000)</f>
        <v/>
      </c>
      <c r="T17" s="48">
        <f>SUMIF(MatchScoutingData!$E$2:$E$1000, $A17, MatchScoutingData!W$2:W$1000)</f>
        <v/>
      </c>
      <c r="U17" s="48">
        <f>SUMIF(MatchScoutingData!$E$2:$E$1000, $A17, MatchScoutingData!X$2:X$1000)</f>
        <v/>
      </c>
      <c r="V17" s="48">
        <f>SUMIF(MatchScoutingData!$E$2:$E$1000, $A17, MatchScoutingData!AB$2:AB$1000)</f>
        <v/>
      </c>
      <c r="W17" s="48">
        <f>SUMIF(MatchScoutingData!$E$2:$E$1000, $A17, MatchScoutingData!Y$2:Y$1000)</f>
        <v/>
      </c>
      <c r="X17" s="48">
        <f>SUMIF(MatchScoutingData!$E$2:$E$1000, $A17, MatchScoutingData!Z$2:Z$1000)</f>
        <v/>
      </c>
      <c r="Y17" s="48">
        <f>SUMIF(MatchScoutingData!$E$2:$E$1000, $A17, MatchScoutingData!AA$2:AA$1000)</f>
        <v/>
      </c>
      <c r="Z17" s="48">
        <f>SUM(W17:Y17)</f>
        <v/>
      </c>
    </row>
    <row r="18">
      <c r="A18" s="47" t="n">
        <v>2010</v>
      </c>
      <c r="B18" s="47">
        <f>COUNTIF(MatchScoutingData!E$2:E$1000, $A18)</f>
        <v/>
      </c>
      <c r="C18" s="48">
        <f>SUMIF(MatchScoutingData!$E$2:$E$1000, $A18, MatchScoutingData!F$2:F$1000)</f>
        <v/>
      </c>
      <c r="D18" s="48">
        <f>SUMIF(MatchScoutingData!$E$2:$E$1000, $A18, MatchScoutingData!G$2:G$1000)</f>
        <v/>
      </c>
      <c r="E18" s="48">
        <f>SUMIF(MatchScoutingData!$E$2:$E$1000, $A18, MatchScoutingData!H$2:H$1000)</f>
        <v/>
      </c>
      <c r="F18" s="48">
        <f>SUMIF(MatchScoutingData!$E$2:$E$1000, $A18, MatchScoutingData!I$2:I$1000)</f>
        <v/>
      </c>
      <c r="G18" s="48">
        <f>SUMIF(MatchScoutingData!$E$2:$E$1000, $A18, MatchScoutingData!J$2:J$1000)</f>
        <v/>
      </c>
      <c r="H18" s="48">
        <f>SUMIF(MatchScoutingData!$E$2:$E$1000, $A18, MatchScoutingData!K$2:K$1000)</f>
        <v/>
      </c>
      <c r="I18" s="48">
        <f>SUMIF(MatchScoutingData!$E$2:$E$1000, $A18, MatchScoutingData!L$2:L$1000)</f>
        <v/>
      </c>
      <c r="J18" s="48">
        <f>SUMIF(MatchScoutingData!$E$2:$E$1000, $A18, MatchScoutingData!M$2:M$1000)</f>
        <v/>
      </c>
      <c r="K18" s="48">
        <f>SUMIF(MatchScoutingData!$E$2:$E$1000, $A18, MatchScoutingData!N$2:N$1000)</f>
        <v/>
      </c>
      <c r="L18" s="48">
        <f>SUMIF(MatchScoutingData!$E$2:$E$1000, $A18, MatchScoutingData!O$2:O$1000)</f>
        <v/>
      </c>
      <c r="M18" s="48">
        <f>SUMIF(MatchScoutingData!$E$2:$E$1000, $A18, MatchScoutingData!P$2:P$1000)</f>
        <v/>
      </c>
      <c r="N18" s="48">
        <f>SUMIF(MatchScoutingData!$E$2:$E$1000, $A18, MatchScoutingData!Q$2:Q$1000)</f>
        <v/>
      </c>
      <c r="O18" s="48">
        <f>SUMIF(MatchScoutingData!$E$2:$E$1000, $A18, MatchScoutingData!R$2:R$1000)</f>
        <v/>
      </c>
      <c r="P18" s="48">
        <f>SUMIF(MatchScoutingData!$E$2:$E$1000, $A18, MatchScoutingData!S$2:S$1000)</f>
        <v/>
      </c>
      <c r="Q18" s="48">
        <f>SUMIF(MatchScoutingData!$E$2:$E$1000, $A18, MatchScoutingData!T$2:T$1000)</f>
        <v/>
      </c>
      <c r="R18" s="48">
        <f>SUMIF(MatchScoutingData!$E$2:$E$1000, $A18, MatchScoutingData!U$2:U$1000)</f>
        <v/>
      </c>
      <c r="S18" s="48">
        <f>SUMIF(MatchScoutingData!$E$2:$E$1000, $A18, MatchScoutingData!V$2:V$1000)</f>
        <v/>
      </c>
      <c r="T18" s="48">
        <f>SUMIF(MatchScoutingData!$E$2:$E$1000, $A18, MatchScoutingData!W$2:W$1000)</f>
        <v/>
      </c>
      <c r="U18" s="48">
        <f>SUMIF(MatchScoutingData!$E$2:$E$1000, $A18, MatchScoutingData!X$2:X$1000)</f>
        <v/>
      </c>
      <c r="V18" s="48">
        <f>SUMIF(MatchScoutingData!$E$2:$E$1000, $A18, MatchScoutingData!AB$2:AB$1000)</f>
        <v/>
      </c>
      <c r="W18" s="48">
        <f>SUMIF(MatchScoutingData!$E$2:$E$1000, $A18, MatchScoutingData!Y$2:Y$1000)</f>
        <v/>
      </c>
      <c r="X18" s="48">
        <f>SUMIF(MatchScoutingData!$E$2:$E$1000, $A18, MatchScoutingData!Z$2:Z$1000)</f>
        <v/>
      </c>
      <c r="Y18" s="48">
        <f>SUMIF(MatchScoutingData!$E$2:$E$1000, $A18, MatchScoutingData!AA$2:AA$1000)</f>
        <v/>
      </c>
      <c r="Z18" s="48">
        <f>SUM(W18:Y18)</f>
        <v/>
      </c>
    </row>
    <row r="19">
      <c r="A19" s="47" t="n">
        <v>2172</v>
      </c>
      <c r="B19" s="47">
        <f>COUNTIF(MatchScoutingData!E$2:E$1000, $A19)</f>
        <v/>
      </c>
      <c r="C19" s="48">
        <f>SUMIF(MatchScoutingData!$E$2:$E$1000, $A19, MatchScoutingData!F$2:F$1000)</f>
        <v/>
      </c>
      <c r="D19" s="48">
        <f>SUMIF(MatchScoutingData!$E$2:$E$1000, $A19, MatchScoutingData!G$2:G$1000)</f>
        <v/>
      </c>
      <c r="E19" s="48">
        <f>SUMIF(MatchScoutingData!$E$2:$E$1000, $A19, MatchScoutingData!H$2:H$1000)</f>
        <v/>
      </c>
      <c r="F19" s="48">
        <f>SUMIF(MatchScoutingData!$E$2:$E$1000, $A19, MatchScoutingData!I$2:I$1000)</f>
        <v/>
      </c>
      <c r="G19" s="48">
        <f>SUMIF(MatchScoutingData!$E$2:$E$1000, $A19, MatchScoutingData!J$2:J$1000)</f>
        <v/>
      </c>
      <c r="H19" s="48">
        <f>SUMIF(MatchScoutingData!$E$2:$E$1000, $A19, MatchScoutingData!K$2:K$1000)</f>
        <v/>
      </c>
      <c r="I19" s="48">
        <f>SUMIF(MatchScoutingData!$E$2:$E$1000, $A19, MatchScoutingData!L$2:L$1000)</f>
        <v/>
      </c>
      <c r="J19" s="48">
        <f>SUMIF(MatchScoutingData!$E$2:$E$1000, $A19, MatchScoutingData!M$2:M$1000)</f>
        <v/>
      </c>
      <c r="K19" s="48">
        <f>SUMIF(MatchScoutingData!$E$2:$E$1000, $A19, MatchScoutingData!N$2:N$1000)</f>
        <v/>
      </c>
      <c r="L19" s="48">
        <f>SUMIF(MatchScoutingData!$E$2:$E$1000, $A19, MatchScoutingData!O$2:O$1000)</f>
        <v/>
      </c>
      <c r="M19" s="48">
        <f>SUMIF(MatchScoutingData!$E$2:$E$1000, $A19, MatchScoutingData!P$2:P$1000)</f>
        <v/>
      </c>
      <c r="N19" s="48">
        <f>SUMIF(MatchScoutingData!$E$2:$E$1000, $A19, MatchScoutingData!Q$2:Q$1000)</f>
        <v/>
      </c>
      <c r="O19" s="48">
        <f>SUMIF(MatchScoutingData!$E$2:$E$1000, $A19, MatchScoutingData!R$2:R$1000)</f>
        <v/>
      </c>
      <c r="P19" s="48">
        <f>SUMIF(MatchScoutingData!$E$2:$E$1000, $A19, MatchScoutingData!S$2:S$1000)</f>
        <v/>
      </c>
      <c r="Q19" s="48">
        <f>SUMIF(MatchScoutingData!$E$2:$E$1000, $A19, MatchScoutingData!T$2:T$1000)</f>
        <v/>
      </c>
      <c r="R19" s="48">
        <f>SUMIF(MatchScoutingData!$E$2:$E$1000, $A19, MatchScoutingData!U$2:U$1000)</f>
        <v/>
      </c>
      <c r="S19" s="48">
        <f>SUMIF(MatchScoutingData!$E$2:$E$1000, $A19, MatchScoutingData!V$2:V$1000)</f>
        <v/>
      </c>
      <c r="T19" s="48">
        <f>SUMIF(MatchScoutingData!$E$2:$E$1000, $A19, MatchScoutingData!W$2:W$1000)</f>
        <v/>
      </c>
      <c r="U19" s="48">
        <f>SUMIF(MatchScoutingData!$E$2:$E$1000, $A19, MatchScoutingData!X$2:X$1000)</f>
        <v/>
      </c>
      <c r="V19" s="48">
        <f>SUMIF(MatchScoutingData!$E$2:$E$1000, $A19, MatchScoutingData!AB$2:AB$1000)</f>
        <v/>
      </c>
      <c r="W19" s="48">
        <f>SUMIF(MatchScoutingData!$E$2:$E$1000, $A19, MatchScoutingData!Y$2:Y$1000)</f>
        <v/>
      </c>
      <c r="X19" s="48">
        <f>SUMIF(MatchScoutingData!$E$2:$E$1000, $A19, MatchScoutingData!Z$2:Z$1000)</f>
        <v/>
      </c>
      <c r="Y19" s="48">
        <f>SUMIF(MatchScoutingData!$E$2:$E$1000, $A19, MatchScoutingData!AA$2:AA$1000)</f>
        <v/>
      </c>
      <c r="Z19" s="48">
        <f>SUM(W19:Y19)</f>
        <v/>
      </c>
    </row>
    <row r="20">
      <c r="A20" s="47" t="n">
        <v>2228</v>
      </c>
      <c r="B20" s="47">
        <f>COUNTIF(MatchScoutingData!E$2:E$1000, $A20)</f>
        <v/>
      </c>
      <c r="C20" s="48">
        <f>SUMIF(MatchScoutingData!$E$2:$E$1000, $A20, MatchScoutingData!F$2:F$1000)</f>
        <v/>
      </c>
      <c r="D20" s="48">
        <f>SUMIF(MatchScoutingData!$E$2:$E$1000, $A20, MatchScoutingData!G$2:G$1000)</f>
        <v/>
      </c>
      <c r="E20" s="48">
        <f>SUMIF(MatchScoutingData!$E$2:$E$1000, $A20, MatchScoutingData!H$2:H$1000)</f>
        <v/>
      </c>
      <c r="F20" s="48">
        <f>SUMIF(MatchScoutingData!$E$2:$E$1000, $A20, MatchScoutingData!I$2:I$1000)</f>
        <v/>
      </c>
      <c r="G20" s="48">
        <f>SUMIF(MatchScoutingData!$E$2:$E$1000, $A20, MatchScoutingData!J$2:J$1000)</f>
        <v/>
      </c>
      <c r="H20" s="48">
        <f>SUMIF(MatchScoutingData!$E$2:$E$1000, $A20, MatchScoutingData!K$2:K$1000)</f>
        <v/>
      </c>
      <c r="I20" s="48">
        <f>SUMIF(MatchScoutingData!$E$2:$E$1000, $A20, MatchScoutingData!L$2:L$1000)</f>
        <v/>
      </c>
      <c r="J20" s="48">
        <f>SUMIF(MatchScoutingData!$E$2:$E$1000, $A20, MatchScoutingData!M$2:M$1000)</f>
        <v/>
      </c>
      <c r="K20" s="48">
        <f>SUMIF(MatchScoutingData!$E$2:$E$1000, $A20, MatchScoutingData!N$2:N$1000)</f>
        <v/>
      </c>
      <c r="L20" s="48">
        <f>SUMIF(MatchScoutingData!$E$2:$E$1000, $A20, MatchScoutingData!O$2:O$1000)</f>
        <v/>
      </c>
      <c r="M20" s="48">
        <f>SUMIF(MatchScoutingData!$E$2:$E$1000, $A20, MatchScoutingData!P$2:P$1000)</f>
        <v/>
      </c>
      <c r="N20" s="48">
        <f>SUMIF(MatchScoutingData!$E$2:$E$1000, $A20, MatchScoutingData!Q$2:Q$1000)</f>
        <v/>
      </c>
      <c r="O20" s="48">
        <f>SUMIF(MatchScoutingData!$E$2:$E$1000, $A20, MatchScoutingData!R$2:R$1000)</f>
        <v/>
      </c>
      <c r="P20" s="48">
        <f>SUMIF(MatchScoutingData!$E$2:$E$1000, $A20, MatchScoutingData!S$2:S$1000)</f>
        <v/>
      </c>
      <c r="Q20" s="48">
        <f>SUMIF(MatchScoutingData!$E$2:$E$1000, $A20, MatchScoutingData!T$2:T$1000)</f>
        <v/>
      </c>
      <c r="R20" s="48">
        <f>SUMIF(MatchScoutingData!$E$2:$E$1000, $A20, MatchScoutingData!U$2:U$1000)</f>
        <v/>
      </c>
      <c r="S20" s="48">
        <f>SUMIF(MatchScoutingData!$E$2:$E$1000, $A20, MatchScoutingData!V$2:V$1000)</f>
        <v/>
      </c>
      <c r="T20" s="48">
        <f>SUMIF(MatchScoutingData!$E$2:$E$1000, $A20, MatchScoutingData!W$2:W$1000)</f>
        <v/>
      </c>
      <c r="U20" s="48">
        <f>SUMIF(MatchScoutingData!$E$2:$E$1000, $A20, MatchScoutingData!X$2:X$1000)</f>
        <v/>
      </c>
      <c r="V20" s="48">
        <f>SUMIF(MatchScoutingData!$E$2:$E$1000, $A20, MatchScoutingData!AB$2:AB$1000)</f>
        <v/>
      </c>
      <c r="W20" s="48">
        <f>SUMIF(MatchScoutingData!$E$2:$E$1000, $A20, MatchScoutingData!Y$2:Y$1000)</f>
        <v/>
      </c>
      <c r="X20" s="48">
        <f>SUMIF(MatchScoutingData!$E$2:$E$1000, $A20, MatchScoutingData!Z$2:Z$1000)</f>
        <v/>
      </c>
      <c r="Y20" s="48">
        <f>SUMIF(MatchScoutingData!$E$2:$E$1000, $A20, MatchScoutingData!AA$2:AA$1000)</f>
        <v/>
      </c>
      <c r="Z20" s="48">
        <f>SUM(W20:Y20)</f>
        <v/>
      </c>
    </row>
    <row r="21">
      <c r="A21" s="47" t="n">
        <v>2252</v>
      </c>
      <c r="B21" s="47">
        <f>COUNTIF(MatchScoutingData!E$2:E$1000, $A21)</f>
        <v/>
      </c>
      <c r="C21" s="48">
        <f>SUMIF(MatchScoutingData!$E$2:$E$1000, $A21, MatchScoutingData!F$2:F$1000)</f>
        <v/>
      </c>
      <c r="D21" s="48">
        <f>SUMIF(MatchScoutingData!$E$2:$E$1000, $A21, MatchScoutingData!G$2:G$1000)</f>
        <v/>
      </c>
      <c r="E21" s="48">
        <f>SUMIF(MatchScoutingData!$E$2:$E$1000, $A21, MatchScoutingData!H$2:H$1000)</f>
        <v/>
      </c>
      <c r="F21" s="48">
        <f>SUMIF(MatchScoutingData!$E$2:$E$1000, $A21, MatchScoutingData!I$2:I$1000)</f>
        <v/>
      </c>
      <c r="G21" s="48">
        <f>SUMIF(MatchScoutingData!$E$2:$E$1000, $A21, MatchScoutingData!J$2:J$1000)</f>
        <v/>
      </c>
      <c r="H21" s="48">
        <f>SUMIF(MatchScoutingData!$E$2:$E$1000, $A21, MatchScoutingData!K$2:K$1000)</f>
        <v/>
      </c>
      <c r="I21" s="48">
        <f>SUMIF(MatchScoutingData!$E$2:$E$1000, $A21, MatchScoutingData!L$2:L$1000)</f>
        <v/>
      </c>
      <c r="J21" s="48">
        <f>SUMIF(MatchScoutingData!$E$2:$E$1000, $A21, MatchScoutingData!M$2:M$1000)</f>
        <v/>
      </c>
      <c r="K21" s="48">
        <f>SUMIF(MatchScoutingData!$E$2:$E$1000, $A21, MatchScoutingData!N$2:N$1000)</f>
        <v/>
      </c>
      <c r="L21" s="48">
        <f>SUMIF(MatchScoutingData!$E$2:$E$1000, $A21, MatchScoutingData!O$2:O$1000)</f>
        <v/>
      </c>
      <c r="M21" s="48">
        <f>SUMIF(MatchScoutingData!$E$2:$E$1000, $A21, MatchScoutingData!P$2:P$1000)</f>
        <v/>
      </c>
      <c r="N21" s="48">
        <f>SUMIF(MatchScoutingData!$E$2:$E$1000, $A21, MatchScoutingData!Q$2:Q$1000)</f>
        <v/>
      </c>
      <c r="O21" s="48">
        <f>SUMIF(MatchScoutingData!$E$2:$E$1000, $A21, MatchScoutingData!R$2:R$1000)</f>
        <v/>
      </c>
      <c r="P21" s="48">
        <f>SUMIF(MatchScoutingData!$E$2:$E$1000, $A21, MatchScoutingData!S$2:S$1000)</f>
        <v/>
      </c>
      <c r="Q21" s="48">
        <f>SUMIF(MatchScoutingData!$E$2:$E$1000, $A21, MatchScoutingData!T$2:T$1000)</f>
        <v/>
      </c>
      <c r="R21" s="48">
        <f>SUMIF(MatchScoutingData!$E$2:$E$1000, $A21, MatchScoutingData!U$2:U$1000)</f>
        <v/>
      </c>
      <c r="S21" s="48">
        <f>SUMIF(MatchScoutingData!$E$2:$E$1000, $A21, MatchScoutingData!V$2:V$1000)</f>
        <v/>
      </c>
      <c r="T21" s="48">
        <f>SUMIF(MatchScoutingData!$E$2:$E$1000, $A21, MatchScoutingData!W$2:W$1000)</f>
        <v/>
      </c>
      <c r="U21" s="48">
        <f>SUMIF(MatchScoutingData!$E$2:$E$1000, $A21, MatchScoutingData!X$2:X$1000)</f>
        <v/>
      </c>
      <c r="V21" s="48">
        <f>SUMIF(MatchScoutingData!$E$2:$E$1000, $A21, MatchScoutingData!AB$2:AB$1000)</f>
        <v/>
      </c>
      <c r="W21" s="48">
        <f>SUMIF(MatchScoutingData!$E$2:$E$1000, $A21, MatchScoutingData!Y$2:Y$1000)</f>
        <v/>
      </c>
      <c r="X21" s="48">
        <f>SUMIF(MatchScoutingData!$E$2:$E$1000, $A21, MatchScoutingData!Z$2:Z$1000)</f>
        <v/>
      </c>
      <c r="Y21" s="48">
        <f>SUMIF(MatchScoutingData!$E$2:$E$1000, $A21, MatchScoutingData!AA$2:AA$1000)</f>
        <v/>
      </c>
      <c r="Z21" s="48">
        <f>SUM(W21:Y21)</f>
        <v/>
      </c>
    </row>
    <row r="22">
      <c r="A22" s="47" t="n">
        <v>2338</v>
      </c>
      <c r="B22" s="47">
        <f>COUNTIF(MatchScoutingData!E$2:E$1000, $A22)</f>
        <v/>
      </c>
      <c r="C22" s="48">
        <f>SUMIF(MatchScoutingData!$E$2:$E$1000, $A22, MatchScoutingData!F$2:F$1000)</f>
        <v/>
      </c>
      <c r="D22" s="48">
        <f>SUMIF(MatchScoutingData!$E$2:$E$1000, $A22, MatchScoutingData!G$2:G$1000)</f>
        <v/>
      </c>
      <c r="E22" s="48">
        <f>SUMIF(MatchScoutingData!$E$2:$E$1000, $A22, MatchScoutingData!H$2:H$1000)</f>
        <v/>
      </c>
      <c r="F22" s="48">
        <f>SUMIF(MatchScoutingData!$E$2:$E$1000, $A22, MatchScoutingData!I$2:I$1000)</f>
        <v/>
      </c>
      <c r="G22" s="48">
        <f>SUMIF(MatchScoutingData!$E$2:$E$1000, $A22, MatchScoutingData!J$2:J$1000)</f>
        <v/>
      </c>
      <c r="H22" s="48">
        <f>SUMIF(MatchScoutingData!$E$2:$E$1000, $A22, MatchScoutingData!K$2:K$1000)</f>
        <v/>
      </c>
      <c r="I22" s="48">
        <f>SUMIF(MatchScoutingData!$E$2:$E$1000, $A22, MatchScoutingData!L$2:L$1000)</f>
        <v/>
      </c>
      <c r="J22" s="48">
        <f>SUMIF(MatchScoutingData!$E$2:$E$1000, $A22, MatchScoutingData!M$2:M$1000)</f>
        <v/>
      </c>
      <c r="K22" s="48">
        <f>SUMIF(MatchScoutingData!$E$2:$E$1000, $A22, MatchScoutingData!N$2:N$1000)</f>
        <v/>
      </c>
      <c r="L22" s="48">
        <f>SUMIF(MatchScoutingData!$E$2:$E$1000, $A22, MatchScoutingData!O$2:O$1000)</f>
        <v/>
      </c>
      <c r="M22" s="48">
        <f>SUMIF(MatchScoutingData!$E$2:$E$1000, $A22, MatchScoutingData!P$2:P$1000)</f>
        <v/>
      </c>
      <c r="N22" s="48">
        <f>SUMIF(MatchScoutingData!$E$2:$E$1000, $A22, MatchScoutingData!Q$2:Q$1000)</f>
        <v/>
      </c>
      <c r="O22" s="48">
        <f>SUMIF(MatchScoutingData!$E$2:$E$1000, $A22, MatchScoutingData!R$2:R$1000)</f>
        <v/>
      </c>
      <c r="P22" s="48">
        <f>SUMIF(MatchScoutingData!$E$2:$E$1000, $A22, MatchScoutingData!S$2:S$1000)</f>
        <v/>
      </c>
      <c r="Q22" s="48">
        <f>SUMIF(MatchScoutingData!$E$2:$E$1000, $A22, MatchScoutingData!T$2:T$1000)</f>
        <v/>
      </c>
      <c r="R22" s="48">
        <f>SUMIF(MatchScoutingData!$E$2:$E$1000, $A22, MatchScoutingData!U$2:U$1000)</f>
        <v/>
      </c>
      <c r="S22" s="48">
        <f>SUMIF(MatchScoutingData!$E$2:$E$1000, $A22, MatchScoutingData!V$2:V$1000)</f>
        <v/>
      </c>
      <c r="T22" s="48">
        <f>SUMIF(MatchScoutingData!$E$2:$E$1000, $A22, MatchScoutingData!W$2:W$1000)</f>
        <v/>
      </c>
      <c r="U22" s="48">
        <f>SUMIF(MatchScoutingData!$E$2:$E$1000, $A22, MatchScoutingData!X$2:X$1000)</f>
        <v/>
      </c>
      <c r="V22" s="48">
        <f>SUMIF(MatchScoutingData!$E$2:$E$1000, $A22, MatchScoutingData!AB$2:AB$1000)</f>
        <v/>
      </c>
      <c r="W22" s="48">
        <f>SUMIF(MatchScoutingData!$E$2:$E$1000, $A22, MatchScoutingData!Y$2:Y$1000)</f>
        <v/>
      </c>
      <c r="X22" s="48">
        <f>SUMIF(MatchScoutingData!$E$2:$E$1000, $A22, MatchScoutingData!Z$2:Z$1000)</f>
        <v/>
      </c>
      <c r="Y22" s="48">
        <f>SUMIF(MatchScoutingData!$E$2:$E$1000, $A22, MatchScoutingData!AA$2:AA$1000)</f>
        <v/>
      </c>
      <c r="Z22" s="48">
        <f>SUM(W22:Y22)</f>
        <v/>
      </c>
    </row>
    <row r="23">
      <c r="A23" s="47" t="n">
        <v>2399</v>
      </c>
      <c r="B23" s="47">
        <f>COUNTIF(MatchScoutingData!E$2:E$1000, $A23)</f>
        <v/>
      </c>
      <c r="C23" s="48">
        <f>SUMIF(MatchScoutingData!$E$2:$E$1000, $A23, MatchScoutingData!F$2:F$1000)</f>
        <v/>
      </c>
      <c r="D23" s="48">
        <f>SUMIF(MatchScoutingData!$E$2:$E$1000, $A23, MatchScoutingData!G$2:G$1000)</f>
        <v/>
      </c>
      <c r="E23" s="48">
        <f>SUMIF(MatchScoutingData!$E$2:$E$1000, $A23, MatchScoutingData!H$2:H$1000)</f>
        <v/>
      </c>
      <c r="F23" s="48">
        <f>SUMIF(MatchScoutingData!$E$2:$E$1000, $A23, MatchScoutingData!I$2:I$1000)</f>
        <v/>
      </c>
      <c r="G23" s="48">
        <f>SUMIF(MatchScoutingData!$E$2:$E$1000, $A23, MatchScoutingData!J$2:J$1000)</f>
        <v/>
      </c>
      <c r="H23" s="48">
        <f>SUMIF(MatchScoutingData!$E$2:$E$1000, $A23, MatchScoutingData!K$2:K$1000)</f>
        <v/>
      </c>
      <c r="I23" s="48">
        <f>SUMIF(MatchScoutingData!$E$2:$E$1000, $A23, MatchScoutingData!L$2:L$1000)</f>
        <v/>
      </c>
      <c r="J23" s="48">
        <f>SUMIF(MatchScoutingData!$E$2:$E$1000, $A23, MatchScoutingData!M$2:M$1000)</f>
        <v/>
      </c>
      <c r="K23" s="48">
        <f>SUMIF(MatchScoutingData!$E$2:$E$1000, $A23, MatchScoutingData!N$2:N$1000)</f>
        <v/>
      </c>
      <c r="L23" s="48">
        <f>SUMIF(MatchScoutingData!$E$2:$E$1000, $A23, MatchScoutingData!O$2:O$1000)</f>
        <v/>
      </c>
      <c r="M23" s="48">
        <f>SUMIF(MatchScoutingData!$E$2:$E$1000, $A23, MatchScoutingData!P$2:P$1000)</f>
        <v/>
      </c>
      <c r="N23" s="48">
        <f>SUMIF(MatchScoutingData!$E$2:$E$1000, $A23, MatchScoutingData!Q$2:Q$1000)</f>
        <v/>
      </c>
      <c r="O23" s="48">
        <f>SUMIF(MatchScoutingData!$E$2:$E$1000, $A23, MatchScoutingData!R$2:R$1000)</f>
        <v/>
      </c>
      <c r="P23" s="48">
        <f>SUMIF(MatchScoutingData!$E$2:$E$1000, $A23, MatchScoutingData!S$2:S$1000)</f>
        <v/>
      </c>
      <c r="Q23" s="48">
        <f>SUMIF(MatchScoutingData!$E$2:$E$1000, $A23, MatchScoutingData!T$2:T$1000)</f>
        <v/>
      </c>
      <c r="R23" s="48">
        <f>SUMIF(MatchScoutingData!$E$2:$E$1000, $A23, MatchScoutingData!U$2:U$1000)</f>
        <v/>
      </c>
      <c r="S23" s="48">
        <f>SUMIF(MatchScoutingData!$E$2:$E$1000, $A23, MatchScoutingData!V$2:V$1000)</f>
        <v/>
      </c>
      <c r="T23" s="48">
        <f>SUMIF(MatchScoutingData!$E$2:$E$1000, $A23, MatchScoutingData!W$2:W$1000)</f>
        <v/>
      </c>
      <c r="U23" s="48">
        <f>SUMIF(MatchScoutingData!$E$2:$E$1000, $A23, MatchScoutingData!X$2:X$1000)</f>
        <v/>
      </c>
      <c r="V23" s="48">
        <f>SUMIF(MatchScoutingData!$E$2:$E$1000, $A23, MatchScoutingData!AB$2:AB$1000)</f>
        <v/>
      </c>
      <c r="W23" s="48">
        <f>SUMIF(MatchScoutingData!$E$2:$E$1000, $A23, MatchScoutingData!Y$2:Y$1000)</f>
        <v/>
      </c>
      <c r="X23" s="48">
        <f>SUMIF(MatchScoutingData!$E$2:$E$1000, $A23, MatchScoutingData!Z$2:Z$1000)</f>
        <v/>
      </c>
      <c r="Y23" s="48">
        <f>SUMIF(MatchScoutingData!$E$2:$E$1000, $A23, MatchScoutingData!AA$2:AA$1000)</f>
        <v/>
      </c>
      <c r="Z23" s="48">
        <f>SUM(W23:Y23)</f>
        <v/>
      </c>
    </row>
    <row r="24">
      <c r="A24" s="47" t="n">
        <v>2603</v>
      </c>
      <c r="B24" s="47">
        <f>COUNTIF(MatchScoutingData!E$2:E$1000, $A24)</f>
        <v/>
      </c>
      <c r="C24" s="48">
        <f>SUMIF(MatchScoutingData!$E$2:$E$1000, $A24, MatchScoutingData!F$2:F$1000)</f>
        <v/>
      </c>
      <c r="D24" s="48">
        <f>SUMIF(MatchScoutingData!$E$2:$E$1000, $A24, MatchScoutingData!G$2:G$1000)</f>
        <v/>
      </c>
      <c r="E24" s="48">
        <f>SUMIF(MatchScoutingData!$E$2:$E$1000, $A24, MatchScoutingData!H$2:H$1000)</f>
        <v/>
      </c>
      <c r="F24" s="48">
        <f>SUMIF(MatchScoutingData!$E$2:$E$1000, $A24, MatchScoutingData!I$2:I$1000)</f>
        <v/>
      </c>
      <c r="G24" s="48">
        <f>SUMIF(MatchScoutingData!$E$2:$E$1000, $A24, MatchScoutingData!J$2:J$1000)</f>
        <v/>
      </c>
      <c r="H24" s="48">
        <f>SUMIF(MatchScoutingData!$E$2:$E$1000, $A24, MatchScoutingData!K$2:K$1000)</f>
        <v/>
      </c>
      <c r="I24" s="48">
        <f>SUMIF(MatchScoutingData!$E$2:$E$1000, $A24, MatchScoutingData!L$2:L$1000)</f>
        <v/>
      </c>
      <c r="J24" s="48">
        <f>SUMIF(MatchScoutingData!$E$2:$E$1000, $A24, MatchScoutingData!M$2:M$1000)</f>
        <v/>
      </c>
      <c r="K24" s="48">
        <f>SUMIF(MatchScoutingData!$E$2:$E$1000, $A24, MatchScoutingData!N$2:N$1000)</f>
        <v/>
      </c>
      <c r="L24" s="48">
        <f>SUMIF(MatchScoutingData!$E$2:$E$1000, $A24, MatchScoutingData!O$2:O$1000)</f>
        <v/>
      </c>
      <c r="M24" s="48">
        <f>SUMIF(MatchScoutingData!$E$2:$E$1000, $A24, MatchScoutingData!P$2:P$1000)</f>
        <v/>
      </c>
      <c r="N24" s="48">
        <f>SUMIF(MatchScoutingData!$E$2:$E$1000, $A24, MatchScoutingData!Q$2:Q$1000)</f>
        <v/>
      </c>
      <c r="O24" s="48">
        <f>SUMIF(MatchScoutingData!$E$2:$E$1000, $A24, MatchScoutingData!R$2:R$1000)</f>
        <v/>
      </c>
      <c r="P24" s="48">
        <f>SUMIF(MatchScoutingData!$E$2:$E$1000, $A24, MatchScoutingData!S$2:S$1000)</f>
        <v/>
      </c>
      <c r="Q24" s="48">
        <f>SUMIF(MatchScoutingData!$E$2:$E$1000, $A24, MatchScoutingData!T$2:T$1000)</f>
        <v/>
      </c>
      <c r="R24" s="48">
        <f>SUMIF(MatchScoutingData!$E$2:$E$1000, $A24, MatchScoutingData!U$2:U$1000)</f>
        <v/>
      </c>
      <c r="S24" s="48">
        <f>SUMIF(MatchScoutingData!$E$2:$E$1000, $A24, MatchScoutingData!V$2:V$1000)</f>
        <v/>
      </c>
      <c r="T24" s="48">
        <f>SUMIF(MatchScoutingData!$E$2:$E$1000, $A24, MatchScoutingData!W$2:W$1000)</f>
        <v/>
      </c>
      <c r="U24" s="48">
        <f>SUMIF(MatchScoutingData!$E$2:$E$1000, $A24, MatchScoutingData!X$2:X$1000)</f>
        <v/>
      </c>
      <c r="V24" s="48">
        <f>SUMIF(MatchScoutingData!$E$2:$E$1000, $A24, MatchScoutingData!AB$2:AB$1000)</f>
        <v/>
      </c>
      <c r="W24" s="48">
        <f>SUMIF(MatchScoutingData!$E$2:$E$1000, $A24, MatchScoutingData!Y$2:Y$1000)</f>
        <v/>
      </c>
      <c r="X24" s="48">
        <f>SUMIF(MatchScoutingData!$E$2:$E$1000, $A24, MatchScoutingData!Z$2:Z$1000)</f>
        <v/>
      </c>
      <c r="Y24" s="48">
        <f>SUMIF(MatchScoutingData!$E$2:$E$1000, $A24, MatchScoutingData!AA$2:AA$1000)</f>
        <v/>
      </c>
      <c r="Z24" s="48">
        <f>SUM(W24:Y24)</f>
        <v/>
      </c>
    </row>
    <row r="25">
      <c r="A25" s="47" t="n">
        <v>2614</v>
      </c>
      <c r="B25" s="47">
        <f>COUNTIF(MatchScoutingData!E$2:E$1000, $A25)</f>
        <v/>
      </c>
      <c r="C25" s="48">
        <f>SUMIF(MatchScoutingData!$E$2:$E$1000, $A25, MatchScoutingData!F$2:F$1000)</f>
        <v/>
      </c>
      <c r="D25" s="48">
        <f>SUMIF(MatchScoutingData!$E$2:$E$1000, $A25, MatchScoutingData!G$2:G$1000)</f>
        <v/>
      </c>
      <c r="E25" s="48">
        <f>SUMIF(MatchScoutingData!$E$2:$E$1000, $A25, MatchScoutingData!H$2:H$1000)</f>
        <v/>
      </c>
      <c r="F25" s="48">
        <f>SUMIF(MatchScoutingData!$E$2:$E$1000, $A25, MatchScoutingData!I$2:I$1000)</f>
        <v/>
      </c>
      <c r="G25" s="48">
        <f>SUMIF(MatchScoutingData!$E$2:$E$1000, $A25, MatchScoutingData!J$2:J$1000)</f>
        <v/>
      </c>
      <c r="H25" s="48">
        <f>SUMIF(MatchScoutingData!$E$2:$E$1000, $A25, MatchScoutingData!K$2:K$1000)</f>
        <v/>
      </c>
      <c r="I25" s="48">
        <f>SUMIF(MatchScoutingData!$E$2:$E$1000, $A25, MatchScoutingData!L$2:L$1000)</f>
        <v/>
      </c>
      <c r="J25" s="48">
        <f>SUMIF(MatchScoutingData!$E$2:$E$1000, $A25, MatchScoutingData!M$2:M$1000)</f>
        <v/>
      </c>
      <c r="K25" s="48">
        <f>SUMIF(MatchScoutingData!$E$2:$E$1000, $A25, MatchScoutingData!N$2:N$1000)</f>
        <v/>
      </c>
      <c r="L25" s="48">
        <f>SUMIF(MatchScoutingData!$E$2:$E$1000, $A25, MatchScoutingData!O$2:O$1000)</f>
        <v/>
      </c>
      <c r="M25" s="48">
        <f>SUMIF(MatchScoutingData!$E$2:$E$1000, $A25, MatchScoutingData!P$2:P$1000)</f>
        <v/>
      </c>
      <c r="N25" s="48">
        <f>SUMIF(MatchScoutingData!$E$2:$E$1000, $A25, MatchScoutingData!Q$2:Q$1000)</f>
        <v/>
      </c>
      <c r="O25" s="48">
        <f>SUMIF(MatchScoutingData!$E$2:$E$1000, $A25, MatchScoutingData!R$2:R$1000)</f>
        <v/>
      </c>
      <c r="P25" s="48">
        <f>SUMIF(MatchScoutingData!$E$2:$E$1000, $A25, MatchScoutingData!S$2:S$1000)</f>
        <v/>
      </c>
      <c r="Q25" s="48">
        <f>SUMIF(MatchScoutingData!$E$2:$E$1000, $A25, MatchScoutingData!T$2:T$1000)</f>
        <v/>
      </c>
      <c r="R25" s="48">
        <f>SUMIF(MatchScoutingData!$E$2:$E$1000, $A25, MatchScoutingData!U$2:U$1000)</f>
        <v/>
      </c>
      <c r="S25" s="48">
        <f>SUMIF(MatchScoutingData!$E$2:$E$1000, $A25, MatchScoutingData!V$2:V$1000)</f>
        <v/>
      </c>
      <c r="T25" s="48">
        <f>SUMIF(MatchScoutingData!$E$2:$E$1000, $A25, MatchScoutingData!W$2:W$1000)</f>
        <v/>
      </c>
      <c r="U25" s="48">
        <f>SUMIF(MatchScoutingData!$E$2:$E$1000, $A25, MatchScoutingData!X$2:X$1000)</f>
        <v/>
      </c>
      <c r="V25" s="48">
        <f>SUMIF(MatchScoutingData!$E$2:$E$1000, $A25, MatchScoutingData!AB$2:AB$1000)</f>
        <v/>
      </c>
      <c r="W25" s="48">
        <f>SUMIF(MatchScoutingData!$E$2:$E$1000, $A25, MatchScoutingData!Y$2:Y$1000)</f>
        <v/>
      </c>
      <c r="X25" s="48">
        <f>SUMIF(MatchScoutingData!$E$2:$E$1000, $A25, MatchScoutingData!Z$2:Z$1000)</f>
        <v/>
      </c>
      <c r="Y25" s="48">
        <f>SUMIF(MatchScoutingData!$E$2:$E$1000, $A25, MatchScoutingData!AA$2:AA$1000)</f>
        <v/>
      </c>
      <c r="Z25" s="48">
        <f>SUM(W25:Y25)</f>
        <v/>
      </c>
    </row>
    <row r="26">
      <c r="A26" s="47" t="n">
        <v>3138</v>
      </c>
      <c r="B26" s="47">
        <f>COUNTIF(MatchScoutingData!E$2:E$1000, $A26)</f>
        <v/>
      </c>
      <c r="C26" s="48">
        <f>SUMIF(MatchScoutingData!$E$2:$E$1000, $A26, MatchScoutingData!F$2:F$1000)</f>
        <v/>
      </c>
      <c r="D26" s="48">
        <f>SUMIF(MatchScoutingData!$E$2:$E$1000, $A26, MatchScoutingData!G$2:G$1000)</f>
        <v/>
      </c>
      <c r="E26" s="48">
        <f>SUMIF(MatchScoutingData!$E$2:$E$1000, $A26, MatchScoutingData!H$2:H$1000)</f>
        <v/>
      </c>
      <c r="F26" s="48">
        <f>SUMIF(MatchScoutingData!$E$2:$E$1000, $A26, MatchScoutingData!I$2:I$1000)</f>
        <v/>
      </c>
      <c r="G26" s="48">
        <f>SUMIF(MatchScoutingData!$E$2:$E$1000, $A26, MatchScoutingData!J$2:J$1000)</f>
        <v/>
      </c>
      <c r="H26" s="48">
        <f>SUMIF(MatchScoutingData!$E$2:$E$1000, $A26, MatchScoutingData!K$2:K$1000)</f>
        <v/>
      </c>
      <c r="I26" s="48">
        <f>SUMIF(MatchScoutingData!$E$2:$E$1000, $A26, MatchScoutingData!L$2:L$1000)</f>
        <v/>
      </c>
      <c r="J26" s="48">
        <f>SUMIF(MatchScoutingData!$E$2:$E$1000, $A26, MatchScoutingData!M$2:M$1000)</f>
        <v/>
      </c>
      <c r="K26" s="48">
        <f>SUMIF(MatchScoutingData!$E$2:$E$1000, $A26, MatchScoutingData!N$2:N$1000)</f>
        <v/>
      </c>
      <c r="L26" s="48">
        <f>SUMIF(MatchScoutingData!$E$2:$E$1000, $A26, MatchScoutingData!O$2:O$1000)</f>
        <v/>
      </c>
      <c r="M26" s="48">
        <f>SUMIF(MatchScoutingData!$E$2:$E$1000, $A26, MatchScoutingData!P$2:P$1000)</f>
        <v/>
      </c>
      <c r="N26" s="48">
        <f>SUMIF(MatchScoutingData!$E$2:$E$1000, $A26, MatchScoutingData!Q$2:Q$1000)</f>
        <v/>
      </c>
      <c r="O26" s="48">
        <f>SUMIF(MatchScoutingData!$E$2:$E$1000, $A26, MatchScoutingData!R$2:R$1000)</f>
        <v/>
      </c>
      <c r="P26" s="48">
        <f>SUMIF(MatchScoutingData!$E$2:$E$1000, $A26, MatchScoutingData!S$2:S$1000)</f>
        <v/>
      </c>
      <c r="Q26" s="48">
        <f>SUMIF(MatchScoutingData!$E$2:$E$1000, $A26, MatchScoutingData!T$2:T$1000)</f>
        <v/>
      </c>
      <c r="R26" s="48">
        <f>SUMIF(MatchScoutingData!$E$2:$E$1000, $A26, MatchScoutingData!U$2:U$1000)</f>
        <v/>
      </c>
      <c r="S26" s="48">
        <f>SUMIF(MatchScoutingData!$E$2:$E$1000, $A26, MatchScoutingData!V$2:V$1000)</f>
        <v/>
      </c>
      <c r="T26" s="48">
        <f>SUMIF(MatchScoutingData!$E$2:$E$1000, $A26, MatchScoutingData!W$2:W$1000)</f>
        <v/>
      </c>
      <c r="U26" s="48">
        <f>SUMIF(MatchScoutingData!$E$2:$E$1000, $A26, MatchScoutingData!X$2:X$1000)</f>
        <v/>
      </c>
      <c r="V26" s="48">
        <f>SUMIF(MatchScoutingData!$E$2:$E$1000, $A26, MatchScoutingData!AB$2:AB$1000)</f>
        <v/>
      </c>
      <c r="W26" s="48">
        <f>SUMIF(MatchScoutingData!$E$2:$E$1000, $A26, MatchScoutingData!Y$2:Y$1000)</f>
        <v/>
      </c>
      <c r="X26" s="48">
        <f>SUMIF(MatchScoutingData!$E$2:$E$1000, $A26, MatchScoutingData!Z$2:Z$1000)</f>
        <v/>
      </c>
      <c r="Y26" s="48">
        <f>SUMIF(MatchScoutingData!$E$2:$E$1000, $A26, MatchScoutingData!AA$2:AA$1000)</f>
        <v/>
      </c>
      <c r="Z26" s="48">
        <f>SUM(W26:Y26)</f>
        <v/>
      </c>
    </row>
    <row r="27">
      <c r="A27" s="47" t="n">
        <v>3324</v>
      </c>
      <c r="B27" s="47">
        <f>COUNTIF(MatchScoutingData!E$2:E$1000, $A27)</f>
        <v/>
      </c>
      <c r="C27" s="48">
        <f>SUMIF(MatchScoutingData!$E$2:$E$1000, $A27, MatchScoutingData!F$2:F$1000)</f>
        <v/>
      </c>
      <c r="D27" s="48">
        <f>SUMIF(MatchScoutingData!$E$2:$E$1000, $A27, MatchScoutingData!G$2:G$1000)</f>
        <v/>
      </c>
      <c r="E27" s="48">
        <f>SUMIF(MatchScoutingData!$E$2:$E$1000, $A27, MatchScoutingData!H$2:H$1000)</f>
        <v/>
      </c>
      <c r="F27" s="48">
        <f>SUMIF(MatchScoutingData!$E$2:$E$1000, $A27, MatchScoutingData!I$2:I$1000)</f>
        <v/>
      </c>
      <c r="G27" s="48">
        <f>SUMIF(MatchScoutingData!$E$2:$E$1000, $A27, MatchScoutingData!J$2:J$1000)</f>
        <v/>
      </c>
      <c r="H27" s="48">
        <f>SUMIF(MatchScoutingData!$E$2:$E$1000, $A27, MatchScoutingData!K$2:K$1000)</f>
        <v/>
      </c>
      <c r="I27" s="48">
        <f>SUMIF(MatchScoutingData!$E$2:$E$1000, $A27, MatchScoutingData!L$2:L$1000)</f>
        <v/>
      </c>
      <c r="J27" s="48">
        <f>SUMIF(MatchScoutingData!$E$2:$E$1000, $A27, MatchScoutingData!M$2:M$1000)</f>
        <v/>
      </c>
      <c r="K27" s="48">
        <f>SUMIF(MatchScoutingData!$E$2:$E$1000, $A27, MatchScoutingData!N$2:N$1000)</f>
        <v/>
      </c>
      <c r="L27" s="48">
        <f>SUMIF(MatchScoutingData!$E$2:$E$1000, $A27, MatchScoutingData!O$2:O$1000)</f>
        <v/>
      </c>
      <c r="M27" s="48">
        <f>SUMIF(MatchScoutingData!$E$2:$E$1000, $A27, MatchScoutingData!P$2:P$1000)</f>
        <v/>
      </c>
      <c r="N27" s="48">
        <f>SUMIF(MatchScoutingData!$E$2:$E$1000, $A27, MatchScoutingData!Q$2:Q$1000)</f>
        <v/>
      </c>
      <c r="O27" s="48">
        <f>SUMIF(MatchScoutingData!$E$2:$E$1000, $A27, MatchScoutingData!R$2:R$1000)</f>
        <v/>
      </c>
      <c r="P27" s="48">
        <f>SUMIF(MatchScoutingData!$E$2:$E$1000, $A27, MatchScoutingData!S$2:S$1000)</f>
        <v/>
      </c>
      <c r="Q27" s="48">
        <f>SUMIF(MatchScoutingData!$E$2:$E$1000, $A27, MatchScoutingData!T$2:T$1000)</f>
        <v/>
      </c>
      <c r="R27" s="48">
        <f>SUMIF(MatchScoutingData!$E$2:$E$1000, $A27, MatchScoutingData!U$2:U$1000)</f>
        <v/>
      </c>
      <c r="S27" s="48">
        <f>SUMIF(MatchScoutingData!$E$2:$E$1000, $A27, MatchScoutingData!V$2:V$1000)</f>
        <v/>
      </c>
      <c r="T27" s="48">
        <f>SUMIF(MatchScoutingData!$E$2:$E$1000, $A27, MatchScoutingData!W$2:W$1000)</f>
        <v/>
      </c>
      <c r="U27" s="48">
        <f>SUMIF(MatchScoutingData!$E$2:$E$1000, $A27, MatchScoutingData!X$2:X$1000)</f>
        <v/>
      </c>
      <c r="V27" s="48">
        <f>SUMIF(MatchScoutingData!$E$2:$E$1000, $A27, MatchScoutingData!AB$2:AB$1000)</f>
        <v/>
      </c>
      <c r="W27" s="48">
        <f>SUMIF(MatchScoutingData!$E$2:$E$1000, $A27, MatchScoutingData!Y$2:Y$1000)</f>
        <v/>
      </c>
      <c r="X27" s="48">
        <f>SUMIF(MatchScoutingData!$E$2:$E$1000, $A27, MatchScoutingData!Z$2:Z$1000)</f>
        <v/>
      </c>
      <c r="Y27" s="48">
        <f>SUMIF(MatchScoutingData!$E$2:$E$1000, $A27, MatchScoutingData!AA$2:AA$1000)</f>
        <v/>
      </c>
      <c r="Z27" s="48">
        <f>SUM(W27:Y27)</f>
        <v/>
      </c>
    </row>
    <row r="28">
      <c r="A28" s="47" t="n">
        <v>3484</v>
      </c>
      <c r="B28" s="47">
        <f>COUNTIF(MatchScoutingData!E$2:E$1000, $A28)</f>
        <v/>
      </c>
      <c r="C28" s="48">
        <f>SUMIF(MatchScoutingData!$E$2:$E$1000, $A28, MatchScoutingData!F$2:F$1000)</f>
        <v/>
      </c>
      <c r="D28" s="48">
        <f>SUMIF(MatchScoutingData!$E$2:$E$1000, $A28, MatchScoutingData!G$2:G$1000)</f>
        <v/>
      </c>
      <c r="E28" s="48">
        <f>SUMIF(MatchScoutingData!$E$2:$E$1000, $A28, MatchScoutingData!H$2:H$1000)</f>
        <v/>
      </c>
      <c r="F28" s="48">
        <f>SUMIF(MatchScoutingData!$E$2:$E$1000, $A28, MatchScoutingData!I$2:I$1000)</f>
        <v/>
      </c>
      <c r="G28" s="48">
        <f>SUMIF(MatchScoutingData!$E$2:$E$1000, $A28, MatchScoutingData!J$2:J$1000)</f>
        <v/>
      </c>
      <c r="H28" s="48">
        <f>SUMIF(MatchScoutingData!$E$2:$E$1000, $A28, MatchScoutingData!K$2:K$1000)</f>
        <v/>
      </c>
      <c r="I28" s="48">
        <f>SUMIF(MatchScoutingData!$E$2:$E$1000, $A28, MatchScoutingData!L$2:L$1000)</f>
        <v/>
      </c>
      <c r="J28" s="48">
        <f>SUMIF(MatchScoutingData!$E$2:$E$1000, $A28, MatchScoutingData!M$2:M$1000)</f>
        <v/>
      </c>
      <c r="K28" s="48">
        <f>SUMIF(MatchScoutingData!$E$2:$E$1000, $A28, MatchScoutingData!N$2:N$1000)</f>
        <v/>
      </c>
      <c r="L28" s="48">
        <f>SUMIF(MatchScoutingData!$E$2:$E$1000, $A28, MatchScoutingData!O$2:O$1000)</f>
        <v/>
      </c>
      <c r="M28" s="48">
        <f>SUMIF(MatchScoutingData!$E$2:$E$1000, $A28, MatchScoutingData!P$2:P$1000)</f>
        <v/>
      </c>
      <c r="N28" s="48">
        <f>SUMIF(MatchScoutingData!$E$2:$E$1000, $A28, MatchScoutingData!Q$2:Q$1000)</f>
        <v/>
      </c>
      <c r="O28" s="48">
        <f>SUMIF(MatchScoutingData!$E$2:$E$1000, $A28, MatchScoutingData!R$2:R$1000)</f>
        <v/>
      </c>
      <c r="P28" s="48">
        <f>SUMIF(MatchScoutingData!$E$2:$E$1000, $A28, MatchScoutingData!S$2:S$1000)</f>
        <v/>
      </c>
      <c r="Q28" s="48">
        <f>SUMIF(MatchScoutingData!$E$2:$E$1000, $A28, MatchScoutingData!T$2:T$1000)</f>
        <v/>
      </c>
      <c r="R28" s="48">
        <f>SUMIF(MatchScoutingData!$E$2:$E$1000, $A28, MatchScoutingData!U$2:U$1000)</f>
        <v/>
      </c>
      <c r="S28" s="48">
        <f>SUMIF(MatchScoutingData!$E$2:$E$1000, $A28, MatchScoutingData!V$2:V$1000)</f>
        <v/>
      </c>
      <c r="T28" s="48">
        <f>SUMIF(MatchScoutingData!$E$2:$E$1000, $A28, MatchScoutingData!W$2:W$1000)</f>
        <v/>
      </c>
      <c r="U28" s="48">
        <f>SUMIF(MatchScoutingData!$E$2:$E$1000, $A28, MatchScoutingData!X$2:X$1000)</f>
        <v/>
      </c>
      <c r="V28" s="48">
        <f>SUMIF(MatchScoutingData!$E$2:$E$1000, $A28, MatchScoutingData!AB$2:AB$1000)</f>
        <v/>
      </c>
      <c r="W28" s="48">
        <f>SUMIF(MatchScoutingData!$E$2:$E$1000, $A28, MatchScoutingData!Y$2:Y$1000)</f>
        <v/>
      </c>
      <c r="X28" s="48">
        <f>SUMIF(MatchScoutingData!$E$2:$E$1000, $A28, MatchScoutingData!Z$2:Z$1000)</f>
        <v/>
      </c>
      <c r="Y28" s="48">
        <f>SUMIF(MatchScoutingData!$E$2:$E$1000, $A28, MatchScoutingData!AA$2:AA$1000)</f>
        <v/>
      </c>
      <c r="Z28" s="48">
        <f>SUM(W28:Y28)</f>
        <v/>
      </c>
    </row>
    <row r="29">
      <c r="A29" s="47" t="n">
        <v>3504</v>
      </c>
      <c r="B29" s="47">
        <f>COUNTIF(MatchScoutingData!E$2:E$1000, $A29)</f>
        <v/>
      </c>
      <c r="C29" s="48">
        <f>SUMIF(MatchScoutingData!$E$2:$E$1000, $A29, MatchScoutingData!F$2:F$1000)</f>
        <v/>
      </c>
      <c r="D29" s="48">
        <f>SUMIF(MatchScoutingData!$E$2:$E$1000, $A29, MatchScoutingData!G$2:G$1000)</f>
        <v/>
      </c>
      <c r="E29" s="48">
        <f>SUMIF(MatchScoutingData!$E$2:$E$1000, $A29, MatchScoutingData!H$2:H$1000)</f>
        <v/>
      </c>
      <c r="F29" s="48">
        <f>SUMIF(MatchScoutingData!$E$2:$E$1000, $A29, MatchScoutingData!I$2:I$1000)</f>
        <v/>
      </c>
      <c r="G29" s="48">
        <f>SUMIF(MatchScoutingData!$E$2:$E$1000, $A29, MatchScoutingData!J$2:J$1000)</f>
        <v/>
      </c>
      <c r="H29" s="48">
        <f>SUMIF(MatchScoutingData!$E$2:$E$1000, $A29, MatchScoutingData!K$2:K$1000)</f>
        <v/>
      </c>
      <c r="I29" s="48">
        <f>SUMIF(MatchScoutingData!$E$2:$E$1000, $A29, MatchScoutingData!L$2:L$1000)</f>
        <v/>
      </c>
      <c r="J29" s="48">
        <f>SUMIF(MatchScoutingData!$E$2:$E$1000, $A29, MatchScoutingData!M$2:M$1000)</f>
        <v/>
      </c>
      <c r="K29" s="48">
        <f>SUMIF(MatchScoutingData!$E$2:$E$1000, $A29, MatchScoutingData!N$2:N$1000)</f>
        <v/>
      </c>
      <c r="L29" s="48">
        <f>SUMIF(MatchScoutingData!$E$2:$E$1000, $A29, MatchScoutingData!O$2:O$1000)</f>
        <v/>
      </c>
      <c r="M29" s="48">
        <f>SUMIF(MatchScoutingData!$E$2:$E$1000, $A29, MatchScoutingData!P$2:P$1000)</f>
        <v/>
      </c>
      <c r="N29" s="48">
        <f>SUMIF(MatchScoutingData!$E$2:$E$1000, $A29, MatchScoutingData!Q$2:Q$1000)</f>
        <v/>
      </c>
      <c r="O29" s="48">
        <f>SUMIF(MatchScoutingData!$E$2:$E$1000, $A29, MatchScoutingData!R$2:R$1000)</f>
        <v/>
      </c>
      <c r="P29" s="48">
        <f>SUMIF(MatchScoutingData!$E$2:$E$1000, $A29, MatchScoutingData!S$2:S$1000)</f>
        <v/>
      </c>
      <c r="Q29" s="48">
        <f>SUMIF(MatchScoutingData!$E$2:$E$1000, $A29, MatchScoutingData!T$2:T$1000)</f>
        <v/>
      </c>
      <c r="R29" s="48">
        <f>SUMIF(MatchScoutingData!$E$2:$E$1000, $A29, MatchScoutingData!U$2:U$1000)</f>
        <v/>
      </c>
      <c r="S29" s="48">
        <f>SUMIF(MatchScoutingData!$E$2:$E$1000, $A29, MatchScoutingData!V$2:V$1000)</f>
        <v/>
      </c>
      <c r="T29" s="48">
        <f>SUMIF(MatchScoutingData!$E$2:$E$1000, $A29, MatchScoutingData!W$2:W$1000)</f>
        <v/>
      </c>
      <c r="U29" s="48">
        <f>SUMIF(MatchScoutingData!$E$2:$E$1000, $A29, MatchScoutingData!X$2:X$1000)</f>
        <v/>
      </c>
      <c r="V29" s="48">
        <f>SUMIF(MatchScoutingData!$E$2:$E$1000, $A29, MatchScoutingData!AB$2:AB$1000)</f>
        <v/>
      </c>
      <c r="W29" s="48">
        <f>SUMIF(MatchScoutingData!$E$2:$E$1000, $A29, MatchScoutingData!Y$2:Y$1000)</f>
        <v/>
      </c>
      <c r="X29" s="48">
        <f>SUMIF(MatchScoutingData!$E$2:$E$1000, $A29, MatchScoutingData!Z$2:Z$1000)</f>
        <v/>
      </c>
      <c r="Y29" s="48">
        <f>SUMIF(MatchScoutingData!$E$2:$E$1000, $A29, MatchScoutingData!AA$2:AA$1000)</f>
        <v/>
      </c>
      <c r="Z29" s="48">
        <f>SUM(W29:Y29)</f>
        <v/>
      </c>
    </row>
    <row r="30">
      <c r="A30" s="47" t="n">
        <v>3814</v>
      </c>
      <c r="B30" s="47">
        <f>COUNTIF(MatchScoutingData!E$2:E$1000, $A30)</f>
        <v/>
      </c>
      <c r="C30" s="48">
        <f>SUMIF(MatchScoutingData!$E$2:$E$1000, $A30, MatchScoutingData!F$2:F$1000)</f>
        <v/>
      </c>
      <c r="D30" s="48">
        <f>SUMIF(MatchScoutingData!$E$2:$E$1000, $A30, MatchScoutingData!G$2:G$1000)</f>
        <v/>
      </c>
      <c r="E30" s="48">
        <f>SUMIF(MatchScoutingData!$E$2:$E$1000, $A30, MatchScoutingData!H$2:H$1000)</f>
        <v/>
      </c>
      <c r="F30" s="48">
        <f>SUMIF(MatchScoutingData!$E$2:$E$1000, $A30, MatchScoutingData!I$2:I$1000)</f>
        <v/>
      </c>
      <c r="G30" s="48">
        <f>SUMIF(MatchScoutingData!$E$2:$E$1000, $A30, MatchScoutingData!J$2:J$1000)</f>
        <v/>
      </c>
      <c r="H30" s="48">
        <f>SUMIF(MatchScoutingData!$E$2:$E$1000, $A30, MatchScoutingData!K$2:K$1000)</f>
        <v/>
      </c>
      <c r="I30" s="48">
        <f>SUMIF(MatchScoutingData!$E$2:$E$1000, $A30, MatchScoutingData!L$2:L$1000)</f>
        <v/>
      </c>
      <c r="J30" s="48">
        <f>SUMIF(MatchScoutingData!$E$2:$E$1000, $A30, MatchScoutingData!M$2:M$1000)</f>
        <v/>
      </c>
      <c r="K30" s="48">
        <f>SUMIF(MatchScoutingData!$E$2:$E$1000, $A30, MatchScoutingData!N$2:N$1000)</f>
        <v/>
      </c>
      <c r="L30" s="48">
        <f>SUMIF(MatchScoutingData!$E$2:$E$1000, $A30, MatchScoutingData!O$2:O$1000)</f>
        <v/>
      </c>
      <c r="M30" s="48">
        <f>SUMIF(MatchScoutingData!$E$2:$E$1000, $A30, MatchScoutingData!P$2:P$1000)</f>
        <v/>
      </c>
      <c r="N30" s="48">
        <f>SUMIF(MatchScoutingData!$E$2:$E$1000, $A30, MatchScoutingData!Q$2:Q$1000)</f>
        <v/>
      </c>
      <c r="O30" s="48">
        <f>SUMIF(MatchScoutingData!$E$2:$E$1000, $A30, MatchScoutingData!R$2:R$1000)</f>
        <v/>
      </c>
      <c r="P30" s="48">
        <f>SUMIF(MatchScoutingData!$E$2:$E$1000, $A30, MatchScoutingData!S$2:S$1000)</f>
        <v/>
      </c>
      <c r="Q30" s="48">
        <f>SUMIF(MatchScoutingData!$E$2:$E$1000, $A30, MatchScoutingData!T$2:T$1000)</f>
        <v/>
      </c>
      <c r="R30" s="48">
        <f>SUMIF(MatchScoutingData!$E$2:$E$1000, $A30, MatchScoutingData!U$2:U$1000)</f>
        <v/>
      </c>
      <c r="S30" s="48">
        <f>SUMIF(MatchScoutingData!$E$2:$E$1000, $A30, MatchScoutingData!V$2:V$1000)</f>
        <v/>
      </c>
      <c r="T30" s="48">
        <f>SUMIF(MatchScoutingData!$E$2:$E$1000, $A30, MatchScoutingData!W$2:W$1000)</f>
        <v/>
      </c>
      <c r="U30" s="48">
        <f>SUMIF(MatchScoutingData!$E$2:$E$1000, $A30, MatchScoutingData!X$2:X$1000)</f>
        <v/>
      </c>
      <c r="V30" s="48">
        <f>SUMIF(MatchScoutingData!$E$2:$E$1000, $A30, MatchScoutingData!AB$2:AB$1000)</f>
        <v/>
      </c>
      <c r="W30" s="48">
        <f>SUMIF(MatchScoutingData!$E$2:$E$1000, $A30, MatchScoutingData!Y$2:Y$1000)</f>
        <v/>
      </c>
      <c r="X30" s="48">
        <f>SUMIF(MatchScoutingData!$E$2:$E$1000, $A30, MatchScoutingData!Z$2:Z$1000)</f>
        <v/>
      </c>
      <c r="Y30" s="48">
        <f>SUMIF(MatchScoutingData!$E$2:$E$1000, $A30, MatchScoutingData!AA$2:AA$1000)</f>
        <v/>
      </c>
      <c r="Z30" s="48">
        <f>SUM(W30:Y30)</f>
        <v/>
      </c>
    </row>
    <row r="31">
      <c r="A31" s="47" t="n">
        <v>4028</v>
      </c>
      <c r="B31" s="47">
        <f>COUNTIF(MatchScoutingData!E$2:E$1000, $A31)</f>
        <v/>
      </c>
      <c r="C31" s="48">
        <f>SUMIF(MatchScoutingData!$E$2:$E$1000, $A31, MatchScoutingData!F$2:F$1000)</f>
        <v/>
      </c>
      <c r="D31" s="48">
        <f>SUMIF(MatchScoutingData!$E$2:$E$1000, $A31, MatchScoutingData!G$2:G$1000)</f>
        <v/>
      </c>
      <c r="E31" s="48">
        <f>SUMIF(MatchScoutingData!$E$2:$E$1000, $A31, MatchScoutingData!H$2:H$1000)</f>
        <v/>
      </c>
      <c r="F31" s="48">
        <f>SUMIF(MatchScoutingData!$E$2:$E$1000, $A31, MatchScoutingData!I$2:I$1000)</f>
        <v/>
      </c>
      <c r="G31" s="48">
        <f>SUMIF(MatchScoutingData!$E$2:$E$1000, $A31, MatchScoutingData!J$2:J$1000)</f>
        <v/>
      </c>
      <c r="H31" s="48">
        <f>SUMIF(MatchScoutingData!$E$2:$E$1000, $A31, MatchScoutingData!K$2:K$1000)</f>
        <v/>
      </c>
      <c r="I31" s="48">
        <f>SUMIF(MatchScoutingData!$E$2:$E$1000, $A31, MatchScoutingData!L$2:L$1000)</f>
        <v/>
      </c>
      <c r="J31" s="48">
        <f>SUMIF(MatchScoutingData!$E$2:$E$1000, $A31, MatchScoutingData!M$2:M$1000)</f>
        <v/>
      </c>
      <c r="K31" s="48">
        <f>SUMIF(MatchScoutingData!$E$2:$E$1000, $A31, MatchScoutingData!N$2:N$1000)</f>
        <v/>
      </c>
      <c r="L31" s="48">
        <f>SUMIF(MatchScoutingData!$E$2:$E$1000, $A31, MatchScoutingData!O$2:O$1000)</f>
        <v/>
      </c>
      <c r="M31" s="48">
        <f>SUMIF(MatchScoutingData!$E$2:$E$1000, $A31, MatchScoutingData!P$2:P$1000)</f>
        <v/>
      </c>
      <c r="N31" s="48">
        <f>SUMIF(MatchScoutingData!$E$2:$E$1000, $A31, MatchScoutingData!Q$2:Q$1000)</f>
        <v/>
      </c>
      <c r="O31" s="48">
        <f>SUMIF(MatchScoutingData!$E$2:$E$1000, $A31, MatchScoutingData!R$2:R$1000)</f>
        <v/>
      </c>
      <c r="P31" s="48">
        <f>SUMIF(MatchScoutingData!$E$2:$E$1000, $A31, MatchScoutingData!S$2:S$1000)</f>
        <v/>
      </c>
      <c r="Q31" s="48">
        <f>SUMIF(MatchScoutingData!$E$2:$E$1000, $A31, MatchScoutingData!T$2:T$1000)</f>
        <v/>
      </c>
      <c r="R31" s="48">
        <f>SUMIF(MatchScoutingData!$E$2:$E$1000, $A31, MatchScoutingData!U$2:U$1000)</f>
        <v/>
      </c>
      <c r="S31" s="48">
        <f>SUMIF(MatchScoutingData!$E$2:$E$1000, $A31, MatchScoutingData!V$2:V$1000)</f>
        <v/>
      </c>
      <c r="T31" s="48">
        <f>SUMIF(MatchScoutingData!$E$2:$E$1000, $A31, MatchScoutingData!W$2:W$1000)</f>
        <v/>
      </c>
      <c r="U31" s="48">
        <f>SUMIF(MatchScoutingData!$E$2:$E$1000, $A31, MatchScoutingData!X$2:X$1000)</f>
        <v/>
      </c>
      <c r="V31" s="48">
        <f>SUMIF(MatchScoutingData!$E$2:$E$1000, $A31, MatchScoutingData!AB$2:AB$1000)</f>
        <v/>
      </c>
      <c r="W31" s="48">
        <f>SUMIF(MatchScoutingData!$E$2:$E$1000, $A31, MatchScoutingData!Y$2:Y$1000)</f>
        <v/>
      </c>
      <c r="X31" s="48">
        <f>SUMIF(MatchScoutingData!$E$2:$E$1000, $A31, MatchScoutingData!Z$2:Z$1000)</f>
        <v/>
      </c>
      <c r="Y31" s="48">
        <f>SUMIF(MatchScoutingData!$E$2:$E$1000, $A31, MatchScoutingData!AA$2:AA$1000)</f>
        <v/>
      </c>
      <c r="Z31" s="48">
        <f>SUM(W31:Y31)</f>
        <v/>
      </c>
    </row>
    <row r="32">
      <c r="A32" s="47" t="n">
        <v>4085</v>
      </c>
      <c r="B32" s="47">
        <f>COUNTIF(MatchScoutingData!E$2:E$1000, $A32)</f>
        <v/>
      </c>
      <c r="C32" s="48">
        <f>SUMIF(MatchScoutingData!$E$2:$E$1000, $A32, MatchScoutingData!F$2:F$1000)</f>
        <v/>
      </c>
      <c r="D32" s="48">
        <f>SUMIF(MatchScoutingData!$E$2:$E$1000, $A32, MatchScoutingData!G$2:G$1000)</f>
        <v/>
      </c>
      <c r="E32" s="48">
        <f>SUMIF(MatchScoutingData!$E$2:$E$1000, $A32, MatchScoutingData!H$2:H$1000)</f>
        <v/>
      </c>
      <c r="F32" s="48">
        <f>SUMIF(MatchScoutingData!$E$2:$E$1000, $A32, MatchScoutingData!I$2:I$1000)</f>
        <v/>
      </c>
      <c r="G32" s="48">
        <f>SUMIF(MatchScoutingData!$E$2:$E$1000, $A32, MatchScoutingData!J$2:J$1000)</f>
        <v/>
      </c>
      <c r="H32" s="48">
        <f>SUMIF(MatchScoutingData!$E$2:$E$1000, $A32, MatchScoutingData!K$2:K$1000)</f>
        <v/>
      </c>
      <c r="I32" s="48">
        <f>SUMIF(MatchScoutingData!$E$2:$E$1000, $A32, MatchScoutingData!L$2:L$1000)</f>
        <v/>
      </c>
      <c r="J32" s="48">
        <f>SUMIF(MatchScoutingData!$E$2:$E$1000, $A32, MatchScoutingData!M$2:M$1000)</f>
        <v/>
      </c>
      <c r="K32" s="48">
        <f>SUMIF(MatchScoutingData!$E$2:$E$1000, $A32, MatchScoutingData!N$2:N$1000)</f>
        <v/>
      </c>
      <c r="L32" s="48">
        <f>SUMIF(MatchScoutingData!$E$2:$E$1000, $A32, MatchScoutingData!O$2:O$1000)</f>
        <v/>
      </c>
      <c r="M32" s="48">
        <f>SUMIF(MatchScoutingData!$E$2:$E$1000, $A32, MatchScoutingData!P$2:P$1000)</f>
        <v/>
      </c>
      <c r="N32" s="48">
        <f>SUMIF(MatchScoutingData!$E$2:$E$1000, $A32, MatchScoutingData!Q$2:Q$1000)</f>
        <v/>
      </c>
      <c r="O32" s="48">
        <f>SUMIF(MatchScoutingData!$E$2:$E$1000, $A32, MatchScoutingData!R$2:R$1000)</f>
        <v/>
      </c>
      <c r="P32" s="48">
        <f>SUMIF(MatchScoutingData!$E$2:$E$1000, $A32, MatchScoutingData!S$2:S$1000)</f>
        <v/>
      </c>
      <c r="Q32" s="48">
        <f>SUMIF(MatchScoutingData!$E$2:$E$1000, $A32, MatchScoutingData!T$2:T$1000)</f>
        <v/>
      </c>
      <c r="R32" s="48">
        <f>SUMIF(MatchScoutingData!$E$2:$E$1000, $A32, MatchScoutingData!U$2:U$1000)</f>
        <v/>
      </c>
      <c r="S32" s="48">
        <f>SUMIF(MatchScoutingData!$E$2:$E$1000, $A32, MatchScoutingData!V$2:V$1000)</f>
        <v/>
      </c>
      <c r="T32" s="48">
        <f>SUMIF(MatchScoutingData!$E$2:$E$1000, $A32, MatchScoutingData!W$2:W$1000)</f>
        <v/>
      </c>
      <c r="U32" s="48">
        <f>SUMIF(MatchScoutingData!$E$2:$E$1000, $A32, MatchScoutingData!X$2:X$1000)</f>
        <v/>
      </c>
      <c r="V32" s="48">
        <f>SUMIF(MatchScoutingData!$E$2:$E$1000, $A32, MatchScoutingData!AB$2:AB$1000)</f>
        <v/>
      </c>
      <c r="W32" s="48">
        <f>SUMIF(MatchScoutingData!$E$2:$E$1000, $A32, MatchScoutingData!Y$2:Y$1000)</f>
        <v/>
      </c>
      <c r="X32" s="48">
        <f>SUMIF(MatchScoutingData!$E$2:$E$1000, $A32, MatchScoutingData!Z$2:Z$1000)</f>
        <v/>
      </c>
      <c r="Y32" s="48">
        <f>SUMIF(MatchScoutingData!$E$2:$E$1000, $A32, MatchScoutingData!AA$2:AA$1000)</f>
        <v/>
      </c>
      <c r="Z32" s="48">
        <f>SUM(W32:Y32)</f>
        <v/>
      </c>
    </row>
    <row r="33">
      <c r="A33" s="47" t="n">
        <v>4096</v>
      </c>
      <c r="B33" s="47">
        <f>COUNTIF(MatchScoutingData!E$2:E$1000, $A33)</f>
        <v/>
      </c>
      <c r="C33" s="48">
        <f>SUMIF(MatchScoutingData!$E$2:$E$1000, $A33, MatchScoutingData!F$2:F$1000)</f>
        <v/>
      </c>
      <c r="D33" s="48">
        <f>SUMIF(MatchScoutingData!$E$2:$E$1000, $A33, MatchScoutingData!G$2:G$1000)</f>
        <v/>
      </c>
      <c r="E33" s="48">
        <f>SUMIF(MatchScoutingData!$E$2:$E$1000, $A33, MatchScoutingData!H$2:H$1000)</f>
        <v/>
      </c>
      <c r="F33" s="48">
        <f>SUMIF(MatchScoutingData!$E$2:$E$1000, $A33, MatchScoutingData!I$2:I$1000)</f>
        <v/>
      </c>
      <c r="G33" s="48">
        <f>SUMIF(MatchScoutingData!$E$2:$E$1000, $A33, MatchScoutingData!J$2:J$1000)</f>
        <v/>
      </c>
      <c r="H33" s="48">
        <f>SUMIF(MatchScoutingData!$E$2:$E$1000, $A33, MatchScoutingData!K$2:K$1000)</f>
        <v/>
      </c>
      <c r="I33" s="48">
        <f>SUMIF(MatchScoutingData!$E$2:$E$1000, $A33, MatchScoutingData!L$2:L$1000)</f>
        <v/>
      </c>
      <c r="J33" s="48">
        <f>SUMIF(MatchScoutingData!$E$2:$E$1000, $A33, MatchScoutingData!M$2:M$1000)</f>
        <v/>
      </c>
      <c r="K33" s="48">
        <f>SUMIF(MatchScoutingData!$E$2:$E$1000, $A33, MatchScoutingData!N$2:N$1000)</f>
        <v/>
      </c>
      <c r="L33" s="48">
        <f>SUMIF(MatchScoutingData!$E$2:$E$1000, $A33, MatchScoutingData!O$2:O$1000)</f>
        <v/>
      </c>
      <c r="M33" s="48">
        <f>SUMIF(MatchScoutingData!$E$2:$E$1000, $A33, MatchScoutingData!P$2:P$1000)</f>
        <v/>
      </c>
      <c r="N33" s="48">
        <f>SUMIF(MatchScoutingData!$E$2:$E$1000, $A33, MatchScoutingData!Q$2:Q$1000)</f>
        <v/>
      </c>
      <c r="O33" s="48">
        <f>SUMIF(MatchScoutingData!$E$2:$E$1000, $A33, MatchScoutingData!R$2:R$1000)</f>
        <v/>
      </c>
      <c r="P33" s="48">
        <f>SUMIF(MatchScoutingData!$E$2:$E$1000, $A33, MatchScoutingData!S$2:S$1000)</f>
        <v/>
      </c>
      <c r="Q33" s="48">
        <f>SUMIF(MatchScoutingData!$E$2:$E$1000, $A33, MatchScoutingData!T$2:T$1000)</f>
        <v/>
      </c>
      <c r="R33" s="48">
        <f>SUMIF(MatchScoutingData!$E$2:$E$1000, $A33, MatchScoutingData!U$2:U$1000)</f>
        <v/>
      </c>
      <c r="S33" s="48">
        <f>SUMIF(MatchScoutingData!$E$2:$E$1000, $A33, MatchScoutingData!V$2:V$1000)</f>
        <v/>
      </c>
      <c r="T33" s="48">
        <f>SUMIF(MatchScoutingData!$E$2:$E$1000, $A33, MatchScoutingData!W$2:W$1000)</f>
        <v/>
      </c>
      <c r="U33" s="48">
        <f>SUMIF(MatchScoutingData!$E$2:$E$1000, $A33, MatchScoutingData!X$2:X$1000)</f>
        <v/>
      </c>
      <c r="V33" s="48">
        <f>SUMIF(MatchScoutingData!$E$2:$E$1000, $A33, MatchScoutingData!AB$2:AB$1000)</f>
        <v/>
      </c>
      <c r="W33" s="48">
        <f>SUMIF(MatchScoutingData!$E$2:$E$1000, $A33, MatchScoutingData!Y$2:Y$1000)</f>
        <v/>
      </c>
      <c r="X33" s="48">
        <f>SUMIF(MatchScoutingData!$E$2:$E$1000, $A33, MatchScoutingData!Z$2:Z$1000)</f>
        <v/>
      </c>
      <c r="Y33" s="48">
        <f>SUMIF(MatchScoutingData!$E$2:$E$1000, $A33, MatchScoutingData!AA$2:AA$1000)</f>
        <v/>
      </c>
      <c r="Z33" s="48">
        <f>SUM(W33:Y33)</f>
        <v/>
      </c>
    </row>
    <row r="34">
      <c r="A34" s="47" t="n">
        <v>4145</v>
      </c>
      <c r="B34" s="47">
        <f>COUNTIF(MatchScoutingData!E$2:E$1000, $A34)</f>
        <v/>
      </c>
      <c r="C34" s="48">
        <f>SUMIF(MatchScoutingData!$E$2:$E$1000, $A34, MatchScoutingData!F$2:F$1000)</f>
        <v/>
      </c>
      <c r="D34" s="48">
        <f>SUMIF(MatchScoutingData!$E$2:$E$1000, $A34, MatchScoutingData!G$2:G$1000)</f>
        <v/>
      </c>
      <c r="E34" s="48">
        <f>SUMIF(MatchScoutingData!$E$2:$E$1000, $A34, MatchScoutingData!H$2:H$1000)</f>
        <v/>
      </c>
      <c r="F34" s="48">
        <f>SUMIF(MatchScoutingData!$E$2:$E$1000, $A34, MatchScoutingData!I$2:I$1000)</f>
        <v/>
      </c>
      <c r="G34" s="48">
        <f>SUMIF(MatchScoutingData!$E$2:$E$1000, $A34, MatchScoutingData!J$2:J$1000)</f>
        <v/>
      </c>
      <c r="H34" s="48">
        <f>SUMIF(MatchScoutingData!$E$2:$E$1000, $A34, MatchScoutingData!K$2:K$1000)</f>
        <v/>
      </c>
      <c r="I34" s="48">
        <f>SUMIF(MatchScoutingData!$E$2:$E$1000, $A34, MatchScoutingData!L$2:L$1000)</f>
        <v/>
      </c>
      <c r="J34" s="48">
        <f>SUMIF(MatchScoutingData!$E$2:$E$1000, $A34, MatchScoutingData!M$2:M$1000)</f>
        <v/>
      </c>
      <c r="K34" s="48">
        <f>SUMIF(MatchScoutingData!$E$2:$E$1000, $A34, MatchScoutingData!N$2:N$1000)</f>
        <v/>
      </c>
      <c r="L34" s="48">
        <f>SUMIF(MatchScoutingData!$E$2:$E$1000, $A34, MatchScoutingData!O$2:O$1000)</f>
        <v/>
      </c>
      <c r="M34" s="48">
        <f>SUMIF(MatchScoutingData!$E$2:$E$1000, $A34, MatchScoutingData!P$2:P$1000)</f>
        <v/>
      </c>
      <c r="N34" s="48">
        <f>SUMIF(MatchScoutingData!$E$2:$E$1000, $A34, MatchScoutingData!Q$2:Q$1000)</f>
        <v/>
      </c>
      <c r="O34" s="48">
        <f>SUMIF(MatchScoutingData!$E$2:$E$1000, $A34, MatchScoutingData!R$2:R$1000)</f>
        <v/>
      </c>
      <c r="P34" s="48">
        <f>SUMIF(MatchScoutingData!$E$2:$E$1000, $A34, MatchScoutingData!S$2:S$1000)</f>
        <v/>
      </c>
      <c r="Q34" s="48">
        <f>SUMIF(MatchScoutingData!$E$2:$E$1000, $A34, MatchScoutingData!T$2:T$1000)</f>
        <v/>
      </c>
      <c r="R34" s="48">
        <f>SUMIF(MatchScoutingData!$E$2:$E$1000, $A34, MatchScoutingData!U$2:U$1000)</f>
        <v/>
      </c>
      <c r="S34" s="48">
        <f>SUMIF(MatchScoutingData!$E$2:$E$1000, $A34, MatchScoutingData!V$2:V$1000)</f>
        <v/>
      </c>
      <c r="T34" s="48">
        <f>SUMIF(MatchScoutingData!$E$2:$E$1000, $A34, MatchScoutingData!W$2:W$1000)</f>
        <v/>
      </c>
      <c r="U34" s="48">
        <f>SUMIF(MatchScoutingData!$E$2:$E$1000, $A34, MatchScoutingData!X$2:X$1000)</f>
        <v/>
      </c>
      <c r="V34" s="48">
        <f>SUMIF(MatchScoutingData!$E$2:$E$1000, $A34, MatchScoutingData!AB$2:AB$1000)</f>
        <v/>
      </c>
      <c r="W34" s="48">
        <f>SUMIF(MatchScoutingData!$E$2:$E$1000, $A34, MatchScoutingData!Y$2:Y$1000)</f>
        <v/>
      </c>
      <c r="X34" s="48">
        <f>SUMIF(MatchScoutingData!$E$2:$E$1000, $A34, MatchScoutingData!Z$2:Z$1000)</f>
        <v/>
      </c>
      <c r="Y34" s="48">
        <f>SUMIF(MatchScoutingData!$E$2:$E$1000, $A34, MatchScoutingData!AA$2:AA$1000)</f>
        <v/>
      </c>
      <c r="Z34" s="48">
        <f>SUM(W34:Y34)</f>
        <v/>
      </c>
    </row>
    <row r="35">
      <c r="A35" s="47" t="n">
        <v>4467</v>
      </c>
      <c r="B35" s="47">
        <f>COUNTIF(MatchScoutingData!E$2:E$1000, $A35)</f>
        <v/>
      </c>
      <c r="C35" s="48">
        <f>SUMIF(MatchScoutingData!$E$2:$E$1000, $A35, MatchScoutingData!F$2:F$1000)</f>
        <v/>
      </c>
      <c r="D35" s="48">
        <f>SUMIF(MatchScoutingData!$E$2:$E$1000, $A35, MatchScoutingData!G$2:G$1000)</f>
        <v/>
      </c>
      <c r="E35" s="48">
        <f>SUMIF(MatchScoutingData!$E$2:$E$1000, $A35, MatchScoutingData!H$2:H$1000)</f>
        <v/>
      </c>
      <c r="F35" s="48">
        <f>SUMIF(MatchScoutingData!$E$2:$E$1000, $A35, MatchScoutingData!I$2:I$1000)</f>
        <v/>
      </c>
      <c r="G35" s="48">
        <f>SUMIF(MatchScoutingData!$E$2:$E$1000, $A35, MatchScoutingData!J$2:J$1000)</f>
        <v/>
      </c>
      <c r="H35" s="48">
        <f>SUMIF(MatchScoutingData!$E$2:$E$1000, $A35, MatchScoutingData!K$2:K$1000)</f>
        <v/>
      </c>
      <c r="I35" s="48">
        <f>SUMIF(MatchScoutingData!$E$2:$E$1000, $A35, MatchScoutingData!L$2:L$1000)</f>
        <v/>
      </c>
      <c r="J35" s="48">
        <f>SUMIF(MatchScoutingData!$E$2:$E$1000, $A35, MatchScoutingData!M$2:M$1000)</f>
        <v/>
      </c>
      <c r="K35" s="48">
        <f>SUMIF(MatchScoutingData!$E$2:$E$1000, $A35, MatchScoutingData!N$2:N$1000)</f>
        <v/>
      </c>
      <c r="L35" s="48">
        <f>SUMIF(MatchScoutingData!$E$2:$E$1000, $A35, MatchScoutingData!O$2:O$1000)</f>
        <v/>
      </c>
      <c r="M35" s="48">
        <f>SUMIF(MatchScoutingData!$E$2:$E$1000, $A35, MatchScoutingData!P$2:P$1000)</f>
        <v/>
      </c>
      <c r="N35" s="48">
        <f>SUMIF(MatchScoutingData!$E$2:$E$1000, $A35, MatchScoutingData!Q$2:Q$1000)</f>
        <v/>
      </c>
      <c r="O35" s="48">
        <f>SUMIF(MatchScoutingData!$E$2:$E$1000, $A35, MatchScoutingData!R$2:R$1000)</f>
        <v/>
      </c>
      <c r="P35" s="48">
        <f>SUMIF(MatchScoutingData!$E$2:$E$1000, $A35, MatchScoutingData!S$2:S$1000)</f>
        <v/>
      </c>
      <c r="Q35" s="48">
        <f>SUMIF(MatchScoutingData!$E$2:$E$1000, $A35, MatchScoutingData!T$2:T$1000)</f>
        <v/>
      </c>
      <c r="R35" s="48">
        <f>SUMIF(MatchScoutingData!$E$2:$E$1000, $A35, MatchScoutingData!U$2:U$1000)</f>
        <v/>
      </c>
      <c r="S35" s="48">
        <f>SUMIF(MatchScoutingData!$E$2:$E$1000, $A35, MatchScoutingData!V$2:V$1000)</f>
        <v/>
      </c>
      <c r="T35" s="48">
        <f>SUMIF(MatchScoutingData!$E$2:$E$1000, $A35, MatchScoutingData!W$2:W$1000)</f>
        <v/>
      </c>
      <c r="U35" s="48">
        <f>SUMIF(MatchScoutingData!$E$2:$E$1000, $A35, MatchScoutingData!X$2:X$1000)</f>
        <v/>
      </c>
      <c r="V35" s="48">
        <f>SUMIF(MatchScoutingData!$E$2:$E$1000, $A35, MatchScoutingData!AB$2:AB$1000)</f>
        <v/>
      </c>
      <c r="W35" s="48">
        <f>SUMIF(MatchScoutingData!$E$2:$E$1000, $A35, MatchScoutingData!Y$2:Y$1000)</f>
        <v/>
      </c>
      <c r="X35" s="48">
        <f>SUMIF(MatchScoutingData!$E$2:$E$1000, $A35, MatchScoutingData!Z$2:Z$1000)</f>
        <v/>
      </c>
      <c r="Y35" s="48">
        <f>SUMIF(MatchScoutingData!$E$2:$E$1000, $A35, MatchScoutingData!AA$2:AA$1000)</f>
        <v/>
      </c>
      <c r="Z35" s="48">
        <f>SUM(W35:Y35)</f>
        <v/>
      </c>
    </row>
    <row r="36">
      <c r="A36" s="47" t="n">
        <v>4601</v>
      </c>
      <c r="B36" s="47">
        <f>COUNTIF(MatchScoutingData!E$2:E$1000, $A36)</f>
        <v/>
      </c>
      <c r="C36" s="48">
        <f>SUMIF(MatchScoutingData!$E$2:$E$1000, $A36, MatchScoutingData!F$2:F$1000)</f>
        <v/>
      </c>
      <c r="D36" s="48">
        <f>SUMIF(MatchScoutingData!$E$2:$E$1000, $A36, MatchScoutingData!G$2:G$1000)</f>
        <v/>
      </c>
      <c r="E36" s="48">
        <f>SUMIF(MatchScoutingData!$E$2:$E$1000, $A36, MatchScoutingData!H$2:H$1000)</f>
        <v/>
      </c>
      <c r="F36" s="48">
        <f>SUMIF(MatchScoutingData!$E$2:$E$1000, $A36, MatchScoutingData!I$2:I$1000)</f>
        <v/>
      </c>
      <c r="G36" s="48">
        <f>SUMIF(MatchScoutingData!$E$2:$E$1000, $A36, MatchScoutingData!J$2:J$1000)</f>
        <v/>
      </c>
      <c r="H36" s="48">
        <f>SUMIF(MatchScoutingData!$E$2:$E$1000, $A36, MatchScoutingData!K$2:K$1000)</f>
        <v/>
      </c>
      <c r="I36" s="48">
        <f>SUMIF(MatchScoutingData!$E$2:$E$1000, $A36, MatchScoutingData!L$2:L$1000)</f>
        <v/>
      </c>
      <c r="J36" s="48">
        <f>SUMIF(MatchScoutingData!$E$2:$E$1000, $A36, MatchScoutingData!M$2:M$1000)</f>
        <v/>
      </c>
      <c r="K36" s="48">
        <f>SUMIF(MatchScoutingData!$E$2:$E$1000, $A36, MatchScoutingData!N$2:N$1000)</f>
        <v/>
      </c>
      <c r="L36" s="48">
        <f>SUMIF(MatchScoutingData!$E$2:$E$1000, $A36, MatchScoutingData!O$2:O$1000)</f>
        <v/>
      </c>
      <c r="M36" s="48">
        <f>SUMIF(MatchScoutingData!$E$2:$E$1000, $A36, MatchScoutingData!P$2:P$1000)</f>
        <v/>
      </c>
      <c r="N36" s="48">
        <f>SUMIF(MatchScoutingData!$E$2:$E$1000, $A36, MatchScoutingData!Q$2:Q$1000)</f>
        <v/>
      </c>
      <c r="O36" s="48">
        <f>SUMIF(MatchScoutingData!$E$2:$E$1000, $A36, MatchScoutingData!R$2:R$1000)</f>
        <v/>
      </c>
      <c r="P36" s="48">
        <f>SUMIF(MatchScoutingData!$E$2:$E$1000, $A36, MatchScoutingData!S$2:S$1000)</f>
        <v/>
      </c>
      <c r="Q36" s="48">
        <f>SUMIF(MatchScoutingData!$E$2:$E$1000, $A36, MatchScoutingData!T$2:T$1000)</f>
        <v/>
      </c>
      <c r="R36" s="48">
        <f>SUMIF(MatchScoutingData!$E$2:$E$1000, $A36, MatchScoutingData!U$2:U$1000)</f>
        <v/>
      </c>
      <c r="S36" s="48">
        <f>SUMIF(MatchScoutingData!$E$2:$E$1000, $A36, MatchScoutingData!V$2:V$1000)</f>
        <v/>
      </c>
      <c r="T36" s="48">
        <f>SUMIF(MatchScoutingData!$E$2:$E$1000, $A36, MatchScoutingData!W$2:W$1000)</f>
        <v/>
      </c>
      <c r="U36" s="48">
        <f>SUMIF(MatchScoutingData!$E$2:$E$1000, $A36, MatchScoutingData!X$2:X$1000)</f>
        <v/>
      </c>
      <c r="V36" s="48">
        <f>SUMIF(MatchScoutingData!$E$2:$E$1000, $A36, MatchScoutingData!AB$2:AB$1000)</f>
        <v/>
      </c>
      <c r="W36" s="48">
        <f>SUMIF(MatchScoutingData!$E$2:$E$1000, $A36, MatchScoutingData!Y$2:Y$1000)</f>
        <v/>
      </c>
      <c r="X36" s="48">
        <f>SUMIF(MatchScoutingData!$E$2:$E$1000, $A36, MatchScoutingData!Z$2:Z$1000)</f>
        <v/>
      </c>
      <c r="Y36" s="48">
        <f>SUMIF(MatchScoutingData!$E$2:$E$1000, $A36, MatchScoutingData!AA$2:AA$1000)</f>
        <v/>
      </c>
      <c r="Z36" s="48">
        <f>SUM(W36:Y36)</f>
        <v/>
      </c>
    </row>
    <row r="37">
      <c r="A37" s="47" t="n">
        <v>4611</v>
      </c>
      <c r="B37" s="47">
        <f>COUNTIF(MatchScoutingData!E$2:E$1000, $A37)</f>
        <v/>
      </c>
      <c r="C37" s="48">
        <f>SUMIF(MatchScoutingData!$E$2:$E$1000, $A37, MatchScoutingData!F$2:F$1000)</f>
        <v/>
      </c>
      <c r="D37" s="48">
        <f>SUMIF(MatchScoutingData!$E$2:$E$1000, $A37, MatchScoutingData!G$2:G$1000)</f>
        <v/>
      </c>
      <c r="E37" s="48">
        <f>SUMIF(MatchScoutingData!$E$2:$E$1000, $A37, MatchScoutingData!H$2:H$1000)</f>
        <v/>
      </c>
      <c r="F37" s="48">
        <f>SUMIF(MatchScoutingData!$E$2:$E$1000, $A37, MatchScoutingData!I$2:I$1000)</f>
        <v/>
      </c>
      <c r="G37" s="48">
        <f>SUMIF(MatchScoutingData!$E$2:$E$1000, $A37, MatchScoutingData!J$2:J$1000)</f>
        <v/>
      </c>
      <c r="H37" s="48">
        <f>SUMIF(MatchScoutingData!$E$2:$E$1000, $A37, MatchScoutingData!K$2:K$1000)</f>
        <v/>
      </c>
      <c r="I37" s="48">
        <f>SUMIF(MatchScoutingData!$E$2:$E$1000, $A37, MatchScoutingData!L$2:L$1000)</f>
        <v/>
      </c>
      <c r="J37" s="48">
        <f>SUMIF(MatchScoutingData!$E$2:$E$1000, $A37, MatchScoutingData!M$2:M$1000)</f>
        <v/>
      </c>
      <c r="K37" s="48">
        <f>SUMIF(MatchScoutingData!$E$2:$E$1000, $A37, MatchScoutingData!N$2:N$1000)</f>
        <v/>
      </c>
      <c r="L37" s="48">
        <f>SUMIF(MatchScoutingData!$E$2:$E$1000, $A37, MatchScoutingData!O$2:O$1000)</f>
        <v/>
      </c>
      <c r="M37" s="48">
        <f>SUMIF(MatchScoutingData!$E$2:$E$1000, $A37, MatchScoutingData!P$2:P$1000)</f>
        <v/>
      </c>
      <c r="N37" s="48">
        <f>SUMIF(MatchScoutingData!$E$2:$E$1000, $A37, MatchScoutingData!Q$2:Q$1000)</f>
        <v/>
      </c>
      <c r="O37" s="48">
        <f>SUMIF(MatchScoutingData!$E$2:$E$1000, $A37, MatchScoutingData!R$2:R$1000)</f>
        <v/>
      </c>
      <c r="P37" s="48">
        <f>SUMIF(MatchScoutingData!$E$2:$E$1000, $A37, MatchScoutingData!S$2:S$1000)</f>
        <v/>
      </c>
      <c r="Q37" s="48">
        <f>SUMIF(MatchScoutingData!$E$2:$E$1000, $A37, MatchScoutingData!T$2:T$1000)</f>
        <v/>
      </c>
      <c r="R37" s="48">
        <f>SUMIF(MatchScoutingData!$E$2:$E$1000, $A37, MatchScoutingData!U$2:U$1000)</f>
        <v/>
      </c>
      <c r="S37" s="48">
        <f>SUMIF(MatchScoutingData!$E$2:$E$1000, $A37, MatchScoutingData!V$2:V$1000)</f>
        <v/>
      </c>
      <c r="T37" s="48">
        <f>SUMIF(MatchScoutingData!$E$2:$E$1000, $A37, MatchScoutingData!W$2:W$1000)</f>
        <v/>
      </c>
      <c r="U37" s="48">
        <f>SUMIF(MatchScoutingData!$E$2:$E$1000, $A37, MatchScoutingData!X$2:X$1000)</f>
        <v/>
      </c>
      <c r="V37" s="48">
        <f>SUMIF(MatchScoutingData!$E$2:$E$1000, $A37, MatchScoutingData!AB$2:AB$1000)</f>
        <v/>
      </c>
      <c r="W37" s="48">
        <f>SUMIF(MatchScoutingData!$E$2:$E$1000, $A37, MatchScoutingData!Y$2:Y$1000)</f>
        <v/>
      </c>
      <c r="X37" s="48">
        <f>SUMIF(MatchScoutingData!$E$2:$E$1000, $A37, MatchScoutingData!Z$2:Z$1000)</f>
        <v/>
      </c>
      <c r="Y37" s="48">
        <f>SUMIF(MatchScoutingData!$E$2:$E$1000, $A37, MatchScoutingData!AA$2:AA$1000)</f>
        <v/>
      </c>
      <c r="Z37" s="48">
        <f>SUM(W37:Y37)</f>
        <v/>
      </c>
    </row>
    <row r="38">
      <c r="A38" s="47" t="n">
        <v>5667</v>
      </c>
      <c r="B38" s="47">
        <f>COUNTIF(MatchScoutingData!E$2:E$1000, $A38)</f>
        <v/>
      </c>
      <c r="C38" s="48">
        <f>SUMIF(MatchScoutingData!$E$2:$E$1000, $A38, MatchScoutingData!F$2:F$1000)</f>
        <v/>
      </c>
      <c r="D38" s="48">
        <f>SUMIF(MatchScoutingData!$E$2:$E$1000, $A38, MatchScoutingData!G$2:G$1000)</f>
        <v/>
      </c>
      <c r="E38" s="48">
        <f>SUMIF(MatchScoutingData!$E$2:$E$1000, $A38, MatchScoutingData!H$2:H$1000)</f>
        <v/>
      </c>
      <c r="F38" s="48">
        <f>SUMIF(MatchScoutingData!$E$2:$E$1000, $A38, MatchScoutingData!I$2:I$1000)</f>
        <v/>
      </c>
      <c r="G38" s="48">
        <f>SUMIF(MatchScoutingData!$E$2:$E$1000, $A38, MatchScoutingData!J$2:J$1000)</f>
        <v/>
      </c>
      <c r="H38" s="48">
        <f>SUMIF(MatchScoutingData!$E$2:$E$1000, $A38, MatchScoutingData!K$2:K$1000)</f>
        <v/>
      </c>
      <c r="I38" s="48">
        <f>SUMIF(MatchScoutingData!$E$2:$E$1000, $A38, MatchScoutingData!L$2:L$1000)</f>
        <v/>
      </c>
      <c r="J38" s="48">
        <f>SUMIF(MatchScoutingData!$E$2:$E$1000, $A38, MatchScoutingData!M$2:M$1000)</f>
        <v/>
      </c>
      <c r="K38" s="48">
        <f>SUMIF(MatchScoutingData!$E$2:$E$1000, $A38, MatchScoutingData!N$2:N$1000)</f>
        <v/>
      </c>
      <c r="L38" s="48">
        <f>SUMIF(MatchScoutingData!$E$2:$E$1000, $A38, MatchScoutingData!O$2:O$1000)</f>
        <v/>
      </c>
      <c r="M38" s="48">
        <f>SUMIF(MatchScoutingData!$E$2:$E$1000, $A38, MatchScoutingData!P$2:P$1000)</f>
        <v/>
      </c>
      <c r="N38" s="48">
        <f>SUMIF(MatchScoutingData!$E$2:$E$1000, $A38, MatchScoutingData!Q$2:Q$1000)</f>
        <v/>
      </c>
      <c r="O38" s="48">
        <f>SUMIF(MatchScoutingData!$E$2:$E$1000, $A38, MatchScoutingData!R$2:R$1000)</f>
        <v/>
      </c>
      <c r="P38" s="48">
        <f>SUMIF(MatchScoutingData!$E$2:$E$1000, $A38, MatchScoutingData!S$2:S$1000)</f>
        <v/>
      </c>
      <c r="Q38" s="48">
        <f>SUMIF(MatchScoutingData!$E$2:$E$1000, $A38, MatchScoutingData!T$2:T$1000)</f>
        <v/>
      </c>
      <c r="R38" s="48">
        <f>SUMIF(MatchScoutingData!$E$2:$E$1000, $A38, MatchScoutingData!U$2:U$1000)</f>
        <v/>
      </c>
      <c r="S38" s="48">
        <f>SUMIF(MatchScoutingData!$E$2:$E$1000, $A38, MatchScoutingData!V$2:V$1000)</f>
        <v/>
      </c>
      <c r="T38" s="48">
        <f>SUMIF(MatchScoutingData!$E$2:$E$1000, $A38, MatchScoutingData!W$2:W$1000)</f>
        <v/>
      </c>
      <c r="U38" s="48">
        <f>SUMIF(MatchScoutingData!$E$2:$E$1000, $A38, MatchScoutingData!X$2:X$1000)</f>
        <v/>
      </c>
      <c r="V38" s="48">
        <f>SUMIF(MatchScoutingData!$E$2:$E$1000, $A38, MatchScoutingData!AB$2:AB$1000)</f>
        <v/>
      </c>
      <c r="W38" s="48">
        <f>SUMIF(MatchScoutingData!$E$2:$E$1000, $A38, MatchScoutingData!Y$2:Y$1000)</f>
        <v/>
      </c>
      <c r="X38" s="48">
        <f>SUMIF(MatchScoutingData!$E$2:$E$1000, $A38, MatchScoutingData!Z$2:Z$1000)</f>
        <v/>
      </c>
      <c r="Y38" s="48">
        <f>SUMIF(MatchScoutingData!$E$2:$E$1000, $A38, MatchScoutingData!AA$2:AA$1000)</f>
        <v/>
      </c>
      <c r="Z38" s="48">
        <f>SUM(W38:Y38)</f>
        <v/>
      </c>
    </row>
    <row r="39">
      <c r="A39" s="47" t="n">
        <v>5811</v>
      </c>
      <c r="B39" s="47">
        <f>COUNTIF(MatchScoutingData!E$2:E$1000, $A39)</f>
        <v/>
      </c>
      <c r="C39" s="48">
        <f>SUMIF(MatchScoutingData!$E$2:$E$1000, $A39, MatchScoutingData!F$2:F$1000)</f>
        <v/>
      </c>
      <c r="D39" s="48">
        <f>SUMIF(MatchScoutingData!$E$2:$E$1000, $A39, MatchScoutingData!G$2:G$1000)</f>
        <v/>
      </c>
      <c r="E39" s="48">
        <f>SUMIF(MatchScoutingData!$E$2:$E$1000, $A39, MatchScoutingData!H$2:H$1000)</f>
        <v/>
      </c>
      <c r="F39" s="48">
        <f>SUMIF(MatchScoutingData!$E$2:$E$1000, $A39, MatchScoutingData!I$2:I$1000)</f>
        <v/>
      </c>
      <c r="G39" s="48">
        <f>SUMIF(MatchScoutingData!$E$2:$E$1000, $A39, MatchScoutingData!J$2:J$1000)</f>
        <v/>
      </c>
      <c r="H39" s="48">
        <f>SUMIF(MatchScoutingData!$E$2:$E$1000, $A39, MatchScoutingData!K$2:K$1000)</f>
        <v/>
      </c>
      <c r="I39" s="48">
        <f>SUMIF(MatchScoutingData!$E$2:$E$1000, $A39, MatchScoutingData!L$2:L$1000)</f>
        <v/>
      </c>
      <c r="J39" s="48">
        <f>SUMIF(MatchScoutingData!$E$2:$E$1000, $A39, MatchScoutingData!M$2:M$1000)</f>
        <v/>
      </c>
      <c r="K39" s="48">
        <f>SUMIF(MatchScoutingData!$E$2:$E$1000, $A39, MatchScoutingData!N$2:N$1000)</f>
        <v/>
      </c>
      <c r="L39" s="48">
        <f>SUMIF(MatchScoutingData!$E$2:$E$1000, $A39, MatchScoutingData!O$2:O$1000)</f>
        <v/>
      </c>
      <c r="M39" s="48">
        <f>SUMIF(MatchScoutingData!$E$2:$E$1000, $A39, MatchScoutingData!P$2:P$1000)</f>
        <v/>
      </c>
      <c r="N39" s="48">
        <f>SUMIF(MatchScoutingData!$E$2:$E$1000, $A39, MatchScoutingData!Q$2:Q$1000)</f>
        <v/>
      </c>
      <c r="O39" s="48">
        <f>SUMIF(MatchScoutingData!$E$2:$E$1000, $A39, MatchScoutingData!R$2:R$1000)</f>
        <v/>
      </c>
      <c r="P39" s="48">
        <f>SUMIF(MatchScoutingData!$E$2:$E$1000, $A39, MatchScoutingData!S$2:S$1000)</f>
        <v/>
      </c>
      <c r="Q39" s="48">
        <f>SUMIF(MatchScoutingData!$E$2:$E$1000, $A39, MatchScoutingData!T$2:T$1000)</f>
        <v/>
      </c>
      <c r="R39" s="48">
        <f>SUMIF(MatchScoutingData!$E$2:$E$1000, $A39, MatchScoutingData!U$2:U$1000)</f>
        <v/>
      </c>
      <c r="S39" s="48">
        <f>SUMIF(MatchScoutingData!$E$2:$E$1000, $A39, MatchScoutingData!V$2:V$1000)</f>
        <v/>
      </c>
      <c r="T39" s="48">
        <f>SUMIF(MatchScoutingData!$E$2:$E$1000, $A39, MatchScoutingData!W$2:W$1000)</f>
        <v/>
      </c>
      <c r="U39" s="48">
        <f>SUMIF(MatchScoutingData!$E$2:$E$1000, $A39, MatchScoutingData!X$2:X$1000)</f>
        <v/>
      </c>
      <c r="V39" s="48">
        <f>SUMIF(MatchScoutingData!$E$2:$E$1000, $A39, MatchScoutingData!AB$2:AB$1000)</f>
        <v/>
      </c>
      <c r="W39" s="48">
        <f>SUMIF(MatchScoutingData!$E$2:$E$1000, $A39, MatchScoutingData!Y$2:Y$1000)</f>
        <v/>
      </c>
      <c r="X39" s="48">
        <f>SUMIF(MatchScoutingData!$E$2:$E$1000, $A39, MatchScoutingData!Z$2:Z$1000)</f>
        <v/>
      </c>
      <c r="Y39" s="48">
        <f>SUMIF(MatchScoutingData!$E$2:$E$1000, $A39, MatchScoutingData!AA$2:AA$1000)</f>
        <v/>
      </c>
      <c r="Z39" s="48">
        <f>SUM(W39:Y39)</f>
        <v/>
      </c>
    </row>
    <row r="40">
      <c r="A40" s="47" t="n">
        <v>6237</v>
      </c>
      <c r="B40" s="47">
        <f>COUNTIF(MatchScoutingData!E$2:E$1000, $A40)</f>
        <v/>
      </c>
      <c r="C40" s="48">
        <f>SUMIF(MatchScoutingData!$E$2:$E$1000, $A40, MatchScoutingData!F$2:F$1000)</f>
        <v/>
      </c>
      <c r="D40" s="48">
        <f>SUMIF(MatchScoutingData!$E$2:$E$1000, $A40, MatchScoutingData!G$2:G$1000)</f>
        <v/>
      </c>
      <c r="E40" s="48">
        <f>SUMIF(MatchScoutingData!$E$2:$E$1000, $A40, MatchScoutingData!H$2:H$1000)</f>
        <v/>
      </c>
      <c r="F40" s="48">
        <f>SUMIF(MatchScoutingData!$E$2:$E$1000, $A40, MatchScoutingData!I$2:I$1000)</f>
        <v/>
      </c>
      <c r="G40" s="48">
        <f>SUMIF(MatchScoutingData!$E$2:$E$1000, $A40, MatchScoutingData!J$2:J$1000)</f>
        <v/>
      </c>
      <c r="H40" s="48">
        <f>SUMIF(MatchScoutingData!$E$2:$E$1000, $A40, MatchScoutingData!K$2:K$1000)</f>
        <v/>
      </c>
      <c r="I40" s="48">
        <f>SUMIF(MatchScoutingData!$E$2:$E$1000, $A40, MatchScoutingData!L$2:L$1000)</f>
        <v/>
      </c>
      <c r="J40" s="48">
        <f>SUMIF(MatchScoutingData!$E$2:$E$1000, $A40, MatchScoutingData!M$2:M$1000)</f>
        <v/>
      </c>
      <c r="K40" s="48">
        <f>SUMIF(MatchScoutingData!$E$2:$E$1000, $A40, MatchScoutingData!N$2:N$1000)</f>
        <v/>
      </c>
      <c r="L40" s="48">
        <f>SUMIF(MatchScoutingData!$E$2:$E$1000, $A40, MatchScoutingData!O$2:O$1000)</f>
        <v/>
      </c>
      <c r="M40" s="48">
        <f>SUMIF(MatchScoutingData!$E$2:$E$1000, $A40, MatchScoutingData!P$2:P$1000)</f>
        <v/>
      </c>
      <c r="N40" s="48">
        <f>SUMIF(MatchScoutingData!$E$2:$E$1000, $A40, MatchScoutingData!Q$2:Q$1000)</f>
        <v/>
      </c>
      <c r="O40" s="48">
        <f>SUMIF(MatchScoutingData!$E$2:$E$1000, $A40, MatchScoutingData!R$2:R$1000)</f>
        <v/>
      </c>
      <c r="P40" s="48">
        <f>SUMIF(MatchScoutingData!$E$2:$E$1000, $A40, MatchScoutingData!S$2:S$1000)</f>
        <v/>
      </c>
      <c r="Q40" s="48">
        <f>SUMIF(MatchScoutingData!$E$2:$E$1000, $A40, MatchScoutingData!T$2:T$1000)</f>
        <v/>
      </c>
      <c r="R40" s="48">
        <f>SUMIF(MatchScoutingData!$E$2:$E$1000, $A40, MatchScoutingData!U$2:U$1000)</f>
        <v/>
      </c>
      <c r="S40" s="48">
        <f>SUMIF(MatchScoutingData!$E$2:$E$1000, $A40, MatchScoutingData!V$2:V$1000)</f>
        <v/>
      </c>
      <c r="T40" s="48">
        <f>SUMIF(MatchScoutingData!$E$2:$E$1000, $A40, MatchScoutingData!W$2:W$1000)</f>
        <v/>
      </c>
      <c r="U40" s="48">
        <f>SUMIF(MatchScoutingData!$E$2:$E$1000, $A40, MatchScoutingData!X$2:X$1000)</f>
        <v/>
      </c>
      <c r="V40" s="48">
        <f>SUMIF(MatchScoutingData!$E$2:$E$1000, $A40, MatchScoutingData!AB$2:AB$1000)</f>
        <v/>
      </c>
      <c r="W40" s="48">
        <f>SUMIF(MatchScoutingData!$E$2:$E$1000, $A40, MatchScoutingData!Y$2:Y$1000)</f>
        <v/>
      </c>
      <c r="X40" s="48">
        <f>SUMIF(MatchScoutingData!$E$2:$E$1000, $A40, MatchScoutingData!Z$2:Z$1000)</f>
        <v/>
      </c>
      <c r="Y40" s="48">
        <f>SUMIF(MatchScoutingData!$E$2:$E$1000, $A40, MatchScoutingData!AA$2:AA$1000)</f>
        <v/>
      </c>
      <c r="Z40" s="48">
        <f>SUM(W40:Y40)</f>
        <v/>
      </c>
    </row>
    <row r="41">
      <c r="A41" s="47" t="n">
        <v>6302</v>
      </c>
      <c r="B41" s="47">
        <f>COUNTIF(MatchScoutingData!E$2:E$1000, $A41)</f>
        <v/>
      </c>
      <c r="C41" s="48">
        <f>SUMIF(MatchScoutingData!$E$2:$E$1000, $A41, MatchScoutingData!F$2:F$1000)</f>
        <v/>
      </c>
      <c r="D41" s="48">
        <f>SUMIF(MatchScoutingData!$E$2:$E$1000, $A41, MatchScoutingData!G$2:G$1000)</f>
        <v/>
      </c>
      <c r="E41" s="48">
        <f>SUMIF(MatchScoutingData!$E$2:$E$1000, $A41, MatchScoutingData!H$2:H$1000)</f>
        <v/>
      </c>
      <c r="F41" s="48">
        <f>SUMIF(MatchScoutingData!$E$2:$E$1000, $A41, MatchScoutingData!I$2:I$1000)</f>
        <v/>
      </c>
      <c r="G41" s="48">
        <f>SUMIF(MatchScoutingData!$E$2:$E$1000, $A41, MatchScoutingData!J$2:J$1000)</f>
        <v/>
      </c>
      <c r="H41" s="48">
        <f>SUMIF(MatchScoutingData!$E$2:$E$1000, $A41, MatchScoutingData!K$2:K$1000)</f>
        <v/>
      </c>
      <c r="I41" s="48">
        <f>SUMIF(MatchScoutingData!$E$2:$E$1000, $A41, MatchScoutingData!L$2:L$1000)</f>
        <v/>
      </c>
      <c r="J41" s="48">
        <f>SUMIF(MatchScoutingData!$E$2:$E$1000, $A41, MatchScoutingData!M$2:M$1000)</f>
        <v/>
      </c>
      <c r="K41" s="48">
        <f>SUMIF(MatchScoutingData!$E$2:$E$1000, $A41, MatchScoutingData!N$2:N$1000)</f>
        <v/>
      </c>
      <c r="L41" s="48">
        <f>SUMIF(MatchScoutingData!$E$2:$E$1000, $A41, MatchScoutingData!O$2:O$1000)</f>
        <v/>
      </c>
      <c r="M41" s="48">
        <f>SUMIF(MatchScoutingData!$E$2:$E$1000, $A41, MatchScoutingData!P$2:P$1000)</f>
        <v/>
      </c>
      <c r="N41" s="48">
        <f>SUMIF(MatchScoutingData!$E$2:$E$1000, $A41, MatchScoutingData!Q$2:Q$1000)</f>
        <v/>
      </c>
      <c r="O41" s="48">
        <f>SUMIF(MatchScoutingData!$E$2:$E$1000, $A41, MatchScoutingData!R$2:R$1000)</f>
        <v/>
      </c>
      <c r="P41" s="48">
        <f>SUMIF(MatchScoutingData!$E$2:$E$1000, $A41, MatchScoutingData!S$2:S$1000)</f>
        <v/>
      </c>
      <c r="Q41" s="48">
        <f>SUMIF(MatchScoutingData!$E$2:$E$1000, $A41, MatchScoutingData!T$2:T$1000)</f>
        <v/>
      </c>
      <c r="R41" s="48">
        <f>SUMIF(MatchScoutingData!$E$2:$E$1000, $A41, MatchScoutingData!U$2:U$1000)</f>
        <v/>
      </c>
      <c r="S41" s="48">
        <f>SUMIF(MatchScoutingData!$E$2:$E$1000, $A41, MatchScoutingData!V$2:V$1000)</f>
        <v/>
      </c>
      <c r="T41" s="48">
        <f>SUMIF(MatchScoutingData!$E$2:$E$1000, $A41, MatchScoutingData!W$2:W$1000)</f>
        <v/>
      </c>
      <c r="U41" s="48">
        <f>SUMIF(MatchScoutingData!$E$2:$E$1000, $A41, MatchScoutingData!X$2:X$1000)</f>
        <v/>
      </c>
      <c r="V41" s="48">
        <f>SUMIF(MatchScoutingData!$E$2:$E$1000, $A41, MatchScoutingData!AB$2:AB$1000)</f>
        <v/>
      </c>
      <c r="W41" s="48">
        <f>SUMIF(MatchScoutingData!$E$2:$E$1000, $A41, MatchScoutingData!Y$2:Y$1000)</f>
        <v/>
      </c>
      <c r="X41" s="48">
        <f>SUMIF(MatchScoutingData!$E$2:$E$1000, $A41, MatchScoutingData!Z$2:Z$1000)</f>
        <v/>
      </c>
      <c r="Y41" s="48">
        <f>SUMIF(MatchScoutingData!$E$2:$E$1000, $A41, MatchScoutingData!AA$2:AA$1000)</f>
        <v/>
      </c>
      <c r="Z41" s="48">
        <f>SUM(W41:Y41)</f>
        <v/>
      </c>
    </row>
    <row r="42">
      <c r="A42" s="47" t="n">
        <v>6964</v>
      </c>
      <c r="B42" s="47">
        <f>COUNTIF(MatchScoutingData!E$2:E$1000, $A42)</f>
        <v/>
      </c>
      <c r="C42" s="48">
        <f>SUMIF(MatchScoutingData!$E$2:$E$1000, $A42, MatchScoutingData!F$2:F$1000)</f>
        <v/>
      </c>
      <c r="D42" s="48">
        <f>SUMIF(MatchScoutingData!$E$2:$E$1000, $A42, MatchScoutingData!G$2:G$1000)</f>
        <v/>
      </c>
      <c r="E42" s="48">
        <f>SUMIF(MatchScoutingData!$E$2:$E$1000, $A42, MatchScoutingData!H$2:H$1000)</f>
        <v/>
      </c>
      <c r="F42" s="48">
        <f>SUMIF(MatchScoutingData!$E$2:$E$1000, $A42, MatchScoutingData!I$2:I$1000)</f>
        <v/>
      </c>
      <c r="G42" s="48">
        <f>SUMIF(MatchScoutingData!$E$2:$E$1000, $A42, MatchScoutingData!J$2:J$1000)</f>
        <v/>
      </c>
      <c r="H42" s="48">
        <f>SUMIF(MatchScoutingData!$E$2:$E$1000, $A42, MatchScoutingData!K$2:K$1000)</f>
        <v/>
      </c>
      <c r="I42" s="48">
        <f>SUMIF(MatchScoutingData!$E$2:$E$1000, $A42, MatchScoutingData!L$2:L$1000)</f>
        <v/>
      </c>
      <c r="J42" s="48">
        <f>SUMIF(MatchScoutingData!$E$2:$E$1000, $A42, MatchScoutingData!M$2:M$1000)</f>
        <v/>
      </c>
      <c r="K42" s="48">
        <f>SUMIF(MatchScoutingData!$E$2:$E$1000, $A42, MatchScoutingData!N$2:N$1000)</f>
        <v/>
      </c>
      <c r="L42" s="48">
        <f>SUMIF(MatchScoutingData!$E$2:$E$1000, $A42, MatchScoutingData!O$2:O$1000)</f>
        <v/>
      </c>
      <c r="M42" s="48">
        <f>SUMIF(MatchScoutingData!$E$2:$E$1000, $A42, MatchScoutingData!P$2:P$1000)</f>
        <v/>
      </c>
      <c r="N42" s="48">
        <f>SUMIF(MatchScoutingData!$E$2:$E$1000, $A42, MatchScoutingData!Q$2:Q$1000)</f>
        <v/>
      </c>
      <c r="O42" s="48">
        <f>SUMIF(MatchScoutingData!$E$2:$E$1000, $A42, MatchScoutingData!R$2:R$1000)</f>
        <v/>
      </c>
      <c r="P42" s="48">
        <f>SUMIF(MatchScoutingData!$E$2:$E$1000, $A42, MatchScoutingData!S$2:S$1000)</f>
        <v/>
      </c>
      <c r="Q42" s="48">
        <f>SUMIF(MatchScoutingData!$E$2:$E$1000, $A42, MatchScoutingData!T$2:T$1000)</f>
        <v/>
      </c>
      <c r="R42" s="48">
        <f>SUMIF(MatchScoutingData!$E$2:$E$1000, $A42, MatchScoutingData!U$2:U$1000)</f>
        <v/>
      </c>
      <c r="S42" s="48">
        <f>SUMIF(MatchScoutingData!$E$2:$E$1000, $A42, MatchScoutingData!V$2:V$1000)</f>
        <v/>
      </c>
      <c r="T42" s="48">
        <f>SUMIF(MatchScoutingData!$E$2:$E$1000, $A42, MatchScoutingData!W$2:W$1000)</f>
        <v/>
      </c>
      <c r="U42" s="48">
        <f>SUMIF(MatchScoutingData!$E$2:$E$1000, $A42, MatchScoutingData!X$2:X$1000)</f>
        <v/>
      </c>
      <c r="V42" s="48">
        <f>SUMIF(MatchScoutingData!$E$2:$E$1000, $A42, MatchScoutingData!AB$2:AB$1000)</f>
        <v/>
      </c>
      <c r="W42" s="48">
        <f>SUMIF(MatchScoutingData!$E$2:$E$1000, $A42, MatchScoutingData!Y$2:Y$1000)</f>
        <v/>
      </c>
      <c r="X42" s="48">
        <f>SUMIF(MatchScoutingData!$E$2:$E$1000, $A42, MatchScoutingData!Z$2:Z$1000)</f>
        <v/>
      </c>
      <c r="Y42" s="48">
        <f>SUMIF(MatchScoutingData!$E$2:$E$1000, $A42, MatchScoutingData!AA$2:AA$1000)</f>
        <v/>
      </c>
      <c r="Z42" s="48">
        <f>SUM(W42:Y42)</f>
        <v/>
      </c>
    </row>
    <row r="43">
      <c r="A43" s="47" t="n">
        <v>8145</v>
      </c>
      <c r="B43" s="47">
        <f>COUNTIF(MatchScoutingData!E$2:E$1000, $A43)</f>
        <v/>
      </c>
      <c r="C43" s="48">
        <f>SUMIF(MatchScoutingData!$E$2:$E$1000, $A43, MatchScoutingData!F$2:F$1000)</f>
        <v/>
      </c>
      <c r="D43" s="48">
        <f>SUMIF(MatchScoutingData!$E$2:$E$1000, $A43, MatchScoutingData!G$2:G$1000)</f>
        <v/>
      </c>
      <c r="E43" s="48">
        <f>SUMIF(MatchScoutingData!$E$2:$E$1000, $A43, MatchScoutingData!H$2:H$1000)</f>
        <v/>
      </c>
      <c r="F43" s="48">
        <f>SUMIF(MatchScoutingData!$E$2:$E$1000, $A43, MatchScoutingData!I$2:I$1000)</f>
        <v/>
      </c>
      <c r="G43" s="48">
        <f>SUMIF(MatchScoutingData!$E$2:$E$1000, $A43, MatchScoutingData!J$2:J$1000)</f>
        <v/>
      </c>
      <c r="H43" s="48">
        <f>SUMIF(MatchScoutingData!$E$2:$E$1000, $A43, MatchScoutingData!K$2:K$1000)</f>
        <v/>
      </c>
      <c r="I43" s="48">
        <f>SUMIF(MatchScoutingData!$E$2:$E$1000, $A43, MatchScoutingData!L$2:L$1000)</f>
        <v/>
      </c>
      <c r="J43" s="48">
        <f>SUMIF(MatchScoutingData!$E$2:$E$1000, $A43, MatchScoutingData!M$2:M$1000)</f>
        <v/>
      </c>
      <c r="K43" s="48">
        <f>SUMIF(MatchScoutingData!$E$2:$E$1000, $A43, MatchScoutingData!N$2:N$1000)</f>
        <v/>
      </c>
      <c r="L43" s="48">
        <f>SUMIF(MatchScoutingData!$E$2:$E$1000, $A43, MatchScoutingData!O$2:O$1000)</f>
        <v/>
      </c>
      <c r="M43" s="48">
        <f>SUMIF(MatchScoutingData!$E$2:$E$1000, $A43, MatchScoutingData!P$2:P$1000)</f>
        <v/>
      </c>
      <c r="N43" s="48">
        <f>SUMIF(MatchScoutingData!$E$2:$E$1000, $A43, MatchScoutingData!Q$2:Q$1000)</f>
        <v/>
      </c>
      <c r="O43" s="48">
        <f>SUMIF(MatchScoutingData!$E$2:$E$1000, $A43, MatchScoutingData!R$2:R$1000)</f>
        <v/>
      </c>
      <c r="P43" s="48">
        <f>SUMIF(MatchScoutingData!$E$2:$E$1000, $A43, MatchScoutingData!S$2:S$1000)</f>
        <v/>
      </c>
      <c r="Q43" s="48">
        <f>SUMIF(MatchScoutingData!$E$2:$E$1000, $A43, MatchScoutingData!T$2:T$1000)</f>
        <v/>
      </c>
      <c r="R43" s="48">
        <f>SUMIF(MatchScoutingData!$E$2:$E$1000, $A43, MatchScoutingData!U$2:U$1000)</f>
        <v/>
      </c>
      <c r="S43" s="48">
        <f>SUMIF(MatchScoutingData!$E$2:$E$1000, $A43, MatchScoutingData!V$2:V$1000)</f>
        <v/>
      </c>
      <c r="T43" s="48">
        <f>SUMIF(MatchScoutingData!$E$2:$E$1000, $A43, MatchScoutingData!W$2:W$1000)</f>
        <v/>
      </c>
      <c r="U43" s="48">
        <f>SUMIF(MatchScoutingData!$E$2:$E$1000, $A43, MatchScoutingData!X$2:X$1000)</f>
        <v/>
      </c>
      <c r="V43" s="48">
        <f>SUMIF(MatchScoutingData!$E$2:$E$1000, $A43, MatchScoutingData!AB$2:AB$1000)</f>
        <v/>
      </c>
      <c r="W43" s="48">
        <f>SUMIF(MatchScoutingData!$E$2:$E$1000, $A43, MatchScoutingData!Y$2:Y$1000)</f>
        <v/>
      </c>
      <c r="X43" s="48">
        <f>SUMIF(MatchScoutingData!$E$2:$E$1000, $A43, MatchScoutingData!Z$2:Z$1000)</f>
        <v/>
      </c>
      <c r="Y43" s="48">
        <f>SUMIF(MatchScoutingData!$E$2:$E$1000, $A43, MatchScoutingData!AA$2:AA$1000)</f>
        <v/>
      </c>
      <c r="Z43" s="48">
        <f>SUM(W43:Y43)</f>
        <v/>
      </c>
    </row>
    <row r="44">
      <c r="A44" s="47" t="n">
        <v>8243</v>
      </c>
      <c r="B44" s="47">
        <f>COUNTIF(MatchScoutingData!E$2:E$1000, $A44)</f>
        <v/>
      </c>
      <c r="C44" s="48">
        <f>SUMIF(MatchScoutingData!$E$2:$E$1000, $A44, MatchScoutingData!F$2:F$1000)</f>
        <v/>
      </c>
      <c r="D44" s="48">
        <f>SUMIF(MatchScoutingData!$E$2:$E$1000, $A44, MatchScoutingData!G$2:G$1000)</f>
        <v/>
      </c>
      <c r="E44" s="48">
        <f>SUMIF(MatchScoutingData!$E$2:$E$1000, $A44, MatchScoutingData!H$2:H$1000)</f>
        <v/>
      </c>
      <c r="F44" s="48">
        <f>SUMIF(MatchScoutingData!$E$2:$E$1000, $A44, MatchScoutingData!I$2:I$1000)</f>
        <v/>
      </c>
      <c r="G44" s="48">
        <f>SUMIF(MatchScoutingData!$E$2:$E$1000, $A44, MatchScoutingData!J$2:J$1000)</f>
        <v/>
      </c>
      <c r="H44" s="48">
        <f>SUMIF(MatchScoutingData!$E$2:$E$1000, $A44, MatchScoutingData!K$2:K$1000)</f>
        <v/>
      </c>
      <c r="I44" s="48">
        <f>SUMIF(MatchScoutingData!$E$2:$E$1000, $A44, MatchScoutingData!L$2:L$1000)</f>
        <v/>
      </c>
      <c r="J44" s="48">
        <f>SUMIF(MatchScoutingData!$E$2:$E$1000, $A44, MatchScoutingData!M$2:M$1000)</f>
        <v/>
      </c>
      <c r="K44" s="48">
        <f>SUMIF(MatchScoutingData!$E$2:$E$1000, $A44, MatchScoutingData!N$2:N$1000)</f>
        <v/>
      </c>
      <c r="L44" s="48">
        <f>SUMIF(MatchScoutingData!$E$2:$E$1000, $A44, MatchScoutingData!O$2:O$1000)</f>
        <v/>
      </c>
      <c r="M44" s="48">
        <f>SUMIF(MatchScoutingData!$E$2:$E$1000, $A44, MatchScoutingData!P$2:P$1000)</f>
        <v/>
      </c>
      <c r="N44" s="48">
        <f>SUMIF(MatchScoutingData!$E$2:$E$1000, $A44, MatchScoutingData!Q$2:Q$1000)</f>
        <v/>
      </c>
      <c r="O44" s="48">
        <f>SUMIF(MatchScoutingData!$E$2:$E$1000, $A44, MatchScoutingData!R$2:R$1000)</f>
        <v/>
      </c>
      <c r="P44" s="48">
        <f>SUMIF(MatchScoutingData!$E$2:$E$1000, $A44, MatchScoutingData!S$2:S$1000)</f>
        <v/>
      </c>
      <c r="Q44" s="48">
        <f>SUMIF(MatchScoutingData!$E$2:$E$1000, $A44, MatchScoutingData!T$2:T$1000)</f>
        <v/>
      </c>
      <c r="R44" s="48">
        <f>SUMIF(MatchScoutingData!$E$2:$E$1000, $A44, MatchScoutingData!U$2:U$1000)</f>
        <v/>
      </c>
      <c r="S44" s="48">
        <f>SUMIF(MatchScoutingData!$E$2:$E$1000, $A44, MatchScoutingData!V$2:V$1000)</f>
        <v/>
      </c>
      <c r="T44" s="48">
        <f>SUMIF(MatchScoutingData!$E$2:$E$1000, $A44, MatchScoutingData!W$2:W$1000)</f>
        <v/>
      </c>
      <c r="U44" s="48">
        <f>SUMIF(MatchScoutingData!$E$2:$E$1000, $A44, MatchScoutingData!X$2:X$1000)</f>
        <v/>
      </c>
      <c r="V44" s="48">
        <f>SUMIF(MatchScoutingData!$E$2:$E$1000, $A44, MatchScoutingData!AB$2:AB$1000)</f>
        <v/>
      </c>
      <c r="W44" s="48">
        <f>SUMIF(MatchScoutingData!$E$2:$E$1000, $A44, MatchScoutingData!Y$2:Y$1000)</f>
        <v/>
      </c>
      <c r="X44" s="48">
        <f>SUMIF(MatchScoutingData!$E$2:$E$1000, $A44, MatchScoutingData!Z$2:Z$1000)</f>
        <v/>
      </c>
      <c r="Y44" s="48">
        <f>SUMIF(MatchScoutingData!$E$2:$E$1000, $A44, MatchScoutingData!AA$2:AA$1000)</f>
        <v/>
      </c>
      <c r="Z44" s="48">
        <f>SUM(W44:Y44)</f>
        <v/>
      </c>
    </row>
    <row r="45">
      <c r="A45" s="47" t="n">
        <v>9075</v>
      </c>
      <c r="B45" s="47">
        <f>COUNTIF(MatchScoutingData!E$2:E$1000, $A45)</f>
        <v/>
      </c>
      <c r="C45" s="48">
        <f>SUMIF(MatchScoutingData!$E$2:$E$1000, $A45, MatchScoutingData!F$2:F$1000)</f>
        <v/>
      </c>
      <c r="D45" s="48">
        <f>SUMIF(MatchScoutingData!$E$2:$E$1000, $A45, MatchScoutingData!G$2:G$1000)</f>
        <v/>
      </c>
      <c r="E45" s="48">
        <f>SUMIF(MatchScoutingData!$E$2:$E$1000, $A45, MatchScoutingData!H$2:H$1000)</f>
        <v/>
      </c>
      <c r="F45" s="48">
        <f>SUMIF(MatchScoutingData!$E$2:$E$1000, $A45, MatchScoutingData!I$2:I$1000)</f>
        <v/>
      </c>
      <c r="G45" s="48">
        <f>SUMIF(MatchScoutingData!$E$2:$E$1000, $A45, MatchScoutingData!J$2:J$1000)</f>
        <v/>
      </c>
      <c r="H45" s="48">
        <f>SUMIF(MatchScoutingData!$E$2:$E$1000, $A45, MatchScoutingData!K$2:K$1000)</f>
        <v/>
      </c>
      <c r="I45" s="48">
        <f>SUMIF(MatchScoutingData!$E$2:$E$1000, $A45, MatchScoutingData!L$2:L$1000)</f>
        <v/>
      </c>
      <c r="J45" s="48">
        <f>SUMIF(MatchScoutingData!$E$2:$E$1000, $A45, MatchScoutingData!M$2:M$1000)</f>
        <v/>
      </c>
      <c r="K45" s="48">
        <f>SUMIF(MatchScoutingData!$E$2:$E$1000, $A45, MatchScoutingData!N$2:N$1000)</f>
        <v/>
      </c>
      <c r="L45" s="48">
        <f>SUMIF(MatchScoutingData!$E$2:$E$1000, $A45, MatchScoutingData!O$2:O$1000)</f>
        <v/>
      </c>
      <c r="M45" s="48">
        <f>SUMIF(MatchScoutingData!$E$2:$E$1000, $A45, MatchScoutingData!P$2:P$1000)</f>
        <v/>
      </c>
      <c r="N45" s="48">
        <f>SUMIF(MatchScoutingData!$E$2:$E$1000, $A45, MatchScoutingData!Q$2:Q$1000)</f>
        <v/>
      </c>
      <c r="O45" s="48">
        <f>SUMIF(MatchScoutingData!$E$2:$E$1000, $A45, MatchScoutingData!R$2:R$1000)</f>
        <v/>
      </c>
      <c r="P45" s="48">
        <f>SUMIF(MatchScoutingData!$E$2:$E$1000, $A45, MatchScoutingData!S$2:S$1000)</f>
        <v/>
      </c>
      <c r="Q45" s="48">
        <f>SUMIF(MatchScoutingData!$E$2:$E$1000, $A45, MatchScoutingData!T$2:T$1000)</f>
        <v/>
      </c>
      <c r="R45" s="48">
        <f>SUMIF(MatchScoutingData!$E$2:$E$1000, $A45, MatchScoutingData!U$2:U$1000)</f>
        <v/>
      </c>
      <c r="S45" s="48">
        <f>SUMIF(MatchScoutingData!$E$2:$E$1000, $A45, MatchScoutingData!V$2:V$1000)</f>
        <v/>
      </c>
      <c r="T45" s="48">
        <f>SUMIF(MatchScoutingData!$E$2:$E$1000, $A45, MatchScoutingData!W$2:W$1000)</f>
        <v/>
      </c>
      <c r="U45" s="48">
        <f>SUMIF(MatchScoutingData!$E$2:$E$1000, $A45, MatchScoutingData!X$2:X$1000)</f>
        <v/>
      </c>
      <c r="V45" s="48">
        <f>SUMIF(MatchScoutingData!$E$2:$E$1000, $A45, MatchScoutingData!AB$2:AB$1000)</f>
        <v/>
      </c>
      <c r="W45" s="48">
        <f>SUMIF(MatchScoutingData!$E$2:$E$1000, $A45, MatchScoutingData!Y$2:Y$1000)</f>
        <v/>
      </c>
      <c r="X45" s="48">
        <f>SUMIF(MatchScoutingData!$E$2:$E$1000, $A45, MatchScoutingData!Z$2:Z$1000)</f>
        <v/>
      </c>
      <c r="Y45" s="48">
        <f>SUMIF(MatchScoutingData!$E$2:$E$1000, $A45, MatchScoutingData!AA$2:AA$1000)</f>
        <v/>
      </c>
      <c r="Z45" s="48">
        <f>SUM(W45:Y45)</f>
        <v/>
      </c>
    </row>
    <row r="46">
      <c r="A46" s="47" t="n">
        <v>9097</v>
      </c>
      <c r="B46" s="47">
        <f>COUNTIF(MatchScoutingData!E$2:E$1000, $A46)</f>
        <v/>
      </c>
      <c r="C46" s="48">
        <f>SUMIF(MatchScoutingData!$E$2:$E$1000, $A46, MatchScoutingData!F$2:F$1000)</f>
        <v/>
      </c>
      <c r="D46" s="48">
        <f>SUMIF(MatchScoutingData!$E$2:$E$1000, $A46, MatchScoutingData!G$2:G$1000)</f>
        <v/>
      </c>
      <c r="E46" s="48">
        <f>SUMIF(MatchScoutingData!$E$2:$E$1000, $A46, MatchScoutingData!H$2:H$1000)</f>
        <v/>
      </c>
      <c r="F46" s="48">
        <f>SUMIF(MatchScoutingData!$E$2:$E$1000, $A46, MatchScoutingData!I$2:I$1000)</f>
        <v/>
      </c>
      <c r="G46" s="48">
        <f>SUMIF(MatchScoutingData!$E$2:$E$1000, $A46, MatchScoutingData!J$2:J$1000)</f>
        <v/>
      </c>
      <c r="H46" s="48">
        <f>SUMIF(MatchScoutingData!$E$2:$E$1000, $A46, MatchScoutingData!K$2:K$1000)</f>
        <v/>
      </c>
      <c r="I46" s="48">
        <f>SUMIF(MatchScoutingData!$E$2:$E$1000, $A46, MatchScoutingData!L$2:L$1000)</f>
        <v/>
      </c>
      <c r="J46" s="48">
        <f>SUMIF(MatchScoutingData!$E$2:$E$1000, $A46, MatchScoutingData!M$2:M$1000)</f>
        <v/>
      </c>
      <c r="K46" s="48">
        <f>SUMIF(MatchScoutingData!$E$2:$E$1000, $A46, MatchScoutingData!N$2:N$1000)</f>
        <v/>
      </c>
      <c r="L46" s="48">
        <f>SUMIF(MatchScoutingData!$E$2:$E$1000, $A46, MatchScoutingData!O$2:O$1000)</f>
        <v/>
      </c>
      <c r="M46" s="48">
        <f>SUMIF(MatchScoutingData!$E$2:$E$1000, $A46, MatchScoutingData!P$2:P$1000)</f>
        <v/>
      </c>
      <c r="N46" s="48">
        <f>SUMIF(MatchScoutingData!$E$2:$E$1000, $A46, MatchScoutingData!Q$2:Q$1000)</f>
        <v/>
      </c>
      <c r="O46" s="48">
        <f>SUMIF(MatchScoutingData!$E$2:$E$1000, $A46, MatchScoutingData!R$2:R$1000)</f>
        <v/>
      </c>
      <c r="P46" s="48">
        <f>SUMIF(MatchScoutingData!$E$2:$E$1000, $A46, MatchScoutingData!S$2:S$1000)</f>
        <v/>
      </c>
      <c r="Q46" s="48">
        <f>SUMIF(MatchScoutingData!$E$2:$E$1000, $A46, MatchScoutingData!T$2:T$1000)</f>
        <v/>
      </c>
      <c r="R46" s="48">
        <f>SUMIF(MatchScoutingData!$E$2:$E$1000, $A46, MatchScoutingData!U$2:U$1000)</f>
        <v/>
      </c>
      <c r="S46" s="48">
        <f>SUMIF(MatchScoutingData!$E$2:$E$1000, $A46, MatchScoutingData!V$2:V$1000)</f>
        <v/>
      </c>
      <c r="T46" s="48">
        <f>SUMIF(MatchScoutingData!$E$2:$E$1000, $A46, MatchScoutingData!W$2:W$1000)</f>
        <v/>
      </c>
      <c r="U46" s="48">
        <f>SUMIF(MatchScoutingData!$E$2:$E$1000, $A46, MatchScoutingData!X$2:X$1000)</f>
        <v/>
      </c>
      <c r="V46" s="48">
        <f>SUMIF(MatchScoutingData!$E$2:$E$1000, $A46, MatchScoutingData!AB$2:AB$1000)</f>
        <v/>
      </c>
      <c r="W46" s="48">
        <f>SUMIF(MatchScoutingData!$E$2:$E$1000, $A46, MatchScoutingData!Y$2:Y$1000)</f>
        <v/>
      </c>
      <c r="X46" s="48">
        <f>SUMIF(MatchScoutingData!$E$2:$E$1000, $A46, MatchScoutingData!Z$2:Z$1000)</f>
        <v/>
      </c>
      <c r="Y46" s="48">
        <f>SUMIF(MatchScoutingData!$E$2:$E$1000, $A46, MatchScoutingData!AA$2:AA$1000)</f>
        <v/>
      </c>
      <c r="Z46" s="48">
        <f>SUM(W46:Y46)</f>
        <v/>
      </c>
    </row>
    <row r="47">
      <c r="A47" s="47" t="n">
        <v>9139</v>
      </c>
      <c r="B47" s="47">
        <f>COUNTIF(MatchScoutingData!E$2:E$1000, $A47)</f>
        <v/>
      </c>
      <c r="C47" s="48">
        <f>SUMIF(MatchScoutingData!$E$2:$E$1000, $A47, MatchScoutingData!F$2:F$1000)</f>
        <v/>
      </c>
      <c r="D47" s="48">
        <f>SUMIF(MatchScoutingData!$E$2:$E$1000, $A47, MatchScoutingData!G$2:G$1000)</f>
        <v/>
      </c>
      <c r="E47" s="48">
        <f>SUMIF(MatchScoutingData!$E$2:$E$1000, $A47, MatchScoutingData!H$2:H$1000)</f>
        <v/>
      </c>
      <c r="F47" s="48">
        <f>SUMIF(MatchScoutingData!$E$2:$E$1000, $A47, MatchScoutingData!I$2:I$1000)</f>
        <v/>
      </c>
      <c r="G47" s="48">
        <f>SUMIF(MatchScoutingData!$E$2:$E$1000, $A47, MatchScoutingData!J$2:J$1000)</f>
        <v/>
      </c>
      <c r="H47" s="48">
        <f>SUMIF(MatchScoutingData!$E$2:$E$1000, $A47, MatchScoutingData!K$2:K$1000)</f>
        <v/>
      </c>
      <c r="I47" s="48">
        <f>SUMIF(MatchScoutingData!$E$2:$E$1000, $A47, MatchScoutingData!L$2:L$1000)</f>
        <v/>
      </c>
      <c r="J47" s="48">
        <f>SUMIF(MatchScoutingData!$E$2:$E$1000, $A47, MatchScoutingData!M$2:M$1000)</f>
        <v/>
      </c>
      <c r="K47" s="48">
        <f>SUMIF(MatchScoutingData!$E$2:$E$1000, $A47, MatchScoutingData!N$2:N$1000)</f>
        <v/>
      </c>
      <c r="L47" s="48">
        <f>SUMIF(MatchScoutingData!$E$2:$E$1000, $A47, MatchScoutingData!O$2:O$1000)</f>
        <v/>
      </c>
      <c r="M47" s="48">
        <f>SUMIF(MatchScoutingData!$E$2:$E$1000, $A47, MatchScoutingData!P$2:P$1000)</f>
        <v/>
      </c>
      <c r="N47" s="48">
        <f>SUMIF(MatchScoutingData!$E$2:$E$1000, $A47, MatchScoutingData!Q$2:Q$1000)</f>
        <v/>
      </c>
      <c r="O47" s="48">
        <f>SUMIF(MatchScoutingData!$E$2:$E$1000, $A47, MatchScoutingData!R$2:R$1000)</f>
        <v/>
      </c>
      <c r="P47" s="48">
        <f>SUMIF(MatchScoutingData!$E$2:$E$1000, $A47, MatchScoutingData!S$2:S$1000)</f>
        <v/>
      </c>
      <c r="Q47" s="48">
        <f>SUMIF(MatchScoutingData!$E$2:$E$1000, $A47, MatchScoutingData!T$2:T$1000)</f>
        <v/>
      </c>
      <c r="R47" s="48">
        <f>SUMIF(MatchScoutingData!$E$2:$E$1000, $A47, MatchScoutingData!U$2:U$1000)</f>
        <v/>
      </c>
      <c r="S47" s="48">
        <f>SUMIF(MatchScoutingData!$E$2:$E$1000, $A47, MatchScoutingData!V$2:V$1000)</f>
        <v/>
      </c>
      <c r="T47" s="48">
        <f>SUMIF(MatchScoutingData!$E$2:$E$1000, $A47, MatchScoutingData!W$2:W$1000)</f>
        <v/>
      </c>
      <c r="U47" s="48">
        <f>SUMIF(MatchScoutingData!$E$2:$E$1000, $A47, MatchScoutingData!X$2:X$1000)</f>
        <v/>
      </c>
      <c r="V47" s="48">
        <f>SUMIF(MatchScoutingData!$E$2:$E$1000, $A47, MatchScoutingData!AB$2:AB$1000)</f>
        <v/>
      </c>
      <c r="W47" s="48">
        <f>SUMIF(MatchScoutingData!$E$2:$E$1000, $A47, MatchScoutingData!Y$2:Y$1000)</f>
        <v/>
      </c>
      <c r="X47" s="48">
        <f>SUMIF(MatchScoutingData!$E$2:$E$1000, $A47, MatchScoutingData!Z$2:Z$1000)</f>
        <v/>
      </c>
      <c r="Y47" s="48">
        <f>SUMIF(MatchScoutingData!$E$2:$E$1000, $A47, MatchScoutingData!AA$2:AA$1000)</f>
        <v/>
      </c>
      <c r="Z47" s="48">
        <f>SUM(W47:Y47)</f>
        <v/>
      </c>
    </row>
    <row r="48">
      <c r="A48" s="47" t="n">
        <v>9152</v>
      </c>
      <c r="B48" s="47">
        <f>COUNTIF(MatchScoutingData!E$2:E$1000, $A48)</f>
        <v/>
      </c>
      <c r="C48" s="48">
        <f>SUMIF(MatchScoutingData!$E$2:$E$1000, $A48, MatchScoutingData!F$2:F$1000)</f>
        <v/>
      </c>
      <c r="D48" s="48">
        <f>SUMIF(MatchScoutingData!$E$2:$E$1000, $A48, MatchScoutingData!G$2:G$1000)</f>
        <v/>
      </c>
      <c r="E48" s="48">
        <f>SUMIF(MatchScoutingData!$E$2:$E$1000, $A48, MatchScoutingData!H$2:H$1000)</f>
        <v/>
      </c>
      <c r="F48" s="48">
        <f>SUMIF(MatchScoutingData!$E$2:$E$1000, $A48, MatchScoutingData!I$2:I$1000)</f>
        <v/>
      </c>
      <c r="G48" s="48">
        <f>SUMIF(MatchScoutingData!$E$2:$E$1000, $A48, MatchScoutingData!J$2:J$1000)</f>
        <v/>
      </c>
      <c r="H48" s="48">
        <f>SUMIF(MatchScoutingData!$E$2:$E$1000, $A48, MatchScoutingData!K$2:K$1000)</f>
        <v/>
      </c>
      <c r="I48" s="48">
        <f>SUMIF(MatchScoutingData!$E$2:$E$1000, $A48, MatchScoutingData!L$2:L$1000)</f>
        <v/>
      </c>
      <c r="J48" s="48">
        <f>SUMIF(MatchScoutingData!$E$2:$E$1000, $A48, MatchScoutingData!M$2:M$1000)</f>
        <v/>
      </c>
      <c r="K48" s="48">
        <f>SUMIF(MatchScoutingData!$E$2:$E$1000, $A48, MatchScoutingData!N$2:N$1000)</f>
        <v/>
      </c>
      <c r="L48" s="48">
        <f>SUMIF(MatchScoutingData!$E$2:$E$1000, $A48, MatchScoutingData!O$2:O$1000)</f>
        <v/>
      </c>
      <c r="M48" s="48">
        <f>SUMIF(MatchScoutingData!$E$2:$E$1000, $A48, MatchScoutingData!P$2:P$1000)</f>
        <v/>
      </c>
      <c r="N48" s="48">
        <f>SUMIF(MatchScoutingData!$E$2:$E$1000, $A48, MatchScoutingData!Q$2:Q$1000)</f>
        <v/>
      </c>
      <c r="O48" s="48">
        <f>SUMIF(MatchScoutingData!$E$2:$E$1000, $A48, MatchScoutingData!R$2:R$1000)</f>
        <v/>
      </c>
      <c r="P48" s="48">
        <f>SUMIF(MatchScoutingData!$E$2:$E$1000, $A48, MatchScoutingData!S$2:S$1000)</f>
        <v/>
      </c>
      <c r="Q48" s="48">
        <f>SUMIF(MatchScoutingData!$E$2:$E$1000, $A48, MatchScoutingData!T$2:T$1000)</f>
        <v/>
      </c>
      <c r="R48" s="48">
        <f>SUMIF(MatchScoutingData!$E$2:$E$1000, $A48, MatchScoutingData!U$2:U$1000)</f>
        <v/>
      </c>
      <c r="S48" s="48">
        <f>SUMIF(MatchScoutingData!$E$2:$E$1000, $A48, MatchScoutingData!V$2:V$1000)</f>
        <v/>
      </c>
      <c r="T48" s="48">
        <f>SUMIF(MatchScoutingData!$E$2:$E$1000, $A48, MatchScoutingData!W$2:W$1000)</f>
        <v/>
      </c>
      <c r="U48" s="48">
        <f>SUMIF(MatchScoutingData!$E$2:$E$1000, $A48, MatchScoutingData!X$2:X$1000)</f>
        <v/>
      </c>
      <c r="V48" s="48">
        <f>SUMIF(MatchScoutingData!$E$2:$E$1000, $A48, MatchScoutingData!AB$2:AB$1000)</f>
        <v/>
      </c>
      <c r="W48" s="48">
        <f>SUMIF(MatchScoutingData!$E$2:$E$1000, $A48, MatchScoutingData!Y$2:Y$1000)</f>
        <v/>
      </c>
      <c r="X48" s="48">
        <f>SUMIF(MatchScoutingData!$E$2:$E$1000, $A48, MatchScoutingData!Z$2:Z$1000)</f>
        <v/>
      </c>
      <c r="Y48" s="48">
        <f>SUMIF(MatchScoutingData!$E$2:$E$1000, $A48, MatchScoutingData!AA$2:AA$1000)</f>
        <v/>
      </c>
      <c r="Z48" s="48">
        <f>SUM(W48:Y48)</f>
        <v/>
      </c>
    </row>
    <row r="49">
      <c r="A49" s="47" t="n">
        <v>10011</v>
      </c>
      <c r="B49" s="47">
        <f>COUNTIF(MatchScoutingData!E$2:E$1000, $A49)</f>
        <v/>
      </c>
      <c r="C49" s="48">
        <f>SUMIF(MatchScoutingData!$E$2:$E$1000, $A49, MatchScoutingData!F$2:F$1000)</f>
        <v/>
      </c>
      <c r="D49" s="48">
        <f>SUMIF(MatchScoutingData!$E$2:$E$1000, $A49, MatchScoutingData!G$2:G$1000)</f>
        <v/>
      </c>
      <c r="E49" s="48">
        <f>SUMIF(MatchScoutingData!$E$2:$E$1000, $A49, MatchScoutingData!H$2:H$1000)</f>
        <v/>
      </c>
      <c r="F49" s="48">
        <f>SUMIF(MatchScoutingData!$E$2:$E$1000, $A49, MatchScoutingData!I$2:I$1000)</f>
        <v/>
      </c>
      <c r="G49" s="48">
        <f>SUMIF(MatchScoutingData!$E$2:$E$1000, $A49, MatchScoutingData!J$2:J$1000)</f>
        <v/>
      </c>
      <c r="H49" s="48">
        <f>SUMIF(MatchScoutingData!$E$2:$E$1000, $A49, MatchScoutingData!K$2:K$1000)</f>
        <v/>
      </c>
      <c r="I49" s="48">
        <f>SUMIF(MatchScoutingData!$E$2:$E$1000, $A49, MatchScoutingData!L$2:L$1000)</f>
        <v/>
      </c>
      <c r="J49" s="48">
        <f>SUMIF(MatchScoutingData!$E$2:$E$1000, $A49, MatchScoutingData!M$2:M$1000)</f>
        <v/>
      </c>
      <c r="K49" s="48">
        <f>SUMIF(MatchScoutingData!$E$2:$E$1000, $A49, MatchScoutingData!N$2:N$1000)</f>
        <v/>
      </c>
      <c r="L49" s="48">
        <f>SUMIF(MatchScoutingData!$E$2:$E$1000, $A49, MatchScoutingData!O$2:O$1000)</f>
        <v/>
      </c>
      <c r="M49" s="48">
        <f>SUMIF(MatchScoutingData!$E$2:$E$1000, $A49, MatchScoutingData!P$2:P$1000)</f>
        <v/>
      </c>
      <c r="N49" s="48">
        <f>SUMIF(MatchScoutingData!$E$2:$E$1000, $A49, MatchScoutingData!Q$2:Q$1000)</f>
        <v/>
      </c>
      <c r="O49" s="48">
        <f>SUMIF(MatchScoutingData!$E$2:$E$1000, $A49, MatchScoutingData!R$2:R$1000)</f>
        <v/>
      </c>
      <c r="P49" s="48">
        <f>SUMIF(MatchScoutingData!$E$2:$E$1000, $A49, MatchScoutingData!S$2:S$1000)</f>
        <v/>
      </c>
      <c r="Q49" s="48">
        <f>SUMIF(MatchScoutingData!$E$2:$E$1000, $A49, MatchScoutingData!T$2:T$1000)</f>
        <v/>
      </c>
      <c r="R49" s="48">
        <f>SUMIF(MatchScoutingData!$E$2:$E$1000, $A49, MatchScoutingData!U$2:U$1000)</f>
        <v/>
      </c>
      <c r="S49" s="48">
        <f>SUMIF(MatchScoutingData!$E$2:$E$1000, $A49, MatchScoutingData!V$2:V$1000)</f>
        <v/>
      </c>
      <c r="T49" s="48">
        <f>SUMIF(MatchScoutingData!$E$2:$E$1000, $A49, MatchScoutingData!W$2:W$1000)</f>
        <v/>
      </c>
      <c r="U49" s="48">
        <f>SUMIF(MatchScoutingData!$E$2:$E$1000, $A49, MatchScoutingData!X$2:X$1000)</f>
        <v/>
      </c>
      <c r="V49" s="48">
        <f>SUMIF(MatchScoutingData!$E$2:$E$1000, $A49, MatchScoutingData!AB$2:AB$1000)</f>
        <v/>
      </c>
      <c r="W49" s="48">
        <f>SUMIF(MatchScoutingData!$E$2:$E$1000, $A49, MatchScoutingData!Y$2:Y$1000)</f>
        <v/>
      </c>
      <c r="X49" s="48">
        <f>SUMIF(MatchScoutingData!$E$2:$E$1000, $A49, MatchScoutingData!Z$2:Z$1000)</f>
        <v/>
      </c>
      <c r="Y49" s="48">
        <f>SUMIF(MatchScoutingData!$E$2:$E$1000, $A49, MatchScoutingData!AA$2:AA$1000)</f>
        <v/>
      </c>
      <c r="Z49" s="48">
        <f>SUM(W49:Y49)</f>
        <v/>
      </c>
    </row>
    <row r="50">
      <c r="A50" s="47" t="n">
        <v>10207</v>
      </c>
      <c r="B50" s="47">
        <f>COUNTIF(MatchScoutingData!E$2:E$1000, $A50)</f>
        <v/>
      </c>
      <c r="C50" s="48">
        <f>SUMIF(MatchScoutingData!$E$2:$E$1000, $A50, MatchScoutingData!F$2:F$1000)</f>
        <v/>
      </c>
      <c r="D50" s="48">
        <f>SUMIF(MatchScoutingData!$E$2:$E$1000, $A50, MatchScoutingData!G$2:G$1000)</f>
        <v/>
      </c>
      <c r="E50" s="48">
        <f>SUMIF(MatchScoutingData!$E$2:$E$1000, $A50, MatchScoutingData!H$2:H$1000)</f>
        <v/>
      </c>
      <c r="F50" s="48">
        <f>SUMIF(MatchScoutingData!$E$2:$E$1000, $A50, MatchScoutingData!I$2:I$1000)</f>
        <v/>
      </c>
      <c r="G50" s="48">
        <f>SUMIF(MatchScoutingData!$E$2:$E$1000, $A50, MatchScoutingData!J$2:J$1000)</f>
        <v/>
      </c>
      <c r="H50" s="48">
        <f>SUMIF(MatchScoutingData!$E$2:$E$1000, $A50, MatchScoutingData!K$2:K$1000)</f>
        <v/>
      </c>
      <c r="I50" s="48">
        <f>SUMIF(MatchScoutingData!$E$2:$E$1000, $A50, MatchScoutingData!L$2:L$1000)</f>
        <v/>
      </c>
      <c r="J50" s="48">
        <f>SUMIF(MatchScoutingData!$E$2:$E$1000, $A50, MatchScoutingData!M$2:M$1000)</f>
        <v/>
      </c>
      <c r="K50" s="48">
        <f>SUMIF(MatchScoutingData!$E$2:$E$1000, $A50, MatchScoutingData!N$2:N$1000)</f>
        <v/>
      </c>
      <c r="L50" s="48">
        <f>SUMIF(MatchScoutingData!$E$2:$E$1000, $A50, MatchScoutingData!O$2:O$1000)</f>
        <v/>
      </c>
      <c r="M50" s="48">
        <f>SUMIF(MatchScoutingData!$E$2:$E$1000, $A50, MatchScoutingData!P$2:P$1000)</f>
        <v/>
      </c>
      <c r="N50" s="48">
        <f>SUMIF(MatchScoutingData!$E$2:$E$1000, $A50, MatchScoutingData!Q$2:Q$1000)</f>
        <v/>
      </c>
      <c r="O50" s="48">
        <f>SUMIF(MatchScoutingData!$E$2:$E$1000, $A50, MatchScoutingData!R$2:R$1000)</f>
        <v/>
      </c>
      <c r="P50" s="48">
        <f>SUMIF(MatchScoutingData!$E$2:$E$1000, $A50, MatchScoutingData!S$2:S$1000)</f>
        <v/>
      </c>
      <c r="Q50" s="48">
        <f>SUMIF(MatchScoutingData!$E$2:$E$1000, $A50, MatchScoutingData!T$2:T$1000)</f>
        <v/>
      </c>
      <c r="R50" s="48">
        <f>SUMIF(MatchScoutingData!$E$2:$E$1000, $A50, MatchScoutingData!U$2:U$1000)</f>
        <v/>
      </c>
      <c r="S50" s="48">
        <f>SUMIF(MatchScoutingData!$E$2:$E$1000, $A50, MatchScoutingData!V$2:V$1000)</f>
        <v/>
      </c>
      <c r="T50" s="48">
        <f>SUMIF(MatchScoutingData!$E$2:$E$1000, $A50, MatchScoutingData!W$2:W$1000)</f>
        <v/>
      </c>
      <c r="U50" s="48">
        <f>SUMIF(MatchScoutingData!$E$2:$E$1000, $A50, MatchScoutingData!X$2:X$1000)</f>
        <v/>
      </c>
      <c r="V50" s="48">
        <f>SUMIF(MatchScoutingData!$E$2:$E$1000, $A50, MatchScoutingData!AB$2:AB$1000)</f>
        <v/>
      </c>
      <c r="W50" s="48">
        <f>SUMIF(MatchScoutingData!$E$2:$E$1000, $A50, MatchScoutingData!Y$2:Y$1000)</f>
        <v/>
      </c>
      <c r="X50" s="48">
        <f>SUMIF(MatchScoutingData!$E$2:$E$1000, $A50, MatchScoutingData!Z$2:Z$1000)</f>
        <v/>
      </c>
      <c r="Y50" s="48">
        <f>SUMIF(MatchScoutingData!$E$2:$E$1000, $A50, MatchScoutingData!AA$2:AA$1000)</f>
        <v/>
      </c>
      <c r="Z50" s="48">
        <f>SUM(W50:Y50)</f>
        <v/>
      </c>
    </row>
    <row r="51">
      <c r="A51" s="47" t="n">
        <v>10208</v>
      </c>
      <c r="B51" s="47">
        <f>COUNTIF(MatchScoutingData!E$2:E$1000, $A51)</f>
        <v/>
      </c>
      <c r="C51" s="48">
        <f>SUMIF(MatchScoutingData!$E$2:$E$1000, $A51, MatchScoutingData!F$2:F$1000)</f>
        <v/>
      </c>
      <c r="D51" s="48">
        <f>SUMIF(MatchScoutingData!$E$2:$E$1000, $A51, MatchScoutingData!G$2:G$1000)</f>
        <v/>
      </c>
      <c r="E51" s="48">
        <f>SUMIF(MatchScoutingData!$E$2:$E$1000, $A51, MatchScoutingData!H$2:H$1000)</f>
        <v/>
      </c>
      <c r="F51" s="48">
        <f>SUMIF(MatchScoutingData!$E$2:$E$1000, $A51, MatchScoutingData!I$2:I$1000)</f>
        <v/>
      </c>
      <c r="G51" s="48">
        <f>SUMIF(MatchScoutingData!$E$2:$E$1000, $A51, MatchScoutingData!J$2:J$1000)</f>
        <v/>
      </c>
      <c r="H51" s="48">
        <f>SUMIF(MatchScoutingData!$E$2:$E$1000, $A51, MatchScoutingData!K$2:K$1000)</f>
        <v/>
      </c>
      <c r="I51" s="48">
        <f>SUMIF(MatchScoutingData!$E$2:$E$1000, $A51, MatchScoutingData!L$2:L$1000)</f>
        <v/>
      </c>
      <c r="J51" s="48">
        <f>SUMIF(MatchScoutingData!$E$2:$E$1000, $A51, MatchScoutingData!M$2:M$1000)</f>
        <v/>
      </c>
      <c r="K51" s="48">
        <f>SUMIF(MatchScoutingData!$E$2:$E$1000, $A51, MatchScoutingData!N$2:N$1000)</f>
        <v/>
      </c>
      <c r="L51" s="48">
        <f>SUMIF(MatchScoutingData!$E$2:$E$1000, $A51, MatchScoutingData!O$2:O$1000)</f>
        <v/>
      </c>
      <c r="M51" s="48">
        <f>SUMIF(MatchScoutingData!$E$2:$E$1000, $A51, MatchScoutingData!P$2:P$1000)</f>
        <v/>
      </c>
      <c r="N51" s="48">
        <f>SUMIF(MatchScoutingData!$E$2:$E$1000, $A51, MatchScoutingData!Q$2:Q$1000)</f>
        <v/>
      </c>
      <c r="O51" s="48">
        <f>SUMIF(MatchScoutingData!$E$2:$E$1000, $A51, MatchScoutingData!R$2:R$1000)</f>
        <v/>
      </c>
      <c r="P51" s="48">
        <f>SUMIF(MatchScoutingData!$E$2:$E$1000, $A51, MatchScoutingData!S$2:S$1000)</f>
        <v/>
      </c>
      <c r="Q51" s="48">
        <f>SUMIF(MatchScoutingData!$E$2:$E$1000, $A51, MatchScoutingData!T$2:T$1000)</f>
        <v/>
      </c>
      <c r="R51" s="48">
        <f>SUMIF(MatchScoutingData!$E$2:$E$1000, $A51, MatchScoutingData!U$2:U$1000)</f>
        <v/>
      </c>
      <c r="S51" s="48">
        <f>SUMIF(MatchScoutingData!$E$2:$E$1000, $A51, MatchScoutingData!V$2:V$1000)</f>
        <v/>
      </c>
      <c r="T51" s="48">
        <f>SUMIF(MatchScoutingData!$E$2:$E$1000, $A51, MatchScoutingData!W$2:W$1000)</f>
        <v/>
      </c>
      <c r="U51" s="48">
        <f>SUMIF(MatchScoutingData!$E$2:$E$1000, $A51, MatchScoutingData!X$2:X$1000)</f>
        <v/>
      </c>
      <c r="V51" s="48">
        <f>SUMIF(MatchScoutingData!$E$2:$E$1000, $A51, MatchScoutingData!AB$2:AB$1000)</f>
        <v/>
      </c>
      <c r="W51" s="48">
        <f>SUMIF(MatchScoutingData!$E$2:$E$1000, $A51, MatchScoutingData!Y$2:Y$1000)</f>
        <v/>
      </c>
      <c r="X51" s="48">
        <f>SUMIF(MatchScoutingData!$E$2:$E$1000, $A51, MatchScoutingData!Z$2:Z$1000)</f>
        <v/>
      </c>
      <c r="Y51" s="48">
        <f>SUMIF(MatchScoutingData!$E$2:$E$1000, $A51, MatchScoutingData!AA$2:AA$1000)</f>
        <v/>
      </c>
      <c r="Z51" s="48">
        <f>SUM(W51:Y51)</f>
        <v/>
      </c>
    </row>
    <row r="52">
      <c r="A52" s="47" t="n">
        <v>10987</v>
      </c>
      <c r="B52" s="47">
        <f>COUNTIF(MatchScoutingData!E$2:E$1000, $A52)</f>
        <v/>
      </c>
      <c r="C52" s="48">
        <f>SUMIF(MatchScoutingData!$E$2:$E$1000, $A52, MatchScoutingData!F$2:F$1000)</f>
        <v/>
      </c>
      <c r="D52" s="48">
        <f>SUMIF(MatchScoutingData!$E$2:$E$1000, $A52, MatchScoutingData!G$2:G$1000)</f>
        <v/>
      </c>
      <c r="E52" s="48">
        <f>SUMIF(MatchScoutingData!$E$2:$E$1000, $A52, MatchScoutingData!H$2:H$1000)</f>
        <v/>
      </c>
      <c r="F52" s="48">
        <f>SUMIF(MatchScoutingData!$E$2:$E$1000, $A52, MatchScoutingData!I$2:I$1000)</f>
        <v/>
      </c>
      <c r="G52" s="48">
        <f>SUMIF(MatchScoutingData!$E$2:$E$1000, $A52, MatchScoutingData!J$2:J$1000)</f>
        <v/>
      </c>
      <c r="H52" s="48">
        <f>SUMIF(MatchScoutingData!$E$2:$E$1000, $A52, MatchScoutingData!K$2:K$1000)</f>
        <v/>
      </c>
      <c r="I52" s="48">
        <f>SUMIF(MatchScoutingData!$E$2:$E$1000, $A52, MatchScoutingData!L$2:L$1000)</f>
        <v/>
      </c>
      <c r="J52" s="48">
        <f>SUMIF(MatchScoutingData!$E$2:$E$1000, $A52, MatchScoutingData!M$2:M$1000)</f>
        <v/>
      </c>
      <c r="K52" s="48">
        <f>SUMIF(MatchScoutingData!$E$2:$E$1000, $A52, MatchScoutingData!N$2:N$1000)</f>
        <v/>
      </c>
      <c r="L52" s="48">
        <f>SUMIF(MatchScoutingData!$E$2:$E$1000, $A52, MatchScoutingData!O$2:O$1000)</f>
        <v/>
      </c>
      <c r="M52" s="48">
        <f>SUMIF(MatchScoutingData!$E$2:$E$1000, $A52, MatchScoutingData!P$2:P$1000)</f>
        <v/>
      </c>
      <c r="N52" s="48">
        <f>SUMIF(MatchScoutingData!$E$2:$E$1000, $A52, MatchScoutingData!Q$2:Q$1000)</f>
        <v/>
      </c>
      <c r="O52" s="48">
        <f>SUMIF(MatchScoutingData!$E$2:$E$1000, $A52, MatchScoutingData!R$2:R$1000)</f>
        <v/>
      </c>
      <c r="P52" s="48">
        <f>SUMIF(MatchScoutingData!$E$2:$E$1000, $A52, MatchScoutingData!S$2:S$1000)</f>
        <v/>
      </c>
      <c r="Q52" s="48">
        <f>SUMIF(MatchScoutingData!$E$2:$E$1000, $A52, MatchScoutingData!T$2:T$1000)</f>
        <v/>
      </c>
      <c r="R52" s="48">
        <f>SUMIF(MatchScoutingData!$E$2:$E$1000, $A52, MatchScoutingData!U$2:U$1000)</f>
        <v/>
      </c>
      <c r="S52" s="48">
        <f>SUMIF(MatchScoutingData!$E$2:$E$1000, $A52, MatchScoutingData!V$2:V$1000)</f>
        <v/>
      </c>
      <c r="T52" s="48">
        <f>SUMIF(MatchScoutingData!$E$2:$E$1000, $A52, MatchScoutingData!W$2:W$1000)</f>
        <v/>
      </c>
      <c r="U52" s="48">
        <f>SUMIF(MatchScoutingData!$E$2:$E$1000, $A52, MatchScoutingData!X$2:X$1000)</f>
        <v/>
      </c>
      <c r="V52" s="48">
        <f>SUMIF(MatchScoutingData!$E$2:$E$1000, $A52, MatchScoutingData!AB$2:AB$1000)</f>
        <v/>
      </c>
      <c r="W52" s="48">
        <f>SUMIF(MatchScoutingData!$E$2:$E$1000, $A52, MatchScoutingData!Y$2:Y$1000)</f>
        <v/>
      </c>
      <c r="X52" s="48">
        <f>SUMIF(MatchScoutingData!$E$2:$E$1000, $A52, MatchScoutingData!Z$2:Z$1000)</f>
        <v/>
      </c>
      <c r="Y52" s="48">
        <f>SUMIF(MatchScoutingData!$E$2:$E$1000, $A52, MatchScoutingData!AA$2:AA$1000)</f>
        <v/>
      </c>
      <c r="Z52" s="48">
        <f>SUM(W52:Y52)</f>
        <v/>
      </c>
    </row>
    <row r="53">
      <c r="A53" s="11" t="n"/>
      <c r="B53" s="11" t="n"/>
      <c r="C53" s="11" t="n"/>
      <c r="D53" s="11" t="n"/>
      <c r="E53" s="11" t="n"/>
      <c r="F53" s="11" t="n"/>
      <c r="G53" s="11" t="n"/>
      <c r="H53" s="11" t="n"/>
      <c r="I53" s="11" t="n"/>
      <c r="J53" s="11" t="n"/>
      <c r="K53" s="11" t="n"/>
      <c r="L53" s="11" t="n"/>
      <c r="M53" s="11" t="n"/>
      <c r="N53" s="11" t="n"/>
      <c r="O53" s="11" t="n"/>
      <c r="P53" s="11" t="n"/>
      <c r="Q53" s="11" t="n"/>
      <c r="R53" s="11" t="n"/>
      <c r="S53" s="11" t="n"/>
      <c r="T53" s="11" t="n"/>
      <c r="U53" s="11" t="n"/>
      <c r="V53" s="11" t="n"/>
      <c r="W53" s="11" t="n"/>
      <c r="X53" s="11" t="n"/>
      <c r="Y53" s="11" t="n"/>
      <c r="Z53" s="11" t="n"/>
    </row>
    <row r="54">
      <c r="A54" s="11" t="n"/>
      <c r="B54" s="11" t="n"/>
      <c r="C54" s="11" t="n"/>
      <c r="D54" s="11" t="n"/>
      <c r="E54" s="11" t="n"/>
      <c r="F54" s="11" t="n"/>
      <c r="G54" s="11" t="n"/>
      <c r="H54" s="11" t="n"/>
      <c r="I54" s="11" t="n"/>
      <c r="J54" s="11" t="n"/>
      <c r="K54" s="11" t="n"/>
      <c r="L54" s="11" t="n"/>
      <c r="M54" s="11" t="n"/>
      <c r="N54" s="11" t="n"/>
      <c r="O54" s="11" t="n"/>
      <c r="P54" s="11" t="n"/>
      <c r="Q54" s="11" t="n"/>
      <c r="R54" s="11" t="n"/>
      <c r="S54" s="11" t="n"/>
      <c r="T54" s="11" t="n"/>
      <c r="U54" s="11" t="n"/>
      <c r="V54" s="11" t="n"/>
      <c r="W54" s="11" t="n"/>
      <c r="X54" s="11" t="n"/>
      <c r="Y54" s="11" t="n"/>
      <c r="Z54" s="11" t="n"/>
    </row>
    <row r="55">
      <c r="A55" s="11" t="n"/>
      <c r="B55" s="11" t="n"/>
      <c r="C55" s="11" t="n"/>
      <c r="D55" s="11" t="n"/>
      <c r="E55" s="11" t="n"/>
      <c r="F55" s="11" t="n"/>
      <c r="G55" s="11" t="n"/>
      <c r="H55" s="11" t="n"/>
      <c r="I55" s="11" t="n"/>
      <c r="J55" s="11" t="n"/>
      <c r="K55" s="11" t="n"/>
      <c r="L55" s="11" t="n"/>
      <c r="M55" s="11" t="n"/>
      <c r="N55" s="11" t="n"/>
      <c r="O55" s="11" t="n"/>
      <c r="P55" s="11" t="n"/>
      <c r="Q55" s="11" t="n"/>
      <c r="R55" s="11" t="n"/>
      <c r="S55" s="11" t="n"/>
      <c r="T55" s="11" t="n"/>
      <c r="U55" s="11" t="n"/>
      <c r="V55" s="11" t="n"/>
      <c r="W55" s="11" t="n"/>
      <c r="X55" s="11" t="n"/>
      <c r="Y55" s="11" t="n"/>
      <c r="Z55" s="11" t="n"/>
    </row>
    <row r="56">
      <c r="A56" s="11" t="n"/>
      <c r="B56" s="11" t="n"/>
      <c r="C56" s="11" t="n"/>
      <c r="D56" s="11" t="n"/>
      <c r="E56" s="11" t="n"/>
      <c r="F56" s="11" t="n"/>
      <c r="G56" s="11" t="n"/>
      <c r="H56" s="11" t="n"/>
      <c r="I56" s="11" t="n"/>
      <c r="J56" s="11" t="n"/>
      <c r="K56" s="11" t="n"/>
      <c r="L56" s="11" t="n"/>
      <c r="M56" s="11" t="n"/>
      <c r="N56" s="11" t="n"/>
      <c r="O56" s="11" t="n"/>
      <c r="P56" s="11" t="n"/>
      <c r="Q56" s="11" t="n"/>
      <c r="R56" s="11" t="n"/>
      <c r="S56" s="11" t="n"/>
      <c r="T56" s="11" t="n"/>
      <c r="U56" s="11" t="n"/>
      <c r="V56" s="11" t="n"/>
      <c r="W56" s="11" t="n"/>
      <c r="X56" s="11" t="n"/>
      <c r="Y56" s="11" t="n"/>
      <c r="Z56" s="11" t="n"/>
    </row>
    <row r="57">
      <c r="A57" s="11" t="n"/>
      <c r="B57" s="11" t="n"/>
      <c r="C57" s="11" t="n"/>
      <c r="D57" s="11" t="n"/>
      <c r="E57" s="11" t="n"/>
      <c r="F57" s="11" t="n"/>
      <c r="G57" s="11" t="n"/>
      <c r="H57" s="11" t="n"/>
      <c r="I57" s="11" t="n"/>
      <c r="J57" s="11" t="n"/>
      <c r="K57" s="11" t="n"/>
      <c r="L57" s="11" t="n"/>
      <c r="M57" s="11" t="n"/>
      <c r="N57" s="11" t="n"/>
      <c r="O57" s="11" t="n"/>
      <c r="P57" s="11" t="n"/>
      <c r="Q57" s="11" t="n"/>
      <c r="R57" s="11" t="n"/>
      <c r="S57" s="11" t="n"/>
      <c r="T57" s="11" t="n"/>
      <c r="U57" s="11" t="n"/>
      <c r="V57" s="11" t="n"/>
      <c r="W57" s="11" t="n"/>
      <c r="X57" s="11" t="n"/>
      <c r="Y57" s="11" t="n"/>
      <c r="Z57" s="11" t="n"/>
    </row>
    <row r="58">
      <c r="A58" s="11" t="n"/>
      <c r="B58" s="11" t="n"/>
      <c r="C58" s="11" t="n"/>
      <c r="D58" s="11" t="n"/>
      <c r="E58" s="11" t="n"/>
      <c r="F58" s="11" t="n"/>
      <c r="G58" s="11" t="n"/>
      <c r="H58" s="11" t="n"/>
      <c r="I58" s="11" t="n"/>
      <c r="J58" s="11" t="n"/>
      <c r="K58" s="11" t="n"/>
      <c r="L58" s="11" t="n"/>
      <c r="M58" s="11" t="n"/>
      <c r="N58" s="11" t="n"/>
      <c r="O58" s="11" t="n"/>
      <c r="P58" s="11" t="n"/>
      <c r="Q58" s="11" t="n"/>
      <c r="R58" s="11" t="n"/>
      <c r="S58" s="11" t="n"/>
      <c r="T58" s="11" t="n"/>
      <c r="U58" s="11" t="n"/>
      <c r="V58" s="11" t="n"/>
      <c r="W58" s="11" t="n"/>
      <c r="X58" s="11" t="n"/>
      <c r="Y58" s="11" t="n"/>
      <c r="Z58" s="11" t="n"/>
    </row>
    <row r="59">
      <c r="A59" s="11" t="n"/>
      <c r="B59" s="11" t="n"/>
      <c r="C59" s="11" t="n"/>
      <c r="D59" s="11" t="n"/>
      <c r="E59" s="11" t="n"/>
      <c r="F59" s="11" t="n"/>
      <c r="G59" s="11" t="n"/>
      <c r="H59" s="11" t="n"/>
      <c r="I59" s="11" t="n"/>
      <c r="J59" s="11" t="n"/>
      <c r="K59" s="11" t="n"/>
      <c r="L59" s="11" t="n"/>
      <c r="M59" s="11" t="n"/>
      <c r="N59" s="11" t="n"/>
      <c r="O59" s="11" t="n"/>
      <c r="P59" s="11" t="n"/>
      <c r="Q59" s="11" t="n"/>
      <c r="R59" s="11" t="n"/>
      <c r="S59" s="11" t="n"/>
      <c r="T59" s="11" t="n"/>
      <c r="U59" s="11" t="n"/>
      <c r="V59" s="11" t="n"/>
      <c r="W59" s="11" t="n"/>
      <c r="X59" s="11" t="n"/>
      <c r="Y59" s="11" t="n"/>
      <c r="Z59" s="11" t="n"/>
    </row>
    <row r="60">
      <c r="A60" s="11" t="n"/>
      <c r="B60" s="11" t="n"/>
      <c r="C60" s="11" t="n"/>
      <c r="D60" s="11" t="n"/>
      <c r="E60" s="11" t="n"/>
      <c r="F60" s="11" t="n"/>
      <c r="G60" s="11" t="n"/>
      <c r="H60" s="11" t="n"/>
      <c r="I60" s="11" t="n"/>
      <c r="J60" s="11" t="n"/>
      <c r="K60" s="11" t="n"/>
      <c r="L60" s="11" t="n"/>
      <c r="M60" s="11" t="n"/>
      <c r="N60" s="11" t="n"/>
      <c r="O60" s="11" t="n"/>
      <c r="P60" s="11" t="n"/>
      <c r="Q60" s="11" t="n"/>
      <c r="R60" s="11" t="n"/>
      <c r="S60" s="11" t="n"/>
      <c r="T60" s="11" t="n"/>
      <c r="U60" s="11" t="n"/>
      <c r="V60" s="11" t="n"/>
      <c r="W60" s="11" t="n"/>
      <c r="X60" s="11" t="n"/>
      <c r="Y60" s="11" t="n"/>
      <c r="Z60" s="11" t="n"/>
    </row>
    <row r="61">
      <c r="A61" s="11" t="n"/>
      <c r="B61" s="11" t="n"/>
      <c r="C61" s="11" t="n"/>
      <c r="D61" s="11" t="n"/>
      <c r="E61" s="11" t="n"/>
      <c r="F61" s="11" t="n"/>
      <c r="G61" s="11" t="n"/>
      <c r="H61" s="11" t="n"/>
      <c r="I61" s="11" t="n"/>
      <c r="J61" s="11" t="n"/>
      <c r="K61" s="11" t="n"/>
      <c r="L61" s="11" t="n"/>
      <c r="M61" s="11" t="n"/>
      <c r="N61" s="11" t="n"/>
      <c r="O61" s="11" t="n"/>
      <c r="P61" s="11" t="n"/>
      <c r="Q61" s="11" t="n"/>
      <c r="R61" s="11" t="n"/>
      <c r="S61" s="11" t="n"/>
      <c r="T61" s="11" t="n"/>
      <c r="U61" s="11" t="n"/>
      <c r="V61" s="11" t="n"/>
      <c r="W61" s="11" t="n"/>
      <c r="X61" s="11" t="n"/>
      <c r="Y61" s="11" t="n"/>
      <c r="Z61" s="11" t="n"/>
    </row>
    <row r="62">
      <c r="A62" s="11" t="n"/>
      <c r="B62" s="11" t="n"/>
      <c r="C62" s="11" t="n"/>
      <c r="D62" s="11" t="n"/>
      <c r="E62" s="11" t="n"/>
      <c r="F62" s="11" t="n"/>
      <c r="G62" s="11" t="n"/>
      <c r="H62" s="11" t="n"/>
      <c r="I62" s="11" t="n"/>
      <c r="J62" s="11" t="n"/>
      <c r="K62" s="11" t="n"/>
      <c r="L62" s="11" t="n"/>
      <c r="M62" s="11" t="n"/>
      <c r="N62" s="11" t="n"/>
      <c r="O62" s="11" t="n"/>
      <c r="P62" s="11" t="n"/>
      <c r="Q62" s="11" t="n"/>
      <c r="R62" s="11" t="n"/>
      <c r="S62" s="11" t="n"/>
      <c r="T62" s="11" t="n"/>
      <c r="U62" s="11" t="n"/>
      <c r="V62" s="11" t="n"/>
      <c r="W62" s="11" t="n"/>
      <c r="X62" s="11" t="n"/>
      <c r="Y62" s="11" t="n"/>
      <c r="Z62" s="11" t="n"/>
    </row>
    <row r="63">
      <c r="A63" s="11" t="n"/>
      <c r="B63" s="11" t="n"/>
      <c r="C63" s="11" t="n"/>
      <c r="D63" s="11" t="n"/>
      <c r="E63" s="11" t="n"/>
      <c r="F63" s="11" t="n"/>
      <c r="G63" s="11" t="n"/>
      <c r="H63" s="11" t="n"/>
      <c r="I63" s="11" t="n"/>
      <c r="J63" s="11" t="n"/>
      <c r="K63" s="11" t="n"/>
      <c r="L63" s="11" t="n"/>
      <c r="M63" s="11" t="n"/>
      <c r="N63" s="11" t="n"/>
      <c r="O63" s="11" t="n"/>
      <c r="P63" s="11" t="n"/>
      <c r="Q63" s="11" t="n"/>
      <c r="R63" s="11" t="n"/>
      <c r="S63" s="11" t="n"/>
      <c r="T63" s="11" t="n"/>
      <c r="U63" s="11" t="n"/>
      <c r="V63" s="11" t="n"/>
      <c r="W63" s="11" t="n"/>
      <c r="X63" s="11" t="n"/>
      <c r="Y63" s="11" t="n"/>
      <c r="Z63" s="11" t="n"/>
    </row>
    <row r="64">
      <c r="A64" s="11" t="n"/>
      <c r="B64" s="11" t="n"/>
      <c r="C64" s="11" t="n"/>
      <c r="D64" s="11" t="n"/>
      <c r="E64" s="11" t="n"/>
      <c r="F64" s="11" t="n"/>
      <c r="G64" s="11" t="n"/>
      <c r="H64" s="11" t="n"/>
      <c r="I64" s="11" t="n"/>
      <c r="J64" s="11" t="n"/>
      <c r="K64" s="11" t="n"/>
      <c r="L64" s="11" t="n"/>
      <c r="M64" s="11" t="n"/>
      <c r="N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Y64" s="11" t="n"/>
      <c r="Z64" s="11" t="n"/>
    </row>
    <row r="65">
      <c r="A65" s="11" t="n"/>
      <c r="B65" s="11" t="n"/>
      <c r="C65" s="11" t="n"/>
      <c r="D65" s="11" t="n"/>
      <c r="E65" s="11" t="n"/>
      <c r="F65" s="11" t="n"/>
      <c r="G65" s="11" t="n"/>
      <c r="H65" s="11" t="n"/>
      <c r="I65" s="11" t="n"/>
      <c r="J65" s="11" t="n"/>
      <c r="K65" s="11" t="n"/>
      <c r="L65" s="11" t="n"/>
      <c r="M65" s="11" t="n"/>
      <c r="N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Y65" s="11" t="n"/>
      <c r="Z65" s="11" t="n"/>
    </row>
    <row r="66">
      <c r="A66" s="11" t="n"/>
      <c r="B66" s="11" t="n"/>
      <c r="C66" s="11" t="n"/>
      <c r="D66" s="11" t="n"/>
      <c r="E66" s="11" t="n"/>
      <c r="F66" s="11" t="n"/>
      <c r="G66" s="11" t="n"/>
      <c r="H66" s="11" t="n"/>
      <c r="I66" s="11" t="n"/>
      <c r="J66" s="11" t="n"/>
      <c r="K66" s="11" t="n"/>
      <c r="L66" s="11" t="n"/>
      <c r="M66" s="11" t="n"/>
      <c r="N66" s="11" t="n"/>
      <c r="O66" s="11" t="n"/>
      <c r="P66" s="11" t="n"/>
      <c r="Q66" s="11" t="n"/>
      <c r="R66" s="11" t="n"/>
      <c r="S66" s="11" t="n"/>
      <c r="T66" s="11" t="n"/>
      <c r="U66" s="11" t="n"/>
      <c r="V66" s="11" t="n"/>
      <c r="W66" s="11" t="n"/>
      <c r="X66" s="11" t="n"/>
      <c r="Y66" s="11" t="n"/>
      <c r="Z66" s="11" t="n"/>
    </row>
    <row r="67">
      <c r="A67" s="11" t="n"/>
      <c r="B67" s="11" t="n"/>
      <c r="C67" s="11" t="n"/>
      <c r="D67" s="11" t="n"/>
      <c r="E67" s="11" t="n"/>
      <c r="F67" s="11" t="n"/>
      <c r="G67" s="11" t="n"/>
      <c r="H67" s="11" t="n"/>
      <c r="I67" s="11" t="n"/>
      <c r="J67" s="11" t="n"/>
      <c r="K67" s="11" t="n"/>
      <c r="L67" s="11" t="n"/>
      <c r="M67" s="11" t="n"/>
      <c r="N67" s="11" t="n"/>
      <c r="O67" s="11" t="n"/>
      <c r="P67" s="11" t="n"/>
      <c r="Q67" s="11" t="n"/>
      <c r="R67" s="11" t="n"/>
      <c r="S67" s="11" t="n"/>
      <c r="T67" s="11" t="n"/>
      <c r="U67" s="11" t="n"/>
      <c r="V67" s="11" t="n"/>
      <c r="W67" s="11" t="n"/>
      <c r="X67" s="11" t="n"/>
      <c r="Y67" s="11" t="n"/>
      <c r="Z67" s="11" t="n"/>
    </row>
    <row r="68">
      <c r="A68" s="11" t="n"/>
      <c r="B68" s="11" t="n"/>
      <c r="C68" s="11" t="n"/>
      <c r="D68" s="11" t="n"/>
      <c r="E68" s="11" t="n"/>
      <c r="F68" s="11" t="n"/>
      <c r="G68" s="11" t="n"/>
      <c r="H68" s="11" t="n"/>
      <c r="I68" s="11" t="n"/>
      <c r="J68" s="11" t="n"/>
      <c r="K68" s="11" t="n"/>
      <c r="L68" s="11" t="n"/>
      <c r="M68" s="11" t="n"/>
      <c r="N68" s="11" t="n"/>
      <c r="O68" s="11" t="n"/>
      <c r="P68" s="11" t="n"/>
      <c r="Q68" s="11" t="n"/>
      <c r="R68" s="11" t="n"/>
      <c r="S68" s="11" t="n"/>
      <c r="T68" s="11" t="n"/>
      <c r="U68" s="11" t="n"/>
      <c r="V68" s="11" t="n"/>
      <c r="W68" s="11" t="n"/>
      <c r="X68" s="11" t="n"/>
      <c r="Y68" s="11" t="n"/>
      <c r="Z68" s="11" t="n"/>
    </row>
    <row r="69">
      <c r="A69" s="11" t="n"/>
      <c r="B69" s="11" t="n"/>
      <c r="C69" s="11" t="n"/>
      <c r="D69" s="11" t="n"/>
      <c r="E69" s="11" t="n"/>
      <c r="F69" s="11" t="n"/>
      <c r="G69" s="11" t="n"/>
      <c r="H69" s="11" t="n"/>
      <c r="I69" s="11" t="n"/>
      <c r="J69" s="11" t="n"/>
      <c r="K69" s="11" t="n"/>
      <c r="L69" s="11" t="n"/>
      <c r="M69" s="11" t="n"/>
      <c r="N69" s="11" t="n"/>
      <c r="O69" s="11" t="n"/>
      <c r="P69" s="11" t="n"/>
      <c r="Q69" s="11" t="n"/>
      <c r="R69" s="11" t="n"/>
      <c r="S69" s="11" t="n"/>
      <c r="T69" s="11" t="n"/>
      <c r="U69" s="11" t="n"/>
      <c r="V69" s="11" t="n"/>
      <c r="W69" s="11" t="n"/>
      <c r="X69" s="11" t="n"/>
      <c r="Y69" s="11" t="n"/>
      <c r="Z69" s="11" t="n"/>
    </row>
    <row r="70">
      <c r="A70" s="11" t="n"/>
      <c r="B70" s="11" t="n"/>
      <c r="C70" s="11" t="n"/>
      <c r="D70" s="11" t="n"/>
      <c r="E70" s="11" t="n"/>
      <c r="F70" s="11" t="n"/>
      <c r="G70" s="11" t="n"/>
      <c r="H70" s="11" t="n"/>
      <c r="I70" s="11" t="n"/>
      <c r="J70" s="11" t="n"/>
      <c r="K70" s="11" t="n"/>
      <c r="L70" s="11" t="n"/>
      <c r="M70" s="11" t="n"/>
      <c r="N70" s="11" t="n"/>
      <c r="O70" s="11" t="n"/>
      <c r="P70" s="11" t="n"/>
      <c r="Q70" s="11" t="n"/>
      <c r="R70" s="11" t="n"/>
      <c r="S70" s="11" t="n"/>
      <c r="T70" s="11" t="n"/>
      <c r="U70" s="11" t="n"/>
      <c r="V70" s="11" t="n"/>
      <c r="W70" s="11" t="n"/>
      <c r="X70" s="11" t="n"/>
      <c r="Y70" s="11" t="n"/>
      <c r="Z70" s="11" t="n"/>
    </row>
    <row r="71">
      <c r="A71" s="11" t="n"/>
      <c r="B71" s="11" t="n"/>
      <c r="C71" s="11" t="n"/>
      <c r="D71" s="11" t="n"/>
      <c r="E71" s="11" t="n"/>
      <c r="F71" s="11" t="n"/>
      <c r="G71" s="11" t="n"/>
      <c r="H71" s="11" t="n"/>
      <c r="I71" s="11" t="n"/>
      <c r="J71" s="11" t="n"/>
      <c r="K71" s="11" t="n"/>
      <c r="L71" s="11" t="n"/>
      <c r="M71" s="11" t="n"/>
      <c r="N71" s="11" t="n"/>
      <c r="O71" s="11" t="n"/>
      <c r="P71" s="11" t="n"/>
      <c r="Q71" s="11" t="n"/>
      <c r="R71" s="11" t="n"/>
      <c r="S71" s="11" t="n"/>
      <c r="T71" s="11" t="n"/>
      <c r="U71" s="11" t="n"/>
      <c r="V71" s="11" t="n"/>
      <c r="W71" s="11" t="n"/>
      <c r="X71" s="11" t="n"/>
      <c r="Y71" s="11" t="n"/>
      <c r="Z71" s="11" t="n"/>
    </row>
    <row r="72">
      <c r="A72" s="11" t="n"/>
      <c r="B72" s="11" t="n"/>
      <c r="C72" s="11" t="n"/>
      <c r="D72" s="11" t="n"/>
      <c r="E72" s="11" t="n"/>
      <c r="F72" s="11" t="n"/>
      <c r="G72" s="11" t="n"/>
      <c r="H72" s="11" t="n"/>
      <c r="I72" s="11" t="n"/>
      <c r="J72" s="11" t="n"/>
      <c r="K72" s="11" t="n"/>
      <c r="L72" s="11" t="n"/>
      <c r="M72" s="11" t="n"/>
      <c r="N72" s="11" t="n"/>
      <c r="O72" s="11" t="n"/>
      <c r="P72" s="11" t="n"/>
      <c r="Q72" s="11" t="n"/>
      <c r="R72" s="11" t="n"/>
      <c r="S72" s="11" t="n"/>
      <c r="T72" s="11" t="n"/>
      <c r="U72" s="11" t="n"/>
      <c r="V72" s="11" t="n"/>
      <c r="W72" s="11" t="n"/>
      <c r="X72" s="11" t="n"/>
      <c r="Y72" s="11" t="n"/>
      <c r="Z72" s="11" t="n"/>
    </row>
    <row r="73">
      <c r="A73" s="11" t="n"/>
      <c r="B73" s="11" t="n"/>
      <c r="C73" s="11" t="n"/>
      <c r="D73" s="11" t="n"/>
      <c r="E73" s="11" t="n"/>
      <c r="F73" s="11" t="n"/>
      <c r="G73" s="11" t="n"/>
      <c r="H73" s="11" t="n"/>
      <c r="I73" s="11" t="n"/>
      <c r="J73" s="11" t="n"/>
      <c r="K73" s="11" t="n"/>
      <c r="L73" s="11" t="n"/>
      <c r="M73" s="11" t="n"/>
      <c r="N73" s="11" t="n"/>
      <c r="O73" s="11" t="n"/>
      <c r="P73" s="11" t="n"/>
      <c r="Q73" s="11" t="n"/>
      <c r="R73" s="11" t="n"/>
      <c r="S73" s="11" t="n"/>
      <c r="T73" s="11" t="n"/>
      <c r="U73" s="11" t="n"/>
      <c r="V73" s="11" t="n"/>
      <c r="W73" s="11" t="n"/>
      <c r="X73" s="11" t="n"/>
      <c r="Y73" s="11" t="n"/>
      <c r="Z73" s="11" t="n"/>
    </row>
    <row r="74">
      <c r="A74" s="11" t="n"/>
      <c r="B74" s="11" t="n"/>
      <c r="C74" s="11" t="n"/>
      <c r="D74" s="11" t="n"/>
      <c r="E74" s="11" t="n"/>
      <c r="F74" s="11" t="n"/>
      <c r="G74" s="11" t="n"/>
      <c r="H74" s="11" t="n"/>
      <c r="I74" s="11" t="n"/>
      <c r="J74" s="11" t="n"/>
      <c r="K74" s="11" t="n"/>
      <c r="L74" s="11" t="n"/>
      <c r="M74" s="11" t="n"/>
      <c r="N74" s="11" t="n"/>
      <c r="O74" s="11" t="n"/>
      <c r="P74" s="11" t="n"/>
      <c r="Q74" s="11" t="n"/>
      <c r="R74" s="11" t="n"/>
      <c r="S74" s="11" t="n"/>
      <c r="T74" s="11" t="n"/>
      <c r="U74" s="11" t="n"/>
      <c r="V74" s="11" t="n"/>
      <c r="W74" s="11" t="n"/>
      <c r="X74" s="11" t="n"/>
      <c r="Y74" s="11" t="n"/>
      <c r="Z74" s="11" t="n"/>
    </row>
    <row r="75">
      <c r="A75" s="11" t="n"/>
      <c r="B75" s="11" t="n"/>
      <c r="C75" s="11" t="n"/>
      <c r="D75" s="11" t="n"/>
      <c r="E75" s="11" t="n"/>
      <c r="F75" s="11" t="n"/>
      <c r="G75" s="11" t="n"/>
      <c r="H75" s="11" t="n"/>
      <c r="I75" s="11" t="n"/>
      <c r="J75" s="11" t="n"/>
      <c r="K75" s="11" t="n"/>
      <c r="L75" s="11" t="n"/>
      <c r="M75" s="11" t="n"/>
      <c r="N75" s="11" t="n"/>
      <c r="O75" s="11" t="n"/>
      <c r="P75" s="11" t="n"/>
      <c r="Q75" s="11" t="n"/>
      <c r="R75" s="11" t="n"/>
      <c r="S75" s="11" t="n"/>
      <c r="T75" s="11" t="n"/>
      <c r="U75" s="11" t="n"/>
      <c r="V75" s="11" t="n"/>
      <c r="W75" s="11" t="n"/>
      <c r="X75" s="11" t="n"/>
      <c r="Y75" s="11" t="n"/>
      <c r="Z75" s="11" t="n"/>
    </row>
    <row r="76">
      <c r="A76" s="11" t="n"/>
      <c r="B76" s="11" t="n"/>
      <c r="C76" s="11" t="n"/>
      <c r="D76" s="11" t="n"/>
      <c r="E76" s="11" t="n"/>
      <c r="F76" s="11" t="n"/>
      <c r="G76" s="11" t="n"/>
      <c r="H76" s="11" t="n"/>
      <c r="I76" s="11" t="n"/>
      <c r="J76" s="11" t="n"/>
      <c r="K76" s="11" t="n"/>
      <c r="L76" s="11" t="n"/>
      <c r="M76" s="11" t="n"/>
      <c r="N76" s="11" t="n"/>
      <c r="O76" s="11" t="n"/>
      <c r="P76" s="11" t="n"/>
      <c r="Q76" s="11" t="n"/>
      <c r="R76" s="11" t="n"/>
      <c r="S76" s="11" t="n"/>
      <c r="T76" s="11" t="n"/>
      <c r="U76" s="11" t="n"/>
      <c r="V76" s="11" t="n"/>
      <c r="W76" s="11" t="n"/>
      <c r="X76" s="11" t="n"/>
      <c r="Y76" s="11" t="n"/>
      <c r="Z76" s="11" t="n"/>
    </row>
    <row r="77">
      <c r="A77" s="11" t="n"/>
      <c r="B77" s="11" t="n"/>
      <c r="C77" s="11" t="n"/>
      <c r="D77" s="11" t="n"/>
      <c r="E77" s="11" t="n"/>
      <c r="F77" s="11" t="n"/>
      <c r="G77" s="11" t="n"/>
      <c r="H77" s="11" t="n"/>
      <c r="I77" s="11" t="n"/>
      <c r="J77" s="11" t="n"/>
      <c r="K77" s="11" t="n"/>
      <c r="L77" s="11" t="n"/>
      <c r="M77" s="11" t="n"/>
      <c r="N77" s="11" t="n"/>
      <c r="O77" s="11" t="n"/>
      <c r="P77" s="11" t="n"/>
      <c r="Q77" s="11" t="n"/>
      <c r="R77" s="11" t="n"/>
      <c r="S77" s="11" t="n"/>
      <c r="T77" s="11" t="n"/>
      <c r="U77" s="11" t="n"/>
      <c r="V77" s="11" t="n"/>
      <c r="W77" s="11" t="n"/>
      <c r="X77" s="11" t="n"/>
      <c r="Y77" s="11" t="n"/>
      <c r="Z77" s="11" t="n"/>
    </row>
    <row r="78">
      <c r="A78" s="11" t="n"/>
      <c r="B78" s="11" t="n"/>
      <c r="C78" s="11" t="n"/>
      <c r="D78" s="11" t="n"/>
      <c r="E78" s="11" t="n"/>
      <c r="F78" s="11" t="n"/>
      <c r="G78" s="11" t="n"/>
      <c r="H78" s="11" t="n"/>
      <c r="I78" s="11" t="n"/>
      <c r="J78" s="11" t="n"/>
      <c r="K78" s="11" t="n"/>
      <c r="L78" s="11" t="n"/>
      <c r="M78" s="11" t="n"/>
      <c r="N78" s="11" t="n"/>
      <c r="O78" s="11" t="n"/>
      <c r="P78" s="11" t="n"/>
      <c r="Q78" s="11" t="n"/>
      <c r="R78" s="11" t="n"/>
      <c r="S78" s="11" t="n"/>
      <c r="T78" s="11" t="n"/>
      <c r="U78" s="11" t="n"/>
      <c r="V78" s="11" t="n"/>
      <c r="W78" s="11" t="n"/>
      <c r="X78" s="11" t="n"/>
      <c r="Y78" s="11" t="n"/>
      <c r="Z78" s="11" t="n"/>
    </row>
    <row r="79">
      <c r="A79" s="11" t="n"/>
      <c r="B79" s="11" t="n"/>
      <c r="C79" s="11" t="n"/>
      <c r="D79" s="11" t="n"/>
      <c r="E79" s="11" t="n"/>
      <c r="F79" s="11" t="n"/>
      <c r="G79" s="11" t="n"/>
      <c r="H79" s="11" t="n"/>
      <c r="I79" s="11" t="n"/>
      <c r="J79" s="11" t="n"/>
      <c r="K79" s="11" t="n"/>
      <c r="L79" s="11" t="n"/>
      <c r="M79" s="11" t="n"/>
      <c r="N79" s="11" t="n"/>
      <c r="O79" s="11" t="n"/>
      <c r="P79" s="11" t="n"/>
      <c r="Q79" s="11" t="n"/>
      <c r="R79" s="11" t="n"/>
      <c r="S79" s="11" t="n"/>
      <c r="T79" s="11" t="n"/>
      <c r="U79" s="11" t="n"/>
      <c r="V79" s="11" t="n"/>
      <c r="W79" s="11" t="n"/>
      <c r="X79" s="11" t="n"/>
      <c r="Y79" s="11" t="n"/>
      <c r="Z79" s="11" t="n"/>
    </row>
    <row r="80">
      <c r="A80" s="11" t="n"/>
      <c r="B80" s="11" t="n"/>
      <c r="C80" s="11" t="n"/>
      <c r="D80" s="11" t="n"/>
      <c r="E80" s="11" t="n"/>
      <c r="F80" s="11" t="n"/>
      <c r="G80" s="11" t="n"/>
      <c r="H80" s="11" t="n"/>
      <c r="I80" s="11" t="n"/>
      <c r="J80" s="11" t="n"/>
      <c r="K80" s="11" t="n"/>
      <c r="L80" s="11" t="n"/>
      <c r="M80" s="11" t="n"/>
      <c r="N80" s="11" t="n"/>
      <c r="O80" s="11" t="n"/>
      <c r="P80" s="11" t="n"/>
      <c r="Q80" s="11" t="n"/>
      <c r="R80" s="11" t="n"/>
      <c r="S80" s="11" t="n"/>
      <c r="T80" s="11" t="n"/>
      <c r="U80" s="11" t="n"/>
      <c r="V80" s="11" t="n"/>
      <c r="W80" s="11" t="n"/>
      <c r="X80" s="11" t="n"/>
      <c r="Y80" s="11" t="n"/>
      <c r="Z80" s="11" t="n"/>
    </row>
    <row r="81">
      <c r="A81" s="11" t="n"/>
      <c r="B81" s="11" t="n"/>
      <c r="C81" s="11" t="n"/>
      <c r="D81" s="11" t="n"/>
      <c r="E81" s="11" t="n"/>
      <c r="F81" s="11" t="n"/>
      <c r="G81" s="11" t="n"/>
      <c r="H81" s="11" t="n"/>
      <c r="I81" s="11" t="n"/>
      <c r="J81" s="11" t="n"/>
      <c r="K81" s="11" t="n"/>
      <c r="L81" s="11" t="n"/>
      <c r="M81" s="11" t="n"/>
      <c r="N81" s="11" t="n"/>
      <c r="O81" s="11" t="n"/>
      <c r="P81" s="11" t="n"/>
      <c r="Q81" s="11" t="n"/>
      <c r="R81" s="11" t="n"/>
      <c r="S81" s="11" t="n"/>
      <c r="T81" s="11" t="n"/>
      <c r="U81" s="11" t="n"/>
      <c r="V81" s="11" t="n"/>
      <c r="W81" s="11" t="n"/>
      <c r="X81" s="11" t="n"/>
      <c r="Y81" s="11" t="n"/>
      <c r="Z81" s="11" t="n"/>
    </row>
    <row r="82">
      <c r="A82" s="11" t="n"/>
      <c r="B82" s="11" t="n"/>
      <c r="C82" s="11" t="n"/>
      <c r="D82" s="11" t="n"/>
      <c r="E82" s="11" t="n"/>
      <c r="F82" s="11" t="n"/>
      <c r="G82" s="11" t="n"/>
      <c r="H82" s="11" t="n"/>
      <c r="I82" s="11" t="n"/>
      <c r="J82" s="11" t="n"/>
      <c r="K82" s="11" t="n"/>
      <c r="L82" s="11" t="n"/>
      <c r="M82" s="11" t="n"/>
      <c r="N82" s="11" t="n"/>
      <c r="O82" s="11" t="n"/>
      <c r="P82" s="11" t="n"/>
      <c r="Q82" s="11" t="n"/>
      <c r="R82" s="11" t="n"/>
      <c r="S82" s="11" t="n"/>
      <c r="T82" s="11" t="n"/>
      <c r="U82" s="11" t="n"/>
      <c r="V82" s="11" t="n"/>
      <c r="W82" s="11" t="n"/>
      <c r="X82" s="11" t="n"/>
      <c r="Y82" s="11" t="n"/>
      <c r="Z82" s="11" t="n"/>
    </row>
    <row r="83">
      <c r="A83" s="11" t="n"/>
      <c r="B83" s="11" t="n"/>
      <c r="C83" s="11" t="n"/>
      <c r="D83" s="11" t="n"/>
      <c r="E83" s="11" t="n"/>
      <c r="F83" s="11" t="n"/>
      <c r="G83" s="11" t="n"/>
      <c r="H83" s="11" t="n"/>
      <c r="I83" s="11" t="n"/>
      <c r="J83" s="11" t="n"/>
      <c r="K83" s="11" t="n"/>
      <c r="L83" s="11" t="n"/>
      <c r="M83" s="11" t="n"/>
      <c r="N83" s="11" t="n"/>
      <c r="O83" s="11" t="n"/>
      <c r="P83" s="11" t="n"/>
      <c r="Q83" s="11" t="n"/>
      <c r="R83" s="11" t="n"/>
      <c r="S83" s="11" t="n"/>
      <c r="T83" s="11" t="n"/>
      <c r="U83" s="11" t="n"/>
      <c r="V83" s="11" t="n"/>
      <c r="W83" s="11" t="n"/>
      <c r="X83" s="11" t="n"/>
      <c r="Y83" s="11" t="n"/>
      <c r="Z83" s="11" t="n"/>
    </row>
    <row r="84">
      <c r="A84" s="11" t="n"/>
      <c r="B84" s="11" t="n"/>
      <c r="C84" s="11" t="n"/>
      <c r="D84" s="11" t="n"/>
      <c r="E84" s="11" t="n"/>
      <c r="F84" s="11" t="n"/>
      <c r="G84" s="11" t="n"/>
      <c r="H84" s="11" t="n"/>
      <c r="I84" s="11" t="n"/>
      <c r="J84" s="11" t="n"/>
      <c r="K84" s="11" t="n"/>
      <c r="L84" s="11" t="n"/>
      <c r="M84" s="11" t="n"/>
      <c r="N84" s="11" t="n"/>
      <c r="O84" s="11" t="n"/>
      <c r="P84" s="11" t="n"/>
      <c r="Q84" s="11" t="n"/>
      <c r="R84" s="11" t="n"/>
      <c r="S84" s="11" t="n"/>
      <c r="T84" s="11" t="n"/>
      <c r="U84" s="11" t="n"/>
      <c r="V84" s="11" t="n"/>
      <c r="W84" s="11" t="n"/>
      <c r="X84" s="11" t="n"/>
      <c r="Y84" s="11" t="n"/>
      <c r="Z84" s="11" t="n"/>
    </row>
    <row r="85">
      <c r="A85" s="11" t="n"/>
      <c r="B85" s="11" t="n"/>
      <c r="C85" s="11" t="n"/>
      <c r="D85" s="11" t="n"/>
      <c r="E85" s="11" t="n"/>
      <c r="F85" s="11" t="n"/>
      <c r="G85" s="11" t="n"/>
      <c r="H85" s="11" t="n"/>
      <c r="I85" s="11" t="n"/>
      <c r="J85" s="11" t="n"/>
      <c r="K85" s="11" t="n"/>
      <c r="L85" s="11" t="n"/>
      <c r="M85" s="11" t="n"/>
      <c r="N85" s="11" t="n"/>
      <c r="O85" s="11" t="n"/>
      <c r="P85" s="11" t="n"/>
      <c r="Q85" s="11" t="n"/>
      <c r="R85" s="11" t="n"/>
      <c r="S85" s="11" t="n"/>
      <c r="T85" s="11" t="n"/>
      <c r="U85" s="11" t="n"/>
      <c r="V85" s="11" t="n"/>
      <c r="W85" s="11" t="n"/>
      <c r="X85" s="11" t="n"/>
      <c r="Y85" s="11" t="n"/>
      <c r="Z85" s="11" t="n"/>
    </row>
    <row r="86">
      <c r="A86" s="11" t="n"/>
      <c r="B86" s="11" t="n"/>
      <c r="C86" s="11" t="n"/>
      <c r="D86" s="11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11" t="n"/>
      <c r="Y86" s="11" t="n"/>
      <c r="Z86" s="11" t="n"/>
    </row>
    <row r="87">
      <c r="A87" s="11" t="n"/>
      <c r="B87" s="11" t="n"/>
      <c r="C87" s="11" t="n"/>
      <c r="D87" s="11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11" t="n"/>
      <c r="Y87" s="11" t="n"/>
      <c r="Z87" s="11" t="n"/>
    </row>
    <row r="88">
      <c r="A88" s="11" t="n"/>
      <c r="B88" s="11" t="n"/>
      <c r="C88" s="11" t="n"/>
      <c r="D88" s="11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11" t="n"/>
      <c r="Y88" s="11" t="n"/>
      <c r="Z88" s="11" t="n"/>
    </row>
    <row r="89">
      <c r="A89" s="11" t="n"/>
      <c r="B89" s="11" t="n"/>
      <c r="C89" s="11" t="n"/>
      <c r="D89" s="11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11" t="n"/>
      <c r="Y89" s="11" t="n"/>
      <c r="Z89" s="11" t="n"/>
    </row>
    <row r="90">
      <c r="A90" s="11" t="n"/>
      <c r="B90" s="11" t="n"/>
      <c r="C90" s="11" t="n"/>
      <c r="D90" s="11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11" t="n"/>
      <c r="Y90" s="11" t="n"/>
      <c r="Z90" s="11" t="n"/>
    </row>
    <row r="91">
      <c r="A91" s="11" t="n"/>
      <c r="B91" s="11" t="n"/>
      <c r="C91" s="11" t="n"/>
      <c r="D91" s="11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11" t="n"/>
      <c r="Y91" s="11" t="n"/>
      <c r="Z91" s="11" t="n"/>
    </row>
    <row r="92">
      <c r="A92" s="11" t="n"/>
      <c r="B92" s="11" t="n"/>
      <c r="C92" s="11" t="n"/>
      <c r="D92" s="11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11" t="n"/>
      <c r="Y92" s="11" t="n"/>
      <c r="Z92" s="11" t="n"/>
    </row>
    <row r="93">
      <c r="A93" s="11" t="n"/>
      <c r="B93" s="11" t="n"/>
      <c r="C93" s="11" t="n"/>
      <c r="D93" s="11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11" t="n"/>
      <c r="Y93" s="11" t="n"/>
      <c r="Z93" s="11" t="n"/>
    </row>
    <row r="94">
      <c r="A94" s="11" t="n"/>
      <c r="B94" s="11" t="n"/>
      <c r="C94" s="11" t="n"/>
      <c r="D94" s="11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11" t="n"/>
      <c r="Y94" s="11" t="n"/>
      <c r="Z94" s="11" t="n"/>
    </row>
    <row r="95">
      <c r="A95" s="11" t="n"/>
      <c r="B95" s="11" t="n"/>
      <c r="C95" s="11" t="n"/>
      <c r="D95" s="11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11" t="n"/>
      <c r="Y95" s="11" t="n"/>
      <c r="Z95" s="11" t="n"/>
    </row>
    <row r="96">
      <c r="A96" s="11" t="n"/>
      <c r="B96" s="11" t="n"/>
      <c r="C96" s="11" t="n"/>
      <c r="D96" s="11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11" t="n"/>
      <c r="Y96" s="11" t="n"/>
      <c r="Z96" s="11" t="n"/>
    </row>
    <row r="97">
      <c r="A97" s="11" t="n"/>
      <c r="B97" s="11" t="n"/>
      <c r="C97" s="11" t="n"/>
      <c r="D97" s="11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11" t="n"/>
      <c r="Y97" s="11" t="n"/>
      <c r="Z97" s="11" t="n"/>
    </row>
    <row r="98">
      <c r="A98" s="11" t="n"/>
      <c r="B98" s="11" t="n"/>
      <c r="C98" s="11" t="n"/>
      <c r="D98" s="11" t="n"/>
      <c r="E98" s="11" t="n"/>
      <c r="F98" s="11" t="n"/>
      <c r="G98" s="11" t="n"/>
      <c r="H98" s="11" t="n"/>
      <c r="I98" s="11" t="n"/>
      <c r="J98" s="11" t="n"/>
      <c r="K98" s="11" t="n"/>
      <c r="L98" s="11" t="n"/>
      <c r="M98" s="11" t="n"/>
      <c r="N98" s="11" t="n"/>
      <c r="O98" s="11" t="n"/>
      <c r="P98" s="11" t="n"/>
      <c r="Q98" s="11" t="n"/>
      <c r="R98" s="11" t="n"/>
      <c r="S98" s="11" t="n"/>
      <c r="T98" s="11" t="n"/>
      <c r="U98" s="11" t="n"/>
      <c r="V98" s="11" t="n"/>
      <c r="W98" s="11" t="n"/>
      <c r="X98" s="11" t="n"/>
      <c r="Y98" s="11" t="n"/>
      <c r="Z98" s="11" t="n"/>
    </row>
    <row r="99">
      <c r="A99" s="11" t="n"/>
      <c r="B99" s="11" t="n"/>
      <c r="C99" s="11" t="n"/>
      <c r="D99" s="11" t="n"/>
      <c r="E99" s="11" t="n"/>
      <c r="F99" s="11" t="n"/>
      <c r="G99" s="11" t="n"/>
      <c r="H99" s="11" t="n"/>
      <c r="I99" s="11" t="n"/>
      <c r="J99" s="11" t="n"/>
      <c r="K99" s="11" t="n"/>
      <c r="L99" s="11" t="n"/>
      <c r="M99" s="11" t="n"/>
      <c r="N99" s="11" t="n"/>
      <c r="O99" s="11" t="n"/>
      <c r="P99" s="11" t="n"/>
      <c r="Q99" s="11" t="n"/>
      <c r="R99" s="11" t="n"/>
      <c r="S99" s="11" t="n"/>
      <c r="T99" s="11" t="n"/>
      <c r="U99" s="11" t="n"/>
      <c r="V99" s="11" t="n"/>
      <c r="W99" s="11" t="n"/>
      <c r="X99" s="11" t="n"/>
      <c r="Y99" s="11" t="n"/>
      <c r="Z99" s="11" t="n"/>
    </row>
    <row r="100">
      <c r="A100" s="11" t="n"/>
      <c r="B100" s="11" t="n"/>
      <c r="C100" s="11" t="n"/>
      <c r="D100" s="11" t="n"/>
      <c r="E100" s="11" t="n"/>
      <c r="F100" s="11" t="n"/>
      <c r="G100" s="11" t="n"/>
      <c r="H100" s="11" t="n"/>
      <c r="I100" s="11" t="n"/>
      <c r="J100" s="11" t="n"/>
      <c r="K100" s="11" t="n"/>
      <c r="L100" s="11" t="n"/>
      <c r="M100" s="11" t="n"/>
      <c r="N100" s="11" t="n"/>
      <c r="O100" s="11" t="n"/>
      <c r="P100" s="11" t="n"/>
      <c r="Q100" s="11" t="n"/>
      <c r="R100" s="11" t="n"/>
      <c r="S100" s="11" t="n"/>
      <c r="T100" s="11" t="n"/>
      <c r="U100" s="11" t="n"/>
      <c r="V100" s="11" t="n"/>
      <c r="W100" s="11" t="n"/>
      <c r="X100" s="11" t="n"/>
      <c r="Y100" s="11" t="n"/>
      <c r="Z100" s="11" t="n"/>
    </row>
    <row r="101">
      <c r="A101" s="11" t="n"/>
      <c r="B101" s="11" t="n"/>
      <c r="C101" s="11" t="n"/>
      <c r="D101" s="11" t="n"/>
      <c r="E101" s="11" t="n"/>
      <c r="F101" s="11" t="n"/>
      <c r="G101" s="11" t="n"/>
      <c r="H101" s="11" t="n"/>
      <c r="I101" s="11" t="n"/>
      <c r="J101" s="11" t="n"/>
      <c r="K101" s="11" t="n"/>
      <c r="L101" s="11" t="n"/>
      <c r="M101" s="11" t="n"/>
      <c r="N101" s="11" t="n"/>
      <c r="O101" s="11" t="n"/>
      <c r="P101" s="11" t="n"/>
      <c r="Q101" s="11" t="n"/>
      <c r="R101" s="11" t="n"/>
      <c r="S101" s="11" t="n"/>
      <c r="T101" s="11" t="n"/>
      <c r="U101" s="11" t="n"/>
      <c r="V101" s="11" t="n"/>
      <c r="W101" s="11" t="n"/>
      <c r="X101" s="11" t="n"/>
      <c r="Y101" s="11" t="n"/>
      <c r="Z101" s="11" t="n"/>
    </row>
    <row r="102">
      <c r="A102" s="11" t="n"/>
      <c r="B102" s="11" t="n"/>
      <c r="C102" s="11" t="n"/>
      <c r="D102" s="11" t="n"/>
      <c r="E102" s="11" t="n"/>
      <c r="F102" s="11" t="n"/>
      <c r="G102" s="11" t="n"/>
      <c r="H102" s="11" t="n"/>
      <c r="I102" s="11" t="n"/>
      <c r="J102" s="11" t="n"/>
      <c r="K102" s="11" t="n"/>
      <c r="L102" s="11" t="n"/>
      <c r="M102" s="11" t="n"/>
      <c r="N102" s="11" t="n"/>
      <c r="O102" s="11" t="n"/>
      <c r="P102" s="11" t="n"/>
      <c r="Q102" s="11" t="n"/>
      <c r="R102" s="11" t="n"/>
      <c r="S102" s="11" t="n"/>
      <c r="T102" s="11" t="n"/>
      <c r="U102" s="11" t="n"/>
      <c r="V102" s="11" t="n"/>
      <c r="W102" s="11" t="n"/>
      <c r="X102" s="11" t="n"/>
      <c r="Y102" s="11" t="n"/>
      <c r="Z102" s="11" t="n"/>
    </row>
    <row r="103">
      <c r="A103" s="11" t="n"/>
      <c r="B103" s="11" t="n"/>
      <c r="C103" s="11" t="n"/>
      <c r="D103" s="11" t="n"/>
      <c r="E103" s="11" t="n"/>
      <c r="F103" s="11" t="n"/>
      <c r="G103" s="11" t="n"/>
      <c r="H103" s="11" t="n"/>
      <c r="I103" s="11" t="n"/>
      <c r="J103" s="11" t="n"/>
      <c r="K103" s="11" t="n"/>
      <c r="L103" s="11" t="n"/>
      <c r="M103" s="11" t="n"/>
      <c r="N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Y103" s="11" t="n"/>
      <c r="Z103" s="11" t="n"/>
    </row>
    <row r="104">
      <c r="A104" s="11" t="n"/>
      <c r="B104" s="11" t="n"/>
      <c r="C104" s="11" t="n"/>
      <c r="D104" s="11" t="n"/>
      <c r="E104" s="11" t="n"/>
      <c r="F104" s="11" t="n"/>
      <c r="G104" s="11" t="n"/>
      <c r="H104" s="11" t="n"/>
      <c r="I104" s="11" t="n"/>
      <c r="J104" s="11" t="n"/>
      <c r="K104" s="11" t="n"/>
      <c r="L104" s="11" t="n"/>
      <c r="M104" s="11" t="n"/>
      <c r="N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Y104" s="11" t="n"/>
      <c r="Z104" s="11" t="n"/>
    </row>
    <row r="105">
      <c r="A105" s="11" t="n"/>
      <c r="B105" s="11" t="n"/>
      <c r="C105" s="11" t="n"/>
      <c r="D105" s="11" t="n"/>
      <c r="E105" s="11" t="n"/>
      <c r="F105" s="11" t="n"/>
      <c r="G105" s="11" t="n"/>
      <c r="H105" s="11" t="n"/>
      <c r="I105" s="11" t="n"/>
      <c r="J105" s="11" t="n"/>
      <c r="K105" s="11" t="n"/>
      <c r="L105" s="11" t="n"/>
      <c r="M105" s="11" t="n"/>
      <c r="N105" s="11" t="n"/>
      <c r="O105" s="11" t="n"/>
      <c r="P105" s="11" t="n"/>
      <c r="Q105" s="11" t="n"/>
      <c r="R105" s="11" t="n"/>
      <c r="S105" s="11" t="n"/>
      <c r="T105" s="11" t="n"/>
      <c r="U105" s="11" t="n"/>
      <c r="V105" s="11" t="n"/>
      <c r="W105" s="11" t="n"/>
      <c r="X105" s="11" t="n"/>
      <c r="Y105" s="11" t="n"/>
      <c r="Z105" s="11" t="n"/>
    </row>
    <row r="106">
      <c r="A106" s="11" t="n"/>
      <c r="B106" s="11" t="n"/>
      <c r="C106" s="11" t="n"/>
      <c r="D106" s="11" t="n"/>
      <c r="E106" s="11" t="n"/>
      <c r="F106" s="11" t="n"/>
      <c r="G106" s="11" t="n"/>
      <c r="H106" s="11" t="n"/>
      <c r="I106" s="11" t="n"/>
      <c r="J106" s="11" t="n"/>
      <c r="K106" s="11" t="n"/>
      <c r="L106" s="11" t="n"/>
      <c r="M106" s="11" t="n"/>
      <c r="N106" s="11" t="n"/>
      <c r="O106" s="11" t="n"/>
      <c r="P106" s="11" t="n"/>
      <c r="Q106" s="11" t="n"/>
      <c r="R106" s="11" t="n"/>
      <c r="S106" s="11" t="n"/>
      <c r="T106" s="11" t="n"/>
      <c r="U106" s="11" t="n"/>
      <c r="V106" s="11" t="n"/>
      <c r="W106" s="11" t="n"/>
      <c r="X106" s="11" t="n"/>
      <c r="Y106" s="11" t="n"/>
      <c r="Z106" s="11" t="n"/>
    </row>
    <row r="107">
      <c r="A107" s="11" t="n"/>
      <c r="B107" s="11" t="n"/>
      <c r="C107" s="11" t="n"/>
      <c r="D107" s="11" t="n"/>
      <c r="E107" s="11" t="n"/>
      <c r="F107" s="11" t="n"/>
      <c r="G107" s="11" t="n"/>
      <c r="H107" s="11" t="n"/>
      <c r="I107" s="11" t="n"/>
      <c r="J107" s="11" t="n"/>
      <c r="K107" s="11" t="n"/>
      <c r="L107" s="11" t="n"/>
      <c r="M107" s="11" t="n"/>
      <c r="N107" s="11" t="n"/>
      <c r="O107" s="11" t="n"/>
      <c r="P107" s="11" t="n"/>
      <c r="Q107" s="11" t="n"/>
      <c r="R107" s="11" t="n"/>
      <c r="S107" s="11" t="n"/>
      <c r="T107" s="11" t="n"/>
      <c r="U107" s="11" t="n"/>
      <c r="V107" s="11" t="n"/>
      <c r="W107" s="11" t="n"/>
      <c r="X107" s="11" t="n"/>
      <c r="Y107" s="11" t="n"/>
      <c r="Z107" s="11" t="n"/>
    </row>
    <row r="108">
      <c r="A108" s="11" t="n"/>
      <c r="B108" s="11" t="n"/>
      <c r="C108" s="11" t="n"/>
      <c r="D108" s="11" t="n"/>
      <c r="E108" s="11" t="n"/>
      <c r="F108" s="11" t="n"/>
      <c r="G108" s="11" t="n"/>
      <c r="H108" s="11" t="n"/>
      <c r="I108" s="11" t="n"/>
      <c r="J108" s="11" t="n"/>
      <c r="K108" s="11" t="n"/>
      <c r="L108" s="11" t="n"/>
      <c r="M108" s="11" t="n"/>
      <c r="N108" s="11" t="n"/>
      <c r="O108" s="11" t="n"/>
      <c r="P108" s="11" t="n"/>
      <c r="Q108" s="11" t="n"/>
      <c r="R108" s="11" t="n"/>
      <c r="S108" s="11" t="n"/>
      <c r="T108" s="11" t="n"/>
      <c r="U108" s="11" t="n"/>
      <c r="V108" s="11" t="n"/>
      <c r="W108" s="11" t="n"/>
      <c r="X108" s="11" t="n"/>
      <c r="Y108" s="11" t="n"/>
      <c r="Z108" s="11" t="n"/>
    </row>
    <row r="109">
      <c r="A109" s="11" t="n"/>
      <c r="B109" s="11" t="n"/>
      <c r="C109" s="11" t="n"/>
      <c r="D109" s="11" t="n"/>
      <c r="E109" s="11" t="n"/>
      <c r="F109" s="11" t="n"/>
      <c r="G109" s="11" t="n"/>
      <c r="H109" s="11" t="n"/>
      <c r="I109" s="11" t="n"/>
      <c r="J109" s="11" t="n"/>
      <c r="K109" s="11" t="n"/>
      <c r="L109" s="11" t="n"/>
      <c r="M109" s="11" t="n"/>
      <c r="N109" s="11" t="n"/>
      <c r="O109" s="11" t="n"/>
      <c r="P109" s="11" t="n"/>
      <c r="Q109" s="11" t="n"/>
      <c r="R109" s="11" t="n"/>
      <c r="S109" s="11" t="n"/>
      <c r="T109" s="11" t="n"/>
      <c r="U109" s="11" t="n"/>
      <c r="V109" s="11" t="n"/>
      <c r="W109" s="11" t="n"/>
      <c r="X109" s="11" t="n"/>
      <c r="Y109" s="11" t="n"/>
      <c r="Z109" s="11" t="n"/>
    </row>
    <row r="110">
      <c r="A110" s="11" t="n"/>
      <c r="B110" s="11" t="n"/>
      <c r="C110" s="11" t="n"/>
      <c r="D110" s="11" t="n"/>
      <c r="E110" s="11" t="n"/>
      <c r="F110" s="11" t="n"/>
      <c r="G110" s="11" t="n"/>
      <c r="H110" s="11" t="n"/>
      <c r="I110" s="11" t="n"/>
      <c r="J110" s="11" t="n"/>
      <c r="K110" s="11" t="n"/>
      <c r="L110" s="11" t="n"/>
      <c r="M110" s="11" t="n"/>
      <c r="N110" s="11" t="n"/>
      <c r="O110" s="11" t="n"/>
      <c r="P110" s="11" t="n"/>
      <c r="Q110" s="11" t="n"/>
      <c r="R110" s="11" t="n"/>
      <c r="S110" s="11" t="n"/>
      <c r="T110" s="11" t="n"/>
      <c r="U110" s="11" t="n"/>
      <c r="V110" s="11" t="n"/>
      <c r="W110" s="11" t="n"/>
      <c r="X110" s="11" t="n"/>
      <c r="Y110" s="11" t="n"/>
      <c r="Z110" s="11" t="n"/>
    </row>
    <row r="111">
      <c r="A111" s="11" t="n"/>
      <c r="B111" s="11" t="n"/>
      <c r="C111" s="11" t="n"/>
      <c r="D111" s="11" t="n"/>
      <c r="E111" s="11" t="n"/>
      <c r="F111" s="11" t="n"/>
      <c r="G111" s="11" t="n"/>
      <c r="H111" s="11" t="n"/>
      <c r="I111" s="11" t="n"/>
      <c r="J111" s="11" t="n"/>
      <c r="K111" s="11" t="n"/>
      <c r="L111" s="11" t="n"/>
      <c r="M111" s="11" t="n"/>
      <c r="N111" s="11" t="n"/>
      <c r="O111" s="11" t="n"/>
      <c r="P111" s="11" t="n"/>
      <c r="Q111" s="11" t="n"/>
      <c r="R111" s="11" t="n"/>
      <c r="S111" s="11" t="n"/>
      <c r="T111" s="11" t="n"/>
      <c r="U111" s="11" t="n"/>
      <c r="V111" s="11" t="n"/>
      <c r="W111" s="11" t="n"/>
      <c r="X111" s="11" t="n"/>
      <c r="Y111" s="11" t="n"/>
      <c r="Z111" s="11" t="n"/>
    </row>
    <row r="112">
      <c r="A112" s="11" t="n"/>
      <c r="B112" s="11" t="n"/>
      <c r="C112" s="11" t="n"/>
      <c r="D112" s="11" t="n"/>
      <c r="E112" s="11" t="n"/>
      <c r="F112" s="11" t="n"/>
      <c r="G112" s="11" t="n"/>
      <c r="H112" s="11" t="n"/>
      <c r="I112" s="11" t="n"/>
      <c r="J112" s="11" t="n"/>
      <c r="K112" s="11" t="n"/>
      <c r="L112" s="11" t="n"/>
      <c r="M112" s="11" t="n"/>
      <c r="N112" s="11" t="n"/>
      <c r="O112" s="11" t="n"/>
      <c r="P112" s="11" t="n"/>
      <c r="Q112" s="11" t="n"/>
      <c r="R112" s="11" t="n"/>
      <c r="S112" s="11" t="n"/>
      <c r="T112" s="11" t="n"/>
      <c r="U112" s="11" t="n"/>
      <c r="V112" s="11" t="n"/>
      <c r="W112" s="11" t="n"/>
      <c r="X112" s="11" t="n"/>
      <c r="Y112" s="11" t="n"/>
      <c r="Z112" s="11" t="n"/>
    </row>
    <row r="113">
      <c r="A113" s="11" t="n"/>
      <c r="B113" s="11" t="n"/>
      <c r="C113" s="11" t="n"/>
      <c r="D113" s="11" t="n"/>
      <c r="E113" s="11" t="n"/>
      <c r="F113" s="11" t="n"/>
      <c r="G113" s="11" t="n"/>
      <c r="H113" s="11" t="n"/>
      <c r="I113" s="11" t="n"/>
      <c r="J113" s="11" t="n"/>
      <c r="K113" s="11" t="n"/>
      <c r="L113" s="11" t="n"/>
      <c r="M113" s="11" t="n"/>
      <c r="N113" s="11" t="n"/>
      <c r="O113" s="11" t="n"/>
      <c r="P113" s="11" t="n"/>
      <c r="Q113" s="11" t="n"/>
      <c r="R113" s="11" t="n"/>
      <c r="S113" s="11" t="n"/>
      <c r="T113" s="11" t="n"/>
      <c r="U113" s="11" t="n"/>
      <c r="V113" s="11" t="n"/>
      <c r="W113" s="11" t="n"/>
      <c r="X113" s="11" t="n"/>
      <c r="Y113" s="11" t="n"/>
      <c r="Z113" s="11" t="n"/>
    </row>
    <row r="114">
      <c r="A114" s="11" t="n"/>
      <c r="B114" s="11" t="n"/>
      <c r="C114" s="11" t="n"/>
      <c r="D114" s="11" t="n"/>
      <c r="E114" s="11" t="n"/>
      <c r="F114" s="11" t="n"/>
      <c r="G114" s="11" t="n"/>
      <c r="H114" s="11" t="n"/>
      <c r="I114" s="11" t="n"/>
      <c r="J114" s="11" t="n"/>
      <c r="K114" s="11" t="n"/>
      <c r="L114" s="11" t="n"/>
      <c r="M114" s="11" t="n"/>
      <c r="N114" s="11" t="n"/>
      <c r="O114" s="11" t="n"/>
      <c r="P114" s="11" t="n"/>
      <c r="Q114" s="11" t="n"/>
      <c r="R114" s="11" t="n"/>
      <c r="S114" s="11" t="n"/>
      <c r="T114" s="11" t="n"/>
      <c r="U114" s="11" t="n"/>
      <c r="V114" s="11" t="n"/>
      <c r="W114" s="11" t="n"/>
      <c r="X114" s="11" t="n"/>
      <c r="Y114" s="11" t="n"/>
      <c r="Z114" s="11" t="n"/>
    </row>
    <row r="115">
      <c r="A115" s="11" t="n"/>
      <c r="B115" s="11" t="n"/>
      <c r="C115" s="11" t="n"/>
      <c r="D115" s="11" t="n"/>
      <c r="E115" s="11" t="n"/>
      <c r="F115" s="11" t="n"/>
      <c r="G115" s="11" t="n"/>
      <c r="H115" s="11" t="n"/>
      <c r="I115" s="11" t="n"/>
      <c r="J115" s="11" t="n"/>
      <c r="K115" s="11" t="n"/>
      <c r="L115" s="11" t="n"/>
      <c r="M115" s="11" t="n"/>
      <c r="N115" s="11" t="n"/>
      <c r="O115" s="11" t="n"/>
      <c r="P115" s="11" t="n"/>
      <c r="Q115" s="11" t="n"/>
      <c r="R115" s="11" t="n"/>
      <c r="S115" s="11" t="n"/>
      <c r="T115" s="11" t="n"/>
      <c r="U115" s="11" t="n"/>
      <c r="V115" s="11" t="n"/>
      <c r="W115" s="11" t="n"/>
      <c r="X115" s="11" t="n"/>
      <c r="Y115" s="11" t="n"/>
      <c r="Z115" s="11" t="n"/>
    </row>
    <row r="116">
      <c r="A116" s="11" t="n"/>
      <c r="B116" s="11" t="n"/>
      <c r="C116" s="11" t="n"/>
      <c r="D116" s="11" t="n"/>
      <c r="E116" s="11" t="n"/>
      <c r="F116" s="11" t="n"/>
      <c r="G116" s="11" t="n"/>
      <c r="H116" s="11" t="n"/>
      <c r="I116" s="11" t="n"/>
      <c r="J116" s="11" t="n"/>
      <c r="K116" s="11" t="n"/>
      <c r="L116" s="11" t="n"/>
      <c r="M116" s="11" t="n"/>
      <c r="N116" s="11" t="n"/>
      <c r="O116" s="11" t="n"/>
      <c r="P116" s="11" t="n"/>
      <c r="Q116" s="11" t="n"/>
      <c r="R116" s="11" t="n"/>
      <c r="S116" s="11" t="n"/>
      <c r="T116" s="11" t="n"/>
      <c r="U116" s="11" t="n"/>
      <c r="V116" s="11" t="n"/>
      <c r="W116" s="11" t="n"/>
      <c r="X116" s="11" t="n"/>
      <c r="Y116" s="11" t="n"/>
      <c r="Z116" s="11" t="n"/>
    </row>
    <row r="117">
      <c r="A117" s="11" t="n"/>
      <c r="B117" s="11" t="n"/>
      <c r="C117" s="11" t="n"/>
      <c r="D117" s="11" t="n"/>
      <c r="E117" s="11" t="n"/>
      <c r="F117" s="11" t="n"/>
      <c r="G117" s="11" t="n"/>
      <c r="H117" s="11" t="n"/>
      <c r="I117" s="11" t="n"/>
      <c r="J117" s="11" t="n"/>
      <c r="K117" s="11" t="n"/>
      <c r="L117" s="11" t="n"/>
      <c r="M117" s="11" t="n"/>
      <c r="N117" s="11" t="n"/>
      <c r="O117" s="11" t="n"/>
      <c r="P117" s="11" t="n"/>
      <c r="Q117" s="11" t="n"/>
      <c r="R117" s="11" t="n"/>
      <c r="S117" s="11" t="n"/>
      <c r="T117" s="11" t="n"/>
      <c r="U117" s="11" t="n"/>
      <c r="V117" s="11" t="n"/>
      <c r="W117" s="11" t="n"/>
      <c r="X117" s="11" t="n"/>
      <c r="Y117" s="11" t="n"/>
      <c r="Z117" s="11" t="n"/>
    </row>
    <row r="118">
      <c r="A118" s="11" t="n"/>
      <c r="B118" s="11" t="n"/>
      <c r="C118" s="11" t="n"/>
      <c r="D118" s="11" t="n"/>
      <c r="E118" s="11" t="n"/>
      <c r="F118" s="11" t="n"/>
      <c r="G118" s="11" t="n"/>
      <c r="H118" s="11" t="n"/>
      <c r="I118" s="11" t="n"/>
      <c r="J118" s="11" t="n"/>
      <c r="K118" s="11" t="n"/>
      <c r="L118" s="11" t="n"/>
      <c r="M118" s="11" t="n"/>
      <c r="N118" s="11" t="n"/>
      <c r="O118" s="11" t="n"/>
      <c r="P118" s="11" t="n"/>
      <c r="Q118" s="11" t="n"/>
      <c r="R118" s="11" t="n"/>
      <c r="S118" s="11" t="n"/>
      <c r="T118" s="11" t="n"/>
      <c r="U118" s="11" t="n"/>
      <c r="V118" s="11" t="n"/>
      <c r="W118" s="11" t="n"/>
      <c r="X118" s="11" t="n"/>
      <c r="Y118" s="11" t="n"/>
      <c r="Z118" s="11" t="n"/>
    </row>
    <row r="119">
      <c r="A119" s="11" t="n"/>
      <c r="B119" s="11" t="n"/>
      <c r="C119" s="11" t="n"/>
      <c r="D119" s="11" t="n"/>
      <c r="E119" s="11" t="n"/>
      <c r="F119" s="11" t="n"/>
      <c r="G119" s="11" t="n"/>
      <c r="H119" s="11" t="n"/>
      <c r="I119" s="11" t="n"/>
      <c r="J119" s="11" t="n"/>
      <c r="K119" s="11" t="n"/>
      <c r="L119" s="11" t="n"/>
      <c r="M119" s="11" t="n"/>
      <c r="N119" s="11" t="n"/>
      <c r="O119" s="11" t="n"/>
      <c r="P119" s="11" t="n"/>
      <c r="Q119" s="11" t="n"/>
      <c r="R119" s="11" t="n"/>
      <c r="S119" s="11" t="n"/>
      <c r="T119" s="11" t="n"/>
      <c r="U119" s="11" t="n"/>
      <c r="V119" s="11" t="n"/>
      <c r="W119" s="11" t="n"/>
      <c r="X119" s="11" t="n"/>
      <c r="Y119" s="11" t="n"/>
      <c r="Z119" s="11" t="n"/>
    </row>
    <row r="120">
      <c r="A120" s="11" t="n"/>
      <c r="B120" s="11" t="n"/>
      <c r="C120" s="11" t="n"/>
      <c r="D120" s="11" t="n"/>
      <c r="E120" s="11" t="n"/>
      <c r="F120" s="11" t="n"/>
      <c r="G120" s="11" t="n"/>
      <c r="H120" s="11" t="n"/>
      <c r="I120" s="11" t="n"/>
      <c r="J120" s="11" t="n"/>
      <c r="K120" s="11" t="n"/>
      <c r="L120" s="11" t="n"/>
      <c r="M120" s="11" t="n"/>
      <c r="N120" s="11" t="n"/>
      <c r="O120" s="11" t="n"/>
      <c r="P120" s="11" t="n"/>
      <c r="Q120" s="11" t="n"/>
      <c r="R120" s="11" t="n"/>
      <c r="S120" s="11" t="n"/>
      <c r="T120" s="11" t="n"/>
      <c r="U120" s="11" t="n"/>
      <c r="V120" s="11" t="n"/>
      <c r="W120" s="11" t="n"/>
      <c r="X120" s="11" t="n"/>
      <c r="Y120" s="11" t="n"/>
      <c r="Z120" s="11" t="n"/>
    </row>
    <row r="121">
      <c r="A121" s="11" t="n"/>
      <c r="B121" s="11" t="n"/>
      <c r="C121" s="11" t="n"/>
      <c r="D121" s="11" t="n"/>
      <c r="E121" s="11" t="n"/>
      <c r="F121" s="11" t="n"/>
      <c r="G121" s="11" t="n"/>
      <c r="H121" s="11" t="n"/>
      <c r="I121" s="11" t="n"/>
      <c r="J121" s="11" t="n"/>
      <c r="K121" s="11" t="n"/>
      <c r="L121" s="11" t="n"/>
      <c r="M121" s="11" t="n"/>
      <c r="N121" s="11" t="n"/>
      <c r="O121" s="11" t="n"/>
      <c r="P121" s="11" t="n"/>
      <c r="Q121" s="11" t="n"/>
      <c r="R121" s="11" t="n"/>
      <c r="S121" s="11" t="n"/>
      <c r="T121" s="11" t="n"/>
      <c r="U121" s="11" t="n"/>
      <c r="V121" s="11" t="n"/>
      <c r="W121" s="11" t="n"/>
      <c r="X121" s="11" t="n"/>
      <c r="Y121" s="11" t="n"/>
      <c r="Z121" s="11" t="n"/>
    </row>
    <row r="122">
      <c r="A122" s="11" t="n"/>
      <c r="B122" s="11" t="n"/>
      <c r="C122" s="11" t="n"/>
      <c r="D122" s="11" t="n"/>
      <c r="E122" s="11" t="n"/>
      <c r="F122" s="11" t="n"/>
      <c r="G122" s="11" t="n"/>
      <c r="H122" s="11" t="n"/>
      <c r="I122" s="11" t="n"/>
      <c r="J122" s="11" t="n"/>
      <c r="K122" s="11" t="n"/>
      <c r="L122" s="11" t="n"/>
      <c r="M122" s="11" t="n"/>
      <c r="N122" s="11" t="n"/>
      <c r="O122" s="11" t="n"/>
      <c r="P122" s="11" t="n"/>
      <c r="Q122" s="11" t="n"/>
      <c r="R122" s="11" t="n"/>
      <c r="S122" s="11" t="n"/>
      <c r="T122" s="11" t="n"/>
      <c r="U122" s="11" t="n"/>
      <c r="V122" s="11" t="n"/>
      <c r="W122" s="11" t="n"/>
      <c r="X122" s="11" t="n"/>
      <c r="Y122" s="11" t="n"/>
      <c r="Z122" s="11" t="n"/>
    </row>
    <row r="123">
      <c r="A123" s="11" t="n"/>
      <c r="B123" s="11" t="n"/>
      <c r="C123" s="11" t="n"/>
      <c r="D123" s="11" t="n"/>
      <c r="E123" s="11" t="n"/>
      <c r="F123" s="11" t="n"/>
      <c r="G123" s="11" t="n"/>
      <c r="H123" s="11" t="n"/>
      <c r="I123" s="11" t="n"/>
      <c r="J123" s="11" t="n"/>
      <c r="K123" s="11" t="n"/>
      <c r="L123" s="11" t="n"/>
      <c r="M123" s="11" t="n"/>
      <c r="N123" s="11" t="n"/>
      <c r="O123" s="11" t="n"/>
      <c r="P123" s="11" t="n"/>
      <c r="Q123" s="11" t="n"/>
      <c r="R123" s="11" t="n"/>
      <c r="S123" s="11" t="n"/>
      <c r="T123" s="11" t="n"/>
      <c r="U123" s="11" t="n"/>
      <c r="V123" s="11" t="n"/>
      <c r="W123" s="11" t="n"/>
      <c r="X123" s="11" t="n"/>
      <c r="Y123" s="11" t="n"/>
      <c r="Z123" s="11" t="n"/>
    </row>
    <row r="124">
      <c r="A124" s="11" t="n"/>
      <c r="B124" s="11" t="n"/>
      <c r="C124" s="11" t="n"/>
      <c r="D124" s="11" t="n"/>
      <c r="E124" s="11" t="n"/>
      <c r="F124" s="11" t="n"/>
      <c r="G124" s="11" t="n"/>
      <c r="H124" s="11" t="n"/>
      <c r="I124" s="11" t="n"/>
      <c r="J124" s="11" t="n"/>
      <c r="K124" s="11" t="n"/>
      <c r="L124" s="11" t="n"/>
      <c r="M124" s="11" t="n"/>
      <c r="N124" s="11" t="n"/>
      <c r="O124" s="11" t="n"/>
      <c r="P124" s="11" t="n"/>
      <c r="Q124" s="11" t="n"/>
      <c r="R124" s="11" t="n"/>
      <c r="S124" s="11" t="n"/>
      <c r="T124" s="11" t="n"/>
      <c r="U124" s="11" t="n"/>
      <c r="V124" s="11" t="n"/>
      <c r="W124" s="11" t="n"/>
      <c r="X124" s="11" t="n"/>
      <c r="Y124" s="11" t="n"/>
      <c r="Z124" s="11" t="n"/>
    </row>
    <row r="125">
      <c r="A125" s="11" t="n"/>
      <c r="B125" s="11" t="n"/>
      <c r="C125" s="11" t="n"/>
      <c r="D125" s="11" t="n"/>
      <c r="E125" s="11" t="n"/>
      <c r="F125" s="11" t="n"/>
      <c r="G125" s="11" t="n"/>
      <c r="H125" s="11" t="n"/>
      <c r="I125" s="11" t="n"/>
      <c r="J125" s="11" t="n"/>
      <c r="K125" s="11" t="n"/>
      <c r="L125" s="11" t="n"/>
      <c r="M125" s="11" t="n"/>
      <c r="N125" s="11" t="n"/>
      <c r="O125" s="11" t="n"/>
      <c r="P125" s="11" t="n"/>
      <c r="Q125" s="11" t="n"/>
      <c r="R125" s="11" t="n"/>
      <c r="S125" s="11" t="n"/>
      <c r="T125" s="11" t="n"/>
      <c r="U125" s="11" t="n"/>
      <c r="V125" s="11" t="n"/>
      <c r="W125" s="11" t="n"/>
      <c r="X125" s="11" t="n"/>
      <c r="Y125" s="11" t="n"/>
      <c r="Z125" s="11" t="n"/>
    </row>
    <row r="126">
      <c r="A126" s="11" t="n"/>
      <c r="B126" s="11" t="n"/>
      <c r="C126" s="11" t="n"/>
      <c r="D126" s="11" t="n"/>
      <c r="E126" s="11" t="n"/>
      <c r="F126" s="11" t="n"/>
      <c r="G126" s="11" t="n"/>
      <c r="H126" s="11" t="n"/>
      <c r="I126" s="11" t="n"/>
      <c r="J126" s="11" t="n"/>
      <c r="K126" s="11" t="n"/>
      <c r="L126" s="11" t="n"/>
      <c r="M126" s="11" t="n"/>
      <c r="N126" s="11" t="n"/>
      <c r="O126" s="11" t="n"/>
      <c r="P126" s="11" t="n"/>
      <c r="Q126" s="11" t="n"/>
      <c r="R126" s="11" t="n"/>
      <c r="S126" s="11" t="n"/>
      <c r="T126" s="11" t="n"/>
      <c r="U126" s="11" t="n"/>
      <c r="V126" s="11" t="n"/>
      <c r="W126" s="11" t="n"/>
      <c r="X126" s="11" t="n"/>
      <c r="Y126" s="11" t="n"/>
      <c r="Z126" s="11" t="n"/>
    </row>
    <row r="127">
      <c r="A127" s="11" t="n"/>
      <c r="B127" s="11" t="n"/>
      <c r="C127" s="11" t="n"/>
      <c r="D127" s="11" t="n"/>
      <c r="E127" s="11" t="n"/>
      <c r="F127" s="11" t="n"/>
      <c r="G127" s="11" t="n"/>
      <c r="H127" s="11" t="n"/>
      <c r="I127" s="11" t="n"/>
      <c r="J127" s="11" t="n"/>
      <c r="K127" s="11" t="n"/>
      <c r="L127" s="11" t="n"/>
      <c r="M127" s="11" t="n"/>
      <c r="N127" s="11" t="n"/>
      <c r="O127" s="11" t="n"/>
      <c r="P127" s="11" t="n"/>
      <c r="Q127" s="11" t="n"/>
      <c r="R127" s="11" t="n"/>
      <c r="S127" s="11" t="n"/>
      <c r="T127" s="11" t="n"/>
      <c r="U127" s="11" t="n"/>
      <c r="V127" s="11" t="n"/>
      <c r="W127" s="11" t="n"/>
      <c r="X127" s="11" t="n"/>
      <c r="Y127" s="11" t="n"/>
      <c r="Z127" s="11" t="n"/>
    </row>
    <row r="128">
      <c r="A128" s="11" t="n"/>
      <c r="B128" s="11" t="n"/>
      <c r="C128" s="11" t="n"/>
      <c r="D128" s="11" t="n"/>
      <c r="E128" s="11" t="n"/>
      <c r="F128" s="11" t="n"/>
      <c r="G128" s="11" t="n"/>
      <c r="H128" s="11" t="n"/>
      <c r="I128" s="11" t="n"/>
      <c r="J128" s="11" t="n"/>
      <c r="K128" s="11" t="n"/>
      <c r="L128" s="11" t="n"/>
      <c r="M128" s="11" t="n"/>
      <c r="N128" s="11" t="n"/>
      <c r="O128" s="11" t="n"/>
      <c r="P128" s="11" t="n"/>
      <c r="Q128" s="11" t="n"/>
      <c r="R128" s="11" t="n"/>
      <c r="S128" s="11" t="n"/>
      <c r="T128" s="11" t="n"/>
      <c r="U128" s="11" t="n"/>
      <c r="V128" s="11" t="n"/>
      <c r="W128" s="11" t="n"/>
      <c r="X128" s="11" t="n"/>
      <c r="Y128" s="11" t="n"/>
      <c r="Z128" s="11" t="n"/>
    </row>
    <row r="129">
      <c r="A129" s="11" t="n"/>
      <c r="B129" s="11" t="n"/>
      <c r="C129" s="11" t="n"/>
      <c r="D129" s="11" t="n"/>
      <c r="E129" s="11" t="n"/>
      <c r="F129" s="11" t="n"/>
      <c r="G129" s="11" t="n"/>
      <c r="H129" s="11" t="n"/>
      <c r="I129" s="11" t="n"/>
      <c r="J129" s="11" t="n"/>
      <c r="K129" s="11" t="n"/>
      <c r="L129" s="11" t="n"/>
      <c r="M129" s="11" t="n"/>
      <c r="N129" s="11" t="n"/>
      <c r="O129" s="11" t="n"/>
      <c r="P129" s="11" t="n"/>
      <c r="Q129" s="11" t="n"/>
      <c r="R129" s="11" t="n"/>
      <c r="S129" s="11" t="n"/>
      <c r="T129" s="11" t="n"/>
      <c r="U129" s="11" t="n"/>
      <c r="V129" s="11" t="n"/>
      <c r="W129" s="11" t="n"/>
      <c r="X129" s="11" t="n"/>
      <c r="Y129" s="11" t="n"/>
      <c r="Z129" s="11" t="n"/>
    </row>
    <row r="130">
      <c r="A130" s="11" t="n"/>
      <c r="B130" s="11" t="n"/>
      <c r="C130" s="11" t="n"/>
      <c r="D130" s="11" t="n"/>
      <c r="E130" s="11" t="n"/>
      <c r="F130" s="11" t="n"/>
      <c r="G130" s="11" t="n"/>
      <c r="H130" s="11" t="n"/>
      <c r="I130" s="11" t="n"/>
      <c r="J130" s="11" t="n"/>
      <c r="K130" s="11" t="n"/>
      <c r="L130" s="11" t="n"/>
      <c r="M130" s="11" t="n"/>
      <c r="N130" s="11" t="n"/>
      <c r="O130" s="11" t="n"/>
      <c r="P130" s="11" t="n"/>
      <c r="Q130" s="11" t="n"/>
      <c r="R130" s="11" t="n"/>
      <c r="S130" s="11" t="n"/>
      <c r="T130" s="11" t="n"/>
      <c r="U130" s="11" t="n"/>
      <c r="V130" s="11" t="n"/>
      <c r="W130" s="11" t="n"/>
      <c r="X130" s="11" t="n"/>
      <c r="Y130" s="11" t="n"/>
      <c r="Z130" s="11" t="n"/>
    </row>
    <row r="131">
      <c r="A131" s="11" t="n"/>
      <c r="B131" s="11" t="n"/>
      <c r="C131" s="11" t="n"/>
      <c r="D131" s="11" t="n"/>
      <c r="E131" s="11" t="n"/>
      <c r="F131" s="11" t="n"/>
      <c r="G131" s="11" t="n"/>
      <c r="H131" s="11" t="n"/>
      <c r="I131" s="11" t="n"/>
      <c r="J131" s="11" t="n"/>
      <c r="K131" s="11" t="n"/>
      <c r="L131" s="11" t="n"/>
      <c r="M131" s="11" t="n"/>
      <c r="N131" s="11" t="n"/>
      <c r="O131" s="11" t="n"/>
      <c r="P131" s="11" t="n"/>
      <c r="Q131" s="11" t="n"/>
      <c r="R131" s="11" t="n"/>
      <c r="S131" s="11" t="n"/>
      <c r="T131" s="11" t="n"/>
      <c r="U131" s="11" t="n"/>
      <c r="V131" s="11" t="n"/>
      <c r="W131" s="11" t="n"/>
      <c r="X131" s="11" t="n"/>
      <c r="Y131" s="11" t="n"/>
      <c r="Z131" s="11" t="n"/>
    </row>
    <row r="132">
      <c r="A132" s="11" t="n"/>
      <c r="B132" s="11" t="n"/>
      <c r="C132" s="11" t="n"/>
      <c r="D132" s="11" t="n"/>
      <c r="E132" s="11" t="n"/>
      <c r="F132" s="11" t="n"/>
      <c r="G132" s="11" t="n"/>
      <c r="H132" s="11" t="n"/>
      <c r="I132" s="11" t="n"/>
      <c r="J132" s="11" t="n"/>
      <c r="K132" s="11" t="n"/>
      <c r="L132" s="11" t="n"/>
      <c r="M132" s="11" t="n"/>
      <c r="N132" s="11" t="n"/>
      <c r="O132" s="11" t="n"/>
      <c r="P132" s="11" t="n"/>
      <c r="Q132" s="11" t="n"/>
      <c r="R132" s="11" t="n"/>
      <c r="S132" s="11" t="n"/>
      <c r="T132" s="11" t="n"/>
      <c r="U132" s="11" t="n"/>
      <c r="V132" s="11" t="n"/>
      <c r="W132" s="11" t="n"/>
      <c r="X132" s="11" t="n"/>
      <c r="Y132" s="11" t="n"/>
      <c r="Z132" s="11" t="n"/>
    </row>
    <row r="133">
      <c r="A133" s="11" t="n"/>
      <c r="B133" s="11" t="n"/>
      <c r="C133" s="11" t="n"/>
      <c r="D133" s="11" t="n"/>
      <c r="E133" s="11" t="n"/>
      <c r="F133" s="11" t="n"/>
      <c r="G133" s="11" t="n"/>
      <c r="H133" s="11" t="n"/>
      <c r="I133" s="11" t="n"/>
      <c r="J133" s="11" t="n"/>
      <c r="K133" s="11" t="n"/>
      <c r="L133" s="11" t="n"/>
      <c r="M133" s="11" t="n"/>
      <c r="N133" s="11" t="n"/>
      <c r="O133" s="11" t="n"/>
      <c r="P133" s="11" t="n"/>
      <c r="Q133" s="11" t="n"/>
      <c r="R133" s="11" t="n"/>
      <c r="S133" s="11" t="n"/>
      <c r="T133" s="11" t="n"/>
      <c r="U133" s="11" t="n"/>
      <c r="V133" s="11" t="n"/>
      <c r="W133" s="11" t="n"/>
      <c r="X133" s="11" t="n"/>
      <c r="Y133" s="11" t="n"/>
      <c r="Z133" s="11" t="n"/>
    </row>
    <row r="134">
      <c r="A134" s="11" t="n"/>
      <c r="B134" s="11" t="n"/>
      <c r="C134" s="11" t="n"/>
      <c r="D134" s="11" t="n"/>
      <c r="E134" s="11" t="n"/>
      <c r="F134" s="11" t="n"/>
      <c r="G134" s="11" t="n"/>
      <c r="H134" s="11" t="n"/>
      <c r="I134" s="11" t="n"/>
      <c r="J134" s="11" t="n"/>
      <c r="K134" s="11" t="n"/>
      <c r="L134" s="11" t="n"/>
      <c r="M134" s="11" t="n"/>
      <c r="N134" s="11" t="n"/>
      <c r="O134" s="11" t="n"/>
      <c r="P134" s="11" t="n"/>
      <c r="Q134" s="11" t="n"/>
      <c r="R134" s="11" t="n"/>
      <c r="S134" s="11" t="n"/>
      <c r="T134" s="11" t="n"/>
      <c r="U134" s="11" t="n"/>
      <c r="V134" s="11" t="n"/>
      <c r="W134" s="11" t="n"/>
      <c r="X134" s="11" t="n"/>
      <c r="Y134" s="11" t="n"/>
      <c r="Z134" s="11" t="n"/>
    </row>
    <row r="135">
      <c r="A135" s="11" t="n"/>
      <c r="B135" s="11" t="n"/>
      <c r="C135" s="11" t="n"/>
      <c r="D135" s="11" t="n"/>
      <c r="E135" s="11" t="n"/>
      <c r="F135" s="11" t="n"/>
      <c r="G135" s="11" t="n"/>
      <c r="H135" s="11" t="n"/>
      <c r="I135" s="11" t="n"/>
      <c r="J135" s="11" t="n"/>
      <c r="K135" s="11" t="n"/>
      <c r="L135" s="11" t="n"/>
      <c r="M135" s="11" t="n"/>
      <c r="N135" s="11" t="n"/>
      <c r="O135" s="11" t="n"/>
      <c r="P135" s="11" t="n"/>
      <c r="Q135" s="11" t="n"/>
      <c r="R135" s="11" t="n"/>
      <c r="S135" s="11" t="n"/>
      <c r="T135" s="11" t="n"/>
      <c r="U135" s="11" t="n"/>
      <c r="V135" s="11" t="n"/>
      <c r="W135" s="11" t="n"/>
      <c r="X135" s="11" t="n"/>
      <c r="Y135" s="11" t="n"/>
      <c r="Z135" s="11" t="n"/>
    </row>
    <row r="136">
      <c r="A136" s="11" t="n"/>
      <c r="B136" s="11" t="n"/>
      <c r="C136" s="11" t="n"/>
      <c r="D136" s="11" t="n"/>
      <c r="E136" s="11" t="n"/>
      <c r="F136" s="11" t="n"/>
      <c r="G136" s="11" t="n"/>
      <c r="H136" s="11" t="n"/>
      <c r="I136" s="11" t="n"/>
      <c r="J136" s="11" t="n"/>
      <c r="K136" s="11" t="n"/>
      <c r="L136" s="11" t="n"/>
      <c r="M136" s="11" t="n"/>
      <c r="N136" s="11" t="n"/>
      <c r="O136" s="11" t="n"/>
      <c r="P136" s="11" t="n"/>
      <c r="Q136" s="11" t="n"/>
      <c r="R136" s="11" t="n"/>
      <c r="S136" s="11" t="n"/>
      <c r="T136" s="11" t="n"/>
      <c r="U136" s="11" t="n"/>
      <c r="V136" s="11" t="n"/>
      <c r="W136" s="11" t="n"/>
      <c r="X136" s="11" t="n"/>
      <c r="Y136" s="11" t="n"/>
      <c r="Z136" s="11" t="n"/>
    </row>
    <row r="137">
      <c r="A137" s="11" t="n"/>
      <c r="B137" s="11" t="n"/>
      <c r="C137" s="11" t="n"/>
      <c r="D137" s="11" t="n"/>
      <c r="E137" s="11" t="n"/>
      <c r="F137" s="11" t="n"/>
      <c r="G137" s="11" t="n"/>
      <c r="H137" s="11" t="n"/>
      <c r="I137" s="11" t="n"/>
      <c r="J137" s="11" t="n"/>
      <c r="K137" s="11" t="n"/>
      <c r="L137" s="11" t="n"/>
      <c r="M137" s="11" t="n"/>
      <c r="N137" s="11" t="n"/>
      <c r="O137" s="11" t="n"/>
      <c r="P137" s="11" t="n"/>
      <c r="Q137" s="11" t="n"/>
      <c r="R137" s="11" t="n"/>
      <c r="S137" s="11" t="n"/>
      <c r="T137" s="11" t="n"/>
      <c r="U137" s="11" t="n"/>
      <c r="V137" s="11" t="n"/>
      <c r="W137" s="11" t="n"/>
      <c r="X137" s="11" t="n"/>
      <c r="Y137" s="11" t="n"/>
      <c r="Z137" s="11" t="n"/>
    </row>
    <row r="138">
      <c r="A138" s="11" t="n"/>
      <c r="B138" s="11" t="n"/>
      <c r="C138" s="11" t="n"/>
      <c r="D138" s="11" t="n"/>
      <c r="E138" s="11" t="n"/>
      <c r="F138" s="11" t="n"/>
      <c r="G138" s="11" t="n"/>
      <c r="H138" s="11" t="n"/>
      <c r="I138" s="11" t="n"/>
      <c r="J138" s="11" t="n"/>
      <c r="K138" s="11" t="n"/>
      <c r="L138" s="11" t="n"/>
      <c r="M138" s="11" t="n"/>
      <c r="N138" s="11" t="n"/>
      <c r="O138" s="11" t="n"/>
      <c r="P138" s="11" t="n"/>
      <c r="Q138" s="11" t="n"/>
      <c r="R138" s="11" t="n"/>
      <c r="S138" s="11" t="n"/>
      <c r="T138" s="11" t="n"/>
      <c r="U138" s="11" t="n"/>
      <c r="V138" s="11" t="n"/>
      <c r="W138" s="11" t="n"/>
      <c r="X138" s="11" t="n"/>
      <c r="Y138" s="11" t="n"/>
      <c r="Z138" s="11" t="n"/>
    </row>
    <row r="139">
      <c r="A139" s="11" t="n"/>
      <c r="B139" s="11" t="n"/>
      <c r="C139" s="11" t="n"/>
      <c r="D139" s="11" t="n"/>
      <c r="E139" s="11" t="n"/>
      <c r="F139" s="11" t="n"/>
      <c r="G139" s="11" t="n"/>
      <c r="H139" s="11" t="n"/>
      <c r="I139" s="11" t="n"/>
      <c r="J139" s="11" t="n"/>
      <c r="K139" s="11" t="n"/>
      <c r="L139" s="11" t="n"/>
      <c r="M139" s="11" t="n"/>
      <c r="N139" s="11" t="n"/>
      <c r="O139" s="11" t="n"/>
      <c r="P139" s="11" t="n"/>
      <c r="Q139" s="11" t="n"/>
      <c r="R139" s="11" t="n"/>
      <c r="S139" s="11" t="n"/>
      <c r="T139" s="11" t="n"/>
      <c r="U139" s="11" t="n"/>
      <c r="V139" s="11" t="n"/>
      <c r="W139" s="11" t="n"/>
      <c r="X139" s="11" t="n"/>
      <c r="Y139" s="11" t="n"/>
      <c r="Z139" s="11" t="n"/>
    </row>
    <row r="140">
      <c r="A140" s="11" t="n"/>
      <c r="B140" s="11" t="n"/>
      <c r="C140" s="11" t="n"/>
      <c r="D140" s="11" t="n"/>
      <c r="E140" s="11" t="n"/>
      <c r="F140" s="11" t="n"/>
      <c r="G140" s="11" t="n"/>
      <c r="H140" s="11" t="n"/>
      <c r="I140" s="11" t="n"/>
      <c r="J140" s="11" t="n"/>
      <c r="K140" s="11" t="n"/>
      <c r="L140" s="11" t="n"/>
      <c r="M140" s="11" t="n"/>
      <c r="N140" s="11" t="n"/>
      <c r="O140" s="11" t="n"/>
      <c r="P140" s="11" t="n"/>
      <c r="Q140" s="11" t="n"/>
      <c r="R140" s="11" t="n"/>
      <c r="S140" s="11" t="n"/>
      <c r="T140" s="11" t="n"/>
      <c r="U140" s="11" t="n"/>
      <c r="V140" s="11" t="n"/>
      <c r="W140" s="11" t="n"/>
      <c r="X140" s="11" t="n"/>
      <c r="Y140" s="11" t="n"/>
      <c r="Z140" s="11" t="n"/>
    </row>
    <row r="141">
      <c r="A141" s="11" t="n"/>
      <c r="B141" s="11" t="n"/>
      <c r="C141" s="11" t="n"/>
      <c r="D141" s="11" t="n"/>
      <c r="E141" s="11" t="n"/>
      <c r="F141" s="11" t="n"/>
      <c r="G141" s="11" t="n"/>
      <c r="H141" s="11" t="n"/>
      <c r="I141" s="11" t="n"/>
      <c r="J141" s="11" t="n"/>
      <c r="K141" s="11" t="n"/>
      <c r="L141" s="11" t="n"/>
      <c r="M141" s="11" t="n"/>
      <c r="N141" s="11" t="n"/>
      <c r="O141" s="11" t="n"/>
      <c r="P141" s="11" t="n"/>
      <c r="Q141" s="11" t="n"/>
      <c r="R141" s="11" t="n"/>
      <c r="S141" s="11" t="n"/>
      <c r="T141" s="11" t="n"/>
      <c r="U141" s="11" t="n"/>
      <c r="V141" s="11" t="n"/>
      <c r="W141" s="11" t="n"/>
      <c r="X141" s="11" t="n"/>
      <c r="Y141" s="11" t="n"/>
      <c r="Z141" s="11" t="n"/>
    </row>
    <row r="142">
      <c r="A142" s="11" t="n"/>
      <c r="B142" s="11" t="n"/>
      <c r="C142" s="11" t="n"/>
      <c r="D142" s="11" t="n"/>
      <c r="E142" s="11" t="n"/>
      <c r="F142" s="11" t="n"/>
      <c r="G142" s="11" t="n"/>
      <c r="H142" s="11" t="n"/>
      <c r="I142" s="11" t="n"/>
      <c r="J142" s="11" t="n"/>
      <c r="K142" s="11" t="n"/>
      <c r="L142" s="11" t="n"/>
      <c r="M142" s="11" t="n"/>
      <c r="N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Y142" s="11" t="n"/>
      <c r="Z142" s="11" t="n"/>
    </row>
    <row r="143">
      <c r="A143" s="11" t="n"/>
      <c r="B143" s="11" t="n"/>
      <c r="C143" s="11" t="n"/>
      <c r="D143" s="11" t="n"/>
      <c r="E143" s="11" t="n"/>
      <c r="F143" s="11" t="n"/>
      <c r="G143" s="11" t="n"/>
      <c r="H143" s="11" t="n"/>
      <c r="I143" s="11" t="n"/>
      <c r="J143" s="11" t="n"/>
      <c r="K143" s="11" t="n"/>
      <c r="L143" s="11" t="n"/>
      <c r="M143" s="11" t="n"/>
      <c r="N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Y143" s="11" t="n"/>
      <c r="Z143" s="11" t="n"/>
    </row>
    <row r="144">
      <c r="A144" s="11" t="n"/>
      <c r="B144" s="11" t="n"/>
      <c r="C144" s="11" t="n"/>
      <c r="D144" s="11" t="n"/>
      <c r="E144" s="11" t="n"/>
      <c r="F144" s="11" t="n"/>
      <c r="G144" s="11" t="n"/>
      <c r="H144" s="11" t="n"/>
      <c r="I144" s="11" t="n"/>
      <c r="J144" s="11" t="n"/>
      <c r="K144" s="11" t="n"/>
      <c r="L144" s="11" t="n"/>
      <c r="M144" s="11" t="n"/>
      <c r="N144" s="11" t="n"/>
      <c r="O144" s="11" t="n"/>
      <c r="P144" s="11" t="n"/>
      <c r="Q144" s="11" t="n"/>
      <c r="R144" s="11" t="n"/>
      <c r="S144" s="11" t="n"/>
      <c r="T144" s="11" t="n"/>
      <c r="U144" s="11" t="n"/>
      <c r="V144" s="11" t="n"/>
      <c r="W144" s="11" t="n"/>
      <c r="X144" s="11" t="n"/>
      <c r="Y144" s="11" t="n"/>
      <c r="Z144" s="11" t="n"/>
    </row>
    <row r="145">
      <c r="A145" s="11" t="n"/>
      <c r="B145" s="11" t="n"/>
      <c r="C145" s="11" t="n"/>
      <c r="D145" s="11" t="n"/>
      <c r="E145" s="11" t="n"/>
      <c r="F145" s="11" t="n"/>
      <c r="G145" s="11" t="n"/>
      <c r="H145" s="11" t="n"/>
      <c r="I145" s="11" t="n"/>
      <c r="J145" s="11" t="n"/>
      <c r="K145" s="11" t="n"/>
      <c r="L145" s="11" t="n"/>
      <c r="M145" s="11" t="n"/>
      <c r="N145" s="11" t="n"/>
      <c r="O145" s="11" t="n"/>
      <c r="P145" s="11" t="n"/>
      <c r="Q145" s="11" t="n"/>
      <c r="R145" s="11" t="n"/>
      <c r="S145" s="11" t="n"/>
      <c r="T145" s="11" t="n"/>
      <c r="U145" s="11" t="n"/>
      <c r="V145" s="11" t="n"/>
      <c r="W145" s="11" t="n"/>
      <c r="X145" s="11" t="n"/>
      <c r="Y145" s="11" t="n"/>
      <c r="Z145" s="11" t="n"/>
    </row>
    <row r="146">
      <c r="A146" s="11" t="n"/>
      <c r="B146" s="11" t="n"/>
      <c r="C146" s="11" t="n"/>
      <c r="D146" s="11" t="n"/>
      <c r="E146" s="11" t="n"/>
      <c r="F146" s="11" t="n"/>
      <c r="G146" s="11" t="n"/>
      <c r="H146" s="11" t="n"/>
      <c r="I146" s="11" t="n"/>
      <c r="J146" s="11" t="n"/>
      <c r="K146" s="11" t="n"/>
      <c r="L146" s="11" t="n"/>
      <c r="M146" s="11" t="n"/>
      <c r="N146" s="11" t="n"/>
      <c r="O146" s="11" t="n"/>
      <c r="P146" s="11" t="n"/>
      <c r="Q146" s="11" t="n"/>
      <c r="R146" s="11" t="n"/>
      <c r="S146" s="11" t="n"/>
      <c r="T146" s="11" t="n"/>
      <c r="U146" s="11" t="n"/>
      <c r="V146" s="11" t="n"/>
      <c r="W146" s="11" t="n"/>
      <c r="X146" s="11" t="n"/>
      <c r="Y146" s="11" t="n"/>
      <c r="Z146" s="11" t="n"/>
    </row>
    <row r="147">
      <c r="A147" s="11" t="n"/>
      <c r="B147" s="11" t="n"/>
      <c r="C147" s="11" t="n"/>
      <c r="D147" s="11" t="n"/>
      <c r="E147" s="11" t="n"/>
      <c r="F147" s="11" t="n"/>
      <c r="G147" s="11" t="n"/>
      <c r="H147" s="11" t="n"/>
      <c r="I147" s="11" t="n"/>
      <c r="J147" s="11" t="n"/>
      <c r="K147" s="11" t="n"/>
      <c r="L147" s="11" t="n"/>
      <c r="M147" s="11" t="n"/>
      <c r="N147" s="11" t="n"/>
      <c r="O147" s="11" t="n"/>
      <c r="P147" s="11" t="n"/>
      <c r="Q147" s="11" t="n"/>
      <c r="R147" s="11" t="n"/>
      <c r="S147" s="11" t="n"/>
      <c r="T147" s="11" t="n"/>
      <c r="U147" s="11" t="n"/>
      <c r="V147" s="11" t="n"/>
      <c r="W147" s="11" t="n"/>
      <c r="X147" s="11" t="n"/>
      <c r="Y147" s="11" t="n"/>
      <c r="Z147" s="11" t="n"/>
    </row>
    <row r="148">
      <c r="A148" s="11" t="n"/>
      <c r="B148" s="11" t="n"/>
      <c r="C148" s="11" t="n"/>
      <c r="D148" s="11" t="n"/>
      <c r="E148" s="11" t="n"/>
      <c r="F148" s="11" t="n"/>
      <c r="G148" s="11" t="n"/>
      <c r="H148" s="11" t="n"/>
      <c r="I148" s="11" t="n"/>
      <c r="J148" s="11" t="n"/>
      <c r="K148" s="11" t="n"/>
      <c r="L148" s="11" t="n"/>
      <c r="M148" s="11" t="n"/>
      <c r="N148" s="11" t="n"/>
      <c r="O148" s="11" t="n"/>
      <c r="P148" s="11" t="n"/>
      <c r="Q148" s="11" t="n"/>
      <c r="R148" s="11" t="n"/>
      <c r="S148" s="11" t="n"/>
      <c r="T148" s="11" t="n"/>
      <c r="U148" s="11" t="n"/>
      <c r="V148" s="11" t="n"/>
      <c r="W148" s="11" t="n"/>
      <c r="X148" s="11" t="n"/>
      <c r="Y148" s="11" t="n"/>
      <c r="Z148" s="11" t="n"/>
    </row>
    <row r="149">
      <c r="A149" s="11" t="n"/>
      <c r="B149" s="11" t="n"/>
      <c r="C149" s="11" t="n"/>
      <c r="D149" s="11" t="n"/>
      <c r="E149" s="11" t="n"/>
      <c r="F149" s="11" t="n"/>
      <c r="G149" s="11" t="n"/>
      <c r="H149" s="11" t="n"/>
      <c r="I149" s="11" t="n"/>
      <c r="J149" s="11" t="n"/>
      <c r="K149" s="11" t="n"/>
      <c r="L149" s="11" t="n"/>
      <c r="M149" s="11" t="n"/>
      <c r="N149" s="11" t="n"/>
      <c r="O149" s="11" t="n"/>
      <c r="P149" s="11" t="n"/>
      <c r="Q149" s="11" t="n"/>
      <c r="R149" s="11" t="n"/>
      <c r="S149" s="11" t="n"/>
      <c r="T149" s="11" t="n"/>
      <c r="U149" s="11" t="n"/>
      <c r="V149" s="11" t="n"/>
      <c r="W149" s="11" t="n"/>
      <c r="X149" s="11" t="n"/>
      <c r="Y149" s="11" t="n"/>
      <c r="Z149" s="11" t="n"/>
    </row>
    <row r="150">
      <c r="A150" s="11" t="n"/>
      <c r="B150" s="11" t="n"/>
      <c r="C150" s="11" t="n"/>
      <c r="D150" s="11" t="n"/>
      <c r="E150" s="11" t="n"/>
      <c r="F150" s="11" t="n"/>
      <c r="G150" s="11" t="n"/>
      <c r="H150" s="11" t="n"/>
      <c r="I150" s="11" t="n"/>
      <c r="J150" s="11" t="n"/>
      <c r="K150" s="11" t="n"/>
      <c r="L150" s="11" t="n"/>
      <c r="M150" s="11" t="n"/>
      <c r="N150" s="11" t="n"/>
      <c r="O150" s="11" t="n"/>
      <c r="P150" s="11" t="n"/>
      <c r="Q150" s="11" t="n"/>
      <c r="R150" s="11" t="n"/>
      <c r="S150" s="11" t="n"/>
      <c r="T150" s="11" t="n"/>
      <c r="U150" s="11" t="n"/>
      <c r="V150" s="11" t="n"/>
      <c r="W150" s="11" t="n"/>
      <c r="X150" s="11" t="n"/>
      <c r="Y150" s="11" t="n"/>
      <c r="Z150" s="11" t="n"/>
    </row>
    <row r="151">
      <c r="A151" s="11" t="n"/>
      <c r="B151" s="11" t="n"/>
      <c r="C151" s="11" t="n"/>
      <c r="D151" s="11" t="n"/>
      <c r="E151" s="11" t="n"/>
      <c r="F151" s="11" t="n"/>
      <c r="G151" s="11" t="n"/>
      <c r="H151" s="11" t="n"/>
      <c r="I151" s="11" t="n"/>
      <c r="J151" s="11" t="n"/>
      <c r="K151" s="11" t="n"/>
      <c r="L151" s="11" t="n"/>
      <c r="M151" s="11" t="n"/>
      <c r="N151" s="11" t="n"/>
      <c r="O151" s="11" t="n"/>
      <c r="P151" s="11" t="n"/>
      <c r="Q151" s="11" t="n"/>
      <c r="R151" s="11" t="n"/>
      <c r="S151" s="11" t="n"/>
      <c r="T151" s="11" t="n"/>
      <c r="U151" s="11" t="n"/>
      <c r="V151" s="11" t="n"/>
      <c r="W151" s="11" t="n"/>
      <c r="X151" s="11" t="n"/>
      <c r="Y151" s="11" t="n"/>
      <c r="Z151" s="11" t="n"/>
    </row>
    <row r="152">
      <c r="A152" s="11" t="n"/>
      <c r="B152" s="11" t="n"/>
      <c r="C152" s="11" t="n"/>
      <c r="D152" s="11" t="n"/>
      <c r="E152" s="11" t="n"/>
      <c r="F152" s="11" t="n"/>
      <c r="G152" s="11" t="n"/>
      <c r="H152" s="11" t="n"/>
      <c r="I152" s="11" t="n"/>
      <c r="J152" s="11" t="n"/>
      <c r="K152" s="11" t="n"/>
      <c r="L152" s="11" t="n"/>
      <c r="M152" s="11" t="n"/>
      <c r="N152" s="11" t="n"/>
      <c r="O152" s="11" t="n"/>
      <c r="P152" s="11" t="n"/>
      <c r="Q152" s="11" t="n"/>
      <c r="R152" s="11" t="n"/>
      <c r="S152" s="11" t="n"/>
      <c r="T152" s="11" t="n"/>
      <c r="U152" s="11" t="n"/>
      <c r="V152" s="11" t="n"/>
      <c r="W152" s="11" t="n"/>
      <c r="X152" s="11" t="n"/>
      <c r="Y152" s="11" t="n"/>
      <c r="Z152" s="11" t="n"/>
    </row>
    <row r="153">
      <c r="A153" s="11" t="n"/>
      <c r="B153" s="11" t="n"/>
      <c r="C153" s="11" t="n"/>
      <c r="D153" s="11" t="n"/>
      <c r="E153" s="11" t="n"/>
      <c r="F153" s="11" t="n"/>
      <c r="G153" s="11" t="n"/>
      <c r="H153" s="11" t="n"/>
      <c r="I153" s="11" t="n"/>
      <c r="J153" s="11" t="n"/>
      <c r="K153" s="11" t="n"/>
      <c r="L153" s="11" t="n"/>
      <c r="M153" s="11" t="n"/>
      <c r="N153" s="11" t="n"/>
      <c r="O153" s="11" t="n"/>
      <c r="P153" s="11" t="n"/>
      <c r="Q153" s="11" t="n"/>
      <c r="R153" s="11" t="n"/>
      <c r="S153" s="11" t="n"/>
      <c r="T153" s="11" t="n"/>
      <c r="U153" s="11" t="n"/>
      <c r="V153" s="11" t="n"/>
      <c r="W153" s="11" t="n"/>
      <c r="X153" s="11" t="n"/>
      <c r="Y153" s="11" t="n"/>
      <c r="Z153" s="11" t="n"/>
    </row>
    <row r="154">
      <c r="A154" s="11" t="n"/>
      <c r="B154" s="11" t="n"/>
      <c r="C154" s="11" t="n"/>
      <c r="D154" s="11" t="n"/>
      <c r="E154" s="11" t="n"/>
      <c r="F154" s="11" t="n"/>
      <c r="G154" s="11" t="n"/>
      <c r="H154" s="11" t="n"/>
      <c r="I154" s="11" t="n"/>
      <c r="J154" s="11" t="n"/>
      <c r="K154" s="11" t="n"/>
      <c r="L154" s="11" t="n"/>
      <c r="M154" s="11" t="n"/>
      <c r="N154" s="11" t="n"/>
      <c r="O154" s="11" t="n"/>
      <c r="P154" s="11" t="n"/>
      <c r="Q154" s="11" t="n"/>
      <c r="R154" s="11" t="n"/>
      <c r="S154" s="11" t="n"/>
      <c r="T154" s="11" t="n"/>
      <c r="U154" s="11" t="n"/>
      <c r="V154" s="11" t="n"/>
      <c r="W154" s="11" t="n"/>
      <c r="X154" s="11" t="n"/>
      <c r="Y154" s="11" t="n"/>
      <c r="Z154" s="11" t="n"/>
    </row>
    <row r="155">
      <c r="A155" s="11" t="n"/>
      <c r="B155" s="11" t="n"/>
      <c r="C155" s="11" t="n"/>
      <c r="D155" s="11" t="n"/>
      <c r="E155" s="11" t="n"/>
      <c r="F155" s="11" t="n"/>
      <c r="G155" s="11" t="n"/>
      <c r="H155" s="11" t="n"/>
      <c r="I155" s="11" t="n"/>
      <c r="J155" s="11" t="n"/>
      <c r="K155" s="11" t="n"/>
      <c r="L155" s="11" t="n"/>
      <c r="M155" s="11" t="n"/>
      <c r="N155" s="11" t="n"/>
      <c r="O155" s="11" t="n"/>
      <c r="P155" s="11" t="n"/>
      <c r="Q155" s="11" t="n"/>
      <c r="R155" s="11" t="n"/>
      <c r="S155" s="11" t="n"/>
      <c r="T155" s="11" t="n"/>
      <c r="U155" s="11" t="n"/>
      <c r="V155" s="11" t="n"/>
      <c r="W155" s="11" t="n"/>
      <c r="X155" s="11" t="n"/>
      <c r="Y155" s="11" t="n"/>
      <c r="Z155" s="11" t="n"/>
    </row>
    <row r="156">
      <c r="A156" s="11" t="n"/>
      <c r="B156" s="11" t="n"/>
      <c r="C156" s="11" t="n"/>
      <c r="D156" s="11" t="n"/>
      <c r="E156" s="11" t="n"/>
      <c r="F156" s="11" t="n"/>
      <c r="G156" s="11" t="n"/>
      <c r="H156" s="11" t="n"/>
      <c r="I156" s="11" t="n"/>
      <c r="J156" s="11" t="n"/>
      <c r="K156" s="11" t="n"/>
      <c r="L156" s="11" t="n"/>
      <c r="M156" s="11" t="n"/>
      <c r="N156" s="11" t="n"/>
      <c r="O156" s="11" t="n"/>
      <c r="P156" s="11" t="n"/>
      <c r="Q156" s="11" t="n"/>
      <c r="R156" s="11" t="n"/>
      <c r="S156" s="11" t="n"/>
      <c r="T156" s="11" t="n"/>
      <c r="U156" s="11" t="n"/>
      <c r="V156" s="11" t="n"/>
      <c r="W156" s="11" t="n"/>
      <c r="X156" s="11" t="n"/>
      <c r="Y156" s="11" t="n"/>
      <c r="Z156" s="11" t="n"/>
    </row>
    <row r="157">
      <c r="A157" s="11" t="n"/>
      <c r="B157" s="11" t="n"/>
      <c r="C157" s="11" t="n"/>
      <c r="D157" s="11" t="n"/>
      <c r="E157" s="11" t="n"/>
      <c r="F157" s="11" t="n"/>
      <c r="G157" s="11" t="n"/>
      <c r="H157" s="11" t="n"/>
      <c r="I157" s="11" t="n"/>
      <c r="J157" s="11" t="n"/>
      <c r="K157" s="11" t="n"/>
      <c r="L157" s="11" t="n"/>
      <c r="M157" s="11" t="n"/>
      <c r="N157" s="11" t="n"/>
      <c r="O157" s="11" t="n"/>
      <c r="P157" s="11" t="n"/>
      <c r="Q157" s="11" t="n"/>
      <c r="R157" s="11" t="n"/>
      <c r="S157" s="11" t="n"/>
      <c r="T157" s="11" t="n"/>
      <c r="U157" s="11" t="n"/>
      <c r="V157" s="11" t="n"/>
      <c r="W157" s="11" t="n"/>
      <c r="X157" s="11" t="n"/>
      <c r="Y157" s="11" t="n"/>
      <c r="Z157" s="11" t="n"/>
    </row>
    <row r="158">
      <c r="A158" s="11" t="n"/>
      <c r="B158" s="11" t="n"/>
      <c r="C158" s="11" t="n"/>
      <c r="D158" s="11" t="n"/>
      <c r="E158" s="11" t="n"/>
      <c r="F158" s="11" t="n"/>
      <c r="G158" s="11" t="n"/>
      <c r="H158" s="11" t="n"/>
      <c r="I158" s="11" t="n"/>
      <c r="J158" s="11" t="n"/>
      <c r="K158" s="11" t="n"/>
      <c r="L158" s="11" t="n"/>
      <c r="M158" s="11" t="n"/>
      <c r="N158" s="11" t="n"/>
      <c r="O158" s="11" t="n"/>
      <c r="P158" s="11" t="n"/>
      <c r="Q158" s="11" t="n"/>
      <c r="R158" s="11" t="n"/>
      <c r="S158" s="11" t="n"/>
      <c r="T158" s="11" t="n"/>
      <c r="U158" s="11" t="n"/>
      <c r="V158" s="11" t="n"/>
      <c r="W158" s="11" t="n"/>
      <c r="X158" s="11" t="n"/>
      <c r="Y158" s="11" t="n"/>
      <c r="Z158" s="11" t="n"/>
    </row>
    <row r="159">
      <c r="A159" s="11" t="n"/>
      <c r="B159" s="11" t="n"/>
      <c r="C159" s="11" t="n"/>
      <c r="D159" s="11" t="n"/>
      <c r="E159" s="11" t="n"/>
      <c r="F159" s="11" t="n"/>
      <c r="G159" s="11" t="n"/>
      <c r="H159" s="11" t="n"/>
      <c r="I159" s="11" t="n"/>
      <c r="J159" s="11" t="n"/>
      <c r="K159" s="11" t="n"/>
      <c r="L159" s="11" t="n"/>
      <c r="M159" s="11" t="n"/>
      <c r="N159" s="11" t="n"/>
      <c r="O159" s="11" t="n"/>
      <c r="P159" s="11" t="n"/>
      <c r="Q159" s="11" t="n"/>
      <c r="R159" s="11" t="n"/>
      <c r="S159" s="11" t="n"/>
      <c r="T159" s="11" t="n"/>
      <c r="U159" s="11" t="n"/>
      <c r="V159" s="11" t="n"/>
      <c r="W159" s="11" t="n"/>
      <c r="X159" s="11" t="n"/>
      <c r="Y159" s="11" t="n"/>
      <c r="Z159" s="11" t="n"/>
    </row>
    <row r="160">
      <c r="A160" s="11" t="n"/>
      <c r="B160" s="11" t="n"/>
      <c r="C160" s="11" t="n"/>
      <c r="D160" s="11" t="n"/>
      <c r="E160" s="11" t="n"/>
      <c r="F160" s="11" t="n"/>
      <c r="G160" s="11" t="n"/>
      <c r="H160" s="11" t="n"/>
      <c r="I160" s="11" t="n"/>
      <c r="J160" s="11" t="n"/>
      <c r="K160" s="11" t="n"/>
      <c r="L160" s="11" t="n"/>
      <c r="M160" s="11" t="n"/>
      <c r="N160" s="11" t="n"/>
      <c r="O160" s="11" t="n"/>
      <c r="P160" s="11" t="n"/>
      <c r="Q160" s="11" t="n"/>
      <c r="R160" s="11" t="n"/>
      <c r="S160" s="11" t="n"/>
      <c r="T160" s="11" t="n"/>
      <c r="U160" s="11" t="n"/>
      <c r="V160" s="11" t="n"/>
      <c r="W160" s="11" t="n"/>
      <c r="X160" s="11" t="n"/>
      <c r="Y160" s="11" t="n"/>
      <c r="Z160" s="11" t="n"/>
    </row>
    <row r="161">
      <c r="A161" s="11" t="n"/>
      <c r="B161" s="11" t="n"/>
      <c r="C161" s="11" t="n"/>
      <c r="D161" s="11" t="n"/>
      <c r="E161" s="11" t="n"/>
      <c r="F161" s="11" t="n"/>
      <c r="G161" s="11" t="n"/>
      <c r="H161" s="11" t="n"/>
      <c r="I161" s="11" t="n"/>
      <c r="J161" s="11" t="n"/>
      <c r="K161" s="11" t="n"/>
      <c r="L161" s="11" t="n"/>
      <c r="M161" s="11" t="n"/>
      <c r="N161" s="11" t="n"/>
      <c r="O161" s="11" t="n"/>
      <c r="P161" s="11" t="n"/>
      <c r="Q161" s="11" t="n"/>
      <c r="R161" s="11" t="n"/>
      <c r="S161" s="11" t="n"/>
      <c r="T161" s="11" t="n"/>
      <c r="U161" s="11" t="n"/>
      <c r="V161" s="11" t="n"/>
      <c r="W161" s="11" t="n"/>
      <c r="X161" s="11" t="n"/>
      <c r="Y161" s="11" t="n"/>
      <c r="Z161" s="11" t="n"/>
    </row>
    <row r="162">
      <c r="A162" s="11" t="n"/>
      <c r="B162" s="11" t="n"/>
      <c r="C162" s="11" t="n"/>
      <c r="D162" s="11" t="n"/>
      <c r="E162" s="11" t="n"/>
      <c r="F162" s="11" t="n"/>
      <c r="G162" s="11" t="n"/>
      <c r="H162" s="11" t="n"/>
      <c r="I162" s="11" t="n"/>
      <c r="J162" s="11" t="n"/>
      <c r="K162" s="11" t="n"/>
      <c r="L162" s="11" t="n"/>
      <c r="M162" s="11" t="n"/>
      <c r="N162" s="11" t="n"/>
      <c r="O162" s="11" t="n"/>
      <c r="P162" s="11" t="n"/>
      <c r="Q162" s="11" t="n"/>
      <c r="R162" s="11" t="n"/>
      <c r="S162" s="11" t="n"/>
      <c r="T162" s="11" t="n"/>
      <c r="U162" s="11" t="n"/>
      <c r="V162" s="11" t="n"/>
      <c r="W162" s="11" t="n"/>
      <c r="X162" s="11" t="n"/>
      <c r="Y162" s="11" t="n"/>
      <c r="Z162" s="11" t="n"/>
    </row>
    <row r="163">
      <c r="A163" s="11" t="n"/>
      <c r="B163" s="11" t="n"/>
      <c r="C163" s="11" t="n"/>
      <c r="D163" s="11" t="n"/>
      <c r="E163" s="11" t="n"/>
      <c r="F163" s="11" t="n"/>
      <c r="G163" s="11" t="n"/>
      <c r="H163" s="11" t="n"/>
      <c r="I163" s="11" t="n"/>
      <c r="J163" s="11" t="n"/>
      <c r="K163" s="11" t="n"/>
      <c r="L163" s="11" t="n"/>
      <c r="M163" s="11" t="n"/>
      <c r="N163" s="11" t="n"/>
      <c r="O163" s="11" t="n"/>
      <c r="P163" s="11" t="n"/>
      <c r="Q163" s="11" t="n"/>
      <c r="R163" s="11" t="n"/>
      <c r="S163" s="11" t="n"/>
      <c r="T163" s="11" t="n"/>
      <c r="U163" s="11" t="n"/>
      <c r="V163" s="11" t="n"/>
      <c r="W163" s="11" t="n"/>
      <c r="X163" s="11" t="n"/>
      <c r="Y163" s="11" t="n"/>
      <c r="Z163" s="11" t="n"/>
    </row>
    <row r="164">
      <c r="A164" s="11" t="n"/>
      <c r="B164" s="11" t="n"/>
      <c r="C164" s="11" t="n"/>
      <c r="D164" s="11" t="n"/>
      <c r="E164" s="11" t="n"/>
      <c r="F164" s="11" t="n"/>
      <c r="G164" s="11" t="n"/>
      <c r="H164" s="11" t="n"/>
      <c r="I164" s="11" t="n"/>
      <c r="J164" s="11" t="n"/>
      <c r="K164" s="11" t="n"/>
      <c r="L164" s="11" t="n"/>
      <c r="M164" s="11" t="n"/>
      <c r="N164" s="11" t="n"/>
      <c r="O164" s="11" t="n"/>
      <c r="P164" s="11" t="n"/>
      <c r="Q164" s="11" t="n"/>
      <c r="R164" s="11" t="n"/>
      <c r="S164" s="11" t="n"/>
      <c r="T164" s="11" t="n"/>
      <c r="U164" s="11" t="n"/>
      <c r="V164" s="11" t="n"/>
      <c r="W164" s="11" t="n"/>
      <c r="X164" s="11" t="n"/>
      <c r="Y164" s="11" t="n"/>
      <c r="Z164" s="11" t="n"/>
    </row>
    <row r="165">
      <c r="A165" s="11" t="n"/>
      <c r="B165" s="11" t="n"/>
      <c r="C165" s="11" t="n"/>
      <c r="D165" s="11" t="n"/>
      <c r="E165" s="11" t="n"/>
      <c r="F165" s="11" t="n"/>
      <c r="G165" s="11" t="n"/>
      <c r="H165" s="11" t="n"/>
      <c r="I165" s="11" t="n"/>
      <c r="J165" s="11" t="n"/>
      <c r="K165" s="11" t="n"/>
      <c r="L165" s="11" t="n"/>
      <c r="M165" s="11" t="n"/>
      <c r="N165" s="11" t="n"/>
      <c r="O165" s="11" t="n"/>
      <c r="P165" s="11" t="n"/>
      <c r="Q165" s="11" t="n"/>
      <c r="R165" s="11" t="n"/>
      <c r="S165" s="11" t="n"/>
      <c r="T165" s="11" t="n"/>
      <c r="U165" s="11" t="n"/>
      <c r="V165" s="11" t="n"/>
      <c r="W165" s="11" t="n"/>
      <c r="X165" s="11" t="n"/>
      <c r="Y165" s="11" t="n"/>
      <c r="Z165" s="11" t="n"/>
    </row>
    <row r="166">
      <c r="A166" s="11" t="n"/>
      <c r="B166" s="11" t="n"/>
      <c r="C166" s="11" t="n"/>
      <c r="D166" s="11" t="n"/>
      <c r="E166" s="11" t="n"/>
      <c r="F166" s="11" t="n"/>
      <c r="G166" s="11" t="n"/>
      <c r="H166" s="11" t="n"/>
      <c r="I166" s="11" t="n"/>
      <c r="J166" s="11" t="n"/>
      <c r="K166" s="11" t="n"/>
      <c r="L166" s="11" t="n"/>
      <c r="M166" s="11" t="n"/>
      <c r="N166" s="11" t="n"/>
      <c r="O166" s="11" t="n"/>
      <c r="P166" s="11" t="n"/>
      <c r="Q166" s="11" t="n"/>
      <c r="R166" s="11" t="n"/>
      <c r="S166" s="11" t="n"/>
      <c r="T166" s="11" t="n"/>
      <c r="U166" s="11" t="n"/>
      <c r="V166" s="11" t="n"/>
      <c r="W166" s="11" t="n"/>
      <c r="X166" s="11" t="n"/>
      <c r="Y166" s="11" t="n"/>
      <c r="Z166" s="11" t="n"/>
    </row>
    <row r="167">
      <c r="A167" s="11" t="n"/>
      <c r="B167" s="11" t="n"/>
      <c r="C167" s="11" t="n"/>
      <c r="D167" s="11" t="n"/>
      <c r="E167" s="11" t="n"/>
      <c r="F167" s="11" t="n"/>
      <c r="G167" s="11" t="n"/>
      <c r="H167" s="11" t="n"/>
      <c r="I167" s="11" t="n"/>
      <c r="J167" s="11" t="n"/>
      <c r="K167" s="11" t="n"/>
      <c r="L167" s="11" t="n"/>
      <c r="M167" s="11" t="n"/>
      <c r="N167" s="11" t="n"/>
      <c r="O167" s="11" t="n"/>
      <c r="P167" s="11" t="n"/>
      <c r="Q167" s="11" t="n"/>
      <c r="R167" s="11" t="n"/>
      <c r="S167" s="11" t="n"/>
      <c r="T167" s="11" t="n"/>
      <c r="U167" s="11" t="n"/>
      <c r="V167" s="11" t="n"/>
      <c r="W167" s="11" t="n"/>
      <c r="X167" s="11" t="n"/>
      <c r="Y167" s="11" t="n"/>
      <c r="Z167" s="11" t="n"/>
    </row>
    <row r="168">
      <c r="A168" s="11" t="n"/>
      <c r="B168" s="11" t="n"/>
      <c r="C168" s="11" t="n"/>
      <c r="D168" s="11" t="n"/>
      <c r="E168" s="11" t="n"/>
      <c r="F168" s="11" t="n"/>
      <c r="G168" s="11" t="n"/>
      <c r="H168" s="11" t="n"/>
      <c r="I168" s="11" t="n"/>
      <c r="J168" s="11" t="n"/>
      <c r="K168" s="11" t="n"/>
      <c r="L168" s="11" t="n"/>
      <c r="M168" s="11" t="n"/>
      <c r="N168" s="11" t="n"/>
      <c r="O168" s="11" t="n"/>
      <c r="P168" s="11" t="n"/>
      <c r="Q168" s="11" t="n"/>
      <c r="R168" s="11" t="n"/>
      <c r="S168" s="11" t="n"/>
      <c r="T168" s="11" t="n"/>
      <c r="U168" s="11" t="n"/>
      <c r="V168" s="11" t="n"/>
      <c r="W168" s="11" t="n"/>
      <c r="X168" s="11" t="n"/>
      <c r="Y168" s="11" t="n"/>
      <c r="Z168" s="11" t="n"/>
    </row>
    <row r="169">
      <c r="A169" s="11" t="n"/>
      <c r="B169" s="11" t="n"/>
      <c r="C169" s="11" t="n"/>
      <c r="D169" s="11" t="n"/>
      <c r="E169" s="11" t="n"/>
      <c r="F169" s="11" t="n"/>
      <c r="G169" s="11" t="n"/>
      <c r="H169" s="11" t="n"/>
      <c r="I169" s="11" t="n"/>
      <c r="J169" s="11" t="n"/>
      <c r="K169" s="11" t="n"/>
      <c r="L169" s="11" t="n"/>
      <c r="M169" s="11" t="n"/>
      <c r="N169" s="11" t="n"/>
      <c r="O169" s="11" t="n"/>
      <c r="P169" s="11" t="n"/>
      <c r="Q169" s="11" t="n"/>
      <c r="R169" s="11" t="n"/>
      <c r="S169" s="11" t="n"/>
      <c r="T169" s="11" t="n"/>
      <c r="U169" s="11" t="n"/>
      <c r="V169" s="11" t="n"/>
      <c r="W169" s="11" t="n"/>
      <c r="X169" s="11" t="n"/>
      <c r="Y169" s="11" t="n"/>
      <c r="Z169" s="11" t="n"/>
    </row>
    <row r="170">
      <c r="A170" s="11" t="n"/>
      <c r="B170" s="11" t="n"/>
      <c r="C170" s="11" t="n"/>
      <c r="D170" s="11" t="n"/>
      <c r="E170" s="11" t="n"/>
      <c r="F170" s="11" t="n"/>
      <c r="G170" s="11" t="n"/>
      <c r="H170" s="11" t="n"/>
      <c r="I170" s="11" t="n"/>
      <c r="J170" s="11" t="n"/>
      <c r="K170" s="11" t="n"/>
      <c r="L170" s="11" t="n"/>
      <c r="M170" s="11" t="n"/>
      <c r="N170" s="11" t="n"/>
      <c r="O170" s="11" t="n"/>
      <c r="P170" s="11" t="n"/>
      <c r="Q170" s="11" t="n"/>
      <c r="R170" s="11" t="n"/>
      <c r="S170" s="11" t="n"/>
      <c r="T170" s="11" t="n"/>
      <c r="U170" s="11" t="n"/>
      <c r="V170" s="11" t="n"/>
      <c r="W170" s="11" t="n"/>
      <c r="X170" s="11" t="n"/>
      <c r="Y170" s="11" t="n"/>
      <c r="Z170" s="11" t="n"/>
    </row>
    <row r="171">
      <c r="A171" s="11" t="n"/>
      <c r="B171" s="11" t="n"/>
      <c r="C171" s="11" t="n"/>
      <c r="D171" s="11" t="n"/>
      <c r="E171" s="11" t="n"/>
      <c r="F171" s="11" t="n"/>
      <c r="G171" s="11" t="n"/>
      <c r="H171" s="11" t="n"/>
      <c r="I171" s="11" t="n"/>
      <c r="J171" s="11" t="n"/>
      <c r="K171" s="11" t="n"/>
      <c r="L171" s="11" t="n"/>
      <c r="M171" s="11" t="n"/>
      <c r="N171" s="11" t="n"/>
      <c r="O171" s="11" t="n"/>
      <c r="P171" s="11" t="n"/>
      <c r="Q171" s="11" t="n"/>
      <c r="R171" s="11" t="n"/>
      <c r="S171" s="11" t="n"/>
      <c r="T171" s="11" t="n"/>
      <c r="U171" s="11" t="n"/>
      <c r="V171" s="11" t="n"/>
      <c r="W171" s="11" t="n"/>
      <c r="X171" s="11" t="n"/>
      <c r="Y171" s="11" t="n"/>
      <c r="Z171" s="11" t="n"/>
    </row>
    <row r="172">
      <c r="A172" s="11" t="n"/>
      <c r="B172" s="11" t="n"/>
      <c r="C172" s="11" t="n"/>
      <c r="D172" s="11" t="n"/>
      <c r="E172" s="11" t="n"/>
      <c r="F172" s="11" t="n"/>
      <c r="G172" s="11" t="n"/>
      <c r="H172" s="11" t="n"/>
      <c r="I172" s="11" t="n"/>
      <c r="J172" s="11" t="n"/>
      <c r="K172" s="11" t="n"/>
      <c r="L172" s="11" t="n"/>
      <c r="M172" s="11" t="n"/>
      <c r="N172" s="11" t="n"/>
      <c r="O172" s="11" t="n"/>
      <c r="P172" s="11" t="n"/>
      <c r="Q172" s="11" t="n"/>
      <c r="R172" s="11" t="n"/>
      <c r="S172" s="11" t="n"/>
      <c r="T172" s="11" t="n"/>
      <c r="U172" s="11" t="n"/>
      <c r="V172" s="11" t="n"/>
      <c r="W172" s="11" t="n"/>
      <c r="X172" s="11" t="n"/>
      <c r="Y172" s="11" t="n"/>
      <c r="Z172" s="11" t="n"/>
    </row>
    <row r="173">
      <c r="A173" s="11" t="n"/>
      <c r="B173" s="11" t="n"/>
      <c r="C173" s="11" t="n"/>
      <c r="D173" s="11" t="n"/>
      <c r="E173" s="11" t="n"/>
      <c r="F173" s="11" t="n"/>
      <c r="G173" s="11" t="n"/>
      <c r="H173" s="11" t="n"/>
      <c r="I173" s="11" t="n"/>
      <c r="J173" s="11" t="n"/>
      <c r="K173" s="11" t="n"/>
      <c r="L173" s="11" t="n"/>
      <c r="M173" s="11" t="n"/>
      <c r="N173" s="11" t="n"/>
      <c r="O173" s="11" t="n"/>
      <c r="P173" s="11" t="n"/>
      <c r="Q173" s="11" t="n"/>
      <c r="R173" s="11" t="n"/>
      <c r="S173" s="11" t="n"/>
      <c r="T173" s="11" t="n"/>
      <c r="U173" s="11" t="n"/>
      <c r="V173" s="11" t="n"/>
      <c r="W173" s="11" t="n"/>
      <c r="X173" s="11" t="n"/>
      <c r="Y173" s="11" t="n"/>
      <c r="Z173" s="11" t="n"/>
    </row>
    <row r="174">
      <c r="A174" s="11" t="n"/>
      <c r="B174" s="11" t="n"/>
      <c r="C174" s="11" t="n"/>
      <c r="D174" s="11" t="n"/>
      <c r="E174" s="11" t="n"/>
      <c r="F174" s="11" t="n"/>
      <c r="G174" s="11" t="n"/>
      <c r="H174" s="11" t="n"/>
      <c r="I174" s="11" t="n"/>
      <c r="J174" s="11" t="n"/>
      <c r="K174" s="11" t="n"/>
      <c r="L174" s="11" t="n"/>
      <c r="M174" s="11" t="n"/>
      <c r="N174" s="11" t="n"/>
      <c r="O174" s="11" t="n"/>
      <c r="P174" s="11" t="n"/>
      <c r="Q174" s="11" t="n"/>
      <c r="R174" s="11" t="n"/>
      <c r="S174" s="11" t="n"/>
      <c r="T174" s="11" t="n"/>
      <c r="U174" s="11" t="n"/>
      <c r="V174" s="11" t="n"/>
      <c r="W174" s="11" t="n"/>
      <c r="X174" s="11" t="n"/>
      <c r="Y174" s="11" t="n"/>
      <c r="Z174" s="11" t="n"/>
    </row>
    <row r="175">
      <c r="A175" s="11" t="n"/>
      <c r="B175" s="11" t="n"/>
      <c r="C175" s="11" t="n"/>
      <c r="D175" s="11" t="n"/>
      <c r="E175" s="11" t="n"/>
      <c r="F175" s="11" t="n"/>
      <c r="G175" s="11" t="n"/>
      <c r="H175" s="11" t="n"/>
      <c r="I175" s="11" t="n"/>
      <c r="J175" s="11" t="n"/>
      <c r="K175" s="11" t="n"/>
      <c r="L175" s="11" t="n"/>
      <c r="M175" s="11" t="n"/>
      <c r="N175" s="11" t="n"/>
      <c r="O175" s="11" t="n"/>
      <c r="P175" s="11" t="n"/>
      <c r="Q175" s="11" t="n"/>
      <c r="R175" s="11" t="n"/>
      <c r="S175" s="11" t="n"/>
      <c r="T175" s="11" t="n"/>
      <c r="U175" s="11" t="n"/>
      <c r="V175" s="11" t="n"/>
      <c r="W175" s="11" t="n"/>
      <c r="X175" s="11" t="n"/>
      <c r="Y175" s="11" t="n"/>
      <c r="Z175" s="11" t="n"/>
    </row>
    <row r="176">
      <c r="A176" s="11" t="n"/>
      <c r="B176" s="11" t="n"/>
      <c r="C176" s="11" t="n"/>
      <c r="D176" s="11" t="n"/>
      <c r="E176" s="11" t="n"/>
      <c r="F176" s="11" t="n"/>
      <c r="G176" s="11" t="n"/>
      <c r="H176" s="11" t="n"/>
      <c r="I176" s="11" t="n"/>
      <c r="J176" s="11" t="n"/>
      <c r="K176" s="11" t="n"/>
      <c r="L176" s="11" t="n"/>
      <c r="M176" s="11" t="n"/>
      <c r="N176" s="11" t="n"/>
      <c r="O176" s="11" t="n"/>
      <c r="P176" s="11" t="n"/>
      <c r="Q176" s="11" t="n"/>
      <c r="R176" s="11" t="n"/>
      <c r="S176" s="11" t="n"/>
      <c r="T176" s="11" t="n"/>
      <c r="U176" s="11" t="n"/>
      <c r="V176" s="11" t="n"/>
      <c r="W176" s="11" t="n"/>
      <c r="X176" s="11" t="n"/>
      <c r="Y176" s="11" t="n"/>
      <c r="Z176" s="11" t="n"/>
    </row>
    <row r="177">
      <c r="A177" s="11" t="n"/>
      <c r="B177" s="11" t="n"/>
      <c r="C177" s="11" t="n"/>
      <c r="D177" s="11" t="n"/>
      <c r="E177" s="11" t="n"/>
      <c r="F177" s="11" t="n"/>
      <c r="G177" s="11" t="n"/>
      <c r="H177" s="11" t="n"/>
      <c r="I177" s="11" t="n"/>
      <c r="J177" s="11" t="n"/>
      <c r="K177" s="11" t="n"/>
      <c r="L177" s="11" t="n"/>
      <c r="M177" s="11" t="n"/>
      <c r="N177" s="11" t="n"/>
      <c r="O177" s="11" t="n"/>
      <c r="P177" s="11" t="n"/>
      <c r="Q177" s="11" t="n"/>
      <c r="R177" s="11" t="n"/>
      <c r="S177" s="11" t="n"/>
      <c r="T177" s="11" t="n"/>
      <c r="U177" s="11" t="n"/>
      <c r="V177" s="11" t="n"/>
      <c r="W177" s="11" t="n"/>
      <c r="X177" s="11" t="n"/>
      <c r="Y177" s="11" t="n"/>
      <c r="Z177" s="11" t="n"/>
    </row>
    <row r="178">
      <c r="A178" s="11" t="n"/>
      <c r="B178" s="11" t="n"/>
      <c r="C178" s="11" t="n"/>
      <c r="D178" s="11" t="n"/>
      <c r="E178" s="11" t="n"/>
      <c r="F178" s="11" t="n"/>
      <c r="G178" s="11" t="n"/>
      <c r="H178" s="11" t="n"/>
      <c r="I178" s="11" t="n"/>
      <c r="J178" s="11" t="n"/>
      <c r="K178" s="11" t="n"/>
      <c r="L178" s="11" t="n"/>
      <c r="M178" s="11" t="n"/>
      <c r="N178" s="11" t="n"/>
      <c r="O178" s="11" t="n"/>
      <c r="P178" s="11" t="n"/>
      <c r="Q178" s="11" t="n"/>
      <c r="R178" s="11" t="n"/>
      <c r="S178" s="11" t="n"/>
      <c r="T178" s="11" t="n"/>
      <c r="U178" s="11" t="n"/>
      <c r="V178" s="11" t="n"/>
      <c r="W178" s="11" t="n"/>
      <c r="X178" s="11" t="n"/>
      <c r="Y178" s="11" t="n"/>
      <c r="Z178" s="11" t="n"/>
    </row>
    <row r="179">
      <c r="A179" s="11" t="n"/>
      <c r="B179" s="11" t="n"/>
      <c r="C179" s="11" t="n"/>
      <c r="D179" s="11" t="n"/>
      <c r="E179" s="11" t="n"/>
      <c r="F179" s="11" t="n"/>
      <c r="G179" s="11" t="n"/>
      <c r="H179" s="11" t="n"/>
      <c r="I179" s="11" t="n"/>
      <c r="J179" s="11" t="n"/>
      <c r="K179" s="11" t="n"/>
      <c r="L179" s="11" t="n"/>
      <c r="M179" s="11" t="n"/>
      <c r="N179" s="11" t="n"/>
      <c r="O179" s="11" t="n"/>
      <c r="P179" s="11" t="n"/>
      <c r="Q179" s="11" t="n"/>
      <c r="R179" s="11" t="n"/>
      <c r="S179" s="11" t="n"/>
      <c r="T179" s="11" t="n"/>
      <c r="U179" s="11" t="n"/>
      <c r="V179" s="11" t="n"/>
      <c r="W179" s="11" t="n"/>
      <c r="X179" s="11" t="n"/>
      <c r="Y179" s="11" t="n"/>
      <c r="Z179" s="11" t="n"/>
    </row>
    <row r="180">
      <c r="A180" s="11" t="n"/>
      <c r="B180" s="11" t="n"/>
      <c r="C180" s="11" t="n"/>
      <c r="D180" s="11" t="n"/>
      <c r="E180" s="11" t="n"/>
      <c r="F180" s="11" t="n"/>
      <c r="G180" s="11" t="n"/>
      <c r="H180" s="11" t="n"/>
      <c r="I180" s="11" t="n"/>
      <c r="J180" s="11" t="n"/>
      <c r="K180" s="11" t="n"/>
      <c r="L180" s="11" t="n"/>
      <c r="M180" s="11" t="n"/>
      <c r="N180" s="11" t="n"/>
      <c r="O180" s="11" t="n"/>
      <c r="P180" s="11" t="n"/>
      <c r="Q180" s="11" t="n"/>
      <c r="R180" s="11" t="n"/>
      <c r="S180" s="11" t="n"/>
      <c r="T180" s="11" t="n"/>
      <c r="U180" s="11" t="n"/>
      <c r="V180" s="11" t="n"/>
      <c r="W180" s="11" t="n"/>
      <c r="X180" s="11" t="n"/>
      <c r="Y180" s="11" t="n"/>
      <c r="Z180" s="11" t="n"/>
    </row>
    <row r="181">
      <c r="A181" s="11" t="n"/>
      <c r="B181" s="11" t="n"/>
      <c r="C181" s="11" t="n"/>
      <c r="D181" s="11" t="n"/>
      <c r="E181" s="11" t="n"/>
      <c r="F181" s="11" t="n"/>
      <c r="G181" s="11" t="n"/>
      <c r="H181" s="11" t="n"/>
      <c r="I181" s="11" t="n"/>
      <c r="J181" s="11" t="n"/>
      <c r="K181" s="11" t="n"/>
      <c r="L181" s="11" t="n"/>
      <c r="M181" s="11" t="n"/>
      <c r="N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Y181" s="11" t="n"/>
      <c r="Z181" s="11" t="n"/>
    </row>
    <row r="182">
      <c r="A182" s="11" t="n"/>
      <c r="B182" s="11" t="n"/>
      <c r="C182" s="11" t="n"/>
      <c r="D182" s="11" t="n"/>
      <c r="E182" s="11" t="n"/>
      <c r="F182" s="11" t="n"/>
      <c r="G182" s="11" t="n"/>
      <c r="H182" s="11" t="n"/>
      <c r="I182" s="11" t="n"/>
      <c r="J182" s="11" t="n"/>
      <c r="K182" s="11" t="n"/>
      <c r="L182" s="11" t="n"/>
      <c r="M182" s="11" t="n"/>
      <c r="N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Y182" s="11" t="n"/>
      <c r="Z182" s="11" t="n"/>
    </row>
    <row r="183">
      <c r="A183" s="11" t="n"/>
      <c r="B183" s="11" t="n"/>
      <c r="C183" s="11" t="n"/>
      <c r="D183" s="11" t="n"/>
      <c r="E183" s="11" t="n"/>
      <c r="F183" s="11" t="n"/>
      <c r="G183" s="11" t="n"/>
      <c r="H183" s="11" t="n"/>
      <c r="I183" s="11" t="n"/>
      <c r="J183" s="11" t="n"/>
      <c r="K183" s="11" t="n"/>
      <c r="L183" s="11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</row>
    <row r="184">
      <c r="A184" s="11" t="n"/>
      <c r="B184" s="11" t="n"/>
      <c r="C184" s="11" t="n"/>
      <c r="D184" s="11" t="n"/>
      <c r="E184" s="11" t="n"/>
      <c r="F184" s="11" t="n"/>
      <c r="G184" s="11" t="n"/>
      <c r="H184" s="11" t="n"/>
      <c r="I184" s="11" t="n"/>
      <c r="J184" s="11" t="n"/>
      <c r="K184" s="11" t="n"/>
      <c r="L184" s="11" t="n"/>
      <c r="M184" s="11" t="n"/>
      <c r="N184" s="11" t="n"/>
      <c r="O184" s="11" t="n"/>
      <c r="P184" s="11" t="n"/>
      <c r="Q184" s="11" t="n"/>
      <c r="R184" s="11" t="n"/>
      <c r="S184" s="11" t="n"/>
      <c r="T184" s="11" t="n"/>
      <c r="U184" s="11" t="n"/>
      <c r="V184" s="11" t="n"/>
      <c r="W184" s="11" t="n"/>
      <c r="X184" s="11" t="n"/>
      <c r="Y184" s="11" t="n"/>
      <c r="Z184" s="11" t="n"/>
    </row>
    <row r="185">
      <c r="A185" s="11" t="n"/>
      <c r="B185" s="11" t="n"/>
      <c r="C185" s="11" t="n"/>
      <c r="D185" s="11" t="n"/>
      <c r="E185" s="11" t="n"/>
      <c r="F185" s="11" t="n"/>
      <c r="G185" s="11" t="n"/>
      <c r="H185" s="11" t="n"/>
      <c r="I185" s="11" t="n"/>
      <c r="J185" s="11" t="n"/>
      <c r="K185" s="11" t="n"/>
      <c r="L185" s="11" t="n"/>
      <c r="M185" s="11" t="n"/>
      <c r="N185" s="11" t="n"/>
      <c r="O185" s="11" t="n"/>
      <c r="P185" s="11" t="n"/>
      <c r="Q185" s="11" t="n"/>
      <c r="R185" s="11" t="n"/>
      <c r="S185" s="11" t="n"/>
      <c r="T185" s="11" t="n"/>
      <c r="U185" s="11" t="n"/>
      <c r="V185" s="11" t="n"/>
      <c r="W185" s="11" t="n"/>
      <c r="X185" s="11" t="n"/>
      <c r="Y185" s="11" t="n"/>
      <c r="Z185" s="11" t="n"/>
    </row>
    <row r="186">
      <c r="A186" s="11" t="n"/>
      <c r="B186" s="11" t="n"/>
      <c r="C186" s="11" t="n"/>
      <c r="D186" s="11" t="n"/>
      <c r="E186" s="11" t="n"/>
      <c r="F186" s="11" t="n"/>
      <c r="G186" s="11" t="n"/>
      <c r="H186" s="11" t="n"/>
      <c r="I186" s="11" t="n"/>
      <c r="J186" s="11" t="n"/>
      <c r="K186" s="11" t="n"/>
      <c r="L186" s="11" t="n"/>
      <c r="M186" s="11" t="n"/>
      <c r="N186" s="11" t="n"/>
      <c r="O186" s="11" t="n"/>
      <c r="P186" s="11" t="n"/>
      <c r="Q186" s="11" t="n"/>
      <c r="R186" s="11" t="n"/>
      <c r="S186" s="11" t="n"/>
      <c r="T186" s="11" t="n"/>
      <c r="U186" s="11" t="n"/>
      <c r="V186" s="11" t="n"/>
      <c r="W186" s="11" t="n"/>
      <c r="X186" s="11" t="n"/>
      <c r="Y186" s="11" t="n"/>
      <c r="Z186" s="11" t="n"/>
    </row>
    <row r="187">
      <c r="A187" s="11" t="n"/>
      <c r="B187" s="11" t="n"/>
      <c r="C187" s="11" t="n"/>
      <c r="D187" s="11" t="n"/>
      <c r="E187" s="11" t="n"/>
      <c r="F187" s="11" t="n"/>
      <c r="G187" s="11" t="n"/>
      <c r="H187" s="11" t="n"/>
      <c r="I187" s="11" t="n"/>
      <c r="J187" s="11" t="n"/>
      <c r="K187" s="11" t="n"/>
      <c r="L187" s="11" t="n"/>
      <c r="M187" s="11" t="n"/>
      <c r="N187" s="11" t="n"/>
      <c r="O187" s="11" t="n"/>
      <c r="P187" s="11" t="n"/>
      <c r="Q187" s="11" t="n"/>
      <c r="R187" s="11" t="n"/>
      <c r="S187" s="11" t="n"/>
      <c r="T187" s="11" t="n"/>
      <c r="U187" s="11" t="n"/>
      <c r="V187" s="11" t="n"/>
      <c r="W187" s="11" t="n"/>
      <c r="X187" s="11" t="n"/>
      <c r="Y187" s="11" t="n"/>
      <c r="Z187" s="11" t="n"/>
    </row>
    <row r="188">
      <c r="A188" s="11" t="n"/>
      <c r="B188" s="11" t="n"/>
      <c r="C188" s="11" t="n"/>
      <c r="D188" s="11" t="n"/>
      <c r="E188" s="11" t="n"/>
      <c r="F188" s="11" t="n"/>
      <c r="G188" s="11" t="n"/>
      <c r="H188" s="11" t="n"/>
      <c r="I188" s="11" t="n"/>
      <c r="J188" s="11" t="n"/>
      <c r="K188" s="11" t="n"/>
      <c r="L188" s="11" t="n"/>
      <c r="M188" s="11" t="n"/>
      <c r="N188" s="11" t="n"/>
      <c r="O188" s="11" t="n"/>
      <c r="P188" s="11" t="n"/>
      <c r="Q188" s="11" t="n"/>
      <c r="R188" s="11" t="n"/>
      <c r="S188" s="11" t="n"/>
      <c r="T188" s="11" t="n"/>
      <c r="U188" s="11" t="n"/>
      <c r="V188" s="11" t="n"/>
      <c r="W188" s="11" t="n"/>
      <c r="X188" s="11" t="n"/>
      <c r="Y188" s="11" t="n"/>
      <c r="Z188" s="11" t="n"/>
    </row>
    <row r="189">
      <c r="A189" s="11" t="n"/>
      <c r="B189" s="11" t="n"/>
      <c r="C189" s="11" t="n"/>
      <c r="D189" s="11" t="n"/>
      <c r="E189" s="11" t="n"/>
      <c r="F189" s="11" t="n"/>
      <c r="G189" s="11" t="n"/>
      <c r="H189" s="11" t="n"/>
      <c r="I189" s="11" t="n"/>
      <c r="J189" s="11" t="n"/>
      <c r="K189" s="11" t="n"/>
      <c r="L189" s="11" t="n"/>
      <c r="M189" s="11" t="n"/>
      <c r="N189" s="11" t="n"/>
      <c r="O189" s="11" t="n"/>
      <c r="P189" s="11" t="n"/>
      <c r="Q189" s="11" t="n"/>
      <c r="R189" s="11" t="n"/>
      <c r="S189" s="11" t="n"/>
      <c r="T189" s="11" t="n"/>
      <c r="U189" s="11" t="n"/>
      <c r="V189" s="11" t="n"/>
      <c r="W189" s="11" t="n"/>
      <c r="X189" s="11" t="n"/>
      <c r="Y189" s="11" t="n"/>
      <c r="Z189" s="11" t="n"/>
    </row>
    <row r="190">
      <c r="A190" s="11" t="n"/>
      <c r="B190" s="11" t="n"/>
      <c r="C190" s="11" t="n"/>
      <c r="D190" s="11" t="n"/>
      <c r="E190" s="11" t="n"/>
      <c r="F190" s="11" t="n"/>
      <c r="G190" s="11" t="n"/>
      <c r="H190" s="11" t="n"/>
      <c r="I190" s="11" t="n"/>
      <c r="J190" s="11" t="n"/>
      <c r="K190" s="11" t="n"/>
      <c r="L190" s="11" t="n"/>
      <c r="M190" s="11" t="n"/>
      <c r="N190" s="11" t="n"/>
      <c r="O190" s="11" t="n"/>
      <c r="P190" s="11" t="n"/>
      <c r="Q190" s="11" t="n"/>
      <c r="R190" s="11" t="n"/>
      <c r="S190" s="11" t="n"/>
      <c r="T190" s="11" t="n"/>
      <c r="U190" s="11" t="n"/>
      <c r="V190" s="11" t="n"/>
      <c r="W190" s="11" t="n"/>
      <c r="X190" s="11" t="n"/>
      <c r="Y190" s="11" t="n"/>
      <c r="Z190" s="11" t="n"/>
    </row>
    <row r="191">
      <c r="A191" s="11" t="n"/>
      <c r="B191" s="11" t="n"/>
      <c r="C191" s="11" t="n"/>
      <c r="D191" s="11" t="n"/>
      <c r="E191" s="11" t="n"/>
      <c r="F191" s="11" t="n"/>
      <c r="G191" s="11" t="n"/>
      <c r="H191" s="11" t="n"/>
      <c r="I191" s="11" t="n"/>
      <c r="J191" s="11" t="n"/>
      <c r="K191" s="11" t="n"/>
      <c r="L191" s="11" t="n"/>
      <c r="M191" s="11" t="n"/>
      <c r="N191" s="11" t="n"/>
      <c r="O191" s="11" t="n"/>
      <c r="P191" s="11" t="n"/>
      <c r="Q191" s="11" t="n"/>
      <c r="R191" s="11" t="n"/>
      <c r="S191" s="11" t="n"/>
      <c r="T191" s="11" t="n"/>
      <c r="U191" s="11" t="n"/>
      <c r="V191" s="11" t="n"/>
      <c r="W191" s="11" t="n"/>
      <c r="X191" s="11" t="n"/>
      <c r="Y191" s="11" t="n"/>
      <c r="Z191" s="11" t="n"/>
    </row>
    <row r="192">
      <c r="A192" s="11" t="n"/>
      <c r="B192" s="11" t="n"/>
      <c r="C192" s="11" t="n"/>
      <c r="D192" s="11" t="n"/>
      <c r="E192" s="11" t="n"/>
      <c r="F192" s="11" t="n"/>
      <c r="G192" s="11" t="n"/>
      <c r="H192" s="11" t="n"/>
      <c r="I192" s="11" t="n"/>
      <c r="J192" s="11" t="n"/>
      <c r="K192" s="11" t="n"/>
      <c r="L192" s="11" t="n"/>
      <c r="M192" s="11" t="n"/>
      <c r="N192" s="11" t="n"/>
      <c r="O192" s="11" t="n"/>
      <c r="P192" s="11" t="n"/>
      <c r="Q192" s="11" t="n"/>
      <c r="R192" s="11" t="n"/>
      <c r="S192" s="11" t="n"/>
      <c r="T192" s="11" t="n"/>
      <c r="U192" s="11" t="n"/>
      <c r="V192" s="11" t="n"/>
      <c r="W192" s="11" t="n"/>
      <c r="X192" s="11" t="n"/>
      <c r="Y192" s="11" t="n"/>
      <c r="Z192" s="11" t="n"/>
    </row>
    <row r="193">
      <c r="A193" s="11" t="n"/>
      <c r="B193" s="11" t="n"/>
      <c r="C193" s="11" t="n"/>
      <c r="D193" s="11" t="n"/>
      <c r="E193" s="11" t="n"/>
      <c r="F193" s="11" t="n"/>
      <c r="G193" s="11" t="n"/>
      <c r="H193" s="11" t="n"/>
      <c r="I193" s="11" t="n"/>
      <c r="J193" s="11" t="n"/>
      <c r="K193" s="11" t="n"/>
      <c r="L193" s="11" t="n"/>
      <c r="M193" s="11" t="n"/>
      <c r="N193" s="11" t="n"/>
      <c r="O193" s="11" t="n"/>
      <c r="P193" s="11" t="n"/>
      <c r="Q193" s="11" t="n"/>
      <c r="R193" s="11" t="n"/>
      <c r="S193" s="11" t="n"/>
      <c r="T193" s="11" t="n"/>
      <c r="U193" s="11" t="n"/>
      <c r="V193" s="11" t="n"/>
      <c r="W193" s="11" t="n"/>
      <c r="X193" s="11" t="n"/>
      <c r="Y193" s="11" t="n"/>
      <c r="Z193" s="11" t="n"/>
    </row>
    <row r="194">
      <c r="A194" s="11" t="n"/>
      <c r="B194" s="11" t="n"/>
      <c r="C194" s="11" t="n"/>
      <c r="D194" s="11" t="n"/>
      <c r="E194" s="11" t="n"/>
      <c r="F194" s="11" t="n"/>
      <c r="G194" s="11" t="n"/>
      <c r="H194" s="11" t="n"/>
      <c r="I194" s="11" t="n"/>
      <c r="J194" s="11" t="n"/>
      <c r="K194" s="11" t="n"/>
      <c r="L194" s="11" t="n"/>
      <c r="M194" s="11" t="n"/>
      <c r="N194" s="11" t="n"/>
      <c r="O194" s="11" t="n"/>
      <c r="P194" s="11" t="n"/>
      <c r="Q194" s="11" t="n"/>
      <c r="R194" s="11" t="n"/>
      <c r="S194" s="11" t="n"/>
      <c r="T194" s="11" t="n"/>
      <c r="U194" s="11" t="n"/>
      <c r="V194" s="11" t="n"/>
      <c r="W194" s="11" t="n"/>
      <c r="X194" s="11" t="n"/>
      <c r="Y194" s="11" t="n"/>
      <c r="Z194" s="11" t="n"/>
    </row>
    <row r="195">
      <c r="A195" s="11" t="n"/>
      <c r="B195" s="11" t="n"/>
      <c r="C195" s="11" t="n"/>
      <c r="D195" s="11" t="n"/>
      <c r="E195" s="11" t="n"/>
      <c r="F195" s="11" t="n"/>
      <c r="G195" s="11" t="n"/>
      <c r="H195" s="11" t="n"/>
      <c r="I195" s="11" t="n"/>
      <c r="J195" s="11" t="n"/>
      <c r="K195" s="11" t="n"/>
      <c r="L195" s="11" t="n"/>
      <c r="M195" s="11" t="n"/>
      <c r="N195" s="11" t="n"/>
      <c r="O195" s="11" t="n"/>
      <c r="P195" s="11" t="n"/>
      <c r="Q195" s="11" t="n"/>
      <c r="R195" s="11" t="n"/>
      <c r="S195" s="11" t="n"/>
      <c r="T195" s="11" t="n"/>
      <c r="U195" s="11" t="n"/>
      <c r="V195" s="11" t="n"/>
      <c r="W195" s="11" t="n"/>
      <c r="X195" s="11" t="n"/>
      <c r="Y195" s="11" t="n"/>
      <c r="Z195" s="11" t="n"/>
    </row>
    <row r="196">
      <c r="A196" s="11" t="n"/>
      <c r="B196" s="11" t="n"/>
      <c r="C196" s="11" t="n"/>
      <c r="D196" s="11" t="n"/>
      <c r="E196" s="11" t="n"/>
      <c r="F196" s="11" t="n"/>
      <c r="G196" s="11" t="n"/>
      <c r="H196" s="11" t="n"/>
      <c r="I196" s="11" t="n"/>
      <c r="J196" s="11" t="n"/>
      <c r="K196" s="11" t="n"/>
      <c r="L196" s="11" t="n"/>
      <c r="M196" s="11" t="n"/>
      <c r="N196" s="11" t="n"/>
      <c r="O196" s="11" t="n"/>
      <c r="P196" s="11" t="n"/>
      <c r="Q196" s="11" t="n"/>
      <c r="R196" s="11" t="n"/>
      <c r="S196" s="11" t="n"/>
      <c r="T196" s="11" t="n"/>
      <c r="U196" s="11" t="n"/>
      <c r="V196" s="11" t="n"/>
      <c r="W196" s="11" t="n"/>
      <c r="X196" s="11" t="n"/>
      <c r="Y196" s="11" t="n"/>
      <c r="Z196" s="11" t="n"/>
    </row>
    <row r="197">
      <c r="A197" s="11" t="n"/>
      <c r="B197" s="11" t="n"/>
      <c r="C197" s="11" t="n"/>
      <c r="D197" s="11" t="n"/>
      <c r="E197" s="11" t="n"/>
      <c r="F197" s="11" t="n"/>
      <c r="G197" s="11" t="n"/>
      <c r="H197" s="11" t="n"/>
      <c r="I197" s="11" t="n"/>
      <c r="J197" s="11" t="n"/>
      <c r="K197" s="11" t="n"/>
      <c r="L197" s="11" t="n"/>
      <c r="M197" s="11" t="n"/>
      <c r="N197" s="11" t="n"/>
      <c r="O197" s="11" t="n"/>
      <c r="P197" s="11" t="n"/>
      <c r="Q197" s="11" t="n"/>
      <c r="R197" s="11" t="n"/>
      <c r="S197" s="11" t="n"/>
      <c r="T197" s="11" t="n"/>
      <c r="U197" s="11" t="n"/>
      <c r="V197" s="11" t="n"/>
      <c r="W197" s="11" t="n"/>
      <c r="X197" s="11" t="n"/>
      <c r="Y197" s="11" t="n"/>
      <c r="Z197" s="11" t="n"/>
    </row>
    <row r="198">
      <c r="A198" s="11" t="n"/>
      <c r="B198" s="11" t="n"/>
      <c r="C198" s="11" t="n"/>
      <c r="D198" s="11" t="n"/>
      <c r="E198" s="11" t="n"/>
      <c r="F198" s="11" t="n"/>
      <c r="G198" s="11" t="n"/>
      <c r="H198" s="11" t="n"/>
      <c r="I198" s="11" t="n"/>
      <c r="J198" s="11" t="n"/>
      <c r="K198" s="11" t="n"/>
      <c r="L198" s="11" t="n"/>
      <c r="M198" s="11" t="n"/>
      <c r="N198" s="11" t="n"/>
      <c r="O198" s="11" t="n"/>
      <c r="P198" s="11" t="n"/>
      <c r="Q198" s="11" t="n"/>
      <c r="R198" s="11" t="n"/>
      <c r="S198" s="11" t="n"/>
      <c r="T198" s="11" t="n"/>
      <c r="U198" s="11" t="n"/>
      <c r="V198" s="11" t="n"/>
      <c r="W198" s="11" t="n"/>
      <c r="X198" s="11" t="n"/>
      <c r="Y198" s="11" t="n"/>
      <c r="Z198" s="11" t="n"/>
    </row>
    <row r="199">
      <c r="A199" s="11" t="n"/>
      <c r="B199" s="11" t="n"/>
      <c r="C199" s="11" t="n"/>
      <c r="D199" s="11" t="n"/>
      <c r="E199" s="11" t="n"/>
      <c r="F199" s="11" t="n"/>
      <c r="G199" s="11" t="n"/>
      <c r="H199" s="11" t="n"/>
      <c r="I199" s="11" t="n"/>
      <c r="J199" s="11" t="n"/>
      <c r="K199" s="11" t="n"/>
      <c r="L199" s="11" t="n"/>
      <c r="M199" s="11" t="n"/>
      <c r="N199" s="11" t="n"/>
      <c r="O199" s="11" t="n"/>
      <c r="P199" s="11" t="n"/>
      <c r="Q199" s="11" t="n"/>
      <c r="R199" s="11" t="n"/>
      <c r="S199" s="11" t="n"/>
      <c r="T199" s="11" t="n"/>
      <c r="U199" s="11" t="n"/>
      <c r="V199" s="11" t="n"/>
      <c r="W199" s="11" t="n"/>
      <c r="X199" s="11" t="n"/>
      <c r="Y199" s="11" t="n"/>
      <c r="Z199" s="11" t="n"/>
    </row>
    <row r="200">
      <c r="A200" s="11" t="n"/>
      <c r="B200" s="11" t="n"/>
      <c r="C200" s="11" t="n"/>
      <c r="D200" s="11" t="n"/>
      <c r="E200" s="11" t="n"/>
      <c r="F200" s="11" t="n"/>
      <c r="G200" s="11" t="n"/>
      <c r="H200" s="11" t="n"/>
      <c r="I200" s="11" t="n"/>
      <c r="J200" s="11" t="n"/>
      <c r="K200" s="11" t="n"/>
      <c r="L200" s="11" t="n"/>
      <c r="M200" s="11" t="n"/>
      <c r="N200" s="11" t="n"/>
      <c r="O200" s="11" t="n"/>
      <c r="P200" s="11" t="n"/>
      <c r="Q200" s="11" t="n"/>
      <c r="R200" s="11" t="n"/>
      <c r="S200" s="11" t="n"/>
      <c r="T200" s="11" t="n"/>
      <c r="U200" s="11" t="n"/>
      <c r="V200" s="11" t="n"/>
      <c r="W200" s="11" t="n"/>
      <c r="X200" s="11" t="n"/>
      <c r="Y200" s="11" t="n"/>
      <c r="Z200" s="11" t="n"/>
    </row>
    <row r="201">
      <c r="A201" s="11" t="n"/>
      <c r="B201" s="11" t="n"/>
      <c r="C201" s="11" t="n"/>
      <c r="D201" s="11" t="n"/>
      <c r="E201" s="11" t="n"/>
      <c r="F201" s="11" t="n"/>
      <c r="G201" s="11" t="n"/>
      <c r="H201" s="11" t="n"/>
      <c r="I201" s="11" t="n"/>
      <c r="J201" s="11" t="n"/>
      <c r="K201" s="11" t="n"/>
      <c r="L201" s="11" t="n"/>
      <c r="M201" s="11" t="n"/>
      <c r="N201" s="11" t="n"/>
      <c r="O201" s="11" t="n"/>
      <c r="P201" s="11" t="n"/>
      <c r="Q201" s="11" t="n"/>
      <c r="R201" s="11" t="n"/>
      <c r="S201" s="11" t="n"/>
      <c r="T201" s="11" t="n"/>
      <c r="U201" s="11" t="n"/>
      <c r="V201" s="11" t="n"/>
      <c r="W201" s="11" t="n"/>
      <c r="X201" s="11" t="n"/>
      <c r="Y201" s="11" t="n"/>
      <c r="Z201" s="11" t="n"/>
    </row>
    <row r="202">
      <c r="A202" s="11" t="n"/>
      <c r="B202" s="11" t="n"/>
      <c r="C202" s="11" t="n"/>
      <c r="D202" s="11" t="n"/>
      <c r="E202" s="11" t="n"/>
      <c r="F202" s="11" t="n"/>
      <c r="G202" s="11" t="n"/>
      <c r="H202" s="11" t="n"/>
      <c r="I202" s="11" t="n"/>
      <c r="J202" s="11" t="n"/>
      <c r="K202" s="11" t="n"/>
      <c r="L202" s="11" t="n"/>
      <c r="M202" s="11" t="n"/>
      <c r="N202" s="11" t="n"/>
      <c r="O202" s="11" t="n"/>
      <c r="P202" s="11" t="n"/>
      <c r="Q202" s="11" t="n"/>
      <c r="R202" s="11" t="n"/>
      <c r="S202" s="11" t="n"/>
      <c r="T202" s="11" t="n"/>
      <c r="U202" s="11" t="n"/>
      <c r="V202" s="11" t="n"/>
      <c r="W202" s="11" t="n"/>
      <c r="X202" s="11" t="n"/>
      <c r="Y202" s="11" t="n"/>
      <c r="Z202" s="11" t="n"/>
    </row>
    <row r="203">
      <c r="A203" s="11" t="n"/>
      <c r="B203" s="11" t="n"/>
      <c r="C203" s="11" t="n"/>
      <c r="D203" s="11" t="n"/>
      <c r="E203" s="11" t="n"/>
      <c r="F203" s="11" t="n"/>
      <c r="G203" s="11" t="n"/>
      <c r="H203" s="11" t="n"/>
      <c r="I203" s="11" t="n"/>
      <c r="J203" s="11" t="n"/>
      <c r="K203" s="11" t="n"/>
      <c r="L203" s="11" t="n"/>
      <c r="M203" s="11" t="n"/>
      <c r="N203" s="11" t="n"/>
      <c r="O203" s="11" t="n"/>
      <c r="P203" s="11" t="n"/>
      <c r="Q203" s="11" t="n"/>
      <c r="R203" s="11" t="n"/>
      <c r="S203" s="11" t="n"/>
      <c r="T203" s="11" t="n"/>
      <c r="U203" s="11" t="n"/>
      <c r="V203" s="11" t="n"/>
      <c r="W203" s="11" t="n"/>
      <c r="X203" s="11" t="n"/>
      <c r="Y203" s="11" t="n"/>
      <c r="Z203" s="11" t="n"/>
    </row>
    <row r="204">
      <c r="A204" s="11" t="n"/>
      <c r="B204" s="11" t="n"/>
      <c r="C204" s="11" t="n"/>
      <c r="D204" s="11" t="n"/>
      <c r="E204" s="11" t="n"/>
      <c r="F204" s="11" t="n"/>
      <c r="G204" s="11" t="n"/>
      <c r="H204" s="11" t="n"/>
      <c r="I204" s="11" t="n"/>
      <c r="J204" s="11" t="n"/>
      <c r="K204" s="11" t="n"/>
      <c r="L204" s="11" t="n"/>
      <c r="M204" s="11" t="n"/>
      <c r="N204" s="11" t="n"/>
      <c r="O204" s="11" t="n"/>
      <c r="P204" s="11" t="n"/>
      <c r="Q204" s="11" t="n"/>
      <c r="R204" s="11" t="n"/>
      <c r="S204" s="11" t="n"/>
      <c r="T204" s="11" t="n"/>
      <c r="U204" s="11" t="n"/>
      <c r="V204" s="11" t="n"/>
      <c r="W204" s="11" t="n"/>
      <c r="X204" s="11" t="n"/>
      <c r="Y204" s="11" t="n"/>
      <c r="Z204" s="11" t="n"/>
    </row>
    <row r="205">
      <c r="A205" s="11" t="n"/>
      <c r="B205" s="11" t="n"/>
      <c r="C205" s="11" t="n"/>
      <c r="D205" s="11" t="n"/>
      <c r="E205" s="11" t="n"/>
      <c r="F205" s="11" t="n"/>
      <c r="G205" s="11" t="n"/>
      <c r="H205" s="11" t="n"/>
      <c r="I205" s="11" t="n"/>
      <c r="J205" s="11" t="n"/>
      <c r="K205" s="11" t="n"/>
      <c r="L205" s="11" t="n"/>
      <c r="M205" s="11" t="n"/>
      <c r="N205" s="11" t="n"/>
      <c r="O205" s="11" t="n"/>
      <c r="P205" s="11" t="n"/>
      <c r="Q205" s="11" t="n"/>
      <c r="R205" s="11" t="n"/>
      <c r="S205" s="11" t="n"/>
      <c r="T205" s="11" t="n"/>
      <c r="U205" s="11" t="n"/>
      <c r="V205" s="11" t="n"/>
      <c r="W205" s="11" t="n"/>
      <c r="X205" s="11" t="n"/>
      <c r="Y205" s="11" t="n"/>
      <c r="Z205" s="11" t="n"/>
    </row>
    <row r="206">
      <c r="A206" s="11" t="n"/>
      <c r="B206" s="11" t="n"/>
      <c r="C206" s="11" t="n"/>
      <c r="D206" s="11" t="n"/>
      <c r="E206" s="11" t="n"/>
      <c r="F206" s="11" t="n"/>
      <c r="G206" s="11" t="n"/>
      <c r="H206" s="11" t="n"/>
      <c r="I206" s="11" t="n"/>
      <c r="J206" s="11" t="n"/>
      <c r="K206" s="11" t="n"/>
      <c r="L206" s="11" t="n"/>
      <c r="M206" s="11" t="n"/>
      <c r="N206" s="11" t="n"/>
      <c r="O206" s="11" t="n"/>
      <c r="P206" s="11" t="n"/>
      <c r="Q206" s="11" t="n"/>
      <c r="R206" s="11" t="n"/>
      <c r="S206" s="11" t="n"/>
      <c r="T206" s="11" t="n"/>
      <c r="U206" s="11" t="n"/>
      <c r="V206" s="11" t="n"/>
      <c r="W206" s="11" t="n"/>
      <c r="X206" s="11" t="n"/>
      <c r="Y206" s="11" t="n"/>
      <c r="Z206" s="11" t="n"/>
    </row>
    <row r="207">
      <c r="A207" s="11" t="n"/>
      <c r="B207" s="11" t="n"/>
      <c r="C207" s="11" t="n"/>
      <c r="D207" s="11" t="n"/>
      <c r="E207" s="11" t="n"/>
      <c r="F207" s="11" t="n"/>
      <c r="G207" s="11" t="n"/>
      <c r="H207" s="11" t="n"/>
      <c r="I207" s="11" t="n"/>
      <c r="J207" s="11" t="n"/>
      <c r="K207" s="11" t="n"/>
      <c r="L207" s="11" t="n"/>
      <c r="M207" s="11" t="n"/>
      <c r="N207" s="11" t="n"/>
      <c r="O207" s="11" t="n"/>
      <c r="P207" s="11" t="n"/>
      <c r="Q207" s="11" t="n"/>
      <c r="R207" s="11" t="n"/>
      <c r="S207" s="11" t="n"/>
      <c r="T207" s="11" t="n"/>
      <c r="U207" s="11" t="n"/>
      <c r="V207" s="11" t="n"/>
      <c r="W207" s="11" t="n"/>
      <c r="X207" s="11" t="n"/>
      <c r="Y207" s="11" t="n"/>
      <c r="Z207" s="11" t="n"/>
    </row>
    <row r="208">
      <c r="A208" s="11" t="n"/>
      <c r="B208" s="11" t="n"/>
      <c r="C208" s="11" t="n"/>
      <c r="D208" s="11" t="n"/>
      <c r="E208" s="11" t="n"/>
      <c r="F208" s="11" t="n"/>
      <c r="G208" s="11" t="n"/>
      <c r="H208" s="11" t="n"/>
      <c r="I208" s="11" t="n"/>
      <c r="J208" s="11" t="n"/>
      <c r="K208" s="11" t="n"/>
      <c r="L208" s="11" t="n"/>
      <c r="M208" s="11" t="n"/>
      <c r="N208" s="11" t="n"/>
      <c r="O208" s="11" t="n"/>
      <c r="P208" s="11" t="n"/>
      <c r="Q208" s="11" t="n"/>
      <c r="R208" s="11" t="n"/>
      <c r="S208" s="11" t="n"/>
      <c r="T208" s="11" t="n"/>
      <c r="U208" s="11" t="n"/>
      <c r="V208" s="11" t="n"/>
      <c r="W208" s="11" t="n"/>
      <c r="X208" s="11" t="n"/>
      <c r="Y208" s="11" t="n"/>
      <c r="Z208" s="11" t="n"/>
    </row>
    <row r="209">
      <c r="A209" s="11" t="n"/>
      <c r="B209" s="11" t="n"/>
      <c r="C209" s="11" t="n"/>
      <c r="D209" s="11" t="n"/>
      <c r="E209" s="11" t="n"/>
      <c r="F209" s="11" t="n"/>
      <c r="G209" s="11" t="n"/>
      <c r="H209" s="11" t="n"/>
      <c r="I209" s="11" t="n"/>
      <c r="J209" s="11" t="n"/>
      <c r="K209" s="11" t="n"/>
      <c r="L209" s="11" t="n"/>
      <c r="M209" s="11" t="n"/>
      <c r="N209" s="11" t="n"/>
      <c r="O209" s="11" t="n"/>
      <c r="P209" s="11" t="n"/>
      <c r="Q209" s="11" t="n"/>
      <c r="R209" s="11" t="n"/>
      <c r="S209" s="11" t="n"/>
      <c r="T209" s="11" t="n"/>
      <c r="U209" s="11" t="n"/>
      <c r="V209" s="11" t="n"/>
      <c r="W209" s="11" t="n"/>
      <c r="X209" s="11" t="n"/>
      <c r="Y209" s="11" t="n"/>
      <c r="Z209" s="11" t="n"/>
    </row>
    <row r="210">
      <c r="A210" s="11" t="n"/>
      <c r="B210" s="11" t="n"/>
      <c r="C210" s="11" t="n"/>
      <c r="D210" s="11" t="n"/>
      <c r="E210" s="11" t="n"/>
      <c r="F210" s="11" t="n"/>
      <c r="G210" s="11" t="n"/>
      <c r="H210" s="11" t="n"/>
      <c r="I210" s="11" t="n"/>
      <c r="J210" s="11" t="n"/>
      <c r="K210" s="11" t="n"/>
      <c r="L210" s="11" t="n"/>
      <c r="M210" s="11" t="n"/>
      <c r="N210" s="11" t="n"/>
      <c r="O210" s="11" t="n"/>
      <c r="P210" s="11" t="n"/>
      <c r="Q210" s="11" t="n"/>
      <c r="R210" s="11" t="n"/>
      <c r="S210" s="11" t="n"/>
      <c r="T210" s="11" t="n"/>
      <c r="U210" s="11" t="n"/>
      <c r="V210" s="11" t="n"/>
      <c r="W210" s="11" t="n"/>
      <c r="X210" s="11" t="n"/>
      <c r="Y210" s="11" t="n"/>
      <c r="Z210" s="11" t="n"/>
    </row>
    <row r="211">
      <c r="A211" s="11" t="n"/>
      <c r="B211" s="11" t="n"/>
      <c r="C211" s="11" t="n"/>
      <c r="D211" s="11" t="n"/>
      <c r="E211" s="11" t="n"/>
      <c r="F211" s="11" t="n"/>
      <c r="G211" s="11" t="n"/>
      <c r="H211" s="11" t="n"/>
      <c r="I211" s="11" t="n"/>
      <c r="J211" s="11" t="n"/>
      <c r="K211" s="11" t="n"/>
      <c r="L211" s="11" t="n"/>
      <c r="M211" s="11" t="n"/>
      <c r="N211" s="11" t="n"/>
      <c r="O211" s="11" t="n"/>
      <c r="P211" s="11" t="n"/>
      <c r="Q211" s="11" t="n"/>
      <c r="R211" s="11" t="n"/>
      <c r="S211" s="11" t="n"/>
      <c r="T211" s="11" t="n"/>
      <c r="U211" s="11" t="n"/>
      <c r="V211" s="11" t="n"/>
      <c r="W211" s="11" t="n"/>
      <c r="X211" s="11" t="n"/>
      <c r="Y211" s="11" t="n"/>
      <c r="Z211" s="11" t="n"/>
    </row>
    <row r="212">
      <c r="A212" s="11" t="n"/>
      <c r="B212" s="11" t="n"/>
      <c r="C212" s="11" t="n"/>
      <c r="D212" s="11" t="n"/>
      <c r="E212" s="11" t="n"/>
      <c r="F212" s="11" t="n"/>
      <c r="G212" s="11" t="n"/>
      <c r="H212" s="11" t="n"/>
      <c r="I212" s="11" t="n"/>
      <c r="J212" s="11" t="n"/>
      <c r="K212" s="11" t="n"/>
      <c r="L212" s="11" t="n"/>
      <c r="M212" s="11" t="n"/>
      <c r="N212" s="11" t="n"/>
      <c r="O212" s="11" t="n"/>
      <c r="P212" s="11" t="n"/>
      <c r="Q212" s="11" t="n"/>
      <c r="R212" s="11" t="n"/>
      <c r="S212" s="11" t="n"/>
      <c r="T212" s="11" t="n"/>
      <c r="U212" s="11" t="n"/>
      <c r="V212" s="11" t="n"/>
      <c r="W212" s="11" t="n"/>
      <c r="X212" s="11" t="n"/>
      <c r="Y212" s="11" t="n"/>
      <c r="Z212" s="11" t="n"/>
    </row>
    <row r="213">
      <c r="A213" s="11" t="n"/>
      <c r="B213" s="11" t="n"/>
      <c r="C213" s="11" t="n"/>
      <c r="D213" s="11" t="n"/>
      <c r="E213" s="11" t="n"/>
      <c r="F213" s="11" t="n"/>
      <c r="G213" s="11" t="n"/>
      <c r="H213" s="11" t="n"/>
      <c r="I213" s="11" t="n"/>
      <c r="J213" s="11" t="n"/>
      <c r="K213" s="11" t="n"/>
      <c r="L213" s="11" t="n"/>
      <c r="M213" s="11" t="n"/>
      <c r="N213" s="11" t="n"/>
      <c r="O213" s="11" t="n"/>
      <c r="P213" s="11" t="n"/>
      <c r="Q213" s="11" t="n"/>
      <c r="R213" s="11" t="n"/>
      <c r="S213" s="11" t="n"/>
      <c r="T213" s="11" t="n"/>
      <c r="U213" s="11" t="n"/>
      <c r="V213" s="11" t="n"/>
      <c r="W213" s="11" t="n"/>
      <c r="X213" s="11" t="n"/>
      <c r="Y213" s="11" t="n"/>
      <c r="Z213" s="11" t="n"/>
    </row>
    <row r="214">
      <c r="A214" s="11" t="n"/>
      <c r="B214" s="11" t="n"/>
      <c r="C214" s="11" t="n"/>
      <c r="D214" s="11" t="n"/>
      <c r="E214" s="11" t="n"/>
      <c r="F214" s="11" t="n"/>
      <c r="G214" s="11" t="n"/>
      <c r="H214" s="11" t="n"/>
      <c r="I214" s="11" t="n"/>
      <c r="J214" s="11" t="n"/>
      <c r="K214" s="11" t="n"/>
      <c r="L214" s="11" t="n"/>
      <c r="M214" s="11" t="n"/>
      <c r="N214" s="11" t="n"/>
      <c r="O214" s="11" t="n"/>
      <c r="P214" s="11" t="n"/>
      <c r="Q214" s="11" t="n"/>
      <c r="R214" s="11" t="n"/>
      <c r="S214" s="11" t="n"/>
      <c r="T214" s="11" t="n"/>
      <c r="U214" s="11" t="n"/>
      <c r="V214" s="11" t="n"/>
      <c r="W214" s="11" t="n"/>
      <c r="X214" s="11" t="n"/>
      <c r="Y214" s="11" t="n"/>
      <c r="Z214" s="11" t="n"/>
    </row>
    <row r="215">
      <c r="A215" s="11" t="n"/>
      <c r="B215" s="11" t="n"/>
      <c r="C215" s="11" t="n"/>
      <c r="D215" s="11" t="n"/>
      <c r="E215" s="11" t="n"/>
      <c r="F215" s="11" t="n"/>
      <c r="G215" s="11" t="n"/>
      <c r="H215" s="11" t="n"/>
      <c r="I215" s="11" t="n"/>
      <c r="J215" s="11" t="n"/>
      <c r="K215" s="11" t="n"/>
      <c r="L215" s="11" t="n"/>
      <c r="M215" s="11" t="n"/>
      <c r="N215" s="11" t="n"/>
      <c r="O215" s="11" t="n"/>
      <c r="P215" s="11" t="n"/>
      <c r="Q215" s="11" t="n"/>
      <c r="R215" s="11" t="n"/>
      <c r="S215" s="11" t="n"/>
      <c r="T215" s="11" t="n"/>
      <c r="U215" s="11" t="n"/>
      <c r="V215" s="11" t="n"/>
      <c r="W215" s="11" t="n"/>
      <c r="X215" s="11" t="n"/>
      <c r="Y215" s="11" t="n"/>
      <c r="Z215" s="11" t="n"/>
    </row>
    <row r="216">
      <c r="A216" s="11" t="n"/>
      <c r="B216" s="11" t="n"/>
      <c r="C216" s="11" t="n"/>
      <c r="D216" s="11" t="n"/>
      <c r="E216" s="11" t="n"/>
      <c r="F216" s="11" t="n"/>
      <c r="G216" s="11" t="n"/>
      <c r="H216" s="11" t="n"/>
      <c r="I216" s="11" t="n"/>
      <c r="J216" s="11" t="n"/>
      <c r="K216" s="11" t="n"/>
      <c r="L216" s="11" t="n"/>
      <c r="M216" s="11" t="n"/>
      <c r="N216" s="11" t="n"/>
      <c r="O216" s="11" t="n"/>
      <c r="P216" s="11" t="n"/>
      <c r="Q216" s="11" t="n"/>
      <c r="R216" s="11" t="n"/>
      <c r="S216" s="11" t="n"/>
      <c r="T216" s="11" t="n"/>
      <c r="U216" s="11" t="n"/>
      <c r="V216" s="11" t="n"/>
      <c r="W216" s="11" t="n"/>
      <c r="X216" s="11" t="n"/>
      <c r="Y216" s="11" t="n"/>
      <c r="Z216" s="11" t="n"/>
    </row>
    <row r="217">
      <c r="A217" s="11" t="n"/>
      <c r="B217" s="11" t="n"/>
      <c r="C217" s="11" t="n"/>
      <c r="D217" s="11" t="n"/>
      <c r="E217" s="11" t="n"/>
      <c r="F217" s="11" t="n"/>
      <c r="G217" s="11" t="n"/>
      <c r="H217" s="11" t="n"/>
      <c r="I217" s="11" t="n"/>
      <c r="J217" s="11" t="n"/>
      <c r="K217" s="11" t="n"/>
      <c r="L217" s="11" t="n"/>
      <c r="M217" s="11" t="n"/>
      <c r="N217" s="11" t="n"/>
      <c r="O217" s="11" t="n"/>
      <c r="P217" s="11" t="n"/>
      <c r="Q217" s="11" t="n"/>
      <c r="R217" s="11" t="n"/>
      <c r="S217" s="11" t="n"/>
      <c r="T217" s="11" t="n"/>
      <c r="U217" s="11" t="n"/>
      <c r="V217" s="11" t="n"/>
      <c r="W217" s="11" t="n"/>
      <c r="X217" s="11" t="n"/>
      <c r="Y217" s="11" t="n"/>
      <c r="Z217" s="11" t="n"/>
    </row>
    <row r="218">
      <c r="A218" s="11" t="n"/>
      <c r="B218" s="11" t="n"/>
      <c r="C218" s="11" t="n"/>
      <c r="D218" s="11" t="n"/>
      <c r="E218" s="11" t="n"/>
      <c r="F218" s="11" t="n"/>
      <c r="G218" s="11" t="n"/>
      <c r="H218" s="11" t="n"/>
      <c r="I218" s="11" t="n"/>
      <c r="J218" s="11" t="n"/>
      <c r="K218" s="11" t="n"/>
      <c r="L218" s="11" t="n"/>
      <c r="M218" s="11" t="n"/>
      <c r="N218" s="11" t="n"/>
      <c r="O218" s="11" t="n"/>
      <c r="P218" s="11" t="n"/>
      <c r="Q218" s="11" t="n"/>
      <c r="R218" s="11" t="n"/>
      <c r="S218" s="11" t="n"/>
      <c r="T218" s="11" t="n"/>
      <c r="U218" s="11" t="n"/>
      <c r="V218" s="11" t="n"/>
      <c r="W218" s="11" t="n"/>
      <c r="X218" s="11" t="n"/>
      <c r="Y218" s="11" t="n"/>
      <c r="Z218" s="11" t="n"/>
    </row>
    <row r="219">
      <c r="A219" s="11" t="n"/>
      <c r="B219" s="11" t="n"/>
      <c r="C219" s="11" t="n"/>
      <c r="D219" s="11" t="n"/>
      <c r="E219" s="11" t="n"/>
      <c r="F219" s="11" t="n"/>
      <c r="G219" s="11" t="n"/>
      <c r="H219" s="11" t="n"/>
      <c r="I219" s="11" t="n"/>
      <c r="J219" s="11" t="n"/>
      <c r="K219" s="11" t="n"/>
      <c r="L219" s="11" t="n"/>
      <c r="M219" s="11" t="n"/>
      <c r="N219" s="11" t="n"/>
      <c r="O219" s="11" t="n"/>
      <c r="P219" s="11" t="n"/>
      <c r="Q219" s="11" t="n"/>
      <c r="R219" s="11" t="n"/>
      <c r="S219" s="11" t="n"/>
      <c r="T219" s="11" t="n"/>
      <c r="U219" s="11" t="n"/>
      <c r="V219" s="11" t="n"/>
      <c r="W219" s="11" t="n"/>
      <c r="X219" s="11" t="n"/>
      <c r="Y219" s="11" t="n"/>
      <c r="Z219" s="11" t="n"/>
    </row>
    <row r="220">
      <c r="A220" s="11" t="n"/>
      <c r="B220" s="11" t="n"/>
      <c r="C220" s="11" t="n"/>
      <c r="D220" s="11" t="n"/>
      <c r="E220" s="11" t="n"/>
      <c r="F220" s="11" t="n"/>
      <c r="G220" s="11" t="n"/>
      <c r="H220" s="11" t="n"/>
      <c r="I220" s="11" t="n"/>
      <c r="J220" s="11" t="n"/>
      <c r="K220" s="11" t="n"/>
      <c r="L220" s="11" t="n"/>
      <c r="M220" s="11" t="n"/>
      <c r="N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Y220" s="11" t="n"/>
      <c r="Z220" s="11" t="n"/>
    </row>
    <row r="221">
      <c r="A221" s="11" t="n"/>
      <c r="B221" s="11" t="n"/>
      <c r="C221" s="11" t="n"/>
      <c r="D221" s="11" t="n"/>
      <c r="E221" s="11" t="n"/>
      <c r="F221" s="11" t="n"/>
      <c r="G221" s="11" t="n"/>
      <c r="H221" s="11" t="n"/>
      <c r="I221" s="11" t="n"/>
      <c r="J221" s="11" t="n"/>
      <c r="K221" s="11" t="n"/>
      <c r="L221" s="11" t="n"/>
      <c r="M221" s="11" t="n"/>
      <c r="N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Y221" s="11" t="n"/>
      <c r="Z221" s="11" t="n"/>
    </row>
    <row r="222">
      <c r="A222" s="11" t="n"/>
      <c r="B222" s="11" t="n"/>
      <c r="C222" s="11" t="n"/>
      <c r="D222" s="11" t="n"/>
      <c r="E222" s="11" t="n"/>
      <c r="F222" s="11" t="n"/>
      <c r="G222" s="11" t="n"/>
      <c r="H222" s="11" t="n"/>
      <c r="I222" s="11" t="n"/>
      <c r="J222" s="11" t="n"/>
      <c r="K222" s="11" t="n"/>
      <c r="L222" s="11" t="n"/>
      <c r="M222" s="11" t="n"/>
      <c r="N222" s="11" t="n"/>
      <c r="O222" s="11" t="n"/>
      <c r="P222" s="11" t="n"/>
      <c r="Q222" s="11" t="n"/>
      <c r="R222" s="11" t="n"/>
      <c r="S222" s="11" t="n"/>
      <c r="T222" s="11" t="n"/>
      <c r="U222" s="11" t="n"/>
      <c r="V222" s="11" t="n"/>
      <c r="W222" s="11" t="n"/>
      <c r="X222" s="11" t="n"/>
      <c r="Y222" s="11" t="n"/>
      <c r="Z222" s="11" t="n"/>
    </row>
    <row r="223">
      <c r="A223" s="11" t="n"/>
      <c r="B223" s="11" t="n"/>
      <c r="C223" s="11" t="n"/>
      <c r="D223" s="11" t="n"/>
      <c r="E223" s="11" t="n"/>
      <c r="F223" s="11" t="n"/>
      <c r="G223" s="11" t="n"/>
      <c r="H223" s="11" t="n"/>
      <c r="I223" s="11" t="n"/>
      <c r="J223" s="11" t="n"/>
      <c r="K223" s="11" t="n"/>
      <c r="L223" s="11" t="n"/>
      <c r="M223" s="11" t="n"/>
      <c r="N223" s="11" t="n"/>
      <c r="O223" s="11" t="n"/>
      <c r="P223" s="11" t="n"/>
      <c r="Q223" s="11" t="n"/>
      <c r="R223" s="11" t="n"/>
      <c r="S223" s="11" t="n"/>
      <c r="T223" s="11" t="n"/>
      <c r="U223" s="11" t="n"/>
      <c r="V223" s="11" t="n"/>
      <c r="W223" s="11" t="n"/>
      <c r="X223" s="11" t="n"/>
      <c r="Y223" s="11" t="n"/>
      <c r="Z223" s="11" t="n"/>
    </row>
    <row r="224">
      <c r="A224" s="11" t="n"/>
      <c r="B224" s="11" t="n"/>
      <c r="C224" s="11" t="n"/>
      <c r="D224" s="11" t="n"/>
      <c r="E224" s="11" t="n"/>
      <c r="F224" s="11" t="n"/>
      <c r="G224" s="11" t="n"/>
      <c r="H224" s="11" t="n"/>
      <c r="I224" s="11" t="n"/>
      <c r="J224" s="11" t="n"/>
      <c r="K224" s="11" t="n"/>
      <c r="L224" s="11" t="n"/>
      <c r="M224" s="11" t="n"/>
      <c r="N224" s="11" t="n"/>
      <c r="O224" s="11" t="n"/>
      <c r="P224" s="11" t="n"/>
      <c r="Q224" s="11" t="n"/>
      <c r="R224" s="11" t="n"/>
      <c r="S224" s="11" t="n"/>
      <c r="T224" s="11" t="n"/>
      <c r="U224" s="11" t="n"/>
      <c r="V224" s="11" t="n"/>
      <c r="W224" s="11" t="n"/>
      <c r="X224" s="11" t="n"/>
      <c r="Y224" s="11" t="n"/>
      <c r="Z224" s="11" t="n"/>
    </row>
    <row r="225">
      <c r="A225" s="11" t="n"/>
      <c r="B225" s="11" t="n"/>
      <c r="C225" s="11" t="n"/>
      <c r="D225" s="11" t="n"/>
      <c r="E225" s="11" t="n"/>
      <c r="F225" s="11" t="n"/>
      <c r="G225" s="11" t="n"/>
      <c r="H225" s="11" t="n"/>
      <c r="I225" s="11" t="n"/>
      <c r="J225" s="11" t="n"/>
      <c r="K225" s="11" t="n"/>
      <c r="L225" s="11" t="n"/>
      <c r="M225" s="11" t="n"/>
      <c r="N225" s="11" t="n"/>
      <c r="O225" s="11" t="n"/>
      <c r="P225" s="11" t="n"/>
      <c r="Q225" s="11" t="n"/>
      <c r="R225" s="11" t="n"/>
      <c r="S225" s="11" t="n"/>
      <c r="T225" s="11" t="n"/>
      <c r="U225" s="11" t="n"/>
      <c r="V225" s="11" t="n"/>
      <c r="W225" s="11" t="n"/>
      <c r="X225" s="11" t="n"/>
      <c r="Y225" s="11" t="n"/>
      <c r="Z225" s="11" t="n"/>
    </row>
    <row r="226">
      <c r="A226" s="11" t="n"/>
      <c r="B226" s="11" t="n"/>
      <c r="C226" s="11" t="n"/>
      <c r="D226" s="11" t="n"/>
      <c r="E226" s="11" t="n"/>
      <c r="F226" s="11" t="n"/>
      <c r="G226" s="11" t="n"/>
      <c r="H226" s="11" t="n"/>
      <c r="I226" s="11" t="n"/>
      <c r="J226" s="11" t="n"/>
      <c r="K226" s="11" t="n"/>
      <c r="L226" s="11" t="n"/>
      <c r="M226" s="11" t="n"/>
      <c r="N226" s="11" t="n"/>
      <c r="O226" s="11" t="n"/>
      <c r="P226" s="11" t="n"/>
      <c r="Q226" s="11" t="n"/>
      <c r="R226" s="11" t="n"/>
      <c r="S226" s="11" t="n"/>
      <c r="T226" s="11" t="n"/>
      <c r="U226" s="11" t="n"/>
      <c r="V226" s="11" t="n"/>
      <c r="W226" s="11" t="n"/>
      <c r="X226" s="11" t="n"/>
      <c r="Y226" s="11" t="n"/>
      <c r="Z226" s="11" t="n"/>
    </row>
    <row r="227">
      <c r="A227" s="11" t="n"/>
      <c r="B227" s="11" t="n"/>
      <c r="C227" s="11" t="n"/>
      <c r="D227" s="11" t="n"/>
      <c r="E227" s="11" t="n"/>
      <c r="F227" s="11" t="n"/>
      <c r="G227" s="11" t="n"/>
      <c r="H227" s="11" t="n"/>
      <c r="I227" s="11" t="n"/>
      <c r="J227" s="11" t="n"/>
      <c r="K227" s="11" t="n"/>
      <c r="L227" s="11" t="n"/>
      <c r="M227" s="11" t="n"/>
      <c r="N227" s="11" t="n"/>
      <c r="O227" s="11" t="n"/>
      <c r="P227" s="11" t="n"/>
      <c r="Q227" s="11" t="n"/>
      <c r="R227" s="11" t="n"/>
      <c r="S227" s="11" t="n"/>
      <c r="T227" s="11" t="n"/>
      <c r="U227" s="11" t="n"/>
      <c r="V227" s="11" t="n"/>
      <c r="W227" s="11" t="n"/>
      <c r="X227" s="11" t="n"/>
      <c r="Y227" s="11" t="n"/>
      <c r="Z227" s="11" t="n"/>
    </row>
    <row r="228">
      <c r="A228" s="11" t="n"/>
      <c r="B228" s="11" t="n"/>
      <c r="C228" s="11" t="n"/>
      <c r="D228" s="11" t="n"/>
      <c r="E228" s="11" t="n"/>
      <c r="F228" s="11" t="n"/>
      <c r="G228" s="11" t="n"/>
      <c r="H228" s="11" t="n"/>
      <c r="I228" s="11" t="n"/>
      <c r="J228" s="11" t="n"/>
      <c r="K228" s="11" t="n"/>
      <c r="L228" s="11" t="n"/>
      <c r="M228" s="11" t="n"/>
      <c r="N228" s="11" t="n"/>
      <c r="O228" s="11" t="n"/>
      <c r="P228" s="11" t="n"/>
      <c r="Q228" s="11" t="n"/>
      <c r="R228" s="11" t="n"/>
      <c r="S228" s="11" t="n"/>
      <c r="T228" s="11" t="n"/>
      <c r="U228" s="11" t="n"/>
      <c r="V228" s="11" t="n"/>
      <c r="W228" s="11" t="n"/>
      <c r="X228" s="11" t="n"/>
      <c r="Y228" s="11" t="n"/>
      <c r="Z228" s="11" t="n"/>
    </row>
    <row r="229">
      <c r="A229" s="11" t="n"/>
      <c r="B229" s="11" t="n"/>
      <c r="C229" s="11" t="n"/>
      <c r="D229" s="11" t="n"/>
      <c r="E229" s="11" t="n"/>
      <c r="F229" s="11" t="n"/>
      <c r="G229" s="11" t="n"/>
      <c r="H229" s="11" t="n"/>
      <c r="I229" s="11" t="n"/>
      <c r="J229" s="11" t="n"/>
      <c r="K229" s="11" t="n"/>
      <c r="L229" s="11" t="n"/>
      <c r="M229" s="11" t="n"/>
      <c r="N229" s="11" t="n"/>
      <c r="O229" s="11" t="n"/>
      <c r="P229" s="11" t="n"/>
      <c r="Q229" s="11" t="n"/>
      <c r="R229" s="11" t="n"/>
      <c r="S229" s="11" t="n"/>
      <c r="T229" s="11" t="n"/>
      <c r="U229" s="11" t="n"/>
      <c r="V229" s="11" t="n"/>
      <c r="W229" s="11" t="n"/>
      <c r="X229" s="11" t="n"/>
      <c r="Y229" s="11" t="n"/>
      <c r="Z229" s="11" t="n"/>
    </row>
    <row r="230">
      <c r="A230" s="11" t="n"/>
      <c r="B230" s="11" t="n"/>
      <c r="C230" s="11" t="n"/>
      <c r="D230" s="11" t="n"/>
      <c r="E230" s="11" t="n"/>
      <c r="F230" s="11" t="n"/>
      <c r="G230" s="11" t="n"/>
      <c r="H230" s="11" t="n"/>
      <c r="I230" s="11" t="n"/>
      <c r="J230" s="11" t="n"/>
      <c r="K230" s="11" t="n"/>
      <c r="L230" s="11" t="n"/>
      <c r="M230" s="11" t="n"/>
      <c r="N230" s="11" t="n"/>
      <c r="O230" s="11" t="n"/>
      <c r="P230" s="11" t="n"/>
      <c r="Q230" s="11" t="n"/>
      <c r="R230" s="11" t="n"/>
      <c r="S230" s="11" t="n"/>
      <c r="T230" s="11" t="n"/>
      <c r="U230" s="11" t="n"/>
      <c r="V230" s="11" t="n"/>
      <c r="W230" s="11" t="n"/>
      <c r="X230" s="11" t="n"/>
      <c r="Y230" s="11" t="n"/>
      <c r="Z230" s="11" t="n"/>
    </row>
    <row r="231">
      <c r="A231" s="11" t="n"/>
      <c r="B231" s="11" t="n"/>
      <c r="C231" s="11" t="n"/>
      <c r="D231" s="11" t="n"/>
      <c r="E231" s="11" t="n"/>
      <c r="F231" s="11" t="n"/>
      <c r="G231" s="11" t="n"/>
      <c r="H231" s="11" t="n"/>
      <c r="I231" s="11" t="n"/>
      <c r="J231" s="11" t="n"/>
      <c r="K231" s="11" t="n"/>
      <c r="L231" s="11" t="n"/>
      <c r="M231" s="11" t="n"/>
      <c r="N231" s="11" t="n"/>
      <c r="O231" s="11" t="n"/>
      <c r="P231" s="11" t="n"/>
      <c r="Q231" s="11" t="n"/>
      <c r="R231" s="11" t="n"/>
      <c r="S231" s="11" t="n"/>
      <c r="T231" s="11" t="n"/>
      <c r="U231" s="11" t="n"/>
      <c r="V231" s="11" t="n"/>
      <c r="W231" s="11" t="n"/>
      <c r="X231" s="11" t="n"/>
      <c r="Y231" s="11" t="n"/>
      <c r="Z231" s="11" t="n"/>
    </row>
    <row r="232">
      <c r="A232" s="11" t="n"/>
      <c r="B232" s="11" t="n"/>
      <c r="C232" s="11" t="n"/>
      <c r="D232" s="11" t="n"/>
      <c r="E232" s="11" t="n"/>
      <c r="F232" s="11" t="n"/>
      <c r="G232" s="11" t="n"/>
      <c r="H232" s="11" t="n"/>
      <c r="I232" s="11" t="n"/>
      <c r="J232" s="11" t="n"/>
      <c r="K232" s="11" t="n"/>
      <c r="L232" s="11" t="n"/>
      <c r="M232" s="11" t="n"/>
      <c r="N232" s="11" t="n"/>
      <c r="O232" s="11" t="n"/>
      <c r="P232" s="11" t="n"/>
      <c r="Q232" s="11" t="n"/>
      <c r="R232" s="11" t="n"/>
      <c r="S232" s="11" t="n"/>
      <c r="T232" s="11" t="n"/>
      <c r="U232" s="11" t="n"/>
      <c r="V232" s="11" t="n"/>
      <c r="W232" s="11" t="n"/>
      <c r="X232" s="11" t="n"/>
      <c r="Y232" s="11" t="n"/>
      <c r="Z232" s="11" t="n"/>
    </row>
    <row r="233">
      <c r="A233" s="11" t="n"/>
      <c r="B233" s="11" t="n"/>
      <c r="C233" s="11" t="n"/>
      <c r="D233" s="11" t="n"/>
      <c r="E233" s="11" t="n"/>
      <c r="F233" s="11" t="n"/>
      <c r="G233" s="11" t="n"/>
      <c r="H233" s="11" t="n"/>
      <c r="I233" s="11" t="n"/>
      <c r="J233" s="11" t="n"/>
      <c r="K233" s="11" t="n"/>
      <c r="L233" s="11" t="n"/>
      <c r="M233" s="11" t="n"/>
      <c r="N233" s="11" t="n"/>
      <c r="O233" s="11" t="n"/>
      <c r="P233" s="11" t="n"/>
      <c r="Q233" s="11" t="n"/>
      <c r="R233" s="11" t="n"/>
      <c r="S233" s="11" t="n"/>
      <c r="T233" s="11" t="n"/>
      <c r="U233" s="11" t="n"/>
      <c r="V233" s="11" t="n"/>
      <c r="W233" s="11" t="n"/>
      <c r="X233" s="11" t="n"/>
      <c r="Y233" s="11" t="n"/>
      <c r="Z233" s="11" t="n"/>
    </row>
    <row r="234">
      <c r="A234" s="11" t="n"/>
      <c r="B234" s="11" t="n"/>
      <c r="C234" s="11" t="n"/>
      <c r="D234" s="11" t="n"/>
      <c r="E234" s="11" t="n"/>
      <c r="F234" s="11" t="n"/>
      <c r="G234" s="11" t="n"/>
      <c r="H234" s="11" t="n"/>
      <c r="I234" s="11" t="n"/>
      <c r="J234" s="11" t="n"/>
      <c r="K234" s="11" t="n"/>
      <c r="L234" s="11" t="n"/>
      <c r="M234" s="11" t="n"/>
      <c r="N234" s="11" t="n"/>
      <c r="O234" s="11" t="n"/>
      <c r="P234" s="11" t="n"/>
      <c r="Q234" s="11" t="n"/>
      <c r="R234" s="11" t="n"/>
      <c r="S234" s="11" t="n"/>
      <c r="T234" s="11" t="n"/>
      <c r="U234" s="11" t="n"/>
      <c r="V234" s="11" t="n"/>
      <c r="W234" s="11" t="n"/>
      <c r="X234" s="11" t="n"/>
      <c r="Y234" s="11" t="n"/>
      <c r="Z234" s="11" t="n"/>
    </row>
    <row r="235">
      <c r="A235" s="11" t="n"/>
      <c r="B235" s="11" t="n"/>
      <c r="C235" s="11" t="n"/>
      <c r="D235" s="11" t="n"/>
      <c r="E235" s="11" t="n"/>
      <c r="F235" s="11" t="n"/>
      <c r="G235" s="11" t="n"/>
      <c r="H235" s="11" t="n"/>
      <c r="I235" s="11" t="n"/>
      <c r="J235" s="11" t="n"/>
      <c r="K235" s="11" t="n"/>
      <c r="L235" s="11" t="n"/>
      <c r="M235" s="11" t="n"/>
      <c r="N235" s="11" t="n"/>
      <c r="O235" s="11" t="n"/>
      <c r="P235" s="11" t="n"/>
      <c r="Q235" s="11" t="n"/>
      <c r="R235" s="11" t="n"/>
      <c r="S235" s="11" t="n"/>
      <c r="T235" s="11" t="n"/>
      <c r="U235" s="11" t="n"/>
      <c r="V235" s="11" t="n"/>
      <c r="W235" s="11" t="n"/>
      <c r="X235" s="11" t="n"/>
      <c r="Y235" s="11" t="n"/>
      <c r="Z235" s="11" t="n"/>
    </row>
    <row r="236">
      <c r="A236" s="11" t="n"/>
      <c r="B236" s="11" t="n"/>
      <c r="C236" s="11" t="n"/>
      <c r="D236" s="11" t="n"/>
      <c r="E236" s="11" t="n"/>
      <c r="F236" s="11" t="n"/>
      <c r="G236" s="11" t="n"/>
      <c r="H236" s="11" t="n"/>
      <c r="I236" s="11" t="n"/>
      <c r="J236" s="11" t="n"/>
      <c r="K236" s="11" t="n"/>
      <c r="L236" s="11" t="n"/>
      <c r="M236" s="11" t="n"/>
      <c r="N236" s="11" t="n"/>
      <c r="O236" s="11" t="n"/>
      <c r="P236" s="11" t="n"/>
      <c r="Q236" s="11" t="n"/>
      <c r="R236" s="11" t="n"/>
      <c r="S236" s="11" t="n"/>
      <c r="T236" s="11" t="n"/>
      <c r="U236" s="11" t="n"/>
      <c r="V236" s="11" t="n"/>
      <c r="W236" s="11" t="n"/>
      <c r="X236" s="11" t="n"/>
      <c r="Y236" s="11" t="n"/>
      <c r="Z236" s="11" t="n"/>
    </row>
    <row r="237">
      <c r="A237" s="11" t="n"/>
      <c r="B237" s="11" t="n"/>
      <c r="C237" s="11" t="n"/>
      <c r="D237" s="11" t="n"/>
      <c r="E237" s="11" t="n"/>
      <c r="F237" s="11" t="n"/>
      <c r="G237" s="11" t="n"/>
      <c r="H237" s="11" t="n"/>
      <c r="I237" s="11" t="n"/>
      <c r="J237" s="11" t="n"/>
      <c r="K237" s="11" t="n"/>
      <c r="L237" s="11" t="n"/>
      <c r="M237" s="11" t="n"/>
      <c r="N237" s="11" t="n"/>
      <c r="O237" s="11" t="n"/>
      <c r="P237" s="11" t="n"/>
      <c r="Q237" s="11" t="n"/>
      <c r="R237" s="11" t="n"/>
      <c r="S237" s="11" t="n"/>
      <c r="T237" s="11" t="n"/>
      <c r="U237" s="11" t="n"/>
      <c r="V237" s="11" t="n"/>
      <c r="W237" s="11" t="n"/>
      <c r="X237" s="11" t="n"/>
      <c r="Y237" s="11" t="n"/>
      <c r="Z237" s="11" t="n"/>
    </row>
    <row r="238">
      <c r="A238" s="11" t="n"/>
      <c r="B238" s="11" t="n"/>
      <c r="C238" s="11" t="n"/>
      <c r="D238" s="11" t="n"/>
      <c r="E238" s="11" t="n"/>
      <c r="F238" s="11" t="n"/>
      <c r="G238" s="11" t="n"/>
      <c r="H238" s="11" t="n"/>
      <c r="I238" s="11" t="n"/>
      <c r="J238" s="11" t="n"/>
      <c r="K238" s="11" t="n"/>
      <c r="L238" s="11" t="n"/>
      <c r="M238" s="11" t="n"/>
      <c r="N238" s="11" t="n"/>
      <c r="O238" s="11" t="n"/>
      <c r="P238" s="11" t="n"/>
      <c r="Q238" s="11" t="n"/>
      <c r="R238" s="11" t="n"/>
      <c r="S238" s="11" t="n"/>
      <c r="T238" s="11" t="n"/>
      <c r="U238" s="11" t="n"/>
      <c r="V238" s="11" t="n"/>
      <c r="W238" s="11" t="n"/>
      <c r="X238" s="11" t="n"/>
      <c r="Y238" s="11" t="n"/>
      <c r="Z238" s="11" t="n"/>
    </row>
    <row r="239">
      <c r="A239" s="11" t="n"/>
      <c r="B239" s="11" t="n"/>
      <c r="C239" s="11" t="n"/>
      <c r="D239" s="11" t="n"/>
      <c r="E239" s="11" t="n"/>
      <c r="F239" s="11" t="n"/>
      <c r="G239" s="11" t="n"/>
      <c r="H239" s="11" t="n"/>
      <c r="I239" s="11" t="n"/>
      <c r="J239" s="11" t="n"/>
      <c r="K239" s="11" t="n"/>
      <c r="L239" s="11" t="n"/>
      <c r="M239" s="11" t="n"/>
      <c r="N239" s="11" t="n"/>
      <c r="O239" s="11" t="n"/>
      <c r="P239" s="11" t="n"/>
      <c r="Q239" s="11" t="n"/>
      <c r="R239" s="11" t="n"/>
      <c r="S239" s="11" t="n"/>
      <c r="T239" s="11" t="n"/>
      <c r="U239" s="11" t="n"/>
      <c r="V239" s="11" t="n"/>
      <c r="W239" s="11" t="n"/>
      <c r="X239" s="11" t="n"/>
      <c r="Y239" s="11" t="n"/>
      <c r="Z239" s="11" t="n"/>
    </row>
    <row r="240">
      <c r="A240" s="11" t="n"/>
      <c r="B240" s="11" t="n"/>
      <c r="C240" s="11" t="n"/>
      <c r="D240" s="11" t="n"/>
      <c r="E240" s="11" t="n"/>
      <c r="F240" s="11" t="n"/>
      <c r="G240" s="11" t="n"/>
      <c r="H240" s="11" t="n"/>
      <c r="I240" s="11" t="n"/>
      <c r="J240" s="11" t="n"/>
      <c r="K240" s="11" t="n"/>
      <c r="L240" s="11" t="n"/>
      <c r="M240" s="11" t="n"/>
      <c r="N240" s="11" t="n"/>
      <c r="O240" s="11" t="n"/>
      <c r="P240" s="11" t="n"/>
      <c r="Q240" s="11" t="n"/>
      <c r="R240" s="11" t="n"/>
      <c r="S240" s="11" t="n"/>
      <c r="T240" s="11" t="n"/>
      <c r="U240" s="11" t="n"/>
      <c r="V240" s="11" t="n"/>
      <c r="W240" s="11" t="n"/>
      <c r="X240" s="11" t="n"/>
      <c r="Y240" s="11" t="n"/>
      <c r="Z240" s="11" t="n"/>
    </row>
    <row r="241">
      <c r="A241" s="11" t="n"/>
      <c r="B241" s="11" t="n"/>
      <c r="C241" s="11" t="n"/>
      <c r="D241" s="11" t="n"/>
      <c r="E241" s="11" t="n"/>
      <c r="F241" s="11" t="n"/>
      <c r="G241" s="11" t="n"/>
      <c r="H241" s="11" t="n"/>
      <c r="I241" s="11" t="n"/>
      <c r="J241" s="11" t="n"/>
      <c r="K241" s="11" t="n"/>
      <c r="L241" s="11" t="n"/>
      <c r="M241" s="11" t="n"/>
      <c r="N241" s="11" t="n"/>
      <c r="O241" s="11" t="n"/>
      <c r="P241" s="11" t="n"/>
      <c r="Q241" s="11" t="n"/>
      <c r="R241" s="11" t="n"/>
      <c r="S241" s="11" t="n"/>
      <c r="T241" s="11" t="n"/>
      <c r="U241" s="11" t="n"/>
      <c r="V241" s="11" t="n"/>
      <c r="W241" s="11" t="n"/>
      <c r="X241" s="11" t="n"/>
      <c r="Y241" s="11" t="n"/>
      <c r="Z241" s="11" t="n"/>
    </row>
    <row r="242">
      <c r="A242" s="11" t="n"/>
      <c r="B242" s="11" t="n"/>
      <c r="C242" s="11" t="n"/>
      <c r="D242" s="11" t="n"/>
      <c r="E242" s="11" t="n"/>
      <c r="F242" s="11" t="n"/>
      <c r="G242" s="11" t="n"/>
      <c r="H242" s="11" t="n"/>
      <c r="I242" s="11" t="n"/>
      <c r="J242" s="11" t="n"/>
      <c r="K242" s="11" t="n"/>
      <c r="L242" s="11" t="n"/>
      <c r="M242" s="11" t="n"/>
      <c r="N242" s="11" t="n"/>
      <c r="O242" s="11" t="n"/>
      <c r="P242" s="11" t="n"/>
      <c r="Q242" s="11" t="n"/>
      <c r="R242" s="11" t="n"/>
      <c r="S242" s="11" t="n"/>
      <c r="T242" s="11" t="n"/>
      <c r="U242" s="11" t="n"/>
      <c r="V242" s="11" t="n"/>
      <c r="W242" s="11" t="n"/>
      <c r="X242" s="11" t="n"/>
      <c r="Y242" s="11" t="n"/>
      <c r="Z242" s="11" t="n"/>
    </row>
    <row r="243">
      <c r="A243" s="11" t="n"/>
      <c r="B243" s="11" t="n"/>
      <c r="C243" s="11" t="n"/>
      <c r="D243" s="11" t="n"/>
      <c r="E243" s="11" t="n"/>
      <c r="F243" s="11" t="n"/>
      <c r="G243" s="11" t="n"/>
      <c r="H243" s="11" t="n"/>
      <c r="I243" s="11" t="n"/>
      <c r="J243" s="11" t="n"/>
      <c r="K243" s="11" t="n"/>
      <c r="L243" s="11" t="n"/>
      <c r="M243" s="11" t="n"/>
      <c r="N243" s="11" t="n"/>
      <c r="O243" s="11" t="n"/>
      <c r="P243" s="11" t="n"/>
      <c r="Q243" s="11" t="n"/>
      <c r="R243" s="11" t="n"/>
      <c r="S243" s="11" t="n"/>
      <c r="T243" s="11" t="n"/>
      <c r="U243" s="11" t="n"/>
      <c r="V243" s="11" t="n"/>
      <c r="W243" s="11" t="n"/>
      <c r="X243" s="11" t="n"/>
      <c r="Y243" s="11" t="n"/>
      <c r="Z243" s="11" t="n"/>
    </row>
    <row r="244">
      <c r="A244" s="11" t="n"/>
      <c r="B244" s="11" t="n"/>
      <c r="C244" s="11" t="n"/>
      <c r="D244" s="11" t="n"/>
      <c r="E244" s="11" t="n"/>
      <c r="F244" s="11" t="n"/>
      <c r="G244" s="11" t="n"/>
      <c r="H244" s="11" t="n"/>
      <c r="I244" s="11" t="n"/>
      <c r="J244" s="11" t="n"/>
      <c r="K244" s="11" t="n"/>
      <c r="L244" s="11" t="n"/>
      <c r="M244" s="11" t="n"/>
      <c r="N244" s="11" t="n"/>
      <c r="O244" s="11" t="n"/>
      <c r="P244" s="11" t="n"/>
      <c r="Q244" s="11" t="n"/>
      <c r="R244" s="11" t="n"/>
      <c r="S244" s="11" t="n"/>
      <c r="T244" s="11" t="n"/>
      <c r="U244" s="11" t="n"/>
      <c r="V244" s="11" t="n"/>
      <c r="W244" s="11" t="n"/>
      <c r="X244" s="11" t="n"/>
      <c r="Y244" s="11" t="n"/>
      <c r="Z244" s="11" t="n"/>
    </row>
    <row r="245">
      <c r="A245" s="11" t="n"/>
      <c r="B245" s="11" t="n"/>
      <c r="C245" s="11" t="n"/>
      <c r="D245" s="11" t="n"/>
      <c r="E245" s="11" t="n"/>
      <c r="F245" s="11" t="n"/>
      <c r="G245" s="11" t="n"/>
      <c r="H245" s="11" t="n"/>
      <c r="I245" s="11" t="n"/>
      <c r="J245" s="11" t="n"/>
      <c r="K245" s="11" t="n"/>
      <c r="L245" s="11" t="n"/>
      <c r="M245" s="11" t="n"/>
      <c r="N245" s="11" t="n"/>
      <c r="O245" s="11" t="n"/>
      <c r="P245" s="11" t="n"/>
      <c r="Q245" s="11" t="n"/>
      <c r="R245" s="11" t="n"/>
      <c r="S245" s="11" t="n"/>
      <c r="T245" s="11" t="n"/>
      <c r="U245" s="11" t="n"/>
      <c r="V245" s="11" t="n"/>
      <c r="W245" s="11" t="n"/>
      <c r="X245" s="11" t="n"/>
      <c r="Y245" s="11" t="n"/>
      <c r="Z245" s="11" t="n"/>
    </row>
    <row r="246">
      <c r="A246" s="11" t="n"/>
      <c r="B246" s="11" t="n"/>
      <c r="C246" s="11" t="n"/>
      <c r="D246" s="11" t="n"/>
      <c r="E246" s="11" t="n"/>
      <c r="F246" s="11" t="n"/>
      <c r="G246" s="11" t="n"/>
      <c r="H246" s="11" t="n"/>
      <c r="I246" s="11" t="n"/>
      <c r="J246" s="11" t="n"/>
      <c r="K246" s="11" t="n"/>
      <c r="L246" s="11" t="n"/>
      <c r="M246" s="11" t="n"/>
      <c r="N246" s="11" t="n"/>
      <c r="O246" s="11" t="n"/>
      <c r="P246" s="11" t="n"/>
      <c r="Q246" s="11" t="n"/>
      <c r="R246" s="11" t="n"/>
      <c r="S246" s="11" t="n"/>
      <c r="T246" s="11" t="n"/>
      <c r="U246" s="11" t="n"/>
      <c r="V246" s="11" t="n"/>
      <c r="W246" s="11" t="n"/>
      <c r="X246" s="11" t="n"/>
      <c r="Y246" s="11" t="n"/>
      <c r="Z246" s="11" t="n"/>
    </row>
    <row r="247">
      <c r="A247" s="11" t="n"/>
      <c r="B247" s="11" t="n"/>
      <c r="C247" s="11" t="n"/>
      <c r="D247" s="11" t="n"/>
      <c r="E247" s="11" t="n"/>
      <c r="F247" s="11" t="n"/>
      <c r="G247" s="11" t="n"/>
      <c r="H247" s="11" t="n"/>
      <c r="I247" s="11" t="n"/>
      <c r="J247" s="11" t="n"/>
      <c r="K247" s="11" t="n"/>
      <c r="L247" s="11" t="n"/>
      <c r="M247" s="11" t="n"/>
      <c r="N247" s="11" t="n"/>
      <c r="O247" s="11" t="n"/>
      <c r="P247" s="11" t="n"/>
      <c r="Q247" s="11" t="n"/>
      <c r="R247" s="11" t="n"/>
      <c r="S247" s="11" t="n"/>
      <c r="T247" s="11" t="n"/>
      <c r="U247" s="11" t="n"/>
      <c r="V247" s="11" t="n"/>
      <c r="W247" s="11" t="n"/>
      <c r="X247" s="11" t="n"/>
      <c r="Y247" s="11" t="n"/>
      <c r="Z247" s="11" t="n"/>
    </row>
    <row r="248">
      <c r="A248" s="11" t="n"/>
      <c r="B248" s="11" t="n"/>
      <c r="C248" s="11" t="n"/>
      <c r="D248" s="11" t="n"/>
      <c r="E248" s="11" t="n"/>
      <c r="F248" s="11" t="n"/>
      <c r="G248" s="11" t="n"/>
      <c r="H248" s="11" t="n"/>
      <c r="I248" s="11" t="n"/>
      <c r="J248" s="11" t="n"/>
      <c r="K248" s="11" t="n"/>
      <c r="L248" s="11" t="n"/>
      <c r="M248" s="11" t="n"/>
      <c r="N248" s="11" t="n"/>
      <c r="O248" s="11" t="n"/>
      <c r="P248" s="11" t="n"/>
      <c r="Q248" s="11" t="n"/>
      <c r="R248" s="11" t="n"/>
      <c r="S248" s="11" t="n"/>
      <c r="T248" s="11" t="n"/>
      <c r="U248" s="11" t="n"/>
      <c r="V248" s="11" t="n"/>
      <c r="W248" s="11" t="n"/>
      <c r="X248" s="11" t="n"/>
      <c r="Y248" s="11" t="n"/>
      <c r="Z248" s="11" t="n"/>
    </row>
    <row r="249">
      <c r="A249" s="11" t="n"/>
      <c r="B249" s="11" t="n"/>
      <c r="C249" s="11" t="n"/>
      <c r="D249" s="11" t="n"/>
      <c r="E249" s="11" t="n"/>
      <c r="F249" s="11" t="n"/>
      <c r="G249" s="11" t="n"/>
      <c r="H249" s="11" t="n"/>
      <c r="I249" s="11" t="n"/>
      <c r="J249" s="11" t="n"/>
      <c r="K249" s="11" t="n"/>
      <c r="L249" s="11" t="n"/>
      <c r="M249" s="11" t="n"/>
      <c r="N249" s="11" t="n"/>
      <c r="O249" s="11" t="n"/>
      <c r="P249" s="11" t="n"/>
      <c r="Q249" s="11" t="n"/>
      <c r="R249" s="11" t="n"/>
      <c r="S249" s="11" t="n"/>
      <c r="T249" s="11" t="n"/>
      <c r="U249" s="11" t="n"/>
      <c r="V249" s="11" t="n"/>
      <c r="W249" s="11" t="n"/>
      <c r="X249" s="11" t="n"/>
      <c r="Y249" s="11" t="n"/>
      <c r="Z249" s="11" t="n"/>
    </row>
    <row r="250">
      <c r="A250" s="11" t="n"/>
      <c r="B250" s="11" t="n"/>
      <c r="C250" s="11" t="n"/>
      <c r="D250" s="11" t="n"/>
      <c r="E250" s="11" t="n"/>
      <c r="F250" s="11" t="n"/>
      <c r="G250" s="11" t="n"/>
      <c r="H250" s="11" t="n"/>
      <c r="I250" s="11" t="n"/>
      <c r="J250" s="11" t="n"/>
      <c r="K250" s="11" t="n"/>
      <c r="L250" s="11" t="n"/>
      <c r="M250" s="11" t="n"/>
      <c r="N250" s="11" t="n"/>
      <c r="O250" s="11" t="n"/>
      <c r="P250" s="11" t="n"/>
      <c r="Q250" s="11" t="n"/>
      <c r="R250" s="11" t="n"/>
      <c r="S250" s="11" t="n"/>
      <c r="T250" s="11" t="n"/>
      <c r="U250" s="11" t="n"/>
      <c r="V250" s="11" t="n"/>
      <c r="W250" s="11" t="n"/>
      <c r="X250" s="11" t="n"/>
      <c r="Y250" s="11" t="n"/>
      <c r="Z250" s="11" t="n"/>
    </row>
    <row r="251">
      <c r="A251" s="11" t="n"/>
      <c r="B251" s="11" t="n"/>
      <c r="C251" s="11" t="n"/>
      <c r="D251" s="11" t="n"/>
      <c r="E251" s="11" t="n"/>
      <c r="F251" s="11" t="n"/>
      <c r="G251" s="11" t="n"/>
      <c r="H251" s="11" t="n"/>
      <c r="I251" s="11" t="n"/>
      <c r="J251" s="11" t="n"/>
      <c r="K251" s="11" t="n"/>
      <c r="L251" s="11" t="n"/>
      <c r="M251" s="11" t="n"/>
      <c r="N251" s="11" t="n"/>
      <c r="O251" s="11" t="n"/>
      <c r="P251" s="11" t="n"/>
      <c r="Q251" s="11" t="n"/>
      <c r="R251" s="11" t="n"/>
      <c r="S251" s="11" t="n"/>
      <c r="T251" s="11" t="n"/>
      <c r="U251" s="11" t="n"/>
      <c r="V251" s="11" t="n"/>
      <c r="W251" s="11" t="n"/>
      <c r="X251" s="11" t="n"/>
      <c r="Y251" s="11" t="n"/>
      <c r="Z251" s="11" t="n"/>
    </row>
    <row r="252">
      <c r="A252" s="11" t="n"/>
      <c r="B252" s="11" t="n"/>
      <c r="C252" s="11" t="n"/>
      <c r="D252" s="11" t="n"/>
      <c r="E252" s="11" t="n"/>
      <c r="F252" s="11" t="n"/>
      <c r="G252" s="11" t="n"/>
      <c r="H252" s="11" t="n"/>
      <c r="I252" s="11" t="n"/>
      <c r="J252" s="11" t="n"/>
      <c r="K252" s="11" t="n"/>
      <c r="L252" s="11" t="n"/>
      <c r="M252" s="11" t="n"/>
      <c r="N252" s="11" t="n"/>
      <c r="O252" s="11" t="n"/>
      <c r="P252" s="11" t="n"/>
      <c r="Q252" s="11" t="n"/>
      <c r="R252" s="11" t="n"/>
      <c r="S252" s="11" t="n"/>
      <c r="T252" s="11" t="n"/>
      <c r="U252" s="11" t="n"/>
      <c r="V252" s="11" t="n"/>
      <c r="W252" s="11" t="n"/>
      <c r="X252" s="11" t="n"/>
      <c r="Y252" s="11" t="n"/>
      <c r="Z252" s="11" t="n"/>
    </row>
    <row r="253">
      <c r="A253" s="11" t="n"/>
      <c r="B253" s="11" t="n"/>
      <c r="C253" s="11" t="n"/>
      <c r="D253" s="11" t="n"/>
      <c r="E253" s="11" t="n"/>
      <c r="F253" s="11" t="n"/>
      <c r="G253" s="11" t="n"/>
      <c r="H253" s="11" t="n"/>
      <c r="I253" s="11" t="n"/>
      <c r="J253" s="11" t="n"/>
      <c r="K253" s="11" t="n"/>
      <c r="L253" s="11" t="n"/>
      <c r="M253" s="11" t="n"/>
      <c r="N253" s="11" t="n"/>
      <c r="O253" s="11" t="n"/>
      <c r="P253" s="11" t="n"/>
      <c r="Q253" s="11" t="n"/>
      <c r="R253" s="11" t="n"/>
      <c r="S253" s="11" t="n"/>
      <c r="T253" s="11" t="n"/>
      <c r="U253" s="11" t="n"/>
      <c r="V253" s="11" t="n"/>
      <c r="W253" s="11" t="n"/>
      <c r="X253" s="11" t="n"/>
      <c r="Y253" s="11" t="n"/>
      <c r="Z253" s="11" t="n"/>
    </row>
    <row r="254">
      <c r="A254" s="11" t="n"/>
      <c r="B254" s="11" t="n"/>
      <c r="C254" s="11" t="n"/>
      <c r="D254" s="11" t="n"/>
      <c r="E254" s="11" t="n"/>
      <c r="F254" s="11" t="n"/>
      <c r="G254" s="11" t="n"/>
      <c r="H254" s="11" t="n"/>
      <c r="I254" s="11" t="n"/>
      <c r="J254" s="11" t="n"/>
      <c r="K254" s="11" t="n"/>
      <c r="L254" s="11" t="n"/>
      <c r="M254" s="11" t="n"/>
      <c r="N254" s="11" t="n"/>
      <c r="O254" s="11" t="n"/>
      <c r="P254" s="11" t="n"/>
      <c r="Q254" s="11" t="n"/>
      <c r="R254" s="11" t="n"/>
      <c r="S254" s="11" t="n"/>
      <c r="T254" s="11" t="n"/>
      <c r="U254" s="11" t="n"/>
      <c r="V254" s="11" t="n"/>
      <c r="W254" s="11" t="n"/>
      <c r="X254" s="11" t="n"/>
      <c r="Y254" s="11" t="n"/>
      <c r="Z254" s="11" t="n"/>
    </row>
    <row r="255">
      <c r="A255" s="11" t="n"/>
      <c r="B255" s="11" t="n"/>
      <c r="C255" s="11" t="n"/>
      <c r="D255" s="11" t="n"/>
      <c r="E255" s="11" t="n"/>
      <c r="F255" s="11" t="n"/>
      <c r="G255" s="11" t="n"/>
      <c r="H255" s="11" t="n"/>
      <c r="I255" s="11" t="n"/>
      <c r="J255" s="11" t="n"/>
      <c r="K255" s="11" t="n"/>
      <c r="L255" s="11" t="n"/>
      <c r="M255" s="11" t="n"/>
      <c r="N255" s="11" t="n"/>
      <c r="O255" s="11" t="n"/>
      <c r="P255" s="11" t="n"/>
      <c r="Q255" s="11" t="n"/>
      <c r="R255" s="11" t="n"/>
      <c r="S255" s="11" t="n"/>
      <c r="T255" s="11" t="n"/>
      <c r="U255" s="11" t="n"/>
      <c r="V255" s="11" t="n"/>
      <c r="W255" s="11" t="n"/>
      <c r="X255" s="11" t="n"/>
      <c r="Y255" s="11" t="n"/>
      <c r="Z255" s="11" t="n"/>
    </row>
    <row r="256">
      <c r="A256" s="11" t="n"/>
      <c r="B256" s="11" t="n"/>
      <c r="C256" s="11" t="n"/>
      <c r="D256" s="11" t="n"/>
      <c r="E256" s="11" t="n"/>
      <c r="F256" s="11" t="n"/>
      <c r="G256" s="11" t="n"/>
      <c r="H256" s="11" t="n"/>
      <c r="I256" s="11" t="n"/>
      <c r="J256" s="11" t="n"/>
      <c r="K256" s="11" t="n"/>
      <c r="L256" s="11" t="n"/>
      <c r="M256" s="11" t="n"/>
      <c r="N256" s="11" t="n"/>
      <c r="O256" s="11" t="n"/>
      <c r="P256" s="11" t="n"/>
      <c r="Q256" s="11" t="n"/>
      <c r="R256" s="11" t="n"/>
      <c r="S256" s="11" t="n"/>
      <c r="T256" s="11" t="n"/>
      <c r="U256" s="11" t="n"/>
      <c r="V256" s="11" t="n"/>
      <c r="W256" s="11" t="n"/>
      <c r="X256" s="11" t="n"/>
      <c r="Y256" s="11" t="n"/>
      <c r="Z256" s="11" t="n"/>
    </row>
    <row r="257">
      <c r="A257" s="11" t="n"/>
      <c r="B257" s="11" t="n"/>
      <c r="C257" s="11" t="n"/>
      <c r="D257" s="11" t="n"/>
      <c r="E257" s="11" t="n"/>
      <c r="F257" s="11" t="n"/>
      <c r="G257" s="11" t="n"/>
      <c r="H257" s="11" t="n"/>
      <c r="I257" s="11" t="n"/>
      <c r="J257" s="11" t="n"/>
      <c r="K257" s="11" t="n"/>
      <c r="L257" s="11" t="n"/>
      <c r="M257" s="11" t="n"/>
      <c r="N257" s="11" t="n"/>
      <c r="O257" s="11" t="n"/>
      <c r="P257" s="11" t="n"/>
      <c r="Q257" s="11" t="n"/>
      <c r="R257" s="11" t="n"/>
      <c r="S257" s="11" t="n"/>
      <c r="T257" s="11" t="n"/>
      <c r="U257" s="11" t="n"/>
      <c r="V257" s="11" t="n"/>
      <c r="W257" s="11" t="n"/>
      <c r="X257" s="11" t="n"/>
      <c r="Y257" s="11" t="n"/>
      <c r="Z257" s="11" t="n"/>
    </row>
    <row r="258">
      <c r="A258" s="11" t="n"/>
      <c r="B258" s="11" t="n"/>
      <c r="C258" s="11" t="n"/>
      <c r="D258" s="11" t="n"/>
      <c r="E258" s="11" t="n"/>
      <c r="F258" s="11" t="n"/>
      <c r="G258" s="11" t="n"/>
      <c r="H258" s="11" t="n"/>
      <c r="I258" s="11" t="n"/>
      <c r="J258" s="11" t="n"/>
      <c r="K258" s="11" t="n"/>
      <c r="L258" s="11" t="n"/>
      <c r="M258" s="11" t="n"/>
      <c r="N258" s="11" t="n"/>
      <c r="O258" s="11" t="n"/>
      <c r="P258" s="11" t="n"/>
      <c r="Q258" s="11" t="n"/>
      <c r="R258" s="11" t="n"/>
      <c r="S258" s="11" t="n"/>
      <c r="T258" s="11" t="n"/>
      <c r="U258" s="11" t="n"/>
      <c r="V258" s="11" t="n"/>
      <c r="W258" s="11" t="n"/>
      <c r="X258" s="11" t="n"/>
      <c r="Y258" s="11" t="n"/>
      <c r="Z258" s="11" t="n"/>
    </row>
    <row r="259">
      <c r="A259" s="11" t="n"/>
      <c r="B259" s="11" t="n"/>
      <c r="C259" s="11" t="n"/>
      <c r="D259" s="11" t="n"/>
      <c r="E259" s="11" t="n"/>
      <c r="F259" s="11" t="n"/>
      <c r="G259" s="11" t="n"/>
      <c r="H259" s="11" t="n"/>
      <c r="I259" s="11" t="n"/>
      <c r="J259" s="11" t="n"/>
      <c r="K259" s="11" t="n"/>
      <c r="L259" s="11" t="n"/>
      <c r="M259" s="11" t="n"/>
      <c r="N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Y259" s="11" t="n"/>
      <c r="Z259" s="11" t="n"/>
    </row>
    <row r="260">
      <c r="A260" s="11" t="n"/>
      <c r="B260" s="11" t="n"/>
      <c r="C260" s="11" t="n"/>
      <c r="D260" s="11" t="n"/>
      <c r="E260" s="11" t="n"/>
      <c r="F260" s="11" t="n"/>
      <c r="G260" s="11" t="n"/>
      <c r="H260" s="11" t="n"/>
      <c r="I260" s="11" t="n"/>
      <c r="J260" s="11" t="n"/>
      <c r="K260" s="11" t="n"/>
      <c r="L260" s="11" t="n"/>
      <c r="M260" s="11" t="n"/>
      <c r="N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Y260" s="11" t="n"/>
      <c r="Z260" s="11" t="n"/>
    </row>
    <row r="261">
      <c r="A261" s="11" t="n"/>
      <c r="B261" s="11" t="n"/>
      <c r="C261" s="11" t="n"/>
      <c r="D261" s="11" t="n"/>
      <c r="E261" s="11" t="n"/>
      <c r="F261" s="11" t="n"/>
      <c r="G261" s="11" t="n"/>
      <c r="H261" s="11" t="n"/>
      <c r="I261" s="11" t="n"/>
      <c r="J261" s="11" t="n"/>
      <c r="K261" s="11" t="n"/>
      <c r="L261" s="11" t="n"/>
      <c r="M261" s="11" t="n"/>
      <c r="N261" s="11" t="n"/>
      <c r="O261" s="11" t="n"/>
      <c r="P261" s="11" t="n"/>
      <c r="Q261" s="11" t="n"/>
      <c r="R261" s="11" t="n"/>
      <c r="S261" s="11" t="n"/>
      <c r="T261" s="11" t="n"/>
      <c r="U261" s="11" t="n"/>
      <c r="V261" s="11" t="n"/>
      <c r="W261" s="11" t="n"/>
      <c r="X261" s="11" t="n"/>
      <c r="Y261" s="11" t="n"/>
      <c r="Z261" s="11" t="n"/>
    </row>
    <row r="262">
      <c r="A262" s="11" t="n"/>
      <c r="B262" s="11" t="n"/>
      <c r="C262" s="11" t="n"/>
      <c r="D262" s="11" t="n"/>
      <c r="E262" s="11" t="n"/>
      <c r="F262" s="11" t="n"/>
      <c r="G262" s="11" t="n"/>
      <c r="H262" s="11" t="n"/>
      <c r="I262" s="11" t="n"/>
      <c r="J262" s="11" t="n"/>
      <c r="K262" s="11" t="n"/>
      <c r="L262" s="11" t="n"/>
      <c r="M262" s="11" t="n"/>
      <c r="N262" s="11" t="n"/>
      <c r="O262" s="11" t="n"/>
      <c r="P262" s="11" t="n"/>
      <c r="Q262" s="11" t="n"/>
      <c r="R262" s="11" t="n"/>
      <c r="S262" s="11" t="n"/>
      <c r="T262" s="11" t="n"/>
      <c r="U262" s="11" t="n"/>
      <c r="V262" s="11" t="n"/>
      <c r="W262" s="11" t="n"/>
      <c r="X262" s="11" t="n"/>
      <c r="Y262" s="11" t="n"/>
      <c r="Z262" s="11" t="n"/>
    </row>
    <row r="263">
      <c r="A263" s="11" t="n"/>
      <c r="B263" s="11" t="n"/>
      <c r="C263" s="11" t="n"/>
      <c r="D263" s="11" t="n"/>
      <c r="E263" s="11" t="n"/>
      <c r="F263" s="11" t="n"/>
      <c r="G263" s="11" t="n"/>
      <c r="H263" s="11" t="n"/>
      <c r="I263" s="11" t="n"/>
      <c r="J263" s="11" t="n"/>
      <c r="K263" s="11" t="n"/>
      <c r="L263" s="11" t="n"/>
      <c r="M263" s="11" t="n"/>
      <c r="N263" s="11" t="n"/>
      <c r="O263" s="11" t="n"/>
      <c r="P263" s="11" t="n"/>
      <c r="Q263" s="11" t="n"/>
      <c r="R263" s="11" t="n"/>
      <c r="S263" s="11" t="n"/>
      <c r="T263" s="11" t="n"/>
      <c r="U263" s="11" t="n"/>
      <c r="V263" s="11" t="n"/>
      <c r="W263" s="11" t="n"/>
      <c r="X263" s="11" t="n"/>
      <c r="Y263" s="11" t="n"/>
      <c r="Z263" s="11" t="n"/>
    </row>
    <row r="264">
      <c r="A264" s="11" t="n"/>
      <c r="B264" s="11" t="n"/>
      <c r="C264" s="11" t="n"/>
      <c r="D264" s="11" t="n"/>
      <c r="E264" s="11" t="n"/>
      <c r="F264" s="11" t="n"/>
      <c r="G264" s="11" t="n"/>
      <c r="H264" s="11" t="n"/>
      <c r="I264" s="11" t="n"/>
      <c r="J264" s="11" t="n"/>
      <c r="K264" s="11" t="n"/>
      <c r="L264" s="11" t="n"/>
      <c r="M264" s="11" t="n"/>
      <c r="N264" s="11" t="n"/>
      <c r="O264" s="11" t="n"/>
      <c r="P264" s="11" t="n"/>
      <c r="Q264" s="11" t="n"/>
      <c r="R264" s="11" t="n"/>
      <c r="S264" s="11" t="n"/>
      <c r="T264" s="11" t="n"/>
      <c r="U264" s="11" t="n"/>
      <c r="V264" s="11" t="n"/>
      <c r="W264" s="11" t="n"/>
      <c r="X264" s="11" t="n"/>
      <c r="Y264" s="11" t="n"/>
      <c r="Z264" s="11" t="n"/>
    </row>
    <row r="265">
      <c r="A265" s="11" t="n"/>
      <c r="B265" s="11" t="n"/>
      <c r="C265" s="11" t="n"/>
      <c r="D265" s="11" t="n"/>
      <c r="E265" s="11" t="n"/>
      <c r="F265" s="11" t="n"/>
      <c r="G265" s="11" t="n"/>
      <c r="H265" s="11" t="n"/>
      <c r="I265" s="11" t="n"/>
      <c r="J265" s="11" t="n"/>
      <c r="K265" s="11" t="n"/>
      <c r="L265" s="11" t="n"/>
      <c r="M265" s="11" t="n"/>
      <c r="N265" s="11" t="n"/>
      <c r="O265" s="11" t="n"/>
      <c r="P265" s="11" t="n"/>
      <c r="Q265" s="11" t="n"/>
      <c r="R265" s="11" t="n"/>
      <c r="S265" s="11" t="n"/>
      <c r="T265" s="11" t="n"/>
      <c r="U265" s="11" t="n"/>
      <c r="V265" s="11" t="n"/>
      <c r="W265" s="11" t="n"/>
      <c r="X265" s="11" t="n"/>
      <c r="Y265" s="11" t="n"/>
      <c r="Z265" s="11" t="n"/>
    </row>
    <row r="266">
      <c r="A266" s="11" t="n"/>
      <c r="B266" s="11" t="n"/>
      <c r="C266" s="11" t="n"/>
      <c r="D266" s="11" t="n"/>
      <c r="E266" s="11" t="n"/>
      <c r="F266" s="11" t="n"/>
      <c r="G266" s="11" t="n"/>
      <c r="H266" s="11" t="n"/>
      <c r="I266" s="11" t="n"/>
      <c r="J266" s="11" t="n"/>
      <c r="K266" s="11" t="n"/>
      <c r="L266" s="11" t="n"/>
      <c r="M266" s="11" t="n"/>
      <c r="N266" s="11" t="n"/>
      <c r="O266" s="11" t="n"/>
      <c r="P266" s="11" t="n"/>
      <c r="Q266" s="11" t="n"/>
      <c r="R266" s="11" t="n"/>
      <c r="S266" s="11" t="n"/>
      <c r="T266" s="11" t="n"/>
      <c r="U266" s="11" t="n"/>
      <c r="V266" s="11" t="n"/>
      <c r="W266" s="11" t="n"/>
      <c r="X266" s="11" t="n"/>
      <c r="Y266" s="11" t="n"/>
      <c r="Z266" s="11" t="n"/>
    </row>
    <row r="267">
      <c r="A267" s="11" t="n"/>
      <c r="B267" s="11" t="n"/>
      <c r="C267" s="11" t="n"/>
      <c r="D267" s="11" t="n"/>
      <c r="E267" s="11" t="n"/>
      <c r="F267" s="11" t="n"/>
      <c r="G267" s="11" t="n"/>
      <c r="H267" s="11" t="n"/>
      <c r="I267" s="11" t="n"/>
      <c r="J267" s="11" t="n"/>
      <c r="K267" s="11" t="n"/>
      <c r="L267" s="11" t="n"/>
      <c r="M267" s="11" t="n"/>
      <c r="N267" s="11" t="n"/>
      <c r="O267" s="11" t="n"/>
      <c r="P267" s="11" t="n"/>
      <c r="Q267" s="11" t="n"/>
      <c r="R267" s="11" t="n"/>
      <c r="S267" s="11" t="n"/>
      <c r="T267" s="11" t="n"/>
      <c r="U267" s="11" t="n"/>
      <c r="V267" s="11" t="n"/>
      <c r="W267" s="11" t="n"/>
      <c r="X267" s="11" t="n"/>
      <c r="Y267" s="11" t="n"/>
      <c r="Z267" s="11" t="n"/>
    </row>
    <row r="268">
      <c r="A268" s="11" t="n"/>
      <c r="B268" s="11" t="n"/>
      <c r="C268" s="11" t="n"/>
      <c r="D268" s="11" t="n"/>
      <c r="E268" s="11" t="n"/>
      <c r="F268" s="11" t="n"/>
      <c r="G268" s="11" t="n"/>
      <c r="H268" s="11" t="n"/>
      <c r="I268" s="11" t="n"/>
      <c r="J268" s="11" t="n"/>
      <c r="K268" s="11" t="n"/>
      <c r="L268" s="11" t="n"/>
      <c r="M268" s="11" t="n"/>
      <c r="N268" s="11" t="n"/>
      <c r="O268" s="11" t="n"/>
      <c r="P268" s="11" t="n"/>
      <c r="Q268" s="11" t="n"/>
      <c r="R268" s="11" t="n"/>
      <c r="S268" s="11" t="n"/>
      <c r="T268" s="11" t="n"/>
      <c r="U268" s="11" t="n"/>
      <c r="V268" s="11" t="n"/>
      <c r="W268" s="11" t="n"/>
      <c r="X268" s="11" t="n"/>
      <c r="Y268" s="11" t="n"/>
      <c r="Z268" s="11" t="n"/>
    </row>
    <row r="269">
      <c r="A269" s="11" t="n"/>
      <c r="B269" s="11" t="n"/>
      <c r="C269" s="11" t="n"/>
      <c r="D269" s="11" t="n"/>
      <c r="E269" s="11" t="n"/>
      <c r="F269" s="11" t="n"/>
      <c r="G269" s="11" t="n"/>
      <c r="H269" s="11" t="n"/>
      <c r="I269" s="11" t="n"/>
      <c r="J269" s="11" t="n"/>
      <c r="K269" s="11" t="n"/>
      <c r="L269" s="11" t="n"/>
      <c r="M269" s="11" t="n"/>
      <c r="N269" s="11" t="n"/>
      <c r="O269" s="11" t="n"/>
      <c r="P269" s="11" t="n"/>
      <c r="Q269" s="11" t="n"/>
      <c r="R269" s="11" t="n"/>
      <c r="S269" s="11" t="n"/>
      <c r="T269" s="11" t="n"/>
      <c r="U269" s="11" t="n"/>
      <c r="V269" s="11" t="n"/>
      <c r="W269" s="11" t="n"/>
      <c r="X269" s="11" t="n"/>
      <c r="Y269" s="11" t="n"/>
      <c r="Z269" s="11" t="n"/>
    </row>
    <row r="270">
      <c r="A270" s="11" t="n"/>
      <c r="B270" s="11" t="n"/>
      <c r="C270" s="11" t="n"/>
      <c r="D270" s="11" t="n"/>
      <c r="E270" s="11" t="n"/>
      <c r="F270" s="11" t="n"/>
      <c r="G270" s="11" t="n"/>
      <c r="H270" s="11" t="n"/>
      <c r="I270" s="11" t="n"/>
      <c r="J270" s="11" t="n"/>
      <c r="K270" s="11" t="n"/>
      <c r="L270" s="11" t="n"/>
      <c r="M270" s="11" t="n"/>
      <c r="N270" s="11" t="n"/>
      <c r="O270" s="11" t="n"/>
      <c r="P270" s="11" t="n"/>
      <c r="Q270" s="11" t="n"/>
      <c r="R270" s="11" t="n"/>
      <c r="S270" s="11" t="n"/>
      <c r="T270" s="11" t="n"/>
      <c r="U270" s="11" t="n"/>
      <c r="V270" s="11" t="n"/>
      <c r="W270" s="11" t="n"/>
      <c r="X270" s="11" t="n"/>
      <c r="Y270" s="11" t="n"/>
      <c r="Z270" s="11" t="n"/>
    </row>
    <row r="271">
      <c r="A271" s="11" t="n"/>
      <c r="B271" s="11" t="n"/>
      <c r="C271" s="11" t="n"/>
      <c r="D271" s="11" t="n"/>
      <c r="E271" s="11" t="n"/>
      <c r="F271" s="11" t="n"/>
      <c r="G271" s="11" t="n"/>
      <c r="H271" s="11" t="n"/>
      <c r="I271" s="11" t="n"/>
      <c r="J271" s="11" t="n"/>
      <c r="K271" s="11" t="n"/>
      <c r="L271" s="11" t="n"/>
      <c r="M271" s="11" t="n"/>
      <c r="N271" s="11" t="n"/>
      <c r="O271" s="11" t="n"/>
      <c r="P271" s="11" t="n"/>
      <c r="Q271" s="11" t="n"/>
      <c r="R271" s="11" t="n"/>
      <c r="S271" s="11" t="n"/>
      <c r="T271" s="11" t="n"/>
      <c r="U271" s="11" t="n"/>
      <c r="V271" s="11" t="n"/>
      <c r="W271" s="11" t="n"/>
      <c r="X271" s="11" t="n"/>
      <c r="Y271" s="11" t="n"/>
      <c r="Z271" s="11" t="n"/>
    </row>
    <row r="272">
      <c r="A272" s="11" t="n"/>
      <c r="B272" s="11" t="n"/>
      <c r="C272" s="11" t="n"/>
      <c r="D272" s="11" t="n"/>
      <c r="E272" s="11" t="n"/>
      <c r="F272" s="11" t="n"/>
      <c r="G272" s="11" t="n"/>
      <c r="H272" s="11" t="n"/>
      <c r="I272" s="11" t="n"/>
      <c r="J272" s="11" t="n"/>
      <c r="K272" s="11" t="n"/>
      <c r="L272" s="11" t="n"/>
      <c r="M272" s="11" t="n"/>
      <c r="N272" s="11" t="n"/>
      <c r="O272" s="11" t="n"/>
      <c r="P272" s="11" t="n"/>
      <c r="Q272" s="11" t="n"/>
      <c r="R272" s="11" t="n"/>
      <c r="S272" s="11" t="n"/>
      <c r="T272" s="11" t="n"/>
      <c r="U272" s="11" t="n"/>
      <c r="V272" s="11" t="n"/>
      <c r="W272" s="11" t="n"/>
      <c r="X272" s="11" t="n"/>
      <c r="Y272" s="11" t="n"/>
      <c r="Z272" s="11" t="n"/>
    </row>
    <row r="273">
      <c r="A273" s="11" t="n"/>
      <c r="B273" s="11" t="n"/>
      <c r="C273" s="11" t="n"/>
      <c r="D273" s="11" t="n"/>
      <c r="E273" s="11" t="n"/>
      <c r="F273" s="11" t="n"/>
      <c r="G273" s="11" t="n"/>
      <c r="H273" s="11" t="n"/>
      <c r="I273" s="11" t="n"/>
      <c r="J273" s="11" t="n"/>
      <c r="K273" s="11" t="n"/>
      <c r="L273" s="11" t="n"/>
      <c r="M273" s="11" t="n"/>
      <c r="N273" s="11" t="n"/>
      <c r="O273" s="11" t="n"/>
      <c r="P273" s="11" t="n"/>
      <c r="Q273" s="11" t="n"/>
      <c r="R273" s="11" t="n"/>
      <c r="S273" s="11" t="n"/>
      <c r="T273" s="11" t="n"/>
      <c r="U273" s="11" t="n"/>
      <c r="V273" s="11" t="n"/>
      <c r="W273" s="11" t="n"/>
      <c r="X273" s="11" t="n"/>
      <c r="Y273" s="11" t="n"/>
      <c r="Z273" s="11" t="n"/>
    </row>
    <row r="274">
      <c r="A274" s="11" t="n"/>
      <c r="B274" s="11" t="n"/>
      <c r="C274" s="11" t="n"/>
      <c r="D274" s="11" t="n"/>
      <c r="E274" s="11" t="n"/>
      <c r="F274" s="11" t="n"/>
      <c r="G274" s="11" t="n"/>
      <c r="H274" s="11" t="n"/>
      <c r="I274" s="11" t="n"/>
      <c r="J274" s="11" t="n"/>
      <c r="K274" s="11" t="n"/>
      <c r="L274" s="11" t="n"/>
      <c r="M274" s="11" t="n"/>
      <c r="N274" s="11" t="n"/>
      <c r="O274" s="11" t="n"/>
      <c r="P274" s="11" t="n"/>
      <c r="Q274" s="11" t="n"/>
      <c r="R274" s="11" t="n"/>
      <c r="S274" s="11" t="n"/>
      <c r="T274" s="11" t="n"/>
      <c r="U274" s="11" t="n"/>
      <c r="V274" s="11" t="n"/>
      <c r="W274" s="11" t="n"/>
      <c r="X274" s="11" t="n"/>
      <c r="Y274" s="11" t="n"/>
      <c r="Z274" s="11" t="n"/>
    </row>
    <row r="275">
      <c r="A275" s="11" t="n"/>
      <c r="B275" s="11" t="n"/>
      <c r="C275" s="11" t="n"/>
      <c r="D275" s="11" t="n"/>
      <c r="E275" s="11" t="n"/>
      <c r="F275" s="11" t="n"/>
      <c r="G275" s="11" t="n"/>
      <c r="H275" s="11" t="n"/>
      <c r="I275" s="11" t="n"/>
      <c r="J275" s="11" t="n"/>
      <c r="K275" s="11" t="n"/>
      <c r="L275" s="11" t="n"/>
      <c r="M275" s="11" t="n"/>
      <c r="N275" s="11" t="n"/>
      <c r="O275" s="11" t="n"/>
      <c r="P275" s="11" t="n"/>
      <c r="Q275" s="11" t="n"/>
      <c r="R275" s="11" t="n"/>
      <c r="S275" s="11" t="n"/>
      <c r="T275" s="11" t="n"/>
      <c r="U275" s="11" t="n"/>
      <c r="V275" s="11" t="n"/>
      <c r="W275" s="11" t="n"/>
      <c r="X275" s="11" t="n"/>
      <c r="Y275" s="11" t="n"/>
      <c r="Z275" s="11" t="n"/>
    </row>
    <row r="276">
      <c r="A276" s="11" t="n"/>
      <c r="B276" s="11" t="n"/>
      <c r="C276" s="11" t="n"/>
      <c r="D276" s="11" t="n"/>
      <c r="E276" s="11" t="n"/>
      <c r="F276" s="11" t="n"/>
      <c r="G276" s="11" t="n"/>
      <c r="H276" s="11" t="n"/>
      <c r="I276" s="11" t="n"/>
      <c r="J276" s="11" t="n"/>
      <c r="K276" s="11" t="n"/>
      <c r="L276" s="11" t="n"/>
      <c r="M276" s="11" t="n"/>
      <c r="N276" s="11" t="n"/>
      <c r="O276" s="11" t="n"/>
      <c r="P276" s="11" t="n"/>
      <c r="Q276" s="11" t="n"/>
      <c r="R276" s="11" t="n"/>
      <c r="S276" s="11" t="n"/>
      <c r="T276" s="11" t="n"/>
      <c r="U276" s="11" t="n"/>
      <c r="V276" s="11" t="n"/>
      <c r="W276" s="11" t="n"/>
      <c r="X276" s="11" t="n"/>
      <c r="Y276" s="11" t="n"/>
      <c r="Z276" s="11" t="n"/>
    </row>
    <row r="277">
      <c r="A277" s="11" t="n"/>
      <c r="B277" s="11" t="n"/>
      <c r="C277" s="11" t="n"/>
      <c r="D277" s="11" t="n"/>
      <c r="E277" s="11" t="n"/>
      <c r="F277" s="11" t="n"/>
      <c r="G277" s="11" t="n"/>
      <c r="H277" s="11" t="n"/>
      <c r="I277" s="11" t="n"/>
      <c r="J277" s="11" t="n"/>
      <c r="K277" s="11" t="n"/>
      <c r="L277" s="11" t="n"/>
      <c r="M277" s="11" t="n"/>
      <c r="N277" s="11" t="n"/>
      <c r="O277" s="11" t="n"/>
      <c r="P277" s="11" t="n"/>
      <c r="Q277" s="11" t="n"/>
      <c r="R277" s="11" t="n"/>
      <c r="S277" s="11" t="n"/>
      <c r="T277" s="11" t="n"/>
      <c r="U277" s="11" t="n"/>
      <c r="V277" s="11" t="n"/>
      <c r="W277" s="11" t="n"/>
      <c r="X277" s="11" t="n"/>
      <c r="Y277" s="11" t="n"/>
      <c r="Z277" s="11" t="n"/>
    </row>
    <row r="278">
      <c r="A278" s="11" t="n"/>
      <c r="B278" s="11" t="n"/>
      <c r="C278" s="11" t="n"/>
      <c r="D278" s="11" t="n"/>
      <c r="E278" s="11" t="n"/>
      <c r="F278" s="11" t="n"/>
      <c r="G278" s="11" t="n"/>
      <c r="H278" s="11" t="n"/>
      <c r="I278" s="11" t="n"/>
      <c r="J278" s="11" t="n"/>
      <c r="K278" s="11" t="n"/>
      <c r="L278" s="11" t="n"/>
      <c r="M278" s="11" t="n"/>
      <c r="N278" s="11" t="n"/>
      <c r="O278" s="11" t="n"/>
      <c r="P278" s="11" t="n"/>
      <c r="Q278" s="11" t="n"/>
      <c r="R278" s="11" t="n"/>
      <c r="S278" s="11" t="n"/>
      <c r="T278" s="11" t="n"/>
      <c r="U278" s="11" t="n"/>
      <c r="V278" s="11" t="n"/>
      <c r="W278" s="11" t="n"/>
      <c r="X278" s="11" t="n"/>
      <c r="Y278" s="11" t="n"/>
      <c r="Z278" s="11" t="n"/>
    </row>
    <row r="279">
      <c r="A279" s="11" t="n"/>
      <c r="B279" s="11" t="n"/>
      <c r="C279" s="11" t="n"/>
      <c r="D279" s="11" t="n"/>
      <c r="E279" s="11" t="n"/>
      <c r="F279" s="11" t="n"/>
      <c r="G279" s="11" t="n"/>
      <c r="H279" s="11" t="n"/>
      <c r="I279" s="11" t="n"/>
      <c r="J279" s="11" t="n"/>
      <c r="K279" s="11" t="n"/>
      <c r="L279" s="11" t="n"/>
      <c r="M279" s="11" t="n"/>
      <c r="N279" s="11" t="n"/>
      <c r="O279" s="11" t="n"/>
      <c r="P279" s="11" t="n"/>
      <c r="Q279" s="11" t="n"/>
      <c r="R279" s="11" t="n"/>
      <c r="S279" s="11" t="n"/>
      <c r="T279" s="11" t="n"/>
      <c r="U279" s="11" t="n"/>
      <c r="V279" s="11" t="n"/>
      <c r="W279" s="11" t="n"/>
      <c r="X279" s="11" t="n"/>
      <c r="Y279" s="11" t="n"/>
      <c r="Z279" s="11" t="n"/>
    </row>
    <row r="280">
      <c r="A280" s="11" t="n"/>
      <c r="B280" s="11" t="n"/>
      <c r="C280" s="11" t="n"/>
      <c r="D280" s="11" t="n"/>
      <c r="E280" s="11" t="n"/>
      <c r="F280" s="11" t="n"/>
      <c r="G280" s="11" t="n"/>
      <c r="H280" s="11" t="n"/>
      <c r="I280" s="11" t="n"/>
      <c r="J280" s="11" t="n"/>
      <c r="K280" s="11" t="n"/>
      <c r="L280" s="11" t="n"/>
      <c r="M280" s="11" t="n"/>
      <c r="N280" s="11" t="n"/>
      <c r="O280" s="11" t="n"/>
      <c r="P280" s="11" t="n"/>
      <c r="Q280" s="11" t="n"/>
      <c r="R280" s="11" t="n"/>
      <c r="S280" s="11" t="n"/>
      <c r="T280" s="11" t="n"/>
      <c r="U280" s="11" t="n"/>
      <c r="V280" s="11" t="n"/>
      <c r="W280" s="11" t="n"/>
      <c r="X280" s="11" t="n"/>
      <c r="Y280" s="11" t="n"/>
      <c r="Z280" s="11" t="n"/>
    </row>
    <row r="281">
      <c r="A281" s="11" t="n"/>
      <c r="B281" s="11" t="n"/>
      <c r="C281" s="11" t="n"/>
      <c r="D281" s="11" t="n"/>
      <c r="E281" s="11" t="n"/>
      <c r="F281" s="11" t="n"/>
      <c r="G281" s="11" t="n"/>
      <c r="H281" s="11" t="n"/>
      <c r="I281" s="11" t="n"/>
      <c r="J281" s="11" t="n"/>
      <c r="K281" s="11" t="n"/>
      <c r="L281" s="11" t="n"/>
      <c r="M281" s="11" t="n"/>
      <c r="N281" s="11" t="n"/>
      <c r="O281" s="11" t="n"/>
      <c r="P281" s="11" t="n"/>
      <c r="Q281" s="11" t="n"/>
      <c r="R281" s="11" t="n"/>
      <c r="S281" s="11" t="n"/>
      <c r="T281" s="11" t="n"/>
      <c r="U281" s="11" t="n"/>
      <c r="V281" s="11" t="n"/>
      <c r="W281" s="11" t="n"/>
      <c r="X281" s="11" t="n"/>
      <c r="Y281" s="11" t="n"/>
      <c r="Z281" s="11" t="n"/>
    </row>
    <row r="282">
      <c r="A282" s="11" t="n"/>
      <c r="B282" s="11" t="n"/>
      <c r="C282" s="11" t="n"/>
      <c r="D282" s="11" t="n"/>
      <c r="E282" s="11" t="n"/>
      <c r="F282" s="11" t="n"/>
      <c r="G282" s="11" t="n"/>
      <c r="H282" s="11" t="n"/>
      <c r="I282" s="11" t="n"/>
      <c r="J282" s="11" t="n"/>
      <c r="K282" s="11" t="n"/>
      <c r="L282" s="11" t="n"/>
      <c r="M282" s="11" t="n"/>
      <c r="N282" s="11" t="n"/>
      <c r="O282" s="11" t="n"/>
      <c r="P282" s="11" t="n"/>
      <c r="Q282" s="11" t="n"/>
      <c r="R282" s="11" t="n"/>
      <c r="S282" s="11" t="n"/>
      <c r="T282" s="11" t="n"/>
      <c r="U282" s="11" t="n"/>
      <c r="V282" s="11" t="n"/>
      <c r="W282" s="11" t="n"/>
      <c r="X282" s="11" t="n"/>
      <c r="Y282" s="11" t="n"/>
      <c r="Z282" s="11" t="n"/>
    </row>
    <row r="283">
      <c r="A283" s="11" t="n"/>
      <c r="B283" s="11" t="n"/>
      <c r="C283" s="11" t="n"/>
      <c r="D283" s="11" t="n"/>
      <c r="E283" s="11" t="n"/>
      <c r="F283" s="11" t="n"/>
      <c r="G283" s="11" t="n"/>
      <c r="H283" s="11" t="n"/>
      <c r="I283" s="11" t="n"/>
      <c r="J283" s="11" t="n"/>
      <c r="K283" s="11" t="n"/>
      <c r="L283" s="11" t="n"/>
      <c r="M283" s="11" t="n"/>
      <c r="N283" s="11" t="n"/>
      <c r="O283" s="11" t="n"/>
      <c r="P283" s="11" t="n"/>
      <c r="Q283" s="11" t="n"/>
      <c r="R283" s="11" t="n"/>
      <c r="S283" s="11" t="n"/>
      <c r="T283" s="11" t="n"/>
      <c r="U283" s="11" t="n"/>
      <c r="V283" s="11" t="n"/>
      <c r="W283" s="11" t="n"/>
      <c r="X283" s="11" t="n"/>
      <c r="Y283" s="11" t="n"/>
      <c r="Z283" s="11" t="n"/>
    </row>
    <row r="284">
      <c r="A284" s="11" t="n"/>
      <c r="B284" s="11" t="n"/>
      <c r="C284" s="11" t="n"/>
      <c r="D284" s="11" t="n"/>
      <c r="E284" s="11" t="n"/>
      <c r="F284" s="11" t="n"/>
      <c r="G284" s="11" t="n"/>
      <c r="H284" s="11" t="n"/>
      <c r="I284" s="11" t="n"/>
      <c r="J284" s="11" t="n"/>
      <c r="K284" s="11" t="n"/>
      <c r="L284" s="11" t="n"/>
      <c r="M284" s="11" t="n"/>
      <c r="N284" s="11" t="n"/>
      <c r="O284" s="11" t="n"/>
      <c r="P284" s="11" t="n"/>
      <c r="Q284" s="11" t="n"/>
      <c r="R284" s="11" t="n"/>
      <c r="S284" s="11" t="n"/>
      <c r="T284" s="11" t="n"/>
      <c r="U284" s="11" t="n"/>
      <c r="V284" s="11" t="n"/>
      <c r="W284" s="11" t="n"/>
      <c r="X284" s="11" t="n"/>
      <c r="Y284" s="11" t="n"/>
      <c r="Z284" s="11" t="n"/>
    </row>
    <row r="285">
      <c r="A285" s="11" t="n"/>
      <c r="B285" s="11" t="n"/>
      <c r="C285" s="11" t="n"/>
      <c r="D285" s="11" t="n"/>
      <c r="E285" s="11" t="n"/>
      <c r="F285" s="11" t="n"/>
      <c r="G285" s="11" t="n"/>
      <c r="H285" s="11" t="n"/>
      <c r="I285" s="11" t="n"/>
      <c r="J285" s="11" t="n"/>
      <c r="K285" s="11" t="n"/>
      <c r="L285" s="11" t="n"/>
      <c r="M285" s="11" t="n"/>
      <c r="N285" s="11" t="n"/>
      <c r="O285" s="11" t="n"/>
      <c r="P285" s="11" t="n"/>
      <c r="Q285" s="11" t="n"/>
      <c r="R285" s="11" t="n"/>
      <c r="S285" s="11" t="n"/>
      <c r="T285" s="11" t="n"/>
      <c r="U285" s="11" t="n"/>
      <c r="V285" s="11" t="n"/>
      <c r="W285" s="11" t="n"/>
      <c r="X285" s="11" t="n"/>
      <c r="Y285" s="11" t="n"/>
      <c r="Z285" s="11" t="n"/>
    </row>
    <row r="286">
      <c r="A286" s="11" t="n"/>
      <c r="B286" s="11" t="n"/>
      <c r="C286" s="11" t="n"/>
      <c r="D286" s="11" t="n"/>
      <c r="E286" s="11" t="n"/>
      <c r="F286" s="11" t="n"/>
      <c r="G286" s="11" t="n"/>
      <c r="H286" s="11" t="n"/>
      <c r="I286" s="11" t="n"/>
      <c r="J286" s="11" t="n"/>
      <c r="K286" s="11" t="n"/>
      <c r="L286" s="11" t="n"/>
      <c r="M286" s="11" t="n"/>
      <c r="N286" s="11" t="n"/>
      <c r="O286" s="11" t="n"/>
      <c r="P286" s="11" t="n"/>
      <c r="Q286" s="11" t="n"/>
      <c r="R286" s="11" t="n"/>
      <c r="S286" s="11" t="n"/>
      <c r="T286" s="11" t="n"/>
      <c r="U286" s="11" t="n"/>
      <c r="V286" s="11" t="n"/>
      <c r="W286" s="11" t="n"/>
      <c r="X286" s="11" t="n"/>
      <c r="Y286" s="11" t="n"/>
      <c r="Z286" s="11" t="n"/>
    </row>
    <row r="287">
      <c r="A287" s="11" t="n"/>
      <c r="B287" s="11" t="n"/>
      <c r="C287" s="11" t="n"/>
      <c r="D287" s="11" t="n"/>
      <c r="E287" s="11" t="n"/>
      <c r="F287" s="11" t="n"/>
      <c r="G287" s="11" t="n"/>
      <c r="H287" s="11" t="n"/>
      <c r="I287" s="11" t="n"/>
      <c r="J287" s="11" t="n"/>
      <c r="K287" s="11" t="n"/>
      <c r="L287" s="11" t="n"/>
      <c r="M287" s="11" t="n"/>
      <c r="N287" s="11" t="n"/>
      <c r="O287" s="11" t="n"/>
      <c r="P287" s="11" t="n"/>
      <c r="Q287" s="11" t="n"/>
      <c r="R287" s="11" t="n"/>
      <c r="S287" s="11" t="n"/>
      <c r="T287" s="11" t="n"/>
      <c r="U287" s="11" t="n"/>
      <c r="V287" s="11" t="n"/>
      <c r="W287" s="11" t="n"/>
      <c r="X287" s="11" t="n"/>
      <c r="Y287" s="11" t="n"/>
      <c r="Z287" s="11" t="n"/>
    </row>
    <row r="288">
      <c r="A288" s="11" t="n"/>
      <c r="B288" s="11" t="n"/>
      <c r="C288" s="11" t="n"/>
      <c r="D288" s="11" t="n"/>
      <c r="E288" s="11" t="n"/>
      <c r="F288" s="11" t="n"/>
      <c r="G288" s="11" t="n"/>
      <c r="H288" s="11" t="n"/>
      <c r="I288" s="11" t="n"/>
      <c r="J288" s="11" t="n"/>
      <c r="K288" s="11" t="n"/>
      <c r="L288" s="11" t="n"/>
      <c r="M288" s="11" t="n"/>
      <c r="N288" s="11" t="n"/>
      <c r="O288" s="11" t="n"/>
      <c r="P288" s="11" t="n"/>
      <c r="Q288" s="11" t="n"/>
      <c r="R288" s="11" t="n"/>
      <c r="S288" s="11" t="n"/>
      <c r="T288" s="11" t="n"/>
      <c r="U288" s="11" t="n"/>
      <c r="V288" s="11" t="n"/>
      <c r="W288" s="11" t="n"/>
      <c r="X288" s="11" t="n"/>
      <c r="Y288" s="11" t="n"/>
      <c r="Z288" s="11" t="n"/>
    </row>
    <row r="289">
      <c r="A289" s="11" t="n"/>
      <c r="B289" s="11" t="n"/>
      <c r="C289" s="11" t="n"/>
      <c r="D289" s="11" t="n"/>
      <c r="E289" s="11" t="n"/>
      <c r="F289" s="11" t="n"/>
      <c r="G289" s="11" t="n"/>
      <c r="H289" s="11" t="n"/>
      <c r="I289" s="11" t="n"/>
      <c r="J289" s="11" t="n"/>
      <c r="K289" s="11" t="n"/>
      <c r="L289" s="11" t="n"/>
      <c r="M289" s="11" t="n"/>
      <c r="N289" s="11" t="n"/>
      <c r="O289" s="11" t="n"/>
      <c r="P289" s="11" t="n"/>
      <c r="Q289" s="11" t="n"/>
      <c r="R289" s="11" t="n"/>
      <c r="S289" s="11" t="n"/>
      <c r="T289" s="11" t="n"/>
      <c r="U289" s="11" t="n"/>
      <c r="V289" s="11" t="n"/>
      <c r="W289" s="11" t="n"/>
      <c r="X289" s="11" t="n"/>
      <c r="Y289" s="11" t="n"/>
      <c r="Z289" s="11" t="n"/>
    </row>
    <row r="290">
      <c r="A290" s="11" t="n"/>
      <c r="B290" s="11" t="n"/>
      <c r="C290" s="11" t="n"/>
      <c r="D290" s="11" t="n"/>
      <c r="E290" s="11" t="n"/>
      <c r="F290" s="11" t="n"/>
      <c r="G290" s="11" t="n"/>
      <c r="H290" s="11" t="n"/>
      <c r="I290" s="11" t="n"/>
      <c r="J290" s="11" t="n"/>
      <c r="K290" s="11" t="n"/>
      <c r="L290" s="11" t="n"/>
      <c r="M290" s="11" t="n"/>
      <c r="N290" s="11" t="n"/>
      <c r="O290" s="11" t="n"/>
      <c r="P290" s="11" t="n"/>
      <c r="Q290" s="11" t="n"/>
      <c r="R290" s="11" t="n"/>
      <c r="S290" s="11" t="n"/>
      <c r="T290" s="11" t="n"/>
      <c r="U290" s="11" t="n"/>
      <c r="V290" s="11" t="n"/>
      <c r="W290" s="11" t="n"/>
      <c r="X290" s="11" t="n"/>
      <c r="Y290" s="11" t="n"/>
      <c r="Z290" s="11" t="n"/>
    </row>
    <row r="291">
      <c r="A291" s="11" t="n"/>
      <c r="B291" s="11" t="n"/>
      <c r="C291" s="11" t="n"/>
      <c r="D291" s="11" t="n"/>
      <c r="E291" s="11" t="n"/>
      <c r="F291" s="11" t="n"/>
      <c r="G291" s="11" t="n"/>
      <c r="H291" s="11" t="n"/>
      <c r="I291" s="11" t="n"/>
      <c r="J291" s="11" t="n"/>
      <c r="K291" s="11" t="n"/>
      <c r="L291" s="11" t="n"/>
      <c r="M291" s="11" t="n"/>
      <c r="N291" s="11" t="n"/>
      <c r="O291" s="11" t="n"/>
      <c r="P291" s="11" t="n"/>
      <c r="Q291" s="11" t="n"/>
      <c r="R291" s="11" t="n"/>
      <c r="S291" s="11" t="n"/>
      <c r="T291" s="11" t="n"/>
      <c r="U291" s="11" t="n"/>
      <c r="V291" s="11" t="n"/>
      <c r="W291" s="11" t="n"/>
      <c r="X291" s="11" t="n"/>
      <c r="Y291" s="11" t="n"/>
      <c r="Z291" s="11" t="n"/>
    </row>
    <row r="292">
      <c r="A292" s="11" t="n"/>
      <c r="B292" s="11" t="n"/>
      <c r="C292" s="11" t="n"/>
      <c r="D292" s="11" t="n"/>
      <c r="E292" s="11" t="n"/>
      <c r="F292" s="11" t="n"/>
      <c r="G292" s="11" t="n"/>
      <c r="H292" s="11" t="n"/>
      <c r="I292" s="11" t="n"/>
      <c r="J292" s="11" t="n"/>
      <c r="K292" s="11" t="n"/>
      <c r="L292" s="11" t="n"/>
      <c r="M292" s="11" t="n"/>
      <c r="N292" s="11" t="n"/>
      <c r="O292" s="11" t="n"/>
      <c r="P292" s="11" t="n"/>
      <c r="Q292" s="11" t="n"/>
      <c r="R292" s="11" t="n"/>
      <c r="S292" s="11" t="n"/>
      <c r="T292" s="11" t="n"/>
      <c r="U292" s="11" t="n"/>
      <c r="V292" s="11" t="n"/>
      <c r="W292" s="11" t="n"/>
      <c r="X292" s="11" t="n"/>
      <c r="Y292" s="11" t="n"/>
      <c r="Z292" s="11" t="n"/>
    </row>
    <row r="293">
      <c r="A293" s="11" t="n"/>
      <c r="B293" s="11" t="n"/>
      <c r="C293" s="11" t="n"/>
      <c r="D293" s="11" t="n"/>
      <c r="E293" s="11" t="n"/>
      <c r="F293" s="11" t="n"/>
      <c r="G293" s="11" t="n"/>
      <c r="H293" s="11" t="n"/>
      <c r="I293" s="11" t="n"/>
      <c r="J293" s="11" t="n"/>
      <c r="K293" s="11" t="n"/>
      <c r="L293" s="11" t="n"/>
      <c r="M293" s="11" t="n"/>
      <c r="N293" s="11" t="n"/>
      <c r="O293" s="11" t="n"/>
      <c r="P293" s="11" t="n"/>
      <c r="Q293" s="11" t="n"/>
      <c r="R293" s="11" t="n"/>
      <c r="S293" s="11" t="n"/>
      <c r="T293" s="11" t="n"/>
      <c r="U293" s="11" t="n"/>
      <c r="V293" s="11" t="n"/>
      <c r="W293" s="11" t="n"/>
      <c r="X293" s="11" t="n"/>
      <c r="Y293" s="11" t="n"/>
      <c r="Z293" s="11" t="n"/>
    </row>
    <row r="294">
      <c r="A294" s="11" t="n"/>
      <c r="B294" s="11" t="n"/>
      <c r="C294" s="11" t="n"/>
      <c r="D294" s="11" t="n"/>
      <c r="E294" s="11" t="n"/>
      <c r="F294" s="11" t="n"/>
      <c r="G294" s="11" t="n"/>
      <c r="H294" s="11" t="n"/>
      <c r="I294" s="11" t="n"/>
      <c r="J294" s="11" t="n"/>
      <c r="K294" s="11" t="n"/>
      <c r="L294" s="11" t="n"/>
      <c r="M294" s="11" t="n"/>
      <c r="N294" s="11" t="n"/>
      <c r="O294" s="11" t="n"/>
      <c r="P294" s="11" t="n"/>
      <c r="Q294" s="11" t="n"/>
      <c r="R294" s="11" t="n"/>
      <c r="S294" s="11" t="n"/>
      <c r="T294" s="11" t="n"/>
      <c r="U294" s="11" t="n"/>
      <c r="V294" s="11" t="n"/>
      <c r="W294" s="11" t="n"/>
      <c r="X294" s="11" t="n"/>
      <c r="Y294" s="11" t="n"/>
      <c r="Z294" s="11" t="n"/>
    </row>
    <row r="295">
      <c r="A295" s="11" t="n"/>
      <c r="B295" s="11" t="n"/>
      <c r="C295" s="11" t="n"/>
      <c r="D295" s="11" t="n"/>
      <c r="E295" s="11" t="n"/>
      <c r="F295" s="11" t="n"/>
      <c r="G295" s="11" t="n"/>
      <c r="H295" s="11" t="n"/>
      <c r="I295" s="11" t="n"/>
      <c r="J295" s="11" t="n"/>
      <c r="K295" s="11" t="n"/>
      <c r="L295" s="11" t="n"/>
      <c r="M295" s="11" t="n"/>
      <c r="N295" s="11" t="n"/>
      <c r="O295" s="11" t="n"/>
      <c r="P295" s="11" t="n"/>
      <c r="Q295" s="11" t="n"/>
      <c r="R295" s="11" t="n"/>
      <c r="S295" s="11" t="n"/>
      <c r="T295" s="11" t="n"/>
      <c r="U295" s="11" t="n"/>
      <c r="V295" s="11" t="n"/>
      <c r="W295" s="11" t="n"/>
      <c r="X295" s="11" t="n"/>
      <c r="Y295" s="11" t="n"/>
      <c r="Z295" s="11" t="n"/>
    </row>
    <row r="296">
      <c r="A296" s="11" t="n"/>
      <c r="B296" s="11" t="n"/>
      <c r="C296" s="11" t="n"/>
      <c r="D296" s="11" t="n"/>
      <c r="E296" s="11" t="n"/>
      <c r="F296" s="11" t="n"/>
      <c r="G296" s="11" t="n"/>
      <c r="H296" s="11" t="n"/>
      <c r="I296" s="11" t="n"/>
      <c r="J296" s="11" t="n"/>
      <c r="K296" s="11" t="n"/>
      <c r="L296" s="11" t="n"/>
      <c r="M296" s="11" t="n"/>
      <c r="N296" s="11" t="n"/>
      <c r="O296" s="11" t="n"/>
      <c r="P296" s="11" t="n"/>
      <c r="Q296" s="11" t="n"/>
      <c r="R296" s="11" t="n"/>
      <c r="S296" s="11" t="n"/>
      <c r="T296" s="11" t="n"/>
      <c r="U296" s="11" t="n"/>
      <c r="V296" s="11" t="n"/>
      <c r="W296" s="11" t="n"/>
      <c r="X296" s="11" t="n"/>
      <c r="Y296" s="11" t="n"/>
      <c r="Z296" s="11" t="n"/>
    </row>
    <row r="297">
      <c r="A297" s="11" t="n"/>
      <c r="B297" s="11" t="n"/>
      <c r="C297" s="11" t="n"/>
      <c r="D297" s="11" t="n"/>
      <c r="E297" s="11" t="n"/>
      <c r="F297" s="11" t="n"/>
      <c r="G297" s="11" t="n"/>
      <c r="H297" s="11" t="n"/>
      <c r="I297" s="11" t="n"/>
      <c r="J297" s="11" t="n"/>
      <c r="K297" s="11" t="n"/>
      <c r="L297" s="11" t="n"/>
      <c r="M297" s="11" t="n"/>
      <c r="N297" s="11" t="n"/>
      <c r="O297" s="11" t="n"/>
      <c r="P297" s="11" t="n"/>
      <c r="Q297" s="11" t="n"/>
      <c r="R297" s="11" t="n"/>
      <c r="S297" s="11" t="n"/>
      <c r="T297" s="11" t="n"/>
      <c r="U297" s="11" t="n"/>
      <c r="V297" s="11" t="n"/>
      <c r="W297" s="11" t="n"/>
      <c r="X297" s="11" t="n"/>
      <c r="Y297" s="11" t="n"/>
      <c r="Z297" s="11" t="n"/>
    </row>
    <row r="298">
      <c r="A298" s="11" t="n"/>
      <c r="B298" s="11" t="n"/>
      <c r="C298" s="11" t="n"/>
      <c r="D298" s="11" t="n"/>
      <c r="E298" s="11" t="n"/>
      <c r="F298" s="11" t="n"/>
      <c r="G298" s="11" t="n"/>
      <c r="H298" s="11" t="n"/>
      <c r="I298" s="11" t="n"/>
      <c r="J298" s="11" t="n"/>
      <c r="K298" s="11" t="n"/>
      <c r="L298" s="11" t="n"/>
      <c r="M298" s="11" t="n"/>
      <c r="N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Y298" s="11" t="n"/>
      <c r="Z298" s="11" t="n"/>
    </row>
    <row r="299">
      <c r="A299" s="11" t="n"/>
      <c r="B299" s="11" t="n"/>
      <c r="C299" s="11" t="n"/>
      <c r="D299" s="11" t="n"/>
      <c r="E299" s="11" t="n"/>
      <c r="F299" s="11" t="n"/>
      <c r="G299" s="11" t="n"/>
      <c r="H299" s="11" t="n"/>
      <c r="I299" s="11" t="n"/>
      <c r="J299" s="11" t="n"/>
      <c r="K299" s="11" t="n"/>
      <c r="L299" s="11" t="n"/>
      <c r="M299" s="11" t="n"/>
      <c r="N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Y299" s="11" t="n"/>
      <c r="Z299" s="11" t="n"/>
    </row>
  </sheetData>
  <autoFilter ref="A2:Z2"/>
  <mergeCells count="4">
    <mergeCell ref="C1:G1"/>
    <mergeCell ref="H1:O1"/>
    <mergeCell ref="U1:Z1"/>
    <mergeCell ref="P1:T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150" zoomScaleNormal="150" workbookViewId="0">
      <pane xSplit="1" topLeftCell="B1" activePane="topRight" state="frozen"/>
      <selection pane="topRight" activeCell="A1" sqref="A1:A2"/>
    </sheetView>
  </sheetViews>
  <sheetFormatPr baseColWidth="10" defaultColWidth="8.83203125" defaultRowHeight="15" outlineLevelCol="0"/>
  <cols>
    <col width="6.83203125" customWidth="1" min="2" max="31"/>
  </cols>
  <sheetData>
    <row r="1" ht="17" customHeight="1" thickBot="1">
      <c r="A1" s="38" t="inlineStr">
        <is>
          <t>Team</t>
        </is>
      </c>
      <c r="B1" s="6" t="n"/>
      <c r="C1" s="27" t="inlineStr">
        <is>
          <t>Auto</t>
        </is>
      </c>
      <c r="D1" s="36" t="n"/>
      <c r="E1" s="36" t="n"/>
      <c r="F1" s="36" t="n"/>
      <c r="G1" s="36" t="n"/>
      <c r="H1" s="29" t="inlineStr">
        <is>
          <t>Teleop</t>
        </is>
      </c>
      <c r="I1" s="36" t="n"/>
      <c r="J1" s="36" t="n"/>
      <c r="K1" s="36" t="n"/>
      <c r="L1" s="36" t="n"/>
      <c r="M1" s="36" t="n"/>
      <c r="N1" s="36" t="n"/>
      <c r="O1" s="36" t="n"/>
      <c r="P1" s="31" t="inlineStr">
        <is>
          <t>Endgame</t>
        </is>
      </c>
      <c r="Q1" s="36" t="n"/>
      <c r="R1" s="36" t="n"/>
      <c r="S1" s="36" t="n"/>
      <c r="T1" s="36" t="n"/>
      <c r="U1" s="33" t="inlineStr">
        <is>
          <t>Post Match</t>
        </is>
      </c>
      <c r="V1" s="36" t="n"/>
      <c r="W1" s="36" t="n"/>
      <c r="X1" s="36" t="n"/>
      <c r="Y1" s="36" t="n"/>
      <c r="Z1" s="36" t="n"/>
      <c r="AA1" s="34" t="inlineStr">
        <is>
          <t>Overall</t>
        </is>
      </c>
    </row>
    <row r="2" ht="130" customHeight="1" thickBot="1">
      <c r="A2" s="39" t="n"/>
      <c r="B2" s="14" t="inlineStr">
        <is>
          <t>Matches Scouted</t>
        </is>
      </c>
      <c r="C2" s="15" t="inlineStr">
        <is>
          <t>Climbed</t>
        </is>
      </c>
      <c r="D2" s="15" t="inlineStr">
        <is>
          <t>Level 1</t>
        </is>
      </c>
      <c r="E2" s="15" t="inlineStr">
        <is>
          <t>Moved</t>
        </is>
      </c>
      <c r="F2" s="15" t="inlineStr">
        <is>
          <t>A-Stop</t>
        </is>
      </c>
      <c r="G2" s="15" t="inlineStr">
        <is>
          <t>Fuel Scored</t>
        </is>
      </c>
      <c r="H2" s="16" t="inlineStr">
        <is>
          <t>Shoot Speed</t>
        </is>
      </c>
      <c r="I2" s="16" t="inlineStr">
        <is>
          <t>Accuracy</t>
        </is>
      </c>
      <c r="J2" s="16" t="inlineStr">
        <is>
          <t>Fuel Collected</t>
        </is>
      </c>
      <c r="K2" s="16" t="inlineStr">
        <is>
          <t>Collect Inactive</t>
        </is>
      </c>
      <c r="L2" s="16" t="inlineStr">
        <is>
          <t>Did Pass</t>
        </is>
      </c>
      <c r="M2" s="16" t="inlineStr">
        <is>
          <t>Collect Alliance Zone</t>
        </is>
      </c>
      <c r="N2" s="16" t="inlineStr">
        <is>
          <t>Collect Neutral Zone</t>
        </is>
      </c>
      <c r="O2" s="16" t="inlineStr">
        <is>
          <t>Was Intake Good</t>
        </is>
      </c>
      <c r="P2" s="17" t="inlineStr">
        <is>
          <t>Climb Success</t>
        </is>
      </c>
      <c r="Q2" s="17" t="inlineStr">
        <is>
          <t>Defense Whole Game</t>
        </is>
      </c>
      <c r="R2" s="17" t="inlineStr">
        <is>
          <t>Shot from Same Position</t>
        </is>
      </c>
      <c r="S2" s="17" t="inlineStr">
        <is>
          <t>Shoot to End</t>
        </is>
      </c>
      <c r="T2" s="17" t="inlineStr">
        <is>
          <t>Performance</t>
        </is>
      </c>
      <c r="U2" s="23" t="inlineStr">
        <is>
          <t>Match Results</t>
        </is>
      </c>
      <c r="V2" s="23" t="inlineStr">
        <is>
          <t>Total Points</t>
        </is>
      </c>
      <c r="W2" s="23" t="inlineStr">
        <is>
          <t>Energized Ranking</t>
        </is>
      </c>
      <c r="X2" s="23" t="inlineStr">
        <is>
          <t>Supercharged Ranking</t>
        </is>
      </c>
      <c r="Y2" s="23" t="inlineStr">
        <is>
          <t>Traversal Ranking</t>
        </is>
      </c>
      <c r="Z2" s="18" t="inlineStr">
        <is>
          <t>Total Ranking Points</t>
        </is>
      </c>
      <c r="AA2" s="15" t="inlineStr">
        <is>
          <t>Auto</t>
        </is>
      </c>
      <c r="AB2" s="16" t="inlineStr">
        <is>
          <t>Teleop</t>
        </is>
      </c>
      <c r="AC2" s="17" t="inlineStr">
        <is>
          <t>Endgame</t>
        </is>
      </c>
      <c r="AD2" s="18" t="inlineStr">
        <is>
          <t>Post Match</t>
        </is>
      </c>
      <c r="AE2" s="19" t="inlineStr">
        <is>
          <t>Complete</t>
        </is>
      </c>
    </row>
    <row r="3">
      <c r="A3" s="49" t="n">
        <v>117</v>
      </c>
      <c r="B3" s="47">
        <f>COUNTIF(MatchScoutingData!E$2:E$1000, $A3)</f>
        <v/>
      </c>
      <c r="C3" s="50">
        <f>PERCENTRANK('Team Scores'!$C$3:$C$1000, 'Team Scores'!$C3, 3)</f>
        <v/>
      </c>
      <c r="D3" s="50">
        <f>PERCENTRANK('Team Scores'!$D$3:$D$1000, 'Team Scores'!$D3, 3)</f>
        <v/>
      </c>
      <c r="E3" s="50">
        <f>PERCENTRANK('Team Scores'!$E$3:$E$1000, 'Team Scores'!$E3, 3)</f>
        <v/>
      </c>
      <c r="F3" s="50">
        <f>PERCENTRANK('Team Scores'!$F$3:$F$1000, 'Team Scores'!$F3, 3)</f>
        <v/>
      </c>
      <c r="G3" s="50">
        <f>PERCENTRANK('Team Scores'!$G$3:$G$1000, 'Team Scores'!$G3, 3)</f>
        <v/>
      </c>
      <c r="H3" s="50">
        <f>PERCENTRANK('Team Scores'!$H$3:$H$1000, 'Team Scores'!$H3, 3)</f>
        <v/>
      </c>
      <c r="I3" s="50">
        <f>PERCENTRANK('Team Scores'!$I$3:$I$1000, 'Team Scores'!$I3, 3)</f>
        <v/>
      </c>
      <c r="J3" s="50">
        <f>PERCENTRANK('Team Scores'!$J$3:$J$1000, 'Team Scores'!$J3, 3)</f>
        <v/>
      </c>
      <c r="K3" s="50">
        <f>PERCENTRANK('Team Scores'!$K$3:$K$1000, 'Team Scores'!$K3, 3)</f>
        <v/>
      </c>
      <c r="L3" s="50">
        <f>PERCENTRANK('Team Scores'!$L$3:$L$1000, 'Team Scores'!$L3, 3)</f>
        <v/>
      </c>
      <c r="M3" s="50">
        <f>PERCENTRANK('Team Scores'!$M$3:$M$1000, 'Team Scores'!$M3, 3)</f>
        <v/>
      </c>
      <c r="N3" s="50">
        <f>PERCENTRANK('Team Scores'!$N$3:$N$1000, 'Team Scores'!$N3, 3)</f>
        <v/>
      </c>
      <c r="O3" s="50">
        <f>PERCENTRANK('Team Scores'!$O$3:$O$1000, 'Team Scores'!$O3, 3)</f>
        <v/>
      </c>
      <c r="P3" s="50">
        <f>PERCENTRANK('Team Scores'!$P$3:$P$1000, 'Team Scores'!$P3, 3)</f>
        <v/>
      </c>
      <c r="Q3" s="50">
        <f>PERCENTRANK('Team Scores'!$Q$3:$Q$1000, 'Team Scores'!$Q3, 3)</f>
        <v/>
      </c>
      <c r="R3" s="50">
        <f>PERCENTRANK('Team Scores'!$R$3:$R$1000, 'Team Scores'!$R3, 3)</f>
        <v/>
      </c>
      <c r="S3" s="50">
        <f>PERCENTRANK('Team Scores'!$S$3:$S$1000, 'Team Scores'!$S3, 3)</f>
        <v/>
      </c>
      <c r="T3" s="50">
        <f>PERCENTRANK('Team Scores'!$T$3:$T$1000, 'Team Scores'!$T3, 3)</f>
        <v/>
      </c>
      <c r="U3" s="50">
        <f>PERCENTRANK('Team Scores'!$U$3:$U$1000, 'Team Scores'!$U3, 3)</f>
        <v/>
      </c>
      <c r="V3" s="50">
        <f>PERCENTRANK('Team Scores'!$V$3:$V$1000, 'Team Scores'!$V3, 3)</f>
        <v/>
      </c>
      <c r="W3" s="50">
        <f>PERCENTRANK('Team Scores'!$W$3:$W$1000, 'Team Scores'!$W3, 3)</f>
        <v/>
      </c>
      <c r="X3" s="50">
        <f>PERCENTRANK('Team Scores'!$X$3:$X$1000, 'Team Scores'!$X3, 3)</f>
        <v/>
      </c>
      <c r="Y3" s="50">
        <f>PERCENTRANK('Team Scores'!$Y$3:$Y$1000, 'Team Scores'!$Y3, 3)</f>
        <v/>
      </c>
      <c r="Z3" s="50">
        <f>PERCENTRANK('Team Scores'!$Z$3:$Z$1000, 'Team Scores'!$Z3, 3)</f>
        <v/>
      </c>
      <c r="AA3" s="50">
        <f>AVERAGE(C3:G3)</f>
        <v/>
      </c>
      <c r="AB3" s="50">
        <f>AVERAGE(H3:O3)</f>
        <v/>
      </c>
      <c r="AC3" s="50">
        <f>AVERAGE(P3:T3)</f>
        <v/>
      </c>
      <c r="AD3" s="50">
        <f>AVERAGE(U3:X3)</f>
        <v/>
      </c>
      <c r="AE3" s="50">
        <f>AVERAGE(AA3:AD3)</f>
        <v/>
      </c>
    </row>
    <row r="4">
      <c r="A4" s="47" t="n">
        <v>144</v>
      </c>
      <c r="B4" s="47">
        <f>COUNTIF(MatchScoutingData!E$2:E$1000, $A4)</f>
        <v/>
      </c>
      <c r="C4" s="50">
        <f>PERCENTRANK('Team Scores'!$C$3:$C$1000, 'Team Scores'!$C4, 3)</f>
        <v/>
      </c>
      <c r="D4" s="50">
        <f>PERCENTRANK('Team Scores'!$D$3:$D$1000, 'Team Scores'!$D4, 3)</f>
        <v/>
      </c>
      <c r="E4" s="50">
        <f>PERCENTRANK('Team Scores'!$E$3:$E$1000, 'Team Scores'!$E4, 3)</f>
        <v/>
      </c>
      <c r="F4" s="50">
        <f>PERCENTRANK('Team Scores'!$F$3:$F$1000, 'Team Scores'!$F4, 3)</f>
        <v/>
      </c>
      <c r="G4" s="50">
        <f>PERCENTRANK('Team Scores'!$G$3:$G$1000, 'Team Scores'!$G4, 3)</f>
        <v/>
      </c>
      <c r="H4" s="50">
        <f>PERCENTRANK('Team Scores'!$H$3:$H$1000, 'Team Scores'!$H4, 3)</f>
        <v/>
      </c>
      <c r="I4" s="50">
        <f>PERCENTRANK('Team Scores'!$I$3:$I$1000, 'Team Scores'!$I4, 3)</f>
        <v/>
      </c>
      <c r="J4" s="50">
        <f>PERCENTRANK('Team Scores'!$J$3:$J$1000, 'Team Scores'!$J4, 3)</f>
        <v/>
      </c>
      <c r="K4" s="50">
        <f>PERCENTRANK('Team Scores'!$K$3:$K$1000, 'Team Scores'!$K4, 3)</f>
        <v/>
      </c>
      <c r="L4" s="50">
        <f>PERCENTRANK('Team Scores'!$L$3:$L$1000, 'Team Scores'!$L4, 3)</f>
        <v/>
      </c>
      <c r="M4" s="50">
        <f>PERCENTRANK('Team Scores'!$M$3:$M$1000, 'Team Scores'!$M4, 3)</f>
        <v/>
      </c>
      <c r="N4" s="50">
        <f>PERCENTRANK('Team Scores'!$N$3:$N$1000, 'Team Scores'!$N4, 3)</f>
        <v/>
      </c>
      <c r="O4" s="50">
        <f>PERCENTRANK('Team Scores'!$O$3:$O$1000, 'Team Scores'!$O4, 3)</f>
        <v/>
      </c>
      <c r="P4" s="50">
        <f>PERCENTRANK('Team Scores'!$P$3:$P$1000, 'Team Scores'!$P4, 3)</f>
        <v/>
      </c>
      <c r="Q4" s="50">
        <f>PERCENTRANK('Team Scores'!$Q$3:$Q$1000, 'Team Scores'!$Q4, 3)</f>
        <v/>
      </c>
      <c r="R4" s="50">
        <f>PERCENTRANK('Team Scores'!$R$3:$R$1000, 'Team Scores'!$R4, 3)</f>
        <v/>
      </c>
      <c r="S4" s="50">
        <f>PERCENTRANK('Team Scores'!$S$3:$S$1000, 'Team Scores'!$S4, 3)</f>
        <v/>
      </c>
      <c r="T4" s="50">
        <f>PERCENTRANK('Team Scores'!$T$3:$T$1000, 'Team Scores'!$T4, 3)</f>
        <v/>
      </c>
      <c r="U4" s="50">
        <f>PERCENTRANK('Team Scores'!$U$3:$U$1000, 'Team Scores'!$U4, 3)</f>
        <v/>
      </c>
      <c r="V4" s="50">
        <f>PERCENTRANK('Team Scores'!$V$3:$V$1000, 'Team Scores'!$V4, 3)</f>
        <v/>
      </c>
      <c r="W4" s="50">
        <f>PERCENTRANK('Team Scores'!$W$3:$W$1000, 'Team Scores'!$W4, 3)</f>
        <v/>
      </c>
      <c r="X4" s="50">
        <f>PERCENTRANK('Team Scores'!$X$3:$X$1000, 'Team Scores'!$X4, 3)</f>
        <v/>
      </c>
      <c r="Y4" s="50">
        <f>PERCENTRANK('Team Scores'!$Y$3:$Y$1000, 'Team Scores'!$Y4, 3)</f>
        <v/>
      </c>
      <c r="Z4" s="50">
        <f>PERCENTRANK('Team Scores'!$Z$3:$Z$1000, 'Team Scores'!$Z4, 3)</f>
        <v/>
      </c>
      <c r="AA4" s="50">
        <f>AVERAGE(C4:G4)</f>
        <v/>
      </c>
      <c r="AB4" s="50">
        <f>AVERAGE(H4:O4)</f>
        <v/>
      </c>
      <c r="AC4" s="50">
        <f>AVERAGE(P4:T4)</f>
        <v/>
      </c>
      <c r="AD4" s="50">
        <f>AVERAGE(U4:X4)</f>
        <v/>
      </c>
      <c r="AE4" s="50">
        <f>AVERAGE(AA4:AD4)</f>
        <v/>
      </c>
    </row>
    <row r="5">
      <c r="A5" s="47" t="n">
        <v>325</v>
      </c>
      <c r="B5" s="47">
        <f>COUNTIF(MatchScoutingData!E$2:E$1000, $A5)</f>
        <v/>
      </c>
      <c r="C5" s="50">
        <f>PERCENTRANK('Team Scores'!$C$3:$C$1000, 'Team Scores'!$C5, 3)</f>
        <v/>
      </c>
      <c r="D5" s="50">
        <f>PERCENTRANK('Team Scores'!$D$3:$D$1000, 'Team Scores'!$D5, 3)</f>
        <v/>
      </c>
      <c r="E5" s="50">
        <f>PERCENTRANK('Team Scores'!$E$3:$E$1000, 'Team Scores'!$E5, 3)</f>
        <v/>
      </c>
      <c r="F5" s="50">
        <f>PERCENTRANK('Team Scores'!$F$3:$F$1000, 'Team Scores'!$F5, 3)</f>
        <v/>
      </c>
      <c r="G5" s="50">
        <f>PERCENTRANK('Team Scores'!$G$3:$G$1000, 'Team Scores'!$G5, 3)</f>
        <v/>
      </c>
      <c r="H5" s="50">
        <f>PERCENTRANK('Team Scores'!$H$3:$H$1000, 'Team Scores'!$H5, 3)</f>
        <v/>
      </c>
      <c r="I5" s="50">
        <f>PERCENTRANK('Team Scores'!$I$3:$I$1000, 'Team Scores'!$I5, 3)</f>
        <v/>
      </c>
      <c r="J5" s="50">
        <f>PERCENTRANK('Team Scores'!$J$3:$J$1000, 'Team Scores'!$J5, 3)</f>
        <v/>
      </c>
      <c r="K5" s="50">
        <f>PERCENTRANK('Team Scores'!$K$3:$K$1000, 'Team Scores'!$K5, 3)</f>
        <v/>
      </c>
      <c r="L5" s="50">
        <f>PERCENTRANK('Team Scores'!$L$3:$L$1000, 'Team Scores'!$L5, 3)</f>
        <v/>
      </c>
      <c r="M5" s="50">
        <f>PERCENTRANK('Team Scores'!$M$3:$M$1000, 'Team Scores'!$M5, 3)</f>
        <v/>
      </c>
      <c r="N5" s="50">
        <f>PERCENTRANK('Team Scores'!$N$3:$N$1000, 'Team Scores'!$N5, 3)</f>
        <v/>
      </c>
      <c r="O5" s="50">
        <f>PERCENTRANK('Team Scores'!$O$3:$O$1000, 'Team Scores'!$O5, 3)</f>
        <v/>
      </c>
      <c r="P5" s="50">
        <f>PERCENTRANK('Team Scores'!$P$3:$P$1000, 'Team Scores'!$P5, 3)</f>
        <v/>
      </c>
      <c r="Q5" s="50">
        <f>PERCENTRANK('Team Scores'!$Q$3:$Q$1000, 'Team Scores'!$Q5, 3)</f>
        <v/>
      </c>
      <c r="R5" s="50">
        <f>PERCENTRANK('Team Scores'!$R$3:$R$1000, 'Team Scores'!$R5, 3)</f>
        <v/>
      </c>
      <c r="S5" s="50">
        <f>PERCENTRANK('Team Scores'!$S$3:$S$1000, 'Team Scores'!$S5, 3)</f>
        <v/>
      </c>
      <c r="T5" s="50">
        <f>PERCENTRANK('Team Scores'!$T$3:$T$1000, 'Team Scores'!$T5, 3)</f>
        <v/>
      </c>
      <c r="U5" s="50">
        <f>PERCENTRANK('Team Scores'!$U$3:$U$1000, 'Team Scores'!$U5, 3)</f>
        <v/>
      </c>
      <c r="V5" s="50">
        <f>PERCENTRANK('Team Scores'!$V$3:$V$1000, 'Team Scores'!$V5, 3)</f>
        <v/>
      </c>
      <c r="W5" s="50">
        <f>PERCENTRANK('Team Scores'!$W$3:$W$1000, 'Team Scores'!$W5, 3)</f>
        <v/>
      </c>
      <c r="X5" s="50">
        <f>PERCENTRANK('Team Scores'!$X$3:$X$1000, 'Team Scores'!$X5, 3)</f>
        <v/>
      </c>
      <c r="Y5" s="50">
        <f>PERCENTRANK('Team Scores'!$Y$3:$Y$1000, 'Team Scores'!$Y5, 3)</f>
        <v/>
      </c>
      <c r="Z5" s="50">
        <f>PERCENTRANK('Team Scores'!$Z$3:$Z$1000, 'Team Scores'!$Z5, 3)</f>
        <v/>
      </c>
      <c r="AA5" s="50">
        <f>AVERAGE(C5:G5)</f>
        <v/>
      </c>
      <c r="AB5" s="50">
        <f>AVERAGE(H5:O5)</f>
        <v/>
      </c>
      <c r="AC5" s="50">
        <f>AVERAGE(P5:T5)</f>
        <v/>
      </c>
      <c r="AD5" s="50">
        <f>AVERAGE(U5:X5)</f>
        <v/>
      </c>
      <c r="AE5" s="50">
        <f>AVERAGE(AA5:AD5)</f>
        <v/>
      </c>
    </row>
    <row r="6">
      <c r="A6" s="47" t="n">
        <v>379</v>
      </c>
      <c r="B6" s="47">
        <f>COUNTIF(MatchScoutingData!E$2:E$1000, $A6)</f>
        <v/>
      </c>
      <c r="C6" s="50">
        <f>PERCENTRANK('Team Scores'!$C$3:$C$1000, 'Team Scores'!$C6, 3)</f>
        <v/>
      </c>
      <c r="D6" s="50">
        <f>PERCENTRANK('Team Scores'!$D$3:$D$1000, 'Team Scores'!$D6, 3)</f>
        <v/>
      </c>
      <c r="E6" s="50">
        <f>PERCENTRANK('Team Scores'!$E$3:$E$1000, 'Team Scores'!$E6, 3)</f>
        <v/>
      </c>
      <c r="F6" s="50">
        <f>PERCENTRANK('Team Scores'!$F$3:$F$1000, 'Team Scores'!$F6, 3)</f>
        <v/>
      </c>
      <c r="G6" s="50">
        <f>PERCENTRANK('Team Scores'!$G$3:$G$1000, 'Team Scores'!$G6, 3)</f>
        <v/>
      </c>
      <c r="H6" s="50">
        <f>PERCENTRANK('Team Scores'!$H$3:$H$1000, 'Team Scores'!$H6, 3)</f>
        <v/>
      </c>
      <c r="I6" s="50">
        <f>PERCENTRANK('Team Scores'!$I$3:$I$1000, 'Team Scores'!$I6, 3)</f>
        <v/>
      </c>
      <c r="J6" s="50">
        <f>PERCENTRANK('Team Scores'!$J$3:$J$1000, 'Team Scores'!$J6, 3)</f>
        <v/>
      </c>
      <c r="K6" s="50">
        <f>PERCENTRANK('Team Scores'!$K$3:$K$1000, 'Team Scores'!$K6, 3)</f>
        <v/>
      </c>
      <c r="L6" s="50">
        <f>PERCENTRANK('Team Scores'!$L$3:$L$1000, 'Team Scores'!$L6, 3)</f>
        <v/>
      </c>
      <c r="M6" s="50">
        <f>PERCENTRANK('Team Scores'!$M$3:$M$1000, 'Team Scores'!$M6, 3)</f>
        <v/>
      </c>
      <c r="N6" s="50">
        <f>PERCENTRANK('Team Scores'!$N$3:$N$1000, 'Team Scores'!$N6, 3)</f>
        <v/>
      </c>
      <c r="O6" s="50">
        <f>PERCENTRANK('Team Scores'!$O$3:$O$1000, 'Team Scores'!$O6, 3)</f>
        <v/>
      </c>
      <c r="P6" s="50">
        <f>PERCENTRANK('Team Scores'!$P$3:$P$1000, 'Team Scores'!$P6, 3)</f>
        <v/>
      </c>
      <c r="Q6" s="50">
        <f>PERCENTRANK('Team Scores'!$Q$3:$Q$1000, 'Team Scores'!$Q6, 3)</f>
        <v/>
      </c>
      <c r="R6" s="50">
        <f>PERCENTRANK('Team Scores'!$R$3:$R$1000, 'Team Scores'!$R6, 3)</f>
        <v/>
      </c>
      <c r="S6" s="50">
        <f>PERCENTRANK('Team Scores'!$S$3:$S$1000, 'Team Scores'!$S6, 3)</f>
        <v/>
      </c>
      <c r="T6" s="50">
        <f>PERCENTRANK('Team Scores'!$T$3:$T$1000, 'Team Scores'!$T6, 3)</f>
        <v/>
      </c>
      <c r="U6" s="50">
        <f>PERCENTRANK('Team Scores'!$U$3:$U$1000, 'Team Scores'!$U6, 3)</f>
        <v/>
      </c>
      <c r="V6" s="50">
        <f>PERCENTRANK('Team Scores'!$V$3:$V$1000, 'Team Scores'!$V6, 3)</f>
        <v/>
      </c>
      <c r="W6" s="50">
        <f>PERCENTRANK('Team Scores'!$W$3:$W$1000, 'Team Scores'!$W6, 3)</f>
        <v/>
      </c>
      <c r="X6" s="50">
        <f>PERCENTRANK('Team Scores'!$X$3:$X$1000, 'Team Scores'!$X6, 3)</f>
        <v/>
      </c>
      <c r="Y6" s="50">
        <f>PERCENTRANK('Team Scores'!$Y$3:$Y$1000, 'Team Scores'!$Y6, 3)</f>
        <v/>
      </c>
      <c r="Z6" s="50">
        <f>PERCENTRANK('Team Scores'!$Z$3:$Z$1000, 'Team Scores'!$Z6, 3)</f>
        <v/>
      </c>
      <c r="AA6" s="50">
        <f>AVERAGE(C6:G6)</f>
        <v/>
      </c>
      <c r="AB6" s="50">
        <f>AVERAGE(H6:O6)</f>
        <v/>
      </c>
      <c r="AC6" s="50">
        <f>AVERAGE(P6:T6)</f>
        <v/>
      </c>
      <c r="AD6" s="50">
        <f>AVERAGE(U6:X6)</f>
        <v/>
      </c>
      <c r="AE6" s="50">
        <f>AVERAGE(AA6:AD6)</f>
        <v/>
      </c>
    </row>
    <row r="7">
      <c r="A7" s="47" t="n">
        <v>432</v>
      </c>
      <c r="B7" s="47">
        <f>COUNTIF(MatchScoutingData!E$2:E$1000, $A7)</f>
        <v/>
      </c>
      <c r="C7" s="50">
        <f>PERCENTRANK('Team Scores'!$C$3:$C$1000, 'Team Scores'!$C7, 3)</f>
        <v/>
      </c>
      <c r="D7" s="50">
        <f>PERCENTRANK('Team Scores'!$D$3:$D$1000, 'Team Scores'!$D7, 3)</f>
        <v/>
      </c>
      <c r="E7" s="50">
        <f>PERCENTRANK('Team Scores'!$E$3:$E$1000, 'Team Scores'!$E7, 3)</f>
        <v/>
      </c>
      <c r="F7" s="50">
        <f>PERCENTRANK('Team Scores'!$F$3:$F$1000, 'Team Scores'!$F7, 3)</f>
        <v/>
      </c>
      <c r="G7" s="50">
        <f>PERCENTRANK('Team Scores'!$G$3:$G$1000, 'Team Scores'!$G7, 3)</f>
        <v/>
      </c>
      <c r="H7" s="50">
        <f>PERCENTRANK('Team Scores'!$H$3:$H$1000, 'Team Scores'!$H7, 3)</f>
        <v/>
      </c>
      <c r="I7" s="50">
        <f>PERCENTRANK('Team Scores'!$I$3:$I$1000, 'Team Scores'!$I7, 3)</f>
        <v/>
      </c>
      <c r="J7" s="50">
        <f>PERCENTRANK('Team Scores'!$J$3:$J$1000, 'Team Scores'!$J7, 3)</f>
        <v/>
      </c>
      <c r="K7" s="50">
        <f>PERCENTRANK('Team Scores'!$K$3:$K$1000, 'Team Scores'!$K7, 3)</f>
        <v/>
      </c>
      <c r="L7" s="50">
        <f>PERCENTRANK('Team Scores'!$L$3:$L$1000, 'Team Scores'!$L7, 3)</f>
        <v/>
      </c>
      <c r="M7" s="50">
        <f>PERCENTRANK('Team Scores'!$M$3:$M$1000, 'Team Scores'!$M7, 3)</f>
        <v/>
      </c>
      <c r="N7" s="50">
        <f>PERCENTRANK('Team Scores'!$N$3:$N$1000, 'Team Scores'!$N7, 3)</f>
        <v/>
      </c>
      <c r="O7" s="50">
        <f>PERCENTRANK('Team Scores'!$O$3:$O$1000, 'Team Scores'!$O7, 3)</f>
        <v/>
      </c>
      <c r="P7" s="50">
        <f>PERCENTRANK('Team Scores'!$P$3:$P$1000, 'Team Scores'!$P7, 3)</f>
        <v/>
      </c>
      <c r="Q7" s="50">
        <f>PERCENTRANK('Team Scores'!$Q$3:$Q$1000, 'Team Scores'!$Q7, 3)</f>
        <v/>
      </c>
      <c r="R7" s="50">
        <f>PERCENTRANK('Team Scores'!$R$3:$R$1000, 'Team Scores'!$R7, 3)</f>
        <v/>
      </c>
      <c r="S7" s="50">
        <f>PERCENTRANK('Team Scores'!$S$3:$S$1000, 'Team Scores'!$S7, 3)</f>
        <v/>
      </c>
      <c r="T7" s="50">
        <f>PERCENTRANK('Team Scores'!$T$3:$T$1000, 'Team Scores'!$T7, 3)</f>
        <v/>
      </c>
      <c r="U7" s="50">
        <f>PERCENTRANK('Team Scores'!$U$3:$U$1000, 'Team Scores'!$U7, 3)</f>
        <v/>
      </c>
      <c r="V7" s="50">
        <f>PERCENTRANK('Team Scores'!$V$3:$V$1000, 'Team Scores'!$V7, 3)</f>
        <v/>
      </c>
      <c r="W7" s="50">
        <f>PERCENTRANK('Team Scores'!$W$3:$W$1000, 'Team Scores'!$W7, 3)</f>
        <v/>
      </c>
      <c r="X7" s="50">
        <f>PERCENTRANK('Team Scores'!$X$3:$X$1000, 'Team Scores'!$X7, 3)</f>
        <v/>
      </c>
      <c r="Y7" s="50">
        <f>PERCENTRANK('Team Scores'!$Y$3:$Y$1000, 'Team Scores'!$Y7, 3)</f>
        <v/>
      </c>
      <c r="Z7" s="50">
        <f>PERCENTRANK('Team Scores'!$Z$3:$Z$1000, 'Team Scores'!$Z7, 3)</f>
        <v/>
      </c>
      <c r="AA7" s="50">
        <f>AVERAGE(C7:G7)</f>
        <v/>
      </c>
      <c r="AB7" s="50">
        <f>AVERAGE(H7:O7)</f>
        <v/>
      </c>
      <c r="AC7" s="50">
        <f>AVERAGE(P7:T7)</f>
        <v/>
      </c>
      <c r="AD7" s="50">
        <f>AVERAGE(U7:X7)</f>
        <v/>
      </c>
      <c r="AE7" s="50">
        <f>AVERAGE(AA7:AD7)</f>
        <v/>
      </c>
    </row>
    <row r="8">
      <c r="A8" s="47" t="n">
        <v>451</v>
      </c>
      <c r="B8" s="47">
        <f>COUNTIF(MatchScoutingData!E$2:E$1000, $A8)</f>
        <v/>
      </c>
      <c r="C8" s="50">
        <f>PERCENTRANK('Team Scores'!$C$3:$C$1000, 'Team Scores'!$C8, 3)</f>
        <v/>
      </c>
      <c r="D8" s="50">
        <f>PERCENTRANK('Team Scores'!$D$3:$D$1000, 'Team Scores'!$D8, 3)</f>
        <v/>
      </c>
      <c r="E8" s="50">
        <f>PERCENTRANK('Team Scores'!$E$3:$E$1000, 'Team Scores'!$E8, 3)</f>
        <v/>
      </c>
      <c r="F8" s="50">
        <f>PERCENTRANK('Team Scores'!$F$3:$F$1000, 'Team Scores'!$F8, 3)</f>
        <v/>
      </c>
      <c r="G8" s="50">
        <f>PERCENTRANK('Team Scores'!$G$3:$G$1000, 'Team Scores'!$G8, 3)</f>
        <v/>
      </c>
      <c r="H8" s="50">
        <f>PERCENTRANK('Team Scores'!$H$3:$H$1000, 'Team Scores'!$H8, 3)</f>
        <v/>
      </c>
      <c r="I8" s="50">
        <f>PERCENTRANK('Team Scores'!$I$3:$I$1000, 'Team Scores'!$I8, 3)</f>
        <v/>
      </c>
      <c r="J8" s="50">
        <f>PERCENTRANK('Team Scores'!$J$3:$J$1000, 'Team Scores'!$J8, 3)</f>
        <v/>
      </c>
      <c r="K8" s="50">
        <f>PERCENTRANK('Team Scores'!$K$3:$K$1000, 'Team Scores'!$K8, 3)</f>
        <v/>
      </c>
      <c r="L8" s="50">
        <f>PERCENTRANK('Team Scores'!$L$3:$L$1000, 'Team Scores'!$L8, 3)</f>
        <v/>
      </c>
      <c r="M8" s="50">
        <f>PERCENTRANK('Team Scores'!$M$3:$M$1000, 'Team Scores'!$M8, 3)</f>
        <v/>
      </c>
      <c r="N8" s="50">
        <f>PERCENTRANK('Team Scores'!$N$3:$N$1000, 'Team Scores'!$N8, 3)</f>
        <v/>
      </c>
      <c r="O8" s="50">
        <f>PERCENTRANK('Team Scores'!$O$3:$O$1000, 'Team Scores'!$O8, 3)</f>
        <v/>
      </c>
      <c r="P8" s="50">
        <f>PERCENTRANK('Team Scores'!$P$3:$P$1000, 'Team Scores'!$P8, 3)</f>
        <v/>
      </c>
      <c r="Q8" s="50">
        <f>PERCENTRANK('Team Scores'!$Q$3:$Q$1000, 'Team Scores'!$Q8, 3)</f>
        <v/>
      </c>
      <c r="R8" s="50">
        <f>PERCENTRANK('Team Scores'!$R$3:$R$1000, 'Team Scores'!$R8, 3)</f>
        <v/>
      </c>
      <c r="S8" s="50">
        <f>PERCENTRANK('Team Scores'!$S$3:$S$1000, 'Team Scores'!$S8, 3)</f>
        <v/>
      </c>
      <c r="T8" s="50">
        <f>PERCENTRANK('Team Scores'!$T$3:$T$1000, 'Team Scores'!$T8, 3)</f>
        <v/>
      </c>
      <c r="U8" s="50">
        <f>PERCENTRANK('Team Scores'!$U$3:$U$1000, 'Team Scores'!$U8, 3)</f>
        <v/>
      </c>
      <c r="V8" s="50">
        <f>PERCENTRANK('Team Scores'!$V$3:$V$1000, 'Team Scores'!$V8, 3)</f>
        <v/>
      </c>
      <c r="W8" s="50">
        <f>PERCENTRANK('Team Scores'!$W$3:$W$1000, 'Team Scores'!$W8, 3)</f>
        <v/>
      </c>
      <c r="X8" s="50">
        <f>PERCENTRANK('Team Scores'!$X$3:$X$1000, 'Team Scores'!$X8, 3)</f>
        <v/>
      </c>
      <c r="Y8" s="50">
        <f>PERCENTRANK('Team Scores'!$Y$3:$Y$1000, 'Team Scores'!$Y8, 3)</f>
        <v/>
      </c>
      <c r="Z8" s="50">
        <f>PERCENTRANK('Team Scores'!$Z$3:$Z$1000, 'Team Scores'!$Z8, 3)</f>
        <v/>
      </c>
      <c r="AA8" s="50">
        <f>AVERAGE(C8:G8)</f>
        <v/>
      </c>
      <c r="AB8" s="50">
        <f>AVERAGE(H8:O8)</f>
        <v/>
      </c>
      <c r="AC8" s="50">
        <f>AVERAGE(P8:T8)</f>
        <v/>
      </c>
      <c r="AD8" s="50">
        <f>AVERAGE(U8:X8)</f>
        <v/>
      </c>
      <c r="AE8" s="50">
        <f>AVERAGE(AA8:AD8)</f>
        <v/>
      </c>
    </row>
    <row r="9">
      <c r="A9" s="47" t="n">
        <v>554</v>
      </c>
      <c r="B9" s="47">
        <f>COUNTIF(MatchScoutingData!E$2:E$1000, $A9)</f>
        <v/>
      </c>
      <c r="C9" s="50">
        <f>PERCENTRANK('Team Scores'!$C$3:$C$1000, 'Team Scores'!$C9, 3)</f>
        <v/>
      </c>
      <c r="D9" s="50">
        <f>PERCENTRANK('Team Scores'!$D$3:$D$1000, 'Team Scores'!$D9, 3)</f>
        <v/>
      </c>
      <c r="E9" s="50">
        <f>PERCENTRANK('Team Scores'!$E$3:$E$1000, 'Team Scores'!$E9, 3)</f>
        <v/>
      </c>
      <c r="F9" s="50">
        <f>PERCENTRANK('Team Scores'!$F$3:$F$1000, 'Team Scores'!$F9, 3)</f>
        <v/>
      </c>
      <c r="G9" s="50">
        <f>PERCENTRANK('Team Scores'!$G$3:$G$1000, 'Team Scores'!$G9, 3)</f>
        <v/>
      </c>
      <c r="H9" s="50">
        <f>PERCENTRANK('Team Scores'!$H$3:$H$1000, 'Team Scores'!$H9, 3)</f>
        <v/>
      </c>
      <c r="I9" s="50">
        <f>PERCENTRANK('Team Scores'!$I$3:$I$1000, 'Team Scores'!$I9, 3)</f>
        <v/>
      </c>
      <c r="J9" s="50">
        <f>PERCENTRANK('Team Scores'!$J$3:$J$1000, 'Team Scores'!$J9, 3)</f>
        <v/>
      </c>
      <c r="K9" s="50">
        <f>PERCENTRANK('Team Scores'!$K$3:$K$1000, 'Team Scores'!$K9, 3)</f>
        <v/>
      </c>
      <c r="L9" s="50">
        <f>PERCENTRANK('Team Scores'!$L$3:$L$1000, 'Team Scores'!$L9, 3)</f>
        <v/>
      </c>
      <c r="M9" s="50">
        <f>PERCENTRANK('Team Scores'!$M$3:$M$1000, 'Team Scores'!$M9, 3)</f>
        <v/>
      </c>
      <c r="N9" s="50">
        <f>PERCENTRANK('Team Scores'!$N$3:$N$1000, 'Team Scores'!$N9, 3)</f>
        <v/>
      </c>
      <c r="O9" s="50">
        <f>PERCENTRANK('Team Scores'!$O$3:$O$1000, 'Team Scores'!$O9, 3)</f>
        <v/>
      </c>
      <c r="P9" s="50">
        <f>PERCENTRANK('Team Scores'!$P$3:$P$1000, 'Team Scores'!$P9, 3)</f>
        <v/>
      </c>
      <c r="Q9" s="50">
        <f>PERCENTRANK('Team Scores'!$Q$3:$Q$1000, 'Team Scores'!$Q9, 3)</f>
        <v/>
      </c>
      <c r="R9" s="50">
        <f>PERCENTRANK('Team Scores'!$R$3:$R$1000, 'Team Scores'!$R9, 3)</f>
        <v/>
      </c>
      <c r="S9" s="50">
        <f>PERCENTRANK('Team Scores'!$S$3:$S$1000, 'Team Scores'!$S9, 3)</f>
        <v/>
      </c>
      <c r="T9" s="50">
        <f>PERCENTRANK('Team Scores'!$T$3:$T$1000, 'Team Scores'!$T9, 3)</f>
        <v/>
      </c>
      <c r="U9" s="50">
        <f>PERCENTRANK('Team Scores'!$U$3:$U$1000, 'Team Scores'!$U9, 3)</f>
        <v/>
      </c>
      <c r="V9" s="50">
        <f>PERCENTRANK('Team Scores'!$V$3:$V$1000, 'Team Scores'!$V9, 3)</f>
        <v/>
      </c>
      <c r="W9" s="50">
        <f>PERCENTRANK('Team Scores'!$W$3:$W$1000, 'Team Scores'!$W9, 3)</f>
        <v/>
      </c>
      <c r="X9" s="50">
        <f>PERCENTRANK('Team Scores'!$X$3:$X$1000, 'Team Scores'!$X9, 3)</f>
        <v/>
      </c>
      <c r="Y9" s="50">
        <f>PERCENTRANK('Team Scores'!$Y$3:$Y$1000, 'Team Scores'!$Y9, 3)</f>
        <v/>
      </c>
      <c r="Z9" s="50">
        <f>PERCENTRANK('Team Scores'!$Z$3:$Z$1000, 'Team Scores'!$Z9, 3)</f>
        <v/>
      </c>
      <c r="AA9" s="50">
        <f>AVERAGE(C9:G9)</f>
        <v/>
      </c>
      <c r="AB9" s="50">
        <f>AVERAGE(H9:O9)</f>
        <v/>
      </c>
      <c r="AC9" s="50">
        <f>AVERAGE(P9:T9)</f>
        <v/>
      </c>
      <c r="AD9" s="50">
        <f>AVERAGE(U9:X9)</f>
        <v/>
      </c>
      <c r="AE9" s="50">
        <f>AVERAGE(AA9:AD9)</f>
        <v/>
      </c>
    </row>
    <row r="10">
      <c r="A10" s="47" t="n">
        <v>578</v>
      </c>
      <c r="B10" s="47">
        <f>COUNTIF(MatchScoutingData!E$2:E$1000, $A10)</f>
        <v/>
      </c>
      <c r="C10" s="50">
        <f>PERCENTRANK('Team Scores'!$C$3:$C$1000, 'Team Scores'!$C10, 3)</f>
        <v/>
      </c>
      <c r="D10" s="50">
        <f>PERCENTRANK('Team Scores'!$D$3:$D$1000, 'Team Scores'!$D10, 3)</f>
        <v/>
      </c>
      <c r="E10" s="50">
        <f>PERCENTRANK('Team Scores'!$E$3:$E$1000, 'Team Scores'!$E10, 3)</f>
        <v/>
      </c>
      <c r="F10" s="50">
        <f>PERCENTRANK('Team Scores'!$F$3:$F$1000, 'Team Scores'!$F10, 3)</f>
        <v/>
      </c>
      <c r="G10" s="50">
        <f>PERCENTRANK('Team Scores'!$G$3:$G$1000, 'Team Scores'!$G10, 3)</f>
        <v/>
      </c>
      <c r="H10" s="50">
        <f>PERCENTRANK('Team Scores'!$H$3:$H$1000, 'Team Scores'!$H10, 3)</f>
        <v/>
      </c>
      <c r="I10" s="50">
        <f>PERCENTRANK('Team Scores'!$I$3:$I$1000, 'Team Scores'!$I10, 3)</f>
        <v/>
      </c>
      <c r="J10" s="50">
        <f>PERCENTRANK('Team Scores'!$J$3:$J$1000, 'Team Scores'!$J10, 3)</f>
        <v/>
      </c>
      <c r="K10" s="50">
        <f>PERCENTRANK('Team Scores'!$K$3:$K$1000, 'Team Scores'!$K10, 3)</f>
        <v/>
      </c>
      <c r="L10" s="50">
        <f>PERCENTRANK('Team Scores'!$L$3:$L$1000, 'Team Scores'!$L10, 3)</f>
        <v/>
      </c>
      <c r="M10" s="50">
        <f>PERCENTRANK('Team Scores'!$M$3:$M$1000, 'Team Scores'!$M10, 3)</f>
        <v/>
      </c>
      <c r="N10" s="50">
        <f>PERCENTRANK('Team Scores'!$N$3:$N$1000, 'Team Scores'!$N10, 3)</f>
        <v/>
      </c>
      <c r="O10" s="50">
        <f>PERCENTRANK('Team Scores'!$O$3:$O$1000, 'Team Scores'!$O10, 3)</f>
        <v/>
      </c>
      <c r="P10" s="50">
        <f>PERCENTRANK('Team Scores'!$P$3:$P$1000, 'Team Scores'!$P10, 3)</f>
        <v/>
      </c>
      <c r="Q10" s="50">
        <f>PERCENTRANK('Team Scores'!$Q$3:$Q$1000, 'Team Scores'!$Q10, 3)</f>
        <v/>
      </c>
      <c r="R10" s="50">
        <f>PERCENTRANK('Team Scores'!$R$3:$R$1000, 'Team Scores'!$R10, 3)</f>
        <v/>
      </c>
      <c r="S10" s="50">
        <f>PERCENTRANK('Team Scores'!$S$3:$S$1000, 'Team Scores'!$S10, 3)</f>
        <v/>
      </c>
      <c r="T10" s="50">
        <f>PERCENTRANK('Team Scores'!$T$3:$T$1000, 'Team Scores'!$T10, 3)</f>
        <v/>
      </c>
      <c r="U10" s="50">
        <f>PERCENTRANK('Team Scores'!$U$3:$U$1000, 'Team Scores'!$U10, 3)</f>
        <v/>
      </c>
      <c r="V10" s="50">
        <f>PERCENTRANK('Team Scores'!$V$3:$V$1000, 'Team Scores'!$V10, 3)</f>
        <v/>
      </c>
      <c r="W10" s="50">
        <f>PERCENTRANK('Team Scores'!$W$3:$W$1000, 'Team Scores'!$W10, 3)</f>
        <v/>
      </c>
      <c r="X10" s="50">
        <f>PERCENTRANK('Team Scores'!$X$3:$X$1000, 'Team Scores'!$X10, 3)</f>
        <v/>
      </c>
      <c r="Y10" s="50">
        <f>PERCENTRANK('Team Scores'!$Y$3:$Y$1000, 'Team Scores'!$Y10, 3)</f>
        <v/>
      </c>
      <c r="Z10" s="50">
        <f>PERCENTRANK('Team Scores'!$Z$3:$Z$1000, 'Team Scores'!$Z10, 3)</f>
        <v/>
      </c>
      <c r="AA10" s="50">
        <f>AVERAGE(C10:G10)</f>
        <v/>
      </c>
      <c r="AB10" s="50">
        <f>AVERAGE(H10:O10)</f>
        <v/>
      </c>
      <c r="AC10" s="50">
        <f>AVERAGE(P10:T10)</f>
        <v/>
      </c>
      <c r="AD10" s="50">
        <f>AVERAGE(U10:X10)</f>
        <v/>
      </c>
      <c r="AE10" s="50">
        <f>AVERAGE(AA10:AD10)</f>
        <v/>
      </c>
    </row>
    <row r="11">
      <c r="A11" s="47" t="n">
        <v>677</v>
      </c>
      <c r="B11" s="47">
        <f>COUNTIF(MatchScoutingData!E$2:E$1000, $A11)</f>
        <v/>
      </c>
      <c r="C11" s="50">
        <f>PERCENTRANK('Team Scores'!$C$3:$C$1000, 'Team Scores'!$C11, 3)</f>
        <v/>
      </c>
      <c r="D11" s="50">
        <f>PERCENTRANK('Team Scores'!$D$3:$D$1000, 'Team Scores'!$D11, 3)</f>
        <v/>
      </c>
      <c r="E11" s="50">
        <f>PERCENTRANK('Team Scores'!$E$3:$E$1000, 'Team Scores'!$E11, 3)</f>
        <v/>
      </c>
      <c r="F11" s="50">
        <f>PERCENTRANK('Team Scores'!$F$3:$F$1000, 'Team Scores'!$F11, 3)</f>
        <v/>
      </c>
      <c r="G11" s="50">
        <f>PERCENTRANK('Team Scores'!$G$3:$G$1000, 'Team Scores'!$G11, 3)</f>
        <v/>
      </c>
      <c r="H11" s="50">
        <f>PERCENTRANK('Team Scores'!$H$3:$H$1000, 'Team Scores'!$H11, 3)</f>
        <v/>
      </c>
      <c r="I11" s="50">
        <f>PERCENTRANK('Team Scores'!$I$3:$I$1000, 'Team Scores'!$I11, 3)</f>
        <v/>
      </c>
      <c r="J11" s="50">
        <f>PERCENTRANK('Team Scores'!$J$3:$J$1000, 'Team Scores'!$J11, 3)</f>
        <v/>
      </c>
      <c r="K11" s="50">
        <f>PERCENTRANK('Team Scores'!$K$3:$K$1000, 'Team Scores'!$K11, 3)</f>
        <v/>
      </c>
      <c r="L11" s="50">
        <f>PERCENTRANK('Team Scores'!$L$3:$L$1000, 'Team Scores'!$L11, 3)</f>
        <v/>
      </c>
      <c r="M11" s="50">
        <f>PERCENTRANK('Team Scores'!$M$3:$M$1000, 'Team Scores'!$M11, 3)</f>
        <v/>
      </c>
      <c r="N11" s="50">
        <f>PERCENTRANK('Team Scores'!$N$3:$N$1000, 'Team Scores'!$N11, 3)</f>
        <v/>
      </c>
      <c r="O11" s="50">
        <f>PERCENTRANK('Team Scores'!$O$3:$O$1000, 'Team Scores'!$O11, 3)</f>
        <v/>
      </c>
      <c r="P11" s="50">
        <f>PERCENTRANK('Team Scores'!$P$3:$P$1000, 'Team Scores'!$P11, 3)</f>
        <v/>
      </c>
      <c r="Q11" s="50">
        <f>PERCENTRANK('Team Scores'!$Q$3:$Q$1000, 'Team Scores'!$Q11, 3)</f>
        <v/>
      </c>
      <c r="R11" s="50">
        <f>PERCENTRANK('Team Scores'!$R$3:$R$1000, 'Team Scores'!$R11, 3)</f>
        <v/>
      </c>
      <c r="S11" s="50">
        <f>PERCENTRANK('Team Scores'!$S$3:$S$1000, 'Team Scores'!$S11, 3)</f>
        <v/>
      </c>
      <c r="T11" s="50">
        <f>PERCENTRANK('Team Scores'!$T$3:$T$1000, 'Team Scores'!$T11, 3)</f>
        <v/>
      </c>
      <c r="U11" s="50">
        <f>PERCENTRANK('Team Scores'!$U$3:$U$1000, 'Team Scores'!$U11, 3)</f>
        <v/>
      </c>
      <c r="V11" s="50">
        <f>PERCENTRANK('Team Scores'!$V$3:$V$1000, 'Team Scores'!$V11, 3)</f>
        <v/>
      </c>
      <c r="W11" s="50">
        <f>PERCENTRANK('Team Scores'!$W$3:$W$1000, 'Team Scores'!$W11, 3)</f>
        <v/>
      </c>
      <c r="X11" s="50">
        <f>PERCENTRANK('Team Scores'!$X$3:$X$1000, 'Team Scores'!$X11, 3)</f>
        <v/>
      </c>
      <c r="Y11" s="50">
        <f>PERCENTRANK('Team Scores'!$Y$3:$Y$1000, 'Team Scores'!$Y11, 3)</f>
        <v/>
      </c>
      <c r="Z11" s="50">
        <f>PERCENTRANK('Team Scores'!$Z$3:$Z$1000, 'Team Scores'!$Z11, 3)</f>
        <v/>
      </c>
      <c r="AA11" s="50">
        <f>AVERAGE(C11:G11)</f>
        <v/>
      </c>
      <c r="AB11" s="50">
        <f>AVERAGE(H11:O11)</f>
        <v/>
      </c>
      <c r="AC11" s="50">
        <f>AVERAGE(P11:T11)</f>
        <v/>
      </c>
      <c r="AD11" s="50">
        <f>AVERAGE(U11:X11)</f>
        <v/>
      </c>
      <c r="AE11" s="50">
        <f>AVERAGE(AA11:AD11)</f>
        <v/>
      </c>
    </row>
    <row r="12">
      <c r="A12" s="47" t="n">
        <v>695</v>
      </c>
      <c r="B12" s="47">
        <f>COUNTIF(MatchScoutingData!E$2:E$1000, $A12)</f>
        <v/>
      </c>
      <c r="C12" s="50">
        <f>PERCENTRANK('Team Scores'!$C$3:$C$1000, 'Team Scores'!$C12, 3)</f>
        <v/>
      </c>
      <c r="D12" s="50">
        <f>PERCENTRANK('Team Scores'!$D$3:$D$1000, 'Team Scores'!$D12, 3)</f>
        <v/>
      </c>
      <c r="E12" s="50">
        <f>PERCENTRANK('Team Scores'!$E$3:$E$1000, 'Team Scores'!$E12, 3)</f>
        <v/>
      </c>
      <c r="F12" s="50">
        <f>PERCENTRANK('Team Scores'!$F$3:$F$1000, 'Team Scores'!$F12, 3)</f>
        <v/>
      </c>
      <c r="G12" s="50">
        <f>PERCENTRANK('Team Scores'!$G$3:$G$1000, 'Team Scores'!$G12, 3)</f>
        <v/>
      </c>
      <c r="H12" s="50">
        <f>PERCENTRANK('Team Scores'!$H$3:$H$1000, 'Team Scores'!$H12, 3)</f>
        <v/>
      </c>
      <c r="I12" s="50">
        <f>PERCENTRANK('Team Scores'!$I$3:$I$1000, 'Team Scores'!$I12, 3)</f>
        <v/>
      </c>
      <c r="J12" s="50">
        <f>PERCENTRANK('Team Scores'!$J$3:$J$1000, 'Team Scores'!$J12, 3)</f>
        <v/>
      </c>
      <c r="K12" s="50">
        <f>PERCENTRANK('Team Scores'!$K$3:$K$1000, 'Team Scores'!$K12, 3)</f>
        <v/>
      </c>
      <c r="L12" s="50">
        <f>PERCENTRANK('Team Scores'!$L$3:$L$1000, 'Team Scores'!$L12, 3)</f>
        <v/>
      </c>
      <c r="M12" s="50">
        <f>PERCENTRANK('Team Scores'!$M$3:$M$1000, 'Team Scores'!$M12, 3)</f>
        <v/>
      </c>
      <c r="N12" s="50">
        <f>PERCENTRANK('Team Scores'!$N$3:$N$1000, 'Team Scores'!$N12, 3)</f>
        <v/>
      </c>
      <c r="O12" s="50">
        <f>PERCENTRANK('Team Scores'!$O$3:$O$1000, 'Team Scores'!$O12, 3)</f>
        <v/>
      </c>
      <c r="P12" s="50">
        <f>PERCENTRANK('Team Scores'!$P$3:$P$1000, 'Team Scores'!$P12, 3)</f>
        <v/>
      </c>
      <c r="Q12" s="50">
        <f>PERCENTRANK('Team Scores'!$Q$3:$Q$1000, 'Team Scores'!$Q12, 3)</f>
        <v/>
      </c>
      <c r="R12" s="50">
        <f>PERCENTRANK('Team Scores'!$R$3:$R$1000, 'Team Scores'!$R12, 3)</f>
        <v/>
      </c>
      <c r="S12" s="50">
        <f>PERCENTRANK('Team Scores'!$S$3:$S$1000, 'Team Scores'!$S12, 3)</f>
        <v/>
      </c>
      <c r="T12" s="50">
        <f>PERCENTRANK('Team Scores'!$T$3:$T$1000, 'Team Scores'!$T12, 3)</f>
        <v/>
      </c>
      <c r="U12" s="50">
        <f>PERCENTRANK('Team Scores'!$U$3:$U$1000, 'Team Scores'!$U12, 3)</f>
        <v/>
      </c>
      <c r="V12" s="50">
        <f>PERCENTRANK('Team Scores'!$V$3:$V$1000, 'Team Scores'!$V12, 3)</f>
        <v/>
      </c>
      <c r="W12" s="50">
        <f>PERCENTRANK('Team Scores'!$W$3:$W$1000, 'Team Scores'!$W12, 3)</f>
        <v/>
      </c>
      <c r="X12" s="50">
        <f>PERCENTRANK('Team Scores'!$X$3:$X$1000, 'Team Scores'!$X12, 3)</f>
        <v/>
      </c>
      <c r="Y12" s="50">
        <f>PERCENTRANK('Team Scores'!$Y$3:$Y$1000, 'Team Scores'!$Y12, 3)</f>
        <v/>
      </c>
      <c r="Z12" s="50">
        <f>PERCENTRANK('Team Scores'!$Z$3:$Z$1000, 'Team Scores'!$Z12, 3)</f>
        <v/>
      </c>
      <c r="AA12" s="50">
        <f>AVERAGE(C12:G12)</f>
        <v/>
      </c>
      <c r="AB12" s="50">
        <f>AVERAGE(H12:O12)</f>
        <v/>
      </c>
      <c r="AC12" s="50">
        <f>AVERAGE(P12:T12)</f>
        <v/>
      </c>
      <c r="AD12" s="50">
        <f>AVERAGE(U12:X12)</f>
        <v/>
      </c>
      <c r="AE12" s="50">
        <f>AVERAGE(AA12:AD12)</f>
        <v/>
      </c>
    </row>
    <row r="13">
      <c r="A13" s="47" t="n">
        <v>1014</v>
      </c>
      <c r="B13" s="47">
        <f>COUNTIF(MatchScoutingData!E$2:E$1000, $A13)</f>
        <v/>
      </c>
      <c r="C13" s="50">
        <f>PERCENTRANK('Team Scores'!$C$3:$C$1000, 'Team Scores'!$C13, 3)</f>
        <v/>
      </c>
      <c r="D13" s="50">
        <f>PERCENTRANK('Team Scores'!$D$3:$D$1000, 'Team Scores'!$D13, 3)</f>
        <v/>
      </c>
      <c r="E13" s="50">
        <f>PERCENTRANK('Team Scores'!$E$3:$E$1000, 'Team Scores'!$E13, 3)</f>
        <v/>
      </c>
      <c r="F13" s="50">
        <f>PERCENTRANK('Team Scores'!$F$3:$F$1000, 'Team Scores'!$F13, 3)</f>
        <v/>
      </c>
      <c r="G13" s="50">
        <f>PERCENTRANK('Team Scores'!$G$3:$G$1000, 'Team Scores'!$G13, 3)</f>
        <v/>
      </c>
      <c r="H13" s="50">
        <f>PERCENTRANK('Team Scores'!$H$3:$H$1000, 'Team Scores'!$H13, 3)</f>
        <v/>
      </c>
      <c r="I13" s="50">
        <f>PERCENTRANK('Team Scores'!$I$3:$I$1000, 'Team Scores'!$I13, 3)</f>
        <v/>
      </c>
      <c r="J13" s="50">
        <f>PERCENTRANK('Team Scores'!$J$3:$J$1000, 'Team Scores'!$J13, 3)</f>
        <v/>
      </c>
      <c r="K13" s="50">
        <f>PERCENTRANK('Team Scores'!$K$3:$K$1000, 'Team Scores'!$K13, 3)</f>
        <v/>
      </c>
      <c r="L13" s="50">
        <f>PERCENTRANK('Team Scores'!$L$3:$L$1000, 'Team Scores'!$L13, 3)</f>
        <v/>
      </c>
      <c r="M13" s="50">
        <f>PERCENTRANK('Team Scores'!$M$3:$M$1000, 'Team Scores'!$M13, 3)</f>
        <v/>
      </c>
      <c r="N13" s="50">
        <f>PERCENTRANK('Team Scores'!$N$3:$N$1000, 'Team Scores'!$N13, 3)</f>
        <v/>
      </c>
      <c r="O13" s="50">
        <f>PERCENTRANK('Team Scores'!$O$3:$O$1000, 'Team Scores'!$O13, 3)</f>
        <v/>
      </c>
      <c r="P13" s="50">
        <f>PERCENTRANK('Team Scores'!$P$3:$P$1000, 'Team Scores'!$P13, 3)</f>
        <v/>
      </c>
      <c r="Q13" s="50">
        <f>PERCENTRANK('Team Scores'!$Q$3:$Q$1000, 'Team Scores'!$Q13, 3)</f>
        <v/>
      </c>
      <c r="R13" s="50">
        <f>PERCENTRANK('Team Scores'!$R$3:$R$1000, 'Team Scores'!$R13, 3)</f>
        <v/>
      </c>
      <c r="S13" s="50">
        <f>PERCENTRANK('Team Scores'!$S$3:$S$1000, 'Team Scores'!$S13, 3)</f>
        <v/>
      </c>
      <c r="T13" s="50">
        <f>PERCENTRANK('Team Scores'!$T$3:$T$1000, 'Team Scores'!$T13, 3)</f>
        <v/>
      </c>
      <c r="U13" s="50">
        <f>PERCENTRANK('Team Scores'!$U$3:$U$1000, 'Team Scores'!$U13, 3)</f>
        <v/>
      </c>
      <c r="V13" s="50">
        <f>PERCENTRANK('Team Scores'!$V$3:$V$1000, 'Team Scores'!$V13, 3)</f>
        <v/>
      </c>
      <c r="W13" s="50">
        <f>PERCENTRANK('Team Scores'!$W$3:$W$1000, 'Team Scores'!$W13, 3)</f>
        <v/>
      </c>
      <c r="X13" s="50">
        <f>PERCENTRANK('Team Scores'!$X$3:$X$1000, 'Team Scores'!$X13, 3)</f>
        <v/>
      </c>
      <c r="Y13" s="50">
        <f>PERCENTRANK('Team Scores'!$Y$3:$Y$1000, 'Team Scores'!$Y13, 3)</f>
        <v/>
      </c>
      <c r="Z13" s="50">
        <f>PERCENTRANK('Team Scores'!$Z$3:$Z$1000, 'Team Scores'!$Z13, 3)</f>
        <v/>
      </c>
      <c r="AA13" s="50">
        <f>AVERAGE(C13:G13)</f>
        <v/>
      </c>
      <c r="AB13" s="50">
        <f>AVERAGE(H13:O13)</f>
        <v/>
      </c>
      <c r="AC13" s="50">
        <f>AVERAGE(P13:T13)</f>
        <v/>
      </c>
      <c r="AD13" s="50">
        <f>AVERAGE(U13:X13)</f>
        <v/>
      </c>
      <c r="AE13" s="50">
        <f>AVERAGE(AA13:AD13)</f>
        <v/>
      </c>
    </row>
    <row r="14">
      <c r="A14" s="47" t="n">
        <v>1038</v>
      </c>
      <c r="B14" s="47">
        <f>COUNTIF(MatchScoutingData!E$2:E$1000, $A14)</f>
        <v/>
      </c>
      <c r="C14" s="50">
        <f>PERCENTRANK('Team Scores'!$C$3:$C$1000, 'Team Scores'!$C14, 3)</f>
        <v/>
      </c>
      <c r="D14" s="50">
        <f>PERCENTRANK('Team Scores'!$D$3:$D$1000, 'Team Scores'!$D14, 3)</f>
        <v/>
      </c>
      <c r="E14" s="50">
        <f>PERCENTRANK('Team Scores'!$E$3:$E$1000, 'Team Scores'!$E14, 3)</f>
        <v/>
      </c>
      <c r="F14" s="50">
        <f>PERCENTRANK('Team Scores'!$F$3:$F$1000, 'Team Scores'!$F14, 3)</f>
        <v/>
      </c>
      <c r="G14" s="50">
        <f>PERCENTRANK('Team Scores'!$G$3:$G$1000, 'Team Scores'!$G14, 3)</f>
        <v/>
      </c>
      <c r="H14" s="50">
        <f>PERCENTRANK('Team Scores'!$H$3:$H$1000, 'Team Scores'!$H14, 3)</f>
        <v/>
      </c>
      <c r="I14" s="50">
        <f>PERCENTRANK('Team Scores'!$I$3:$I$1000, 'Team Scores'!$I14, 3)</f>
        <v/>
      </c>
      <c r="J14" s="50">
        <f>PERCENTRANK('Team Scores'!$J$3:$J$1000, 'Team Scores'!$J14, 3)</f>
        <v/>
      </c>
      <c r="K14" s="50">
        <f>PERCENTRANK('Team Scores'!$K$3:$K$1000, 'Team Scores'!$K14, 3)</f>
        <v/>
      </c>
      <c r="L14" s="50">
        <f>PERCENTRANK('Team Scores'!$L$3:$L$1000, 'Team Scores'!$L14, 3)</f>
        <v/>
      </c>
      <c r="M14" s="50">
        <f>PERCENTRANK('Team Scores'!$M$3:$M$1000, 'Team Scores'!$M14, 3)</f>
        <v/>
      </c>
      <c r="N14" s="50">
        <f>PERCENTRANK('Team Scores'!$N$3:$N$1000, 'Team Scores'!$N14, 3)</f>
        <v/>
      </c>
      <c r="O14" s="50">
        <f>PERCENTRANK('Team Scores'!$O$3:$O$1000, 'Team Scores'!$O14, 3)</f>
        <v/>
      </c>
      <c r="P14" s="50">
        <f>PERCENTRANK('Team Scores'!$P$3:$P$1000, 'Team Scores'!$P14, 3)</f>
        <v/>
      </c>
      <c r="Q14" s="50">
        <f>PERCENTRANK('Team Scores'!$Q$3:$Q$1000, 'Team Scores'!$Q14, 3)</f>
        <v/>
      </c>
      <c r="R14" s="50">
        <f>PERCENTRANK('Team Scores'!$R$3:$R$1000, 'Team Scores'!$R14, 3)</f>
        <v/>
      </c>
      <c r="S14" s="50">
        <f>PERCENTRANK('Team Scores'!$S$3:$S$1000, 'Team Scores'!$S14, 3)</f>
        <v/>
      </c>
      <c r="T14" s="50">
        <f>PERCENTRANK('Team Scores'!$T$3:$T$1000, 'Team Scores'!$T14, 3)</f>
        <v/>
      </c>
      <c r="U14" s="50">
        <f>PERCENTRANK('Team Scores'!$U$3:$U$1000, 'Team Scores'!$U14, 3)</f>
        <v/>
      </c>
      <c r="V14" s="50">
        <f>PERCENTRANK('Team Scores'!$V$3:$V$1000, 'Team Scores'!$V14, 3)</f>
        <v/>
      </c>
      <c r="W14" s="50">
        <f>PERCENTRANK('Team Scores'!$W$3:$W$1000, 'Team Scores'!$W14, 3)</f>
        <v/>
      </c>
      <c r="X14" s="50">
        <f>PERCENTRANK('Team Scores'!$X$3:$X$1000, 'Team Scores'!$X14, 3)</f>
        <v/>
      </c>
      <c r="Y14" s="50">
        <f>PERCENTRANK('Team Scores'!$Y$3:$Y$1000, 'Team Scores'!$Y14, 3)</f>
        <v/>
      </c>
      <c r="Z14" s="50">
        <f>PERCENTRANK('Team Scores'!$Z$3:$Z$1000, 'Team Scores'!$Z14, 3)</f>
        <v/>
      </c>
      <c r="AA14" s="50">
        <f>AVERAGE(C14:G14)</f>
        <v/>
      </c>
      <c r="AB14" s="50">
        <f>AVERAGE(H14:O14)</f>
        <v/>
      </c>
      <c r="AC14" s="50">
        <f>AVERAGE(P14:T14)</f>
        <v/>
      </c>
      <c r="AD14" s="50">
        <f>AVERAGE(U14:X14)</f>
        <v/>
      </c>
      <c r="AE14" s="50">
        <f>AVERAGE(AA14:AD14)</f>
        <v/>
      </c>
    </row>
    <row r="15">
      <c r="A15" s="47" t="n">
        <v>1736</v>
      </c>
      <c r="B15" s="47">
        <f>COUNTIF(MatchScoutingData!E$2:E$1000, $A15)</f>
        <v/>
      </c>
      <c r="C15" s="50">
        <f>PERCENTRANK('Team Scores'!$C$3:$C$1000, 'Team Scores'!$C15, 3)</f>
        <v/>
      </c>
      <c r="D15" s="50">
        <f>PERCENTRANK('Team Scores'!$D$3:$D$1000, 'Team Scores'!$D15, 3)</f>
        <v/>
      </c>
      <c r="E15" s="50">
        <f>PERCENTRANK('Team Scores'!$E$3:$E$1000, 'Team Scores'!$E15, 3)</f>
        <v/>
      </c>
      <c r="F15" s="50">
        <f>PERCENTRANK('Team Scores'!$F$3:$F$1000, 'Team Scores'!$F15, 3)</f>
        <v/>
      </c>
      <c r="G15" s="50">
        <f>PERCENTRANK('Team Scores'!$G$3:$G$1000, 'Team Scores'!$G15, 3)</f>
        <v/>
      </c>
      <c r="H15" s="50">
        <f>PERCENTRANK('Team Scores'!$H$3:$H$1000, 'Team Scores'!$H15, 3)</f>
        <v/>
      </c>
      <c r="I15" s="50">
        <f>PERCENTRANK('Team Scores'!$I$3:$I$1000, 'Team Scores'!$I15, 3)</f>
        <v/>
      </c>
      <c r="J15" s="50">
        <f>PERCENTRANK('Team Scores'!$J$3:$J$1000, 'Team Scores'!$J15, 3)</f>
        <v/>
      </c>
      <c r="K15" s="50">
        <f>PERCENTRANK('Team Scores'!$K$3:$K$1000, 'Team Scores'!$K15, 3)</f>
        <v/>
      </c>
      <c r="L15" s="50">
        <f>PERCENTRANK('Team Scores'!$L$3:$L$1000, 'Team Scores'!$L15, 3)</f>
        <v/>
      </c>
      <c r="M15" s="50">
        <f>PERCENTRANK('Team Scores'!$M$3:$M$1000, 'Team Scores'!$M15, 3)</f>
        <v/>
      </c>
      <c r="N15" s="50">
        <f>PERCENTRANK('Team Scores'!$N$3:$N$1000, 'Team Scores'!$N15, 3)</f>
        <v/>
      </c>
      <c r="O15" s="50">
        <f>PERCENTRANK('Team Scores'!$O$3:$O$1000, 'Team Scores'!$O15, 3)</f>
        <v/>
      </c>
      <c r="P15" s="50">
        <f>PERCENTRANK('Team Scores'!$P$3:$P$1000, 'Team Scores'!$P15, 3)</f>
        <v/>
      </c>
      <c r="Q15" s="50">
        <f>PERCENTRANK('Team Scores'!$Q$3:$Q$1000, 'Team Scores'!$Q15, 3)</f>
        <v/>
      </c>
      <c r="R15" s="50">
        <f>PERCENTRANK('Team Scores'!$R$3:$R$1000, 'Team Scores'!$R15, 3)</f>
        <v/>
      </c>
      <c r="S15" s="50">
        <f>PERCENTRANK('Team Scores'!$S$3:$S$1000, 'Team Scores'!$S15, 3)</f>
        <v/>
      </c>
      <c r="T15" s="50">
        <f>PERCENTRANK('Team Scores'!$T$3:$T$1000, 'Team Scores'!$T15, 3)</f>
        <v/>
      </c>
      <c r="U15" s="50">
        <f>PERCENTRANK('Team Scores'!$U$3:$U$1000, 'Team Scores'!$U15, 3)</f>
        <v/>
      </c>
      <c r="V15" s="50">
        <f>PERCENTRANK('Team Scores'!$V$3:$V$1000, 'Team Scores'!$V15, 3)</f>
        <v/>
      </c>
      <c r="W15" s="50">
        <f>PERCENTRANK('Team Scores'!$W$3:$W$1000, 'Team Scores'!$W15, 3)</f>
        <v/>
      </c>
      <c r="X15" s="50">
        <f>PERCENTRANK('Team Scores'!$X$3:$X$1000, 'Team Scores'!$X15, 3)</f>
        <v/>
      </c>
      <c r="Y15" s="50">
        <f>PERCENTRANK('Team Scores'!$Y$3:$Y$1000, 'Team Scores'!$Y15, 3)</f>
        <v/>
      </c>
      <c r="Z15" s="50">
        <f>PERCENTRANK('Team Scores'!$Z$3:$Z$1000, 'Team Scores'!$Z15, 3)</f>
        <v/>
      </c>
      <c r="AA15" s="50">
        <f>AVERAGE(C15:G15)</f>
        <v/>
      </c>
      <c r="AB15" s="50">
        <f>AVERAGE(H15:O15)</f>
        <v/>
      </c>
      <c r="AC15" s="50">
        <f>AVERAGE(P15:T15)</f>
        <v/>
      </c>
      <c r="AD15" s="50">
        <f>AVERAGE(U15:X15)</f>
        <v/>
      </c>
      <c r="AE15" s="50">
        <f>AVERAGE(AA15:AD15)</f>
        <v/>
      </c>
    </row>
    <row r="16">
      <c r="A16" s="47" t="n">
        <v>1756</v>
      </c>
      <c r="B16" s="47">
        <f>COUNTIF(MatchScoutingData!E$2:E$1000, $A16)</f>
        <v/>
      </c>
      <c r="C16" s="50">
        <f>PERCENTRANK('Team Scores'!$C$3:$C$1000, 'Team Scores'!$C16, 3)</f>
        <v/>
      </c>
      <c r="D16" s="50">
        <f>PERCENTRANK('Team Scores'!$D$3:$D$1000, 'Team Scores'!$D16, 3)</f>
        <v/>
      </c>
      <c r="E16" s="50">
        <f>PERCENTRANK('Team Scores'!$E$3:$E$1000, 'Team Scores'!$E16, 3)</f>
        <v/>
      </c>
      <c r="F16" s="50">
        <f>PERCENTRANK('Team Scores'!$F$3:$F$1000, 'Team Scores'!$F16, 3)</f>
        <v/>
      </c>
      <c r="G16" s="50">
        <f>PERCENTRANK('Team Scores'!$G$3:$G$1000, 'Team Scores'!$G16, 3)</f>
        <v/>
      </c>
      <c r="H16" s="50">
        <f>PERCENTRANK('Team Scores'!$H$3:$H$1000, 'Team Scores'!$H16, 3)</f>
        <v/>
      </c>
      <c r="I16" s="50">
        <f>PERCENTRANK('Team Scores'!$I$3:$I$1000, 'Team Scores'!$I16, 3)</f>
        <v/>
      </c>
      <c r="J16" s="50">
        <f>PERCENTRANK('Team Scores'!$J$3:$J$1000, 'Team Scores'!$J16, 3)</f>
        <v/>
      </c>
      <c r="K16" s="50">
        <f>PERCENTRANK('Team Scores'!$K$3:$K$1000, 'Team Scores'!$K16, 3)</f>
        <v/>
      </c>
      <c r="L16" s="50">
        <f>PERCENTRANK('Team Scores'!$L$3:$L$1000, 'Team Scores'!$L16, 3)</f>
        <v/>
      </c>
      <c r="M16" s="50">
        <f>PERCENTRANK('Team Scores'!$M$3:$M$1000, 'Team Scores'!$M16, 3)</f>
        <v/>
      </c>
      <c r="N16" s="50">
        <f>PERCENTRANK('Team Scores'!$N$3:$N$1000, 'Team Scores'!$N16, 3)</f>
        <v/>
      </c>
      <c r="O16" s="50">
        <f>PERCENTRANK('Team Scores'!$O$3:$O$1000, 'Team Scores'!$O16, 3)</f>
        <v/>
      </c>
      <c r="P16" s="50">
        <f>PERCENTRANK('Team Scores'!$P$3:$P$1000, 'Team Scores'!$P16, 3)</f>
        <v/>
      </c>
      <c r="Q16" s="50">
        <f>PERCENTRANK('Team Scores'!$Q$3:$Q$1000, 'Team Scores'!$Q16, 3)</f>
        <v/>
      </c>
      <c r="R16" s="50">
        <f>PERCENTRANK('Team Scores'!$R$3:$R$1000, 'Team Scores'!$R16, 3)</f>
        <v/>
      </c>
      <c r="S16" s="50">
        <f>PERCENTRANK('Team Scores'!$S$3:$S$1000, 'Team Scores'!$S16, 3)</f>
        <v/>
      </c>
      <c r="T16" s="50">
        <f>PERCENTRANK('Team Scores'!$T$3:$T$1000, 'Team Scores'!$T16, 3)</f>
        <v/>
      </c>
      <c r="U16" s="50">
        <f>PERCENTRANK('Team Scores'!$U$3:$U$1000, 'Team Scores'!$U16, 3)</f>
        <v/>
      </c>
      <c r="V16" s="50">
        <f>PERCENTRANK('Team Scores'!$V$3:$V$1000, 'Team Scores'!$V16, 3)</f>
        <v/>
      </c>
      <c r="W16" s="50">
        <f>PERCENTRANK('Team Scores'!$W$3:$W$1000, 'Team Scores'!$W16, 3)</f>
        <v/>
      </c>
      <c r="X16" s="50">
        <f>PERCENTRANK('Team Scores'!$X$3:$X$1000, 'Team Scores'!$X16, 3)</f>
        <v/>
      </c>
      <c r="Y16" s="50">
        <f>PERCENTRANK('Team Scores'!$Y$3:$Y$1000, 'Team Scores'!$Y16, 3)</f>
        <v/>
      </c>
      <c r="Z16" s="50">
        <f>PERCENTRANK('Team Scores'!$Z$3:$Z$1000, 'Team Scores'!$Z16, 3)</f>
        <v/>
      </c>
      <c r="AA16" s="50">
        <f>AVERAGE(C16:G16)</f>
        <v/>
      </c>
      <c r="AB16" s="50">
        <f>AVERAGE(H16:O16)</f>
        <v/>
      </c>
      <c r="AC16" s="50">
        <f>AVERAGE(P16:T16)</f>
        <v/>
      </c>
      <c r="AD16" s="50">
        <f>AVERAGE(U16:X16)</f>
        <v/>
      </c>
      <c r="AE16" s="50">
        <f>AVERAGE(AA16:AD16)</f>
        <v/>
      </c>
    </row>
    <row r="17">
      <c r="A17" s="47" t="n">
        <v>1787</v>
      </c>
      <c r="B17" s="47">
        <f>COUNTIF(MatchScoutingData!E$2:E$1000, $A17)</f>
        <v/>
      </c>
      <c r="C17" s="50">
        <f>PERCENTRANK('Team Scores'!$C$3:$C$1000, 'Team Scores'!$C17, 3)</f>
        <v/>
      </c>
      <c r="D17" s="50">
        <f>PERCENTRANK('Team Scores'!$D$3:$D$1000, 'Team Scores'!$D17, 3)</f>
        <v/>
      </c>
      <c r="E17" s="50">
        <f>PERCENTRANK('Team Scores'!$E$3:$E$1000, 'Team Scores'!$E17, 3)</f>
        <v/>
      </c>
      <c r="F17" s="50">
        <f>PERCENTRANK('Team Scores'!$F$3:$F$1000, 'Team Scores'!$F17, 3)</f>
        <v/>
      </c>
      <c r="G17" s="50">
        <f>PERCENTRANK('Team Scores'!$G$3:$G$1000, 'Team Scores'!$G17, 3)</f>
        <v/>
      </c>
      <c r="H17" s="50">
        <f>PERCENTRANK('Team Scores'!$H$3:$H$1000, 'Team Scores'!$H17, 3)</f>
        <v/>
      </c>
      <c r="I17" s="50">
        <f>PERCENTRANK('Team Scores'!$I$3:$I$1000, 'Team Scores'!$I17, 3)</f>
        <v/>
      </c>
      <c r="J17" s="50">
        <f>PERCENTRANK('Team Scores'!$J$3:$J$1000, 'Team Scores'!$J17, 3)</f>
        <v/>
      </c>
      <c r="K17" s="50">
        <f>PERCENTRANK('Team Scores'!$K$3:$K$1000, 'Team Scores'!$K17, 3)</f>
        <v/>
      </c>
      <c r="L17" s="50">
        <f>PERCENTRANK('Team Scores'!$L$3:$L$1000, 'Team Scores'!$L17, 3)</f>
        <v/>
      </c>
      <c r="M17" s="50">
        <f>PERCENTRANK('Team Scores'!$M$3:$M$1000, 'Team Scores'!$M17, 3)</f>
        <v/>
      </c>
      <c r="N17" s="50">
        <f>PERCENTRANK('Team Scores'!$N$3:$N$1000, 'Team Scores'!$N17, 3)</f>
        <v/>
      </c>
      <c r="O17" s="50">
        <f>PERCENTRANK('Team Scores'!$O$3:$O$1000, 'Team Scores'!$O17, 3)</f>
        <v/>
      </c>
      <c r="P17" s="50">
        <f>PERCENTRANK('Team Scores'!$P$3:$P$1000, 'Team Scores'!$P17, 3)</f>
        <v/>
      </c>
      <c r="Q17" s="50">
        <f>PERCENTRANK('Team Scores'!$Q$3:$Q$1000, 'Team Scores'!$Q17, 3)</f>
        <v/>
      </c>
      <c r="R17" s="50">
        <f>PERCENTRANK('Team Scores'!$R$3:$R$1000, 'Team Scores'!$R17, 3)</f>
        <v/>
      </c>
      <c r="S17" s="50">
        <f>PERCENTRANK('Team Scores'!$S$3:$S$1000, 'Team Scores'!$S17, 3)</f>
        <v/>
      </c>
      <c r="T17" s="50">
        <f>PERCENTRANK('Team Scores'!$T$3:$T$1000, 'Team Scores'!$T17, 3)</f>
        <v/>
      </c>
      <c r="U17" s="50">
        <f>PERCENTRANK('Team Scores'!$U$3:$U$1000, 'Team Scores'!$U17, 3)</f>
        <v/>
      </c>
      <c r="V17" s="50">
        <f>PERCENTRANK('Team Scores'!$V$3:$V$1000, 'Team Scores'!$V17, 3)</f>
        <v/>
      </c>
      <c r="W17" s="50">
        <f>PERCENTRANK('Team Scores'!$W$3:$W$1000, 'Team Scores'!$W17, 3)</f>
        <v/>
      </c>
      <c r="X17" s="50">
        <f>PERCENTRANK('Team Scores'!$X$3:$X$1000, 'Team Scores'!$X17, 3)</f>
        <v/>
      </c>
      <c r="Y17" s="50">
        <f>PERCENTRANK('Team Scores'!$Y$3:$Y$1000, 'Team Scores'!$Y17, 3)</f>
        <v/>
      </c>
      <c r="Z17" s="50">
        <f>PERCENTRANK('Team Scores'!$Z$3:$Z$1000, 'Team Scores'!$Z17, 3)</f>
        <v/>
      </c>
      <c r="AA17" s="50">
        <f>AVERAGE(C17:G17)</f>
        <v/>
      </c>
      <c r="AB17" s="50">
        <f>AVERAGE(H17:O17)</f>
        <v/>
      </c>
      <c r="AC17" s="50">
        <f>AVERAGE(P17:T17)</f>
        <v/>
      </c>
      <c r="AD17" s="50">
        <f>AVERAGE(U17:X17)</f>
        <v/>
      </c>
      <c r="AE17" s="50">
        <f>AVERAGE(AA17:AD17)</f>
        <v/>
      </c>
    </row>
    <row r="18">
      <c r="A18" s="47" t="n">
        <v>2010</v>
      </c>
      <c r="B18" s="47">
        <f>COUNTIF(MatchScoutingData!E$2:E$1000, $A18)</f>
        <v/>
      </c>
      <c r="C18" s="50">
        <f>PERCENTRANK('Team Scores'!$C$3:$C$1000, 'Team Scores'!$C18, 3)</f>
        <v/>
      </c>
      <c r="D18" s="50">
        <f>PERCENTRANK('Team Scores'!$D$3:$D$1000, 'Team Scores'!$D18, 3)</f>
        <v/>
      </c>
      <c r="E18" s="50">
        <f>PERCENTRANK('Team Scores'!$E$3:$E$1000, 'Team Scores'!$E18, 3)</f>
        <v/>
      </c>
      <c r="F18" s="50">
        <f>PERCENTRANK('Team Scores'!$F$3:$F$1000, 'Team Scores'!$F18, 3)</f>
        <v/>
      </c>
      <c r="G18" s="50">
        <f>PERCENTRANK('Team Scores'!$G$3:$G$1000, 'Team Scores'!$G18, 3)</f>
        <v/>
      </c>
      <c r="H18" s="50">
        <f>PERCENTRANK('Team Scores'!$H$3:$H$1000, 'Team Scores'!$H18, 3)</f>
        <v/>
      </c>
      <c r="I18" s="50">
        <f>PERCENTRANK('Team Scores'!$I$3:$I$1000, 'Team Scores'!$I18, 3)</f>
        <v/>
      </c>
      <c r="J18" s="50">
        <f>PERCENTRANK('Team Scores'!$J$3:$J$1000, 'Team Scores'!$J18, 3)</f>
        <v/>
      </c>
      <c r="K18" s="50">
        <f>PERCENTRANK('Team Scores'!$K$3:$K$1000, 'Team Scores'!$K18, 3)</f>
        <v/>
      </c>
      <c r="L18" s="50">
        <f>PERCENTRANK('Team Scores'!$L$3:$L$1000, 'Team Scores'!$L18, 3)</f>
        <v/>
      </c>
      <c r="M18" s="50">
        <f>PERCENTRANK('Team Scores'!$M$3:$M$1000, 'Team Scores'!$M18, 3)</f>
        <v/>
      </c>
      <c r="N18" s="50">
        <f>PERCENTRANK('Team Scores'!$N$3:$N$1000, 'Team Scores'!$N18, 3)</f>
        <v/>
      </c>
      <c r="O18" s="50">
        <f>PERCENTRANK('Team Scores'!$O$3:$O$1000, 'Team Scores'!$O18, 3)</f>
        <v/>
      </c>
      <c r="P18" s="50">
        <f>PERCENTRANK('Team Scores'!$P$3:$P$1000, 'Team Scores'!$P18, 3)</f>
        <v/>
      </c>
      <c r="Q18" s="50">
        <f>PERCENTRANK('Team Scores'!$Q$3:$Q$1000, 'Team Scores'!$Q18, 3)</f>
        <v/>
      </c>
      <c r="R18" s="50">
        <f>PERCENTRANK('Team Scores'!$R$3:$R$1000, 'Team Scores'!$R18, 3)</f>
        <v/>
      </c>
      <c r="S18" s="50">
        <f>PERCENTRANK('Team Scores'!$S$3:$S$1000, 'Team Scores'!$S18, 3)</f>
        <v/>
      </c>
      <c r="T18" s="50">
        <f>PERCENTRANK('Team Scores'!$T$3:$T$1000, 'Team Scores'!$T18, 3)</f>
        <v/>
      </c>
      <c r="U18" s="50">
        <f>PERCENTRANK('Team Scores'!$U$3:$U$1000, 'Team Scores'!$U18, 3)</f>
        <v/>
      </c>
      <c r="V18" s="50">
        <f>PERCENTRANK('Team Scores'!$V$3:$V$1000, 'Team Scores'!$V18, 3)</f>
        <v/>
      </c>
      <c r="W18" s="50">
        <f>PERCENTRANK('Team Scores'!$W$3:$W$1000, 'Team Scores'!$W18, 3)</f>
        <v/>
      </c>
      <c r="X18" s="50">
        <f>PERCENTRANK('Team Scores'!$X$3:$X$1000, 'Team Scores'!$X18, 3)</f>
        <v/>
      </c>
      <c r="Y18" s="50">
        <f>PERCENTRANK('Team Scores'!$Y$3:$Y$1000, 'Team Scores'!$Y18, 3)</f>
        <v/>
      </c>
      <c r="Z18" s="50">
        <f>PERCENTRANK('Team Scores'!$Z$3:$Z$1000, 'Team Scores'!$Z18, 3)</f>
        <v/>
      </c>
      <c r="AA18" s="50">
        <f>AVERAGE(C18:G18)</f>
        <v/>
      </c>
      <c r="AB18" s="50">
        <f>AVERAGE(H18:O18)</f>
        <v/>
      </c>
      <c r="AC18" s="50">
        <f>AVERAGE(P18:T18)</f>
        <v/>
      </c>
      <c r="AD18" s="50">
        <f>AVERAGE(U18:X18)</f>
        <v/>
      </c>
      <c r="AE18" s="50">
        <f>AVERAGE(AA18:AD18)</f>
        <v/>
      </c>
    </row>
    <row r="19">
      <c r="A19" s="47" t="n">
        <v>2172</v>
      </c>
      <c r="B19" s="47">
        <f>COUNTIF(MatchScoutingData!E$2:E$1000, $A19)</f>
        <v/>
      </c>
      <c r="C19" s="50">
        <f>PERCENTRANK('Team Scores'!$C$3:$C$1000, 'Team Scores'!$C19, 3)</f>
        <v/>
      </c>
      <c r="D19" s="50">
        <f>PERCENTRANK('Team Scores'!$D$3:$D$1000, 'Team Scores'!$D19, 3)</f>
        <v/>
      </c>
      <c r="E19" s="50">
        <f>PERCENTRANK('Team Scores'!$E$3:$E$1000, 'Team Scores'!$E19, 3)</f>
        <v/>
      </c>
      <c r="F19" s="50">
        <f>PERCENTRANK('Team Scores'!$F$3:$F$1000, 'Team Scores'!$F19, 3)</f>
        <v/>
      </c>
      <c r="G19" s="50">
        <f>PERCENTRANK('Team Scores'!$G$3:$G$1000, 'Team Scores'!$G19, 3)</f>
        <v/>
      </c>
      <c r="H19" s="50">
        <f>PERCENTRANK('Team Scores'!$H$3:$H$1000, 'Team Scores'!$H19, 3)</f>
        <v/>
      </c>
      <c r="I19" s="50">
        <f>PERCENTRANK('Team Scores'!$I$3:$I$1000, 'Team Scores'!$I19, 3)</f>
        <v/>
      </c>
      <c r="J19" s="50">
        <f>PERCENTRANK('Team Scores'!$J$3:$J$1000, 'Team Scores'!$J19, 3)</f>
        <v/>
      </c>
      <c r="K19" s="50">
        <f>PERCENTRANK('Team Scores'!$K$3:$K$1000, 'Team Scores'!$K19, 3)</f>
        <v/>
      </c>
      <c r="L19" s="50">
        <f>PERCENTRANK('Team Scores'!$L$3:$L$1000, 'Team Scores'!$L19, 3)</f>
        <v/>
      </c>
      <c r="M19" s="50">
        <f>PERCENTRANK('Team Scores'!$M$3:$M$1000, 'Team Scores'!$M19, 3)</f>
        <v/>
      </c>
      <c r="N19" s="50">
        <f>PERCENTRANK('Team Scores'!$N$3:$N$1000, 'Team Scores'!$N19, 3)</f>
        <v/>
      </c>
      <c r="O19" s="50">
        <f>PERCENTRANK('Team Scores'!$O$3:$O$1000, 'Team Scores'!$O19, 3)</f>
        <v/>
      </c>
      <c r="P19" s="50">
        <f>PERCENTRANK('Team Scores'!$P$3:$P$1000, 'Team Scores'!$P19, 3)</f>
        <v/>
      </c>
      <c r="Q19" s="50">
        <f>PERCENTRANK('Team Scores'!$Q$3:$Q$1000, 'Team Scores'!$Q19, 3)</f>
        <v/>
      </c>
      <c r="R19" s="50">
        <f>PERCENTRANK('Team Scores'!$R$3:$R$1000, 'Team Scores'!$R19, 3)</f>
        <v/>
      </c>
      <c r="S19" s="50">
        <f>PERCENTRANK('Team Scores'!$S$3:$S$1000, 'Team Scores'!$S19, 3)</f>
        <v/>
      </c>
      <c r="T19" s="50">
        <f>PERCENTRANK('Team Scores'!$T$3:$T$1000, 'Team Scores'!$T19, 3)</f>
        <v/>
      </c>
      <c r="U19" s="50">
        <f>PERCENTRANK('Team Scores'!$U$3:$U$1000, 'Team Scores'!$U19, 3)</f>
        <v/>
      </c>
      <c r="V19" s="50">
        <f>PERCENTRANK('Team Scores'!$V$3:$V$1000, 'Team Scores'!$V19, 3)</f>
        <v/>
      </c>
      <c r="W19" s="50">
        <f>PERCENTRANK('Team Scores'!$W$3:$W$1000, 'Team Scores'!$W19, 3)</f>
        <v/>
      </c>
      <c r="X19" s="50">
        <f>PERCENTRANK('Team Scores'!$X$3:$X$1000, 'Team Scores'!$X19, 3)</f>
        <v/>
      </c>
      <c r="Y19" s="50">
        <f>PERCENTRANK('Team Scores'!$Y$3:$Y$1000, 'Team Scores'!$Y19, 3)</f>
        <v/>
      </c>
      <c r="Z19" s="50">
        <f>PERCENTRANK('Team Scores'!$Z$3:$Z$1000, 'Team Scores'!$Z19, 3)</f>
        <v/>
      </c>
      <c r="AA19" s="50">
        <f>AVERAGE(C19:G19)</f>
        <v/>
      </c>
      <c r="AB19" s="50">
        <f>AVERAGE(H19:O19)</f>
        <v/>
      </c>
      <c r="AC19" s="50">
        <f>AVERAGE(P19:T19)</f>
        <v/>
      </c>
      <c r="AD19" s="50">
        <f>AVERAGE(U19:X19)</f>
        <v/>
      </c>
      <c r="AE19" s="50">
        <f>AVERAGE(AA19:AD19)</f>
        <v/>
      </c>
    </row>
    <row r="20">
      <c r="A20" s="47" t="n">
        <v>2228</v>
      </c>
      <c r="B20" s="47">
        <f>COUNTIF(MatchScoutingData!E$2:E$1000, $A20)</f>
        <v/>
      </c>
      <c r="C20" s="50">
        <f>PERCENTRANK('Team Scores'!$C$3:$C$1000, 'Team Scores'!$C20, 3)</f>
        <v/>
      </c>
      <c r="D20" s="50">
        <f>PERCENTRANK('Team Scores'!$D$3:$D$1000, 'Team Scores'!$D20, 3)</f>
        <v/>
      </c>
      <c r="E20" s="50">
        <f>PERCENTRANK('Team Scores'!$E$3:$E$1000, 'Team Scores'!$E20, 3)</f>
        <v/>
      </c>
      <c r="F20" s="50">
        <f>PERCENTRANK('Team Scores'!$F$3:$F$1000, 'Team Scores'!$F20, 3)</f>
        <v/>
      </c>
      <c r="G20" s="50">
        <f>PERCENTRANK('Team Scores'!$G$3:$G$1000, 'Team Scores'!$G20, 3)</f>
        <v/>
      </c>
      <c r="H20" s="50">
        <f>PERCENTRANK('Team Scores'!$H$3:$H$1000, 'Team Scores'!$H20, 3)</f>
        <v/>
      </c>
      <c r="I20" s="50">
        <f>PERCENTRANK('Team Scores'!$I$3:$I$1000, 'Team Scores'!$I20, 3)</f>
        <v/>
      </c>
      <c r="J20" s="50">
        <f>PERCENTRANK('Team Scores'!$J$3:$J$1000, 'Team Scores'!$J20, 3)</f>
        <v/>
      </c>
      <c r="K20" s="50">
        <f>PERCENTRANK('Team Scores'!$K$3:$K$1000, 'Team Scores'!$K20, 3)</f>
        <v/>
      </c>
      <c r="L20" s="50">
        <f>PERCENTRANK('Team Scores'!$L$3:$L$1000, 'Team Scores'!$L20, 3)</f>
        <v/>
      </c>
      <c r="M20" s="50">
        <f>PERCENTRANK('Team Scores'!$M$3:$M$1000, 'Team Scores'!$M20, 3)</f>
        <v/>
      </c>
      <c r="N20" s="50">
        <f>PERCENTRANK('Team Scores'!$N$3:$N$1000, 'Team Scores'!$N20, 3)</f>
        <v/>
      </c>
      <c r="O20" s="50">
        <f>PERCENTRANK('Team Scores'!$O$3:$O$1000, 'Team Scores'!$O20, 3)</f>
        <v/>
      </c>
      <c r="P20" s="50">
        <f>PERCENTRANK('Team Scores'!$P$3:$P$1000, 'Team Scores'!$P20, 3)</f>
        <v/>
      </c>
      <c r="Q20" s="50">
        <f>PERCENTRANK('Team Scores'!$Q$3:$Q$1000, 'Team Scores'!$Q20, 3)</f>
        <v/>
      </c>
      <c r="R20" s="50">
        <f>PERCENTRANK('Team Scores'!$R$3:$R$1000, 'Team Scores'!$R20, 3)</f>
        <v/>
      </c>
      <c r="S20" s="50">
        <f>PERCENTRANK('Team Scores'!$S$3:$S$1000, 'Team Scores'!$S20, 3)</f>
        <v/>
      </c>
      <c r="T20" s="50">
        <f>PERCENTRANK('Team Scores'!$T$3:$T$1000, 'Team Scores'!$T20, 3)</f>
        <v/>
      </c>
      <c r="U20" s="50">
        <f>PERCENTRANK('Team Scores'!$U$3:$U$1000, 'Team Scores'!$U20, 3)</f>
        <v/>
      </c>
      <c r="V20" s="50">
        <f>PERCENTRANK('Team Scores'!$V$3:$V$1000, 'Team Scores'!$V20, 3)</f>
        <v/>
      </c>
      <c r="W20" s="50">
        <f>PERCENTRANK('Team Scores'!$W$3:$W$1000, 'Team Scores'!$W20, 3)</f>
        <v/>
      </c>
      <c r="X20" s="50">
        <f>PERCENTRANK('Team Scores'!$X$3:$X$1000, 'Team Scores'!$X20, 3)</f>
        <v/>
      </c>
      <c r="Y20" s="50">
        <f>PERCENTRANK('Team Scores'!$Y$3:$Y$1000, 'Team Scores'!$Y20, 3)</f>
        <v/>
      </c>
      <c r="Z20" s="50">
        <f>PERCENTRANK('Team Scores'!$Z$3:$Z$1000, 'Team Scores'!$Z20, 3)</f>
        <v/>
      </c>
      <c r="AA20" s="50">
        <f>AVERAGE(C20:G20)</f>
        <v/>
      </c>
      <c r="AB20" s="50">
        <f>AVERAGE(H20:O20)</f>
        <v/>
      </c>
      <c r="AC20" s="50">
        <f>AVERAGE(P20:T20)</f>
        <v/>
      </c>
      <c r="AD20" s="50">
        <f>AVERAGE(U20:X20)</f>
        <v/>
      </c>
      <c r="AE20" s="50">
        <f>AVERAGE(AA20:AD20)</f>
        <v/>
      </c>
    </row>
    <row r="21">
      <c r="A21" s="47" t="n">
        <v>2252</v>
      </c>
      <c r="B21" s="47">
        <f>COUNTIF(MatchScoutingData!E$2:E$1000, $A21)</f>
        <v/>
      </c>
      <c r="C21" s="50">
        <f>PERCENTRANK('Team Scores'!$C$3:$C$1000, 'Team Scores'!$C21, 3)</f>
        <v/>
      </c>
      <c r="D21" s="50">
        <f>PERCENTRANK('Team Scores'!$D$3:$D$1000, 'Team Scores'!$D21, 3)</f>
        <v/>
      </c>
      <c r="E21" s="50">
        <f>PERCENTRANK('Team Scores'!$E$3:$E$1000, 'Team Scores'!$E21, 3)</f>
        <v/>
      </c>
      <c r="F21" s="50">
        <f>PERCENTRANK('Team Scores'!$F$3:$F$1000, 'Team Scores'!$F21, 3)</f>
        <v/>
      </c>
      <c r="G21" s="50">
        <f>PERCENTRANK('Team Scores'!$G$3:$G$1000, 'Team Scores'!$G21, 3)</f>
        <v/>
      </c>
      <c r="H21" s="50">
        <f>PERCENTRANK('Team Scores'!$H$3:$H$1000, 'Team Scores'!$H21, 3)</f>
        <v/>
      </c>
      <c r="I21" s="50">
        <f>PERCENTRANK('Team Scores'!$I$3:$I$1000, 'Team Scores'!$I21, 3)</f>
        <v/>
      </c>
      <c r="J21" s="50">
        <f>PERCENTRANK('Team Scores'!$J$3:$J$1000, 'Team Scores'!$J21, 3)</f>
        <v/>
      </c>
      <c r="K21" s="50">
        <f>PERCENTRANK('Team Scores'!$K$3:$K$1000, 'Team Scores'!$K21, 3)</f>
        <v/>
      </c>
      <c r="L21" s="50">
        <f>PERCENTRANK('Team Scores'!$L$3:$L$1000, 'Team Scores'!$L21, 3)</f>
        <v/>
      </c>
      <c r="M21" s="50">
        <f>PERCENTRANK('Team Scores'!$M$3:$M$1000, 'Team Scores'!$M21, 3)</f>
        <v/>
      </c>
      <c r="N21" s="50">
        <f>PERCENTRANK('Team Scores'!$N$3:$N$1000, 'Team Scores'!$N21, 3)</f>
        <v/>
      </c>
      <c r="O21" s="50">
        <f>PERCENTRANK('Team Scores'!$O$3:$O$1000, 'Team Scores'!$O21, 3)</f>
        <v/>
      </c>
      <c r="P21" s="50">
        <f>PERCENTRANK('Team Scores'!$P$3:$P$1000, 'Team Scores'!$P21, 3)</f>
        <v/>
      </c>
      <c r="Q21" s="50">
        <f>PERCENTRANK('Team Scores'!$Q$3:$Q$1000, 'Team Scores'!$Q21, 3)</f>
        <v/>
      </c>
      <c r="R21" s="50">
        <f>PERCENTRANK('Team Scores'!$R$3:$R$1000, 'Team Scores'!$R21, 3)</f>
        <v/>
      </c>
      <c r="S21" s="50">
        <f>PERCENTRANK('Team Scores'!$S$3:$S$1000, 'Team Scores'!$S21, 3)</f>
        <v/>
      </c>
      <c r="T21" s="50">
        <f>PERCENTRANK('Team Scores'!$T$3:$T$1000, 'Team Scores'!$T21, 3)</f>
        <v/>
      </c>
      <c r="U21" s="50">
        <f>PERCENTRANK('Team Scores'!$U$3:$U$1000, 'Team Scores'!$U21, 3)</f>
        <v/>
      </c>
      <c r="V21" s="50">
        <f>PERCENTRANK('Team Scores'!$V$3:$V$1000, 'Team Scores'!$V21, 3)</f>
        <v/>
      </c>
      <c r="W21" s="50">
        <f>PERCENTRANK('Team Scores'!$W$3:$W$1000, 'Team Scores'!$W21, 3)</f>
        <v/>
      </c>
      <c r="X21" s="50">
        <f>PERCENTRANK('Team Scores'!$X$3:$X$1000, 'Team Scores'!$X21, 3)</f>
        <v/>
      </c>
      <c r="Y21" s="50">
        <f>PERCENTRANK('Team Scores'!$Y$3:$Y$1000, 'Team Scores'!$Y21, 3)</f>
        <v/>
      </c>
      <c r="Z21" s="50">
        <f>PERCENTRANK('Team Scores'!$Z$3:$Z$1000, 'Team Scores'!$Z21, 3)</f>
        <v/>
      </c>
      <c r="AA21" s="50">
        <f>AVERAGE(C21:G21)</f>
        <v/>
      </c>
      <c r="AB21" s="50">
        <f>AVERAGE(H21:O21)</f>
        <v/>
      </c>
      <c r="AC21" s="50">
        <f>AVERAGE(P21:T21)</f>
        <v/>
      </c>
      <c r="AD21" s="50">
        <f>AVERAGE(U21:X21)</f>
        <v/>
      </c>
      <c r="AE21" s="50">
        <f>AVERAGE(AA21:AD21)</f>
        <v/>
      </c>
    </row>
    <row r="22">
      <c r="A22" s="47" t="n">
        <v>2338</v>
      </c>
      <c r="B22" s="47">
        <f>COUNTIF(MatchScoutingData!E$2:E$1000, $A22)</f>
        <v/>
      </c>
      <c r="C22" s="50">
        <f>PERCENTRANK('Team Scores'!$C$3:$C$1000, 'Team Scores'!$C22, 3)</f>
        <v/>
      </c>
      <c r="D22" s="50">
        <f>PERCENTRANK('Team Scores'!$D$3:$D$1000, 'Team Scores'!$D22, 3)</f>
        <v/>
      </c>
      <c r="E22" s="50">
        <f>PERCENTRANK('Team Scores'!$E$3:$E$1000, 'Team Scores'!$E22, 3)</f>
        <v/>
      </c>
      <c r="F22" s="50">
        <f>PERCENTRANK('Team Scores'!$F$3:$F$1000, 'Team Scores'!$F22, 3)</f>
        <v/>
      </c>
      <c r="G22" s="50">
        <f>PERCENTRANK('Team Scores'!$G$3:$G$1000, 'Team Scores'!$G22, 3)</f>
        <v/>
      </c>
      <c r="H22" s="50">
        <f>PERCENTRANK('Team Scores'!$H$3:$H$1000, 'Team Scores'!$H22, 3)</f>
        <v/>
      </c>
      <c r="I22" s="50">
        <f>PERCENTRANK('Team Scores'!$I$3:$I$1000, 'Team Scores'!$I22, 3)</f>
        <v/>
      </c>
      <c r="J22" s="50">
        <f>PERCENTRANK('Team Scores'!$J$3:$J$1000, 'Team Scores'!$J22, 3)</f>
        <v/>
      </c>
      <c r="K22" s="50">
        <f>PERCENTRANK('Team Scores'!$K$3:$K$1000, 'Team Scores'!$K22, 3)</f>
        <v/>
      </c>
      <c r="L22" s="50">
        <f>PERCENTRANK('Team Scores'!$L$3:$L$1000, 'Team Scores'!$L22, 3)</f>
        <v/>
      </c>
      <c r="M22" s="50">
        <f>PERCENTRANK('Team Scores'!$M$3:$M$1000, 'Team Scores'!$M22, 3)</f>
        <v/>
      </c>
      <c r="N22" s="50">
        <f>PERCENTRANK('Team Scores'!$N$3:$N$1000, 'Team Scores'!$N22, 3)</f>
        <v/>
      </c>
      <c r="O22" s="50">
        <f>PERCENTRANK('Team Scores'!$O$3:$O$1000, 'Team Scores'!$O22, 3)</f>
        <v/>
      </c>
      <c r="P22" s="50">
        <f>PERCENTRANK('Team Scores'!$P$3:$P$1000, 'Team Scores'!$P22, 3)</f>
        <v/>
      </c>
      <c r="Q22" s="50">
        <f>PERCENTRANK('Team Scores'!$Q$3:$Q$1000, 'Team Scores'!$Q22, 3)</f>
        <v/>
      </c>
      <c r="R22" s="50">
        <f>PERCENTRANK('Team Scores'!$R$3:$R$1000, 'Team Scores'!$R22, 3)</f>
        <v/>
      </c>
      <c r="S22" s="50">
        <f>PERCENTRANK('Team Scores'!$S$3:$S$1000, 'Team Scores'!$S22, 3)</f>
        <v/>
      </c>
      <c r="T22" s="50">
        <f>PERCENTRANK('Team Scores'!$T$3:$T$1000, 'Team Scores'!$T22, 3)</f>
        <v/>
      </c>
      <c r="U22" s="50">
        <f>PERCENTRANK('Team Scores'!$U$3:$U$1000, 'Team Scores'!$U22, 3)</f>
        <v/>
      </c>
      <c r="V22" s="50">
        <f>PERCENTRANK('Team Scores'!$V$3:$V$1000, 'Team Scores'!$V22, 3)</f>
        <v/>
      </c>
      <c r="W22" s="50">
        <f>PERCENTRANK('Team Scores'!$W$3:$W$1000, 'Team Scores'!$W22, 3)</f>
        <v/>
      </c>
      <c r="X22" s="50">
        <f>PERCENTRANK('Team Scores'!$X$3:$X$1000, 'Team Scores'!$X22, 3)</f>
        <v/>
      </c>
      <c r="Y22" s="50">
        <f>PERCENTRANK('Team Scores'!$Y$3:$Y$1000, 'Team Scores'!$Y22, 3)</f>
        <v/>
      </c>
      <c r="Z22" s="50">
        <f>PERCENTRANK('Team Scores'!$Z$3:$Z$1000, 'Team Scores'!$Z22, 3)</f>
        <v/>
      </c>
      <c r="AA22" s="50">
        <f>AVERAGE(C22:G22)</f>
        <v/>
      </c>
      <c r="AB22" s="50">
        <f>AVERAGE(H22:O22)</f>
        <v/>
      </c>
      <c r="AC22" s="50">
        <f>AVERAGE(P22:T22)</f>
        <v/>
      </c>
      <c r="AD22" s="50">
        <f>AVERAGE(U22:X22)</f>
        <v/>
      </c>
      <c r="AE22" s="50">
        <f>AVERAGE(AA22:AD22)</f>
        <v/>
      </c>
    </row>
    <row r="23">
      <c r="A23" s="47" t="n">
        <v>2399</v>
      </c>
      <c r="B23" s="47">
        <f>COUNTIF(MatchScoutingData!E$2:E$1000, $A23)</f>
        <v/>
      </c>
      <c r="C23" s="50">
        <f>PERCENTRANK('Team Scores'!$C$3:$C$1000, 'Team Scores'!$C23, 3)</f>
        <v/>
      </c>
      <c r="D23" s="50">
        <f>PERCENTRANK('Team Scores'!$D$3:$D$1000, 'Team Scores'!$D23, 3)</f>
        <v/>
      </c>
      <c r="E23" s="50">
        <f>PERCENTRANK('Team Scores'!$E$3:$E$1000, 'Team Scores'!$E23, 3)</f>
        <v/>
      </c>
      <c r="F23" s="50">
        <f>PERCENTRANK('Team Scores'!$F$3:$F$1000, 'Team Scores'!$F23, 3)</f>
        <v/>
      </c>
      <c r="G23" s="50">
        <f>PERCENTRANK('Team Scores'!$G$3:$G$1000, 'Team Scores'!$G23, 3)</f>
        <v/>
      </c>
      <c r="H23" s="50">
        <f>PERCENTRANK('Team Scores'!$H$3:$H$1000, 'Team Scores'!$H23, 3)</f>
        <v/>
      </c>
      <c r="I23" s="50">
        <f>PERCENTRANK('Team Scores'!$I$3:$I$1000, 'Team Scores'!$I23, 3)</f>
        <v/>
      </c>
      <c r="J23" s="50">
        <f>PERCENTRANK('Team Scores'!$J$3:$J$1000, 'Team Scores'!$J23, 3)</f>
        <v/>
      </c>
      <c r="K23" s="50">
        <f>PERCENTRANK('Team Scores'!$K$3:$K$1000, 'Team Scores'!$K23, 3)</f>
        <v/>
      </c>
      <c r="L23" s="50">
        <f>PERCENTRANK('Team Scores'!$L$3:$L$1000, 'Team Scores'!$L23, 3)</f>
        <v/>
      </c>
      <c r="M23" s="50">
        <f>PERCENTRANK('Team Scores'!$M$3:$M$1000, 'Team Scores'!$M23, 3)</f>
        <v/>
      </c>
      <c r="N23" s="50">
        <f>PERCENTRANK('Team Scores'!$N$3:$N$1000, 'Team Scores'!$N23, 3)</f>
        <v/>
      </c>
      <c r="O23" s="50">
        <f>PERCENTRANK('Team Scores'!$O$3:$O$1000, 'Team Scores'!$O23, 3)</f>
        <v/>
      </c>
      <c r="P23" s="50">
        <f>PERCENTRANK('Team Scores'!$P$3:$P$1000, 'Team Scores'!$P23, 3)</f>
        <v/>
      </c>
      <c r="Q23" s="50">
        <f>PERCENTRANK('Team Scores'!$Q$3:$Q$1000, 'Team Scores'!$Q23, 3)</f>
        <v/>
      </c>
      <c r="R23" s="50">
        <f>PERCENTRANK('Team Scores'!$R$3:$R$1000, 'Team Scores'!$R23, 3)</f>
        <v/>
      </c>
      <c r="S23" s="50">
        <f>PERCENTRANK('Team Scores'!$S$3:$S$1000, 'Team Scores'!$S23, 3)</f>
        <v/>
      </c>
      <c r="T23" s="50">
        <f>PERCENTRANK('Team Scores'!$T$3:$T$1000, 'Team Scores'!$T23, 3)</f>
        <v/>
      </c>
      <c r="U23" s="50">
        <f>PERCENTRANK('Team Scores'!$U$3:$U$1000, 'Team Scores'!$U23, 3)</f>
        <v/>
      </c>
      <c r="V23" s="50">
        <f>PERCENTRANK('Team Scores'!$V$3:$V$1000, 'Team Scores'!$V23, 3)</f>
        <v/>
      </c>
      <c r="W23" s="50">
        <f>PERCENTRANK('Team Scores'!$W$3:$W$1000, 'Team Scores'!$W23, 3)</f>
        <v/>
      </c>
      <c r="X23" s="50">
        <f>PERCENTRANK('Team Scores'!$X$3:$X$1000, 'Team Scores'!$X23, 3)</f>
        <v/>
      </c>
      <c r="Y23" s="50">
        <f>PERCENTRANK('Team Scores'!$Y$3:$Y$1000, 'Team Scores'!$Y23, 3)</f>
        <v/>
      </c>
      <c r="Z23" s="50">
        <f>PERCENTRANK('Team Scores'!$Z$3:$Z$1000, 'Team Scores'!$Z23, 3)</f>
        <v/>
      </c>
      <c r="AA23" s="50">
        <f>AVERAGE(C23:G23)</f>
        <v/>
      </c>
      <c r="AB23" s="50">
        <f>AVERAGE(H23:O23)</f>
        <v/>
      </c>
      <c r="AC23" s="50">
        <f>AVERAGE(P23:T23)</f>
        <v/>
      </c>
      <c r="AD23" s="50">
        <f>AVERAGE(U23:X23)</f>
        <v/>
      </c>
      <c r="AE23" s="50">
        <f>AVERAGE(AA23:AD23)</f>
        <v/>
      </c>
    </row>
    <row r="24">
      <c r="A24" s="47" t="n">
        <v>2603</v>
      </c>
      <c r="B24" s="47">
        <f>COUNTIF(MatchScoutingData!E$2:E$1000, $A24)</f>
        <v/>
      </c>
      <c r="C24" s="50">
        <f>PERCENTRANK('Team Scores'!$C$3:$C$1000, 'Team Scores'!$C24, 3)</f>
        <v/>
      </c>
      <c r="D24" s="50">
        <f>PERCENTRANK('Team Scores'!$D$3:$D$1000, 'Team Scores'!$D24, 3)</f>
        <v/>
      </c>
      <c r="E24" s="50">
        <f>PERCENTRANK('Team Scores'!$E$3:$E$1000, 'Team Scores'!$E24, 3)</f>
        <v/>
      </c>
      <c r="F24" s="50">
        <f>PERCENTRANK('Team Scores'!$F$3:$F$1000, 'Team Scores'!$F24, 3)</f>
        <v/>
      </c>
      <c r="G24" s="50">
        <f>PERCENTRANK('Team Scores'!$G$3:$G$1000, 'Team Scores'!$G24, 3)</f>
        <v/>
      </c>
      <c r="H24" s="50">
        <f>PERCENTRANK('Team Scores'!$H$3:$H$1000, 'Team Scores'!$H24, 3)</f>
        <v/>
      </c>
      <c r="I24" s="50">
        <f>PERCENTRANK('Team Scores'!$I$3:$I$1000, 'Team Scores'!$I24, 3)</f>
        <v/>
      </c>
      <c r="J24" s="50">
        <f>PERCENTRANK('Team Scores'!$J$3:$J$1000, 'Team Scores'!$J24, 3)</f>
        <v/>
      </c>
      <c r="K24" s="50">
        <f>PERCENTRANK('Team Scores'!$K$3:$K$1000, 'Team Scores'!$K24, 3)</f>
        <v/>
      </c>
      <c r="L24" s="50">
        <f>PERCENTRANK('Team Scores'!$L$3:$L$1000, 'Team Scores'!$L24, 3)</f>
        <v/>
      </c>
      <c r="M24" s="50">
        <f>PERCENTRANK('Team Scores'!$M$3:$M$1000, 'Team Scores'!$M24, 3)</f>
        <v/>
      </c>
      <c r="N24" s="50">
        <f>PERCENTRANK('Team Scores'!$N$3:$N$1000, 'Team Scores'!$N24, 3)</f>
        <v/>
      </c>
      <c r="O24" s="50">
        <f>PERCENTRANK('Team Scores'!$O$3:$O$1000, 'Team Scores'!$O24, 3)</f>
        <v/>
      </c>
      <c r="P24" s="50">
        <f>PERCENTRANK('Team Scores'!$P$3:$P$1000, 'Team Scores'!$P24, 3)</f>
        <v/>
      </c>
      <c r="Q24" s="50">
        <f>PERCENTRANK('Team Scores'!$Q$3:$Q$1000, 'Team Scores'!$Q24, 3)</f>
        <v/>
      </c>
      <c r="R24" s="50">
        <f>PERCENTRANK('Team Scores'!$R$3:$R$1000, 'Team Scores'!$R24, 3)</f>
        <v/>
      </c>
      <c r="S24" s="50">
        <f>PERCENTRANK('Team Scores'!$S$3:$S$1000, 'Team Scores'!$S24, 3)</f>
        <v/>
      </c>
      <c r="T24" s="50">
        <f>PERCENTRANK('Team Scores'!$T$3:$T$1000, 'Team Scores'!$T24, 3)</f>
        <v/>
      </c>
      <c r="U24" s="50">
        <f>PERCENTRANK('Team Scores'!$U$3:$U$1000, 'Team Scores'!$U24, 3)</f>
        <v/>
      </c>
      <c r="V24" s="50">
        <f>PERCENTRANK('Team Scores'!$V$3:$V$1000, 'Team Scores'!$V24, 3)</f>
        <v/>
      </c>
      <c r="W24" s="50">
        <f>PERCENTRANK('Team Scores'!$W$3:$W$1000, 'Team Scores'!$W24, 3)</f>
        <v/>
      </c>
      <c r="X24" s="50">
        <f>PERCENTRANK('Team Scores'!$X$3:$X$1000, 'Team Scores'!$X24, 3)</f>
        <v/>
      </c>
      <c r="Y24" s="50">
        <f>PERCENTRANK('Team Scores'!$Y$3:$Y$1000, 'Team Scores'!$Y24, 3)</f>
        <v/>
      </c>
      <c r="Z24" s="50">
        <f>PERCENTRANK('Team Scores'!$Z$3:$Z$1000, 'Team Scores'!$Z24, 3)</f>
        <v/>
      </c>
      <c r="AA24" s="50">
        <f>AVERAGE(C24:G24)</f>
        <v/>
      </c>
      <c r="AB24" s="50">
        <f>AVERAGE(H24:O24)</f>
        <v/>
      </c>
      <c r="AC24" s="50">
        <f>AVERAGE(P24:T24)</f>
        <v/>
      </c>
      <c r="AD24" s="50">
        <f>AVERAGE(U24:X24)</f>
        <v/>
      </c>
      <c r="AE24" s="50">
        <f>AVERAGE(AA24:AD24)</f>
        <v/>
      </c>
    </row>
    <row r="25">
      <c r="A25" s="47" t="n">
        <v>2614</v>
      </c>
      <c r="B25" s="47">
        <f>COUNTIF(MatchScoutingData!E$2:E$1000, $A25)</f>
        <v/>
      </c>
      <c r="C25" s="50">
        <f>PERCENTRANK('Team Scores'!$C$3:$C$1000, 'Team Scores'!$C25, 3)</f>
        <v/>
      </c>
      <c r="D25" s="50">
        <f>PERCENTRANK('Team Scores'!$D$3:$D$1000, 'Team Scores'!$D25, 3)</f>
        <v/>
      </c>
      <c r="E25" s="50">
        <f>PERCENTRANK('Team Scores'!$E$3:$E$1000, 'Team Scores'!$E25, 3)</f>
        <v/>
      </c>
      <c r="F25" s="50">
        <f>PERCENTRANK('Team Scores'!$F$3:$F$1000, 'Team Scores'!$F25, 3)</f>
        <v/>
      </c>
      <c r="G25" s="50">
        <f>PERCENTRANK('Team Scores'!$G$3:$G$1000, 'Team Scores'!$G25, 3)</f>
        <v/>
      </c>
      <c r="H25" s="50">
        <f>PERCENTRANK('Team Scores'!$H$3:$H$1000, 'Team Scores'!$H25, 3)</f>
        <v/>
      </c>
      <c r="I25" s="50">
        <f>PERCENTRANK('Team Scores'!$I$3:$I$1000, 'Team Scores'!$I25, 3)</f>
        <v/>
      </c>
      <c r="J25" s="50">
        <f>PERCENTRANK('Team Scores'!$J$3:$J$1000, 'Team Scores'!$J25, 3)</f>
        <v/>
      </c>
      <c r="K25" s="50">
        <f>PERCENTRANK('Team Scores'!$K$3:$K$1000, 'Team Scores'!$K25, 3)</f>
        <v/>
      </c>
      <c r="L25" s="50">
        <f>PERCENTRANK('Team Scores'!$L$3:$L$1000, 'Team Scores'!$L25, 3)</f>
        <v/>
      </c>
      <c r="M25" s="50">
        <f>PERCENTRANK('Team Scores'!$M$3:$M$1000, 'Team Scores'!$M25, 3)</f>
        <v/>
      </c>
      <c r="N25" s="50">
        <f>PERCENTRANK('Team Scores'!$N$3:$N$1000, 'Team Scores'!$N25, 3)</f>
        <v/>
      </c>
      <c r="O25" s="50">
        <f>PERCENTRANK('Team Scores'!$O$3:$O$1000, 'Team Scores'!$O25, 3)</f>
        <v/>
      </c>
      <c r="P25" s="50">
        <f>PERCENTRANK('Team Scores'!$P$3:$P$1000, 'Team Scores'!$P25, 3)</f>
        <v/>
      </c>
      <c r="Q25" s="50">
        <f>PERCENTRANK('Team Scores'!$Q$3:$Q$1000, 'Team Scores'!$Q25, 3)</f>
        <v/>
      </c>
      <c r="R25" s="50">
        <f>PERCENTRANK('Team Scores'!$R$3:$R$1000, 'Team Scores'!$R25, 3)</f>
        <v/>
      </c>
      <c r="S25" s="50">
        <f>PERCENTRANK('Team Scores'!$S$3:$S$1000, 'Team Scores'!$S25, 3)</f>
        <v/>
      </c>
      <c r="T25" s="50">
        <f>PERCENTRANK('Team Scores'!$T$3:$T$1000, 'Team Scores'!$T25, 3)</f>
        <v/>
      </c>
      <c r="U25" s="50">
        <f>PERCENTRANK('Team Scores'!$U$3:$U$1000, 'Team Scores'!$U25, 3)</f>
        <v/>
      </c>
      <c r="V25" s="50">
        <f>PERCENTRANK('Team Scores'!$V$3:$V$1000, 'Team Scores'!$V25, 3)</f>
        <v/>
      </c>
      <c r="W25" s="50">
        <f>PERCENTRANK('Team Scores'!$W$3:$W$1000, 'Team Scores'!$W25, 3)</f>
        <v/>
      </c>
      <c r="X25" s="50">
        <f>PERCENTRANK('Team Scores'!$X$3:$X$1000, 'Team Scores'!$X25, 3)</f>
        <v/>
      </c>
      <c r="Y25" s="50">
        <f>PERCENTRANK('Team Scores'!$Y$3:$Y$1000, 'Team Scores'!$Y25, 3)</f>
        <v/>
      </c>
      <c r="Z25" s="50">
        <f>PERCENTRANK('Team Scores'!$Z$3:$Z$1000, 'Team Scores'!$Z25, 3)</f>
        <v/>
      </c>
      <c r="AA25" s="50">
        <f>AVERAGE(C25:G25)</f>
        <v/>
      </c>
      <c r="AB25" s="50">
        <f>AVERAGE(H25:O25)</f>
        <v/>
      </c>
      <c r="AC25" s="50">
        <f>AVERAGE(P25:T25)</f>
        <v/>
      </c>
      <c r="AD25" s="50">
        <f>AVERAGE(U25:X25)</f>
        <v/>
      </c>
      <c r="AE25" s="50">
        <f>AVERAGE(AA25:AD25)</f>
        <v/>
      </c>
    </row>
    <row r="26">
      <c r="A26" s="47" t="n">
        <v>3138</v>
      </c>
      <c r="B26" s="47">
        <f>COUNTIF(MatchScoutingData!E$2:E$1000, $A26)</f>
        <v/>
      </c>
      <c r="C26" s="50">
        <f>PERCENTRANK('Team Scores'!$C$3:$C$1000, 'Team Scores'!$C26, 3)</f>
        <v/>
      </c>
      <c r="D26" s="50">
        <f>PERCENTRANK('Team Scores'!$D$3:$D$1000, 'Team Scores'!$D26, 3)</f>
        <v/>
      </c>
      <c r="E26" s="50">
        <f>PERCENTRANK('Team Scores'!$E$3:$E$1000, 'Team Scores'!$E26, 3)</f>
        <v/>
      </c>
      <c r="F26" s="50">
        <f>PERCENTRANK('Team Scores'!$F$3:$F$1000, 'Team Scores'!$F26, 3)</f>
        <v/>
      </c>
      <c r="G26" s="50">
        <f>PERCENTRANK('Team Scores'!$G$3:$G$1000, 'Team Scores'!$G26, 3)</f>
        <v/>
      </c>
      <c r="H26" s="50">
        <f>PERCENTRANK('Team Scores'!$H$3:$H$1000, 'Team Scores'!$H26, 3)</f>
        <v/>
      </c>
      <c r="I26" s="50">
        <f>PERCENTRANK('Team Scores'!$I$3:$I$1000, 'Team Scores'!$I26, 3)</f>
        <v/>
      </c>
      <c r="J26" s="50">
        <f>PERCENTRANK('Team Scores'!$J$3:$J$1000, 'Team Scores'!$J26, 3)</f>
        <v/>
      </c>
      <c r="K26" s="50">
        <f>PERCENTRANK('Team Scores'!$K$3:$K$1000, 'Team Scores'!$K26, 3)</f>
        <v/>
      </c>
      <c r="L26" s="50">
        <f>PERCENTRANK('Team Scores'!$L$3:$L$1000, 'Team Scores'!$L26, 3)</f>
        <v/>
      </c>
      <c r="M26" s="50">
        <f>PERCENTRANK('Team Scores'!$M$3:$M$1000, 'Team Scores'!$M26, 3)</f>
        <v/>
      </c>
      <c r="N26" s="50">
        <f>PERCENTRANK('Team Scores'!$N$3:$N$1000, 'Team Scores'!$N26, 3)</f>
        <v/>
      </c>
      <c r="O26" s="50">
        <f>PERCENTRANK('Team Scores'!$O$3:$O$1000, 'Team Scores'!$O26, 3)</f>
        <v/>
      </c>
      <c r="P26" s="50">
        <f>PERCENTRANK('Team Scores'!$P$3:$P$1000, 'Team Scores'!$P26, 3)</f>
        <v/>
      </c>
      <c r="Q26" s="50">
        <f>PERCENTRANK('Team Scores'!$Q$3:$Q$1000, 'Team Scores'!$Q26, 3)</f>
        <v/>
      </c>
      <c r="R26" s="50">
        <f>PERCENTRANK('Team Scores'!$R$3:$R$1000, 'Team Scores'!$R26, 3)</f>
        <v/>
      </c>
      <c r="S26" s="50">
        <f>PERCENTRANK('Team Scores'!$S$3:$S$1000, 'Team Scores'!$S26, 3)</f>
        <v/>
      </c>
      <c r="T26" s="50">
        <f>PERCENTRANK('Team Scores'!$T$3:$T$1000, 'Team Scores'!$T26, 3)</f>
        <v/>
      </c>
      <c r="U26" s="50">
        <f>PERCENTRANK('Team Scores'!$U$3:$U$1000, 'Team Scores'!$U26, 3)</f>
        <v/>
      </c>
      <c r="V26" s="50">
        <f>PERCENTRANK('Team Scores'!$V$3:$V$1000, 'Team Scores'!$V26, 3)</f>
        <v/>
      </c>
      <c r="W26" s="50">
        <f>PERCENTRANK('Team Scores'!$W$3:$W$1000, 'Team Scores'!$W26, 3)</f>
        <v/>
      </c>
      <c r="X26" s="50">
        <f>PERCENTRANK('Team Scores'!$X$3:$X$1000, 'Team Scores'!$X26, 3)</f>
        <v/>
      </c>
      <c r="Y26" s="50">
        <f>PERCENTRANK('Team Scores'!$Y$3:$Y$1000, 'Team Scores'!$Y26, 3)</f>
        <v/>
      </c>
      <c r="Z26" s="50">
        <f>PERCENTRANK('Team Scores'!$Z$3:$Z$1000, 'Team Scores'!$Z26, 3)</f>
        <v/>
      </c>
      <c r="AA26" s="50">
        <f>AVERAGE(C26:G26)</f>
        <v/>
      </c>
      <c r="AB26" s="50">
        <f>AVERAGE(H26:O26)</f>
        <v/>
      </c>
      <c r="AC26" s="50">
        <f>AVERAGE(P26:T26)</f>
        <v/>
      </c>
      <c r="AD26" s="50">
        <f>AVERAGE(U26:X26)</f>
        <v/>
      </c>
      <c r="AE26" s="50">
        <f>AVERAGE(AA26:AD26)</f>
        <v/>
      </c>
    </row>
    <row r="27">
      <c r="A27" s="47" t="n">
        <v>3324</v>
      </c>
      <c r="B27" s="47">
        <f>COUNTIF(MatchScoutingData!E$2:E$1000, $A27)</f>
        <v/>
      </c>
      <c r="C27" s="50">
        <f>PERCENTRANK('Team Scores'!$C$3:$C$1000, 'Team Scores'!$C27, 3)</f>
        <v/>
      </c>
      <c r="D27" s="50">
        <f>PERCENTRANK('Team Scores'!$D$3:$D$1000, 'Team Scores'!$D27, 3)</f>
        <v/>
      </c>
      <c r="E27" s="50">
        <f>PERCENTRANK('Team Scores'!$E$3:$E$1000, 'Team Scores'!$E27, 3)</f>
        <v/>
      </c>
      <c r="F27" s="50">
        <f>PERCENTRANK('Team Scores'!$F$3:$F$1000, 'Team Scores'!$F27, 3)</f>
        <v/>
      </c>
      <c r="G27" s="50">
        <f>PERCENTRANK('Team Scores'!$G$3:$G$1000, 'Team Scores'!$G27, 3)</f>
        <v/>
      </c>
      <c r="H27" s="50">
        <f>PERCENTRANK('Team Scores'!$H$3:$H$1000, 'Team Scores'!$H27, 3)</f>
        <v/>
      </c>
      <c r="I27" s="50">
        <f>PERCENTRANK('Team Scores'!$I$3:$I$1000, 'Team Scores'!$I27, 3)</f>
        <v/>
      </c>
      <c r="J27" s="50">
        <f>PERCENTRANK('Team Scores'!$J$3:$J$1000, 'Team Scores'!$J27, 3)</f>
        <v/>
      </c>
      <c r="K27" s="50">
        <f>PERCENTRANK('Team Scores'!$K$3:$K$1000, 'Team Scores'!$K27, 3)</f>
        <v/>
      </c>
      <c r="L27" s="50">
        <f>PERCENTRANK('Team Scores'!$L$3:$L$1000, 'Team Scores'!$L27, 3)</f>
        <v/>
      </c>
      <c r="M27" s="50">
        <f>PERCENTRANK('Team Scores'!$M$3:$M$1000, 'Team Scores'!$M27, 3)</f>
        <v/>
      </c>
      <c r="N27" s="50">
        <f>PERCENTRANK('Team Scores'!$N$3:$N$1000, 'Team Scores'!$N27, 3)</f>
        <v/>
      </c>
      <c r="O27" s="50">
        <f>PERCENTRANK('Team Scores'!$O$3:$O$1000, 'Team Scores'!$O27, 3)</f>
        <v/>
      </c>
      <c r="P27" s="50">
        <f>PERCENTRANK('Team Scores'!$P$3:$P$1000, 'Team Scores'!$P27, 3)</f>
        <v/>
      </c>
      <c r="Q27" s="50">
        <f>PERCENTRANK('Team Scores'!$Q$3:$Q$1000, 'Team Scores'!$Q27, 3)</f>
        <v/>
      </c>
      <c r="R27" s="50">
        <f>PERCENTRANK('Team Scores'!$R$3:$R$1000, 'Team Scores'!$R27, 3)</f>
        <v/>
      </c>
      <c r="S27" s="50">
        <f>PERCENTRANK('Team Scores'!$S$3:$S$1000, 'Team Scores'!$S27, 3)</f>
        <v/>
      </c>
      <c r="T27" s="50">
        <f>PERCENTRANK('Team Scores'!$T$3:$T$1000, 'Team Scores'!$T27, 3)</f>
        <v/>
      </c>
      <c r="U27" s="50">
        <f>PERCENTRANK('Team Scores'!$U$3:$U$1000, 'Team Scores'!$U27, 3)</f>
        <v/>
      </c>
      <c r="V27" s="50">
        <f>PERCENTRANK('Team Scores'!$V$3:$V$1000, 'Team Scores'!$V27, 3)</f>
        <v/>
      </c>
      <c r="W27" s="50">
        <f>PERCENTRANK('Team Scores'!$W$3:$W$1000, 'Team Scores'!$W27, 3)</f>
        <v/>
      </c>
      <c r="X27" s="50">
        <f>PERCENTRANK('Team Scores'!$X$3:$X$1000, 'Team Scores'!$X27, 3)</f>
        <v/>
      </c>
      <c r="Y27" s="50">
        <f>PERCENTRANK('Team Scores'!$Y$3:$Y$1000, 'Team Scores'!$Y27, 3)</f>
        <v/>
      </c>
      <c r="Z27" s="50">
        <f>PERCENTRANK('Team Scores'!$Z$3:$Z$1000, 'Team Scores'!$Z27, 3)</f>
        <v/>
      </c>
      <c r="AA27" s="50">
        <f>AVERAGE(C27:G27)</f>
        <v/>
      </c>
      <c r="AB27" s="50">
        <f>AVERAGE(H27:O27)</f>
        <v/>
      </c>
      <c r="AC27" s="50">
        <f>AVERAGE(P27:T27)</f>
        <v/>
      </c>
      <c r="AD27" s="50">
        <f>AVERAGE(U27:X27)</f>
        <v/>
      </c>
      <c r="AE27" s="50">
        <f>AVERAGE(AA27:AD27)</f>
        <v/>
      </c>
    </row>
    <row r="28">
      <c r="A28" s="47" t="n">
        <v>3484</v>
      </c>
      <c r="B28" s="47">
        <f>COUNTIF(MatchScoutingData!E$2:E$1000, $A28)</f>
        <v/>
      </c>
      <c r="C28" s="50">
        <f>PERCENTRANK('Team Scores'!$C$3:$C$1000, 'Team Scores'!$C28, 3)</f>
        <v/>
      </c>
      <c r="D28" s="50">
        <f>PERCENTRANK('Team Scores'!$D$3:$D$1000, 'Team Scores'!$D28, 3)</f>
        <v/>
      </c>
      <c r="E28" s="50">
        <f>PERCENTRANK('Team Scores'!$E$3:$E$1000, 'Team Scores'!$E28, 3)</f>
        <v/>
      </c>
      <c r="F28" s="50">
        <f>PERCENTRANK('Team Scores'!$F$3:$F$1000, 'Team Scores'!$F28, 3)</f>
        <v/>
      </c>
      <c r="G28" s="50">
        <f>PERCENTRANK('Team Scores'!$G$3:$G$1000, 'Team Scores'!$G28, 3)</f>
        <v/>
      </c>
      <c r="H28" s="50">
        <f>PERCENTRANK('Team Scores'!$H$3:$H$1000, 'Team Scores'!$H28, 3)</f>
        <v/>
      </c>
      <c r="I28" s="50">
        <f>PERCENTRANK('Team Scores'!$I$3:$I$1000, 'Team Scores'!$I28, 3)</f>
        <v/>
      </c>
      <c r="J28" s="50">
        <f>PERCENTRANK('Team Scores'!$J$3:$J$1000, 'Team Scores'!$J28, 3)</f>
        <v/>
      </c>
      <c r="K28" s="50">
        <f>PERCENTRANK('Team Scores'!$K$3:$K$1000, 'Team Scores'!$K28, 3)</f>
        <v/>
      </c>
      <c r="L28" s="50">
        <f>PERCENTRANK('Team Scores'!$L$3:$L$1000, 'Team Scores'!$L28, 3)</f>
        <v/>
      </c>
      <c r="M28" s="50">
        <f>PERCENTRANK('Team Scores'!$M$3:$M$1000, 'Team Scores'!$M28, 3)</f>
        <v/>
      </c>
      <c r="N28" s="50">
        <f>PERCENTRANK('Team Scores'!$N$3:$N$1000, 'Team Scores'!$N28, 3)</f>
        <v/>
      </c>
      <c r="O28" s="50">
        <f>PERCENTRANK('Team Scores'!$O$3:$O$1000, 'Team Scores'!$O28, 3)</f>
        <v/>
      </c>
      <c r="P28" s="50">
        <f>PERCENTRANK('Team Scores'!$P$3:$P$1000, 'Team Scores'!$P28, 3)</f>
        <v/>
      </c>
      <c r="Q28" s="50">
        <f>PERCENTRANK('Team Scores'!$Q$3:$Q$1000, 'Team Scores'!$Q28, 3)</f>
        <v/>
      </c>
      <c r="R28" s="50">
        <f>PERCENTRANK('Team Scores'!$R$3:$R$1000, 'Team Scores'!$R28, 3)</f>
        <v/>
      </c>
      <c r="S28" s="50">
        <f>PERCENTRANK('Team Scores'!$S$3:$S$1000, 'Team Scores'!$S28, 3)</f>
        <v/>
      </c>
      <c r="T28" s="50">
        <f>PERCENTRANK('Team Scores'!$T$3:$T$1000, 'Team Scores'!$T28, 3)</f>
        <v/>
      </c>
      <c r="U28" s="50">
        <f>PERCENTRANK('Team Scores'!$U$3:$U$1000, 'Team Scores'!$U28, 3)</f>
        <v/>
      </c>
      <c r="V28" s="50">
        <f>PERCENTRANK('Team Scores'!$V$3:$V$1000, 'Team Scores'!$V28, 3)</f>
        <v/>
      </c>
      <c r="W28" s="50">
        <f>PERCENTRANK('Team Scores'!$W$3:$W$1000, 'Team Scores'!$W28, 3)</f>
        <v/>
      </c>
      <c r="X28" s="50">
        <f>PERCENTRANK('Team Scores'!$X$3:$X$1000, 'Team Scores'!$X28, 3)</f>
        <v/>
      </c>
      <c r="Y28" s="50">
        <f>PERCENTRANK('Team Scores'!$Y$3:$Y$1000, 'Team Scores'!$Y28, 3)</f>
        <v/>
      </c>
      <c r="Z28" s="50">
        <f>PERCENTRANK('Team Scores'!$Z$3:$Z$1000, 'Team Scores'!$Z28, 3)</f>
        <v/>
      </c>
      <c r="AA28" s="50">
        <f>AVERAGE(C28:G28)</f>
        <v/>
      </c>
      <c r="AB28" s="50">
        <f>AVERAGE(H28:O28)</f>
        <v/>
      </c>
      <c r="AC28" s="50">
        <f>AVERAGE(P28:T28)</f>
        <v/>
      </c>
      <c r="AD28" s="50">
        <f>AVERAGE(U28:X28)</f>
        <v/>
      </c>
      <c r="AE28" s="50">
        <f>AVERAGE(AA28:AD28)</f>
        <v/>
      </c>
    </row>
    <row r="29">
      <c r="A29" s="47" t="n">
        <v>3504</v>
      </c>
      <c r="B29" s="47">
        <f>COUNTIF(MatchScoutingData!E$2:E$1000, $A29)</f>
        <v/>
      </c>
      <c r="C29" s="50">
        <f>PERCENTRANK('Team Scores'!$C$3:$C$1000, 'Team Scores'!$C29, 3)</f>
        <v/>
      </c>
      <c r="D29" s="50">
        <f>PERCENTRANK('Team Scores'!$D$3:$D$1000, 'Team Scores'!$D29, 3)</f>
        <v/>
      </c>
      <c r="E29" s="50">
        <f>PERCENTRANK('Team Scores'!$E$3:$E$1000, 'Team Scores'!$E29, 3)</f>
        <v/>
      </c>
      <c r="F29" s="50">
        <f>PERCENTRANK('Team Scores'!$F$3:$F$1000, 'Team Scores'!$F29, 3)</f>
        <v/>
      </c>
      <c r="G29" s="50">
        <f>PERCENTRANK('Team Scores'!$G$3:$G$1000, 'Team Scores'!$G29, 3)</f>
        <v/>
      </c>
      <c r="H29" s="50">
        <f>PERCENTRANK('Team Scores'!$H$3:$H$1000, 'Team Scores'!$H29, 3)</f>
        <v/>
      </c>
      <c r="I29" s="50">
        <f>PERCENTRANK('Team Scores'!$I$3:$I$1000, 'Team Scores'!$I29, 3)</f>
        <v/>
      </c>
      <c r="J29" s="50">
        <f>PERCENTRANK('Team Scores'!$J$3:$J$1000, 'Team Scores'!$J29, 3)</f>
        <v/>
      </c>
      <c r="K29" s="50">
        <f>PERCENTRANK('Team Scores'!$K$3:$K$1000, 'Team Scores'!$K29, 3)</f>
        <v/>
      </c>
      <c r="L29" s="50">
        <f>PERCENTRANK('Team Scores'!$L$3:$L$1000, 'Team Scores'!$L29, 3)</f>
        <v/>
      </c>
      <c r="M29" s="50">
        <f>PERCENTRANK('Team Scores'!$M$3:$M$1000, 'Team Scores'!$M29, 3)</f>
        <v/>
      </c>
      <c r="N29" s="50">
        <f>PERCENTRANK('Team Scores'!$N$3:$N$1000, 'Team Scores'!$N29, 3)</f>
        <v/>
      </c>
      <c r="O29" s="50">
        <f>PERCENTRANK('Team Scores'!$O$3:$O$1000, 'Team Scores'!$O29, 3)</f>
        <v/>
      </c>
      <c r="P29" s="50">
        <f>PERCENTRANK('Team Scores'!$P$3:$P$1000, 'Team Scores'!$P29, 3)</f>
        <v/>
      </c>
      <c r="Q29" s="50">
        <f>PERCENTRANK('Team Scores'!$Q$3:$Q$1000, 'Team Scores'!$Q29, 3)</f>
        <v/>
      </c>
      <c r="R29" s="50">
        <f>PERCENTRANK('Team Scores'!$R$3:$R$1000, 'Team Scores'!$R29, 3)</f>
        <v/>
      </c>
      <c r="S29" s="50">
        <f>PERCENTRANK('Team Scores'!$S$3:$S$1000, 'Team Scores'!$S29, 3)</f>
        <v/>
      </c>
      <c r="T29" s="50">
        <f>PERCENTRANK('Team Scores'!$T$3:$T$1000, 'Team Scores'!$T29, 3)</f>
        <v/>
      </c>
      <c r="U29" s="50">
        <f>PERCENTRANK('Team Scores'!$U$3:$U$1000, 'Team Scores'!$U29, 3)</f>
        <v/>
      </c>
      <c r="V29" s="50">
        <f>PERCENTRANK('Team Scores'!$V$3:$V$1000, 'Team Scores'!$V29, 3)</f>
        <v/>
      </c>
      <c r="W29" s="50">
        <f>PERCENTRANK('Team Scores'!$W$3:$W$1000, 'Team Scores'!$W29, 3)</f>
        <v/>
      </c>
      <c r="X29" s="50">
        <f>PERCENTRANK('Team Scores'!$X$3:$X$1000, 'Team Scores'!$X29, 3)</f>
        <v/>
      </c>
      <c r="Y29" s="50">
        <f>PERCENTRANK('Team Scores'!$Y$3:$Y$1000, 'Team Scores'!$Y29, 3)</f>
        <v/>
      </c>
      <c r="Z29" s="50">
        <f>PERCENTRANK('Team Scores'!$Z$3:$Z$1000, 'Team Scores'!$Z29, 3)</f>
        <v/>
      </c>
      <c r="AA29" s="50">
        <f>AVERAGE(C29:G29)</f>
        <v/>
      </c>
      <c r="AB29" s="50">
        <f>AVERAGE(H29:O29)</f>
        <v/>
      </c>
      <c r="AC29" s="50">
        <f>AVERAGE(P29:T29)</f>
        <v/>
      </c>
      <c r="AD29" s="50">
        <f>AVERAGE(U29:X29)</f>
        <v/>
      </c>
      <c r="AE29" s="50">
        <f>AVERAGE(AA29:AD29)</f>
        <v/>
      </c>
    </row>
    <row r="30">
      <c r="A30" s="47" t="n">
        <v>3814</v>
      </c>
      <c r="B30" s="47">
        <f>COUNTIF(MatchScoutingData!E$2:E$1000, $A30)</f>
        <v/>
      </c>
      <c r="C30" s="50">
        <f>PERCENTRANK('Team Scores'!$C$3:$C$1000, 'Team Scores'!$C30, 3)</f>
        <v/>
      </c>
      <c r="D30" s="50">
        <f>PERCENTRANK('Team Scores'!$D$3:$D$1000, 'Team Scores'!$D30, 3)</f>
        <v/>
      </c>
      <c r="E30" s="50">
        <f>PERCENTRANK('Team Scores'!$E$3:$E$1000, 'Team Scores'!$E30, 3)</f>
        <v/>
      </c>
      <c r="F30" s="50">
        <f>PERCENTRANK('Team Scores'!$F$3:$F$1000, 'Team Scores'!$F30, 3)</f>
        <v/>
      </c>
      <c r="G30" s="50">
        <f>PERCENTRANK('Team Scores'!$G$3:$G$1000, 'Team Scores'!$G30, 3)</f>
        <v/>
      </c>
      <c r="H30" s="50">
        <f>PERCENTRANK('Team Scores'!$H$3:$H$1000, 'Team Scores'!$H30, 3)</f>
        <v/>
      </c>
      <c r="I30" s="50">
        <f>PERCENTRANK('Team Scores'!$I$3:$I$1000, 'Team Scores'!$I30, 3)</f>
        <v/>
      </c>
      <c r="J30" s="50">
        <f>PERCENTRANK('Team Scores'!$J$3:$J$1000, 'Team Scores'!$J30, 3)</f>
        <v/>
      </c>
      <c r="K30" s="50">
        <f>PERCENTRANK('Team Scores'!$K$3:$K$1000, 'Team Scores'!$K30, 3)</f>
        <v/>
      </c>
      <c r="L30" s="50">
        <f>PERCENTRANK('Team Scores'!$L$3:$L$1000, 'Team Scores'!$L30, 3)</f>
        <v/>
      </c>
      <c r="M30" s="50">
        <f>PERCENTRANK('Team Scores'!$M$3:$M$1000, 'Team Scores'!$M30, 3)</f>
        <v/>
      </c>
      <c r="N30" s="50">
        <f>PERCENTRANK('Team Scores'!$N$3:$N$1000, 'Team Scores'!$N30, 3)</f>
        <v/>
      </c>
      <c r="O30" s="50">
        <f>PERCENTRANK('Team Scores'!$O$3:$O$1000, 'Team Scores'!$O30, 3)</f>
        <v/>
      </c>
      <c r="P30" s="50">
        <f>PERCENTRANK('Team Scores'!$P$3:$P$1000, 'Team Scores'!$P30, 3)</f>
        <v/>
      </c>
      <c r="Q30" s="50">
        <f>PERCENTRANK('Team Scores'!$Q$3:$Q$1000, 'Team Scores'!$Q30, 3)</f>
        <v/>
      </c>
      <c r="R30" s="50">
        <f>PERCENTRANK('Team Scores'!$R$3:$R$1000, 'Team Scores'!$R30, 3)</f>
        <v/>
      </c>
      <c r="S30" s="50">
        <f>PERCENTRANK('Team Scores'!$S$3:$S$1000, 'Team Scores'!$S30, 3)</f>
        <v/>
      </c>
      <c r="T30" s="50">
        <f>PERCENTRANK('Team Scores'!$T$3:$T$1000, 'Team Scores'!$T30, 3)</f>
        <v/>
      </c>
      <c r="U30" s="50">
        <f>PERCENTRANK('Team Scores'!$U$3:$U$1000, 'Team Scores'!$U30, 3)</f>
        <v/>
      </c>
      <c r="V30" s="50">
        <f>PERCENTRANK('Team Scores'!$V$3:$V$1000, 'Team Scores'!$V30, 3)</f>
        <v/>
      </c>
      <c r="W30" s="50">
        <f>PERCENTRANK('Team Scores'!$W$3:$W$1000, 'Team Scores'!$W30, 3)</f>
        <v/>
      </c>
      <c r="X30" s="50">
        <f>PERCENTRANK('Team Scores'!$X$3:$X$1000, 'Team Scores'!$X30, 3)</f>
        <v/>
      </c>
      <c r="Y30" s="50">
        <f>PERCENTRANK('Team Scores'!$Y$3:$Y$1000, 'Team Scores'!$Y30, 3)</f>
        <v/>
      </c>
      <c r="Z30" s="50">
        <f>PERCENTRANK('Team Scores'!$Z$3:$Z$1000, 'Team Scores'!$Z30, 3)</f>
        <v/>
      </c>
      <c r="AA30" s="50">
        <f>AVERAGE(C30:G30)</f>
        <v/>
      </c>
      <c r="AB30" s="50">
        <f>AVERAGE(H30:O30)</f>
        <v/>
      </c>
      <c r="AC30" s="50">
        <f>AVERAGE(P30:T30)</f>
        <v/>
      </c>
      <c r="AD30" s="50">
        <f>AVERAGE(U30:X30)</f>
        <v/>
      </c>
      <c r="AE30" s="50">
        <f>AVERAGE(AA30:AD30)</f>
        <v/>
      </c>
    </row>
    <row r="31">
      <c r="A31" s="47" t="n">
        <v>4028</v>
      </c>
      <c r="B31" s="47">
        <f>COUNTIF(MatchScoutingData!E$2:E$1000, $A31)</f>
        <v/>
      </c>
      <c r="C31" s="50">
        <f>PERCENTRANK('Team Scores'!$C$3:$C$1000, 'Team Scores'!$C31, 3)</f>
        <v/>
      </c>
      <c r="D31" s="50">
        <f>PERCENTRANK('Team Scores'!$D$3:$D$1000, 'Team Scores'!$D31, 3)</f>
        <v/>
      </c>
      <c r="E31" s="50">
        <f>PERCENTRANK('Team Scores'!$E$3:$E$1000, 'Team Scores'!$E31, 3)</f>
        <v/>
      </c>
      <c r="F31" s="50">
        <f>PERCENTRANK('Team Scores'!$F$3:$F$1000, 'Team Scores'!$F31, 3)</f>
        <v/>
      </c>
      <c r="G31" s="50">
        <f>PERCENTRANK('Team Scores'!$G$3:$G$1000, 'Team Scores'!$G31, 3)</f>
        <v/>
      </c>
      <c r="H31" s="50">
        <f>PERCENTRANK('Team Scores'!$H$3:$H$1000, 'Team Scores'!$H31, 3)</f>
        <v/>
      </c>
      <c r="I31" s="50">
        <f>PERCENTRANK('Team Scores'!$I$3:$I$1000, 'Team Scores'!$I31, 3)</f>
        <v/>
      </c>
      <c r="J31" s="50">
        <f>PERCENTRANK('Team Scores'!$J$3:$J$1000, 'Team Scores'!$J31, 3)</f>
        <v/>
      </c>
      <c r="K31" s="50">
        <f>PERCENTRANK('Team Scores'!$K$3:$K$1000, 'Team Scores'!$K31, 3)</f>
        <v/>
      </c>
      <c r="L31" s="50">
        <f>PERCENTRANK('Team Scores'!$L$3:$L$1000, 'Team Scores'!$L31, 3)</f>
        <v/>
      </c>
      <c r="M31" s="50">
        <f>PERCENTRANK('Team Scores'!$M$3:$M$1000, 'Team Scores'!$M31, 3)</f>
        <v/>
      </c>
      <c r="N31" s="50">
        <f>PERCENTRANK('Team Scores'!$N$3:$N$1000, 'Team Scores'!$N31, 3)</f>
        <v/>
      </c>
      <c r="O31" s="50">
        <f>PERCENTRANK('Team Scores'!$O$3:$O$1000, 'Team Scores'!$O31, 3)</f>
        <v/>
      </c>
      <c r="P31" s="50">
        <f>PERCENTRANK('Team Scores'!$P$3:$P$1000, 'Team Scores'!$P31, 3)</f>
        <v/>
      </c>
      <c r="Q31" s="50">
        <f>PERCENTRANK('Team Scores'!$Q$3:$Q$1000, 'Team Scores'!$Q31, 3)</f>
        <v/>
      </c>
      <c r="R31" s="50">
        <f>PERCENTRANK('Team Scores'!$R$3:$R$1000, 'Team Scores'!$R31, 3)</f>
        <v/>
      </c>
      <c r="S31" s="50">
        <f>PERCENTRANK('Team Scores'!$S$3:$S$1000, 'Team Scores'!$S31, 3)</f>
        <v/>
      </c>
      <c r="T31" s="50">
        <f>PERCENTRANK('Team Scores'!$T$3:$T$1000, 'Team Scores'!$T31, 3)</f>
        <v/>
      </c>
      <c r="U31" s="50">
        <f>PERCENTRANK('Team Scores'!$U$3:$U$1000, 'Team Scores'!$U31, 3)</f>
        <v/>
      </c>
      <c r="V31" s="50">
        <f>PERCENTRANK('Team Scores'!$V$3:$V$1000, 'Team Scores'!$V31, 3)</f>
        <v/>
      </c>
      <c r="W31" s="50">
        <f>PERCENTRANK('Team Scores'!$W$3:$W$1000, 'Team Scores'!$W31, 3)</f>
        <v/>
      </c>
      <c r="X31" s="50">
        <f>PERCENTRANK('Team Scores'!$X$3:$X$1000, 'Team Scores'!$X31, 3)</f>
        <v/>
      </c>
      <c r="Y31" s="50">
        <f>PERCENTRANK('Team Scores'!$Y$3:$Y$1000, 'Team Scores'!$Y31, 3)</f>
        <v/>
      </c>
      <c r="Z31" s="50">
        <f>PERCENTRANK('Team Scores'!$Z$3:$Z$1000, 'Team Scores'!$Z31, 3)</f>
        <v/>
      </c>
      <c r="AA31" s="50">
        <f>AVERAGE(C31:G31)</f>
        <v/>
      </c>
      <c r="AB31" s="50">
        <f>AVERAGE(H31:O31)</f>
        <v/>
      </c>
      <c r="AC31" s="50">
        <f>AVERAGE(P31:T31)</f>
        <v/>
      </c>
      <c r="AD31" s="50">
        <f>AVERAGE(U31:X31)</f>
        <v/>
      </c>
      <c r="AE31" s="50">
        <f>AVERAGE(AA31:AD31)</f>
        <v/>
      </c>
    </row>
    <row r="32">
      <c r="A32" s="47" t="n">
        <v>4085</v>
      </c>
      <c r="B32" s="47">
        <f>COUNTIF(MatchScoutingData!E$2:E$1000, $A32)</f>
        <v/>
      </c>
      <c r="C32" s="50">
        <f>PERCENTRANK('Team Scores'!$C$3:$C$1000, 'Team Scores'!$C32, 3)</f>
        <v/>
      </c>
      <c r="D32" s="50">
        <f>PERCENTRANK('Team Scores'!$D$3:$D$1000, 'Team Scores'!$D32, 3)</f>
        <v/>
      </c>
      <c r="E32" s="50">
        <f>PERCENTRANK('Team Scores'!$E$3:$E$1000, 'Team Scores'!$E32, 3)</f>
        <v/>
      </c>
      <c r="F32" s="50">
        <f>PERCENTRANK('Team Scores'!$F$3:$F$1000, 'Team Scores'!$F32, 3)</f>
        <v/>
      </c>
      <c r="G32" s="50">
        <f>PERCENTRANK('Team Scores'!$G$3:$G$1000, 'Team Scores'!$G32, 3)</f>
        <v/>
      </c>
      <c r="H32" s="50">
        <f>PERCENTRANK('Team Scores'!$H$3:$H$1000, 'Team Scores'!$H32, 3)</f>
        <v/>
      </c>
      <c r="I32" s="50">
        <f>PERCENTRANK('Team Scores'!$I$3:$I$1000, 'Team Scores'!$I32, 3)</f>
        <v/>
      </c>
      <c r="J32" s="50">
        <f>PERCENTRANK('Team Scores'!$J$3:$J$1000, 'Team Scores'!$J32, 3)</f>
        <v/>
      </c>
      <c r="K32" s="50">
        <f>PERCENTRANK('Team Scores'!$K$3:$K$1000, 'Team Scores'!$K32, 3)</f>
        <v/>
      </c>
      <c r="L32" s="50">
        <f>PERCENTRANK('Team Scores'!$L$3:$L$1000, 'Team Scores'!$L32, 3)</f>
        <v/>
      </c>
      <c r="M32" s="50">
        <f>PERCENTRANK('Team Scores'!$M$3:$M$1000, 'Team Scores'!$M32, 3)</f>
        <v/>
      </c>
      <c r="N32" s="50">
        <f>PERCENTRANK('Team Scores'!$N$3:$N$1000, 'Team Scores'!$N32, 3)</f>
        <v/>
      </c>
      <c r="O32" s="50">
        <f>PERCENTRANK('Team Scores'!$O$3:$O$1000, 'Team Scores'!$O32, 3)</f>
        <v/>
      </c>
      <c r="P32" s="50">
        <f>PERCENTRANK('Team Scores'!$P$3:$P$1000, 'Team Scores'!$P32, 3)</f>
        <v/>
      </c>
      <c r="Q32" s="50">
        <f>PERCENTRANK('Team Scores'!$Q$3:$Q$1000, 'Team Scores'!$Q32, 3)</f>
        <v/>
      </c>
      <c r="R32" s="50">
        <f>PERCENTRANK('Team Scores'!$R$3:$R$1000, 'Team Scores'!$R32, 3)</f>
        <v/>
      </c>
      <c r="S32" s="50">
        <f>PERCENTRANK('Team Scores'!$S$3:$S$1000, 'Team Scores'!$S32, 3)</f>
        <v/>
      </c>
      <c r="T32" s="50">
        <f>PERCENTRANK('Team Scores'!$T$3:$T$1000, 'Team Scores'!$T32, 3)</f>
        <v/>
      </c>
      <c r="U32" s="50">
        <f>PERCENTRANK('Team Scores'!$U$3:$U$1000, 'Team Scores'!$U32, 3)</f>
        <v/>
      </c>
      <c r="V32" s="50">
        <f>PERCENTRANK('Team Scores'!$V$3:$V$1000, 'Team Scores'!$V32, 3)</f>
        <v/>
      </c>
      <c r="W32" s="50">
        <f>PERCENTRANK('Team Scores'!$W$3:$W$1000, 'Team Scores'!$W32, 3)</f>
        <v/>
      </c>
      <c r="X32" s="50">
        <f>PERCENTRANK('Team Scores'!$X$3:$X$1000, 'Team Scores'!$X32, 3)</f>
        <v/>
      </c>
      <c r="Y32" s="50">
        <f>PERCENTRANK('Team Scores'!$Y$3:$Y$1000, 'Team Scores'!$Y32, 3)</f>
        <v/>
      </c>
      <c r="Z32" s="50">
        <f>PERCENTRANK('Team Scores'!$Z$3:$Z$1000, 'Team Scores'!$Z32, 3)</f>
        <v/>
      </c>
      <c r="AA32" s="50">
        <f>AVERAGE(C32:G32)</f>
        <v/>
      </c>
      <c r="AB32" s="50">
        <f>AVERAGE(H32:O32)</f>
        <v/>
      </c>
      <c r="AC32" s="50">
        <f>AVERAGE(P32:T32)</f>
        <v/>
      </c>
      <c r="AD32" s="50">
        <f>AVERAGE(U32:X32)</f>
        <v/>
      </c>
      <c r="AE32" s="50">
        <f>AVERAGE(AA32:AD32)</f>
        <v/>
      </c>
    </row>
    <row r="33">
      <c r="A33" s="47" t="n">
        <v>4096</v>
      </c>
      <c r="B33" s="47">
        <f>COUNTIF(MatchScoutingData!E$2:E$1000, $A33)</f>
        <v/>
      </c>
      <c r="C33" s="50">
        <f>PERCENTRANK('Team Scores'!$C$3:$C$1000, 'Team Scores'!$C33, 3)</f>
        <v/>
      </c>
      <c r="D33" s="50">
        <f>PERCENTRANK('Team Scores'!$D$3:$D$1000, 'Team Scores'!$D33, 3)</f>
        <v/>
      </c>
      <c r="E33" s="50">
        <f>PERCENTRANK('Team Scores'!$E$3:$E$1000, 'Team Scores'!$E33, 3)</f>
        <v/>
      </c>
      <c r="F33" s="50">
        <f>PERCENTRANK('Team Scores'!$F$3:$F$1000, 'Team Scores'!$F33, 3)</f>
        <v/>
      </c>
      <c r="G33" s="50">
        <f>PERCENTRANK('Team Scores'!$G$3:$G$1000, 'Team Scores'!$G33, 3)</f>
        <v/>
      </c>
      <c r="H33" s="50">
        <f>PERCENTRANK('Team Scores'!$H$3:$H$1000, 'Team Scores'!$H33, 3)</f>
        <v/>
      </c>
      <c r="I33" s="50">
        <f>PERCENTRANK('Team Scores'!$I$3:$I$1000, 'Team Scores'!$I33, 3)</f>
        <v/>
      </c>
      <c r="J33" s="50">
        <f>PERCENTRANK('Team Scores'!$J$3:$J$1000, 'Team Scores'!$J33, 3)</f>
        <v/>
      </c>
      <c r="K33" s="50">
        <f>PERCENTRANK('Team Scores'!$K$3:$K$1000, 'Team Scores'!$K33, 3)</f>
        <v/>
      </c>
      <c r="L33" s="50">
        <f>PERCENTRANK('Team Scores'!$L$3:$L$1000, 'Team Scores'!$L33, 3)</f>
        <v/>
      </c>
      <c r="M33" s="50">
        <f>PERCENTRANK('Team Scores'!$M$3:$M$1000, 'Team Scores'!$M33, 3)</f>
        <v/>
      </c>
      <c r="N33" s="50">
        <f>PERCENTRANK('Team Scores'!$N$3:$N$1000, 'Team Scores'!$N33, 3)</f>
        <v/>
      </c>
      <c r="O33" s="50">
        <f>PERCENTRANK('Team Scores'!$O$3:$O$1000, 'Team Scores'!$O33, 3)</f>
        <v/>
      </c>
      <c r="P33" s="50">
        <f>PERCENTRANK('Team Scores'!$P$3:$P$1000, 'Team Scores'!$P33, 3)</f>
        <v/>
      </c>
      <c r="Q33" s="50">
        <f>PERCENTRANK('Team Scores'!$Q$3:$Q$1000, 'Team Scores'!$Q33, 3)</f>
        <v/>
      </c>
      <c r="R33" s="50">
        <f>PERCENTRANK('Team Scores'!$R$3:$R$1000, 'Team Scores'!$R33, 3)</f>
        <v/>
      </c>
      <c r="S33" s="50">
        <f>PERCENTRANK('Team Scores'!$S$3:$S$1000, 'Team Scores'!$S33, 3)</f>
        <v/>
      </c>
      <c r="T33" s="50">
        <f>PERCENTRANK('Team Scores'!$T$3:$T$1000, 'Team Scores'!$T33, 3)</f>
        <v/>
      </c>
      <c r="U33" s="50">
        <f>PERCENTRANK('Team Scores'!$U$3:$U$1000, 'Team Scores'!$U33, 3)</f>
        <v/>
      </c>
      <c r="V33" s="50">
        <f>PERCENTRANK('Team Scores'!$V$3:$V$1000, 'Team Scores'!$V33, 3)</f>
        <v/>
      </c>
      <c r="W33" s="50">
        <f>PERCENTRANK('Team Scores'!$W$3:$W$1000, 'Team Scores'!$W33, 3)</f>
        <v/>
      </c>
      <c r="X33" s="50">
        <f>PERCENTRANK('Team Scores'!$X$3:$X$1000, 'Team Scores'!$X33, 3)</f>
        <v/>
      </c>
      <c r="Y33" s="50">
        <f>PERCENTRANK('Team Scores'!$Y$3:$Y$1000, 'Team Scores'!$Y33, 3)</f>
        <v/>
      </c>
      <c r="Z33" s="50">
        <f>PERCENTRANK('Team Scores'!$Z$3:$Z$1000, 'Team Scores'!$Z33, 3)</f>
        <v/>
      </c>
      <c r="AA33" s="50">
        <f>AVERAGE(C33:G33)</f>
        <v/>
      </c>
      <c r="AB33" s="50">
        <f>AVERAGE(H33:O33)</f>
        <v/>
      </c>
      <c r="AC33" s="50">
        <f>AVERAGE(P33:T33)</f>
        <v/>
      </c>
      <c r="AD33" s="50">
        <f>AVERAGE(U33:X33)</f>
        <v/>
      </c>
      <c r="AE33" s="50">
        <f>AVERAGE(AA33:AD33)</f>
        <v/>
      </c>
    </row>
    <row r="34">
      <c r="A34" s="47" t="n">
        <v>4145</v>
      </c>
      <c r="B34" s="47">
        <f>COUNTIF(MatchScoutingData!E$2:E$1000, $A34)</f>
        <v/>
      </c>
      <c r="C34" s="50">
        <f>PERCENTRANK('Team Scores'!$C$3:$C$1000, 'Team Scores'!$C34, 3)</f>
        <v/>
      </c>
      <c r="D34" s="50">
        <f>PERCENTRANK('Team Scores'!$D$3:$D$1000, 'Team Scores'!$D34, 3)</f>
        <v/>
      </c>
      <c r="E34" s="50">
        <f>PERCENTRANK('Team Scores'!$E$3:$E$1000, 'Team Scores'!$E34, 3)</f>
        <v/>
      </c>
      <c r="F34" s="50">
        <f>PERCENTRANK('Team Scores'!$F$3:$F$1000, 'Team Scores'!$F34, 3)</f>
        <v/>
      </c>
      <c r="G34" s="50">
        <f>PERCENTRANK('Team Scores'!$G$3:$G$1000, 'Team Scores'!$G34, 3)</f>
        <v/>
      </c>
      <c r="H34" s="50">
        <f>PERCENTRANK('Team Scores'!$H$3:$H$1000, 'Team Scores'!$H34, 3)</f>
        <v/>
      </c>
      <c r="I34" s="50">
        <f>PERCENTRANK('Team Scores'!$I$3:$I$1000, 'Team Scores'!$I34, 3)</f>
        <v/>
      </c>
      <c r="J34" s="50">
        <f>PERCENTRANK('Team Scores'!$J$3:$J$1000, 'Team Scores'!$J34, 3)</f>
        <v/>
      </c>
      <c r="K34" s="50">
        <f>PERCENTRANK('Team Scores'!$K$3:$K$1000, 'Team Scores'!$K34, 3)</f>
        <v/>
      </c>
      <c r="L34" s="50">
        <f>PERCENTRANK('Team Scores'!$L$3:$L$1000, 'Team Scores'!$L34, 3)</f>
        <v/>
      </c>
      <c r="M34" s="50">
        <f>PERCENTRANK('Team Scores'!$M$3:$M$1000, 'Team Scores'!$M34, 3)</f>
        <v/>
      </c>
      <c r="N34" s="50">
        <f>PERCENTRANK('Team Scores'!$N$3:$N$1000, 'Team Scores'!$N34, 3)</f>
        <v/>
      </c>
      <c r="O34" s="50">
        <f>PERCENTRANK('Team Scores'!$O$3:$O$1000, 'Team Scores'!$O34, 3)</f>
        <v/>
      </c>
      <c r="P34" s="50">
        <f>PERCENTRANK('Team Scores'!$P$3:$P$1000, 'Team Scores'!$P34, 3)</f>
        <v/>
      </c>
      <c r="Q34" s="50">
        <f>PERCENTRANK('Team Scores'!$Q$3:$Q$1000, 'Team Scores'!$Q34, 3)</f>
        <v/>
      </c>
      <c r="R34" s="50">
        <f>PERCENTRANK('Team Scores'!$R$3:$R$1000, 'Team Scores'!$R34, 3)</f>
        <v/>
      </c>
      <c r="S34" s="50">
        <f>PERCENTRANK('Team Scores'!$S$3:$S$1000, 'Team Scores'!$S34, 3)</f>
        <v/>
      </c>
      <c r="T34" s="50">
        <f>PERCENTRANK('Team Scores'!$T$3:$T$1000, 'Team Scores'!$T34, 3)</f>
        <v/>
      </c>
      <c r="U34" s="50">
        <f>PERCENTRANK('Team Scores'!$U$3:$U$1000, 'Team Scores'!$U34, 3)</f>
        <v/>
      </c>
      <c r="V34" s="50">
        <f>PERCENTRANK('Team Scores'!$V$3:$V$1000, 'Team Scores'!$V34, 3)</f>
        <v/>
      </c>
      <c r="W34" s="50">
        <f>PERCENTRANK('Team Scores'!$W$3:$W$1000, 'Team Scores'!$W34, 3)</f>
        <v/>
      </c>
      <c r="X34" s="50">
        <f>PERCENTRANK('Team Scores'!$X$3:$X$1000, 'Team Scores'!$X34, 3)</f>
        <v/>
      </c>
      <c r="Y34" s="50">
        <f>PERCENTRANK('Team Scores'!$Y$3:$Y$1000, 'Team Scores'!$Y34, 3)</f>
        <v/>
      </c>
      <c r="Z34" s="50">
        <f>PERCENTRANK('Team Scores'!$Z$3:$Z$1000, 'Team Scores'!$Z34, 3)</f>
        <v/>
      </c>
      <c r="AA34" s="50">
        <f>AVERAGE(C34:G34)</f>
        <v/>
      </c>
      <c r="AB34" s="50">
        <f>AVERAGE(H34:O34)</f>
        <v/>
      </c>
      <c r="AC34" s="50">
        <f>AVERAGE(P34:T34)</f>
        <v/>
      </c>
      <c r="AD34" s="50">
        <f>AVERAGE(U34:X34)</f>
        <v/>
      </c>
      <c r="AE34" s="50">
        <f>AVERAGE(AA34:AD34)</f>
        <v/>
      </c>
    </row>
    <row r="35">
      <c r="A35" s="47" t="n">
        <v>4467</v>
      </c>
      <c r="B35" s="47">
        <f>COUNTIF(MatchScoutingData!E$2:E$1000, $A35)</f>
        <v/>
      </c>
      <c r="C35" s="50">
        <f>PERCENTRANK('Team Scores'!$C$3:$C$1000, 'Team Scores'!$C35, 3)</f>
        <v/>
      </c>
      <c r="D35" s="50">
        <f>PERCENTRANK('Team Scores'!$D$3:$D$1000, 'Team Scores'!$D35, 3)</f>
        <v/>
      </c>
      <c r="E35" s="50">
        <f>PERCENTRANK('Team Scores'!$E$3:$E$1000, 'Team Scores'!$E35, 3)</f>
        <v/>
      </c>
      <c r="F35" s="50">
        <f>PERCENTRANK('Team Scores'!$F$3:$F$1000, 'Team Scores'!$F35, 3)</f>
        <v/>
      </c>
      <c r="G35" s="50">
        <f>PERCENTRANK('Team Scores'!$G$3:$G$1000, 'Team Scores'!$G35, 3)</f>
        <v/>
      </c>
      <c r="H35" s="50">
        <f>PERCENTRANK('Team Scores'!$H$3:$H$1000, 'Team Scores'!$H35, 3)</f>
        <v/>
      </c>
      <c r="I35" s="50">
        <f>PERCENTRANK('Team Scores'!$I$3:$I$1000, 'Team Scores'!$I35, 3)</f>
        <v/>
      </c>
      <c r="J35" s="50">
        <f>PERCENTRANK('Team Scores'!$J$3:$J$1000, 'Team Scores'!$J35, 3)</f>
        <v/>
      </c>
      <c r="K35" s="50">
        <f>PERCENTRANK('Team Scores'!$K$3:$K$1000, 'Team Scores'!$K35, 3)</f>
        <v/>
      </c>
      <c r="L35" s="50">
        <f>PERCENTRANK('Team Scores'!$L$3:$L$1000, 'Team Scores'!$L35, 3)</f>
        <v/>
      </c>
      <c r="M35" s="50">
        <f>PERCENTRANK('Team Scores'!$M$3:$M$1000, 'Team Scores'!$M35, 3)</f>
        <v/>
      </c>
      <c r="N35" s="50">
        <f>PERCENTRANK('Team Scores'!$N$3:$N$1000, 'Team Scores'!$N35, 3)</f>
        <v/>
      </c>
      <c r="O35" s="50">
        <f>PERCENTRANK('Team Scores'!$O$3:$O$1000, 'Team Scores'!$O35, 3)</f>
        <v/>
      </c>
      <c r="P35" s="50">
        <f>PERCENTRANK('Team Scores'!$P$3:$P$1000, 'Team Scores'!$P35, 3)</f>
        <v/>
      </c>
      <c r="Q35" s="50">
        <f>PERCENTRANK('Team Scores'!$Q$3:$Q$1000, 'Team Scores'!$Q35, 3)</f>
        <v/>
      </c>
      <c r="R35" s="50">
        <f>PERCENTRANK('Team Scores'!$R$3:$R$1000, 'Team Scores'!$R35, 3)</f>
        <v/>
      </c>
      <c r="S35" s="50">
        <f>PERCENTRANK('Team Scores'!$S$3:$S$1000, 'Team Scores'!$S35, 3)</f>
        <v/>
      </c>
      <c r="T35" s="50">
        <f>PERCENTRANK('Team Scores'!$T$3:$T$1000, 'Team Scores'!$T35, 3)</f>
        <v/>
      </c>
      <c r="U35" s="50">
        <f>PERCENTRANK('Team Scores'!$U$3:$U$1000, 'Team Scores'!$U35, 3)</f>
        <v/>
      </c>
      <c r="V35" s="50">
        <f>PERCENTRANK('Team Scores'!$V$3:$V$1000, 'Team Scores'!$V35, 3)</f>
        <v/>
      </c>
      <c r="W35" s="50">
        <f>PERCENTRANK('Team Scores'!$W$3:$W$1000, 'Team Scores'!$W35, 3)</f>
        <v/>
      </c>
      <c r="X35" s="50">
        <f>PERCENTRANK('Team Scores'!$X$3:$X$1000, 'Team Scores'!$X35, 3)</f>
        <v/>
      </c>
      <c r="Y35" s="50">
        <f>PERCENTRANK('Team Scores'!$Y$3:$Y$1000, 'Team Scores'!$Y35, 3)</f>
        <v/>
      </c>
      <c r="Z35" s="50">
        <f>PERCENTRANK('Team Scores'!$Z$3:$Z$1000, 'Team Scores'!$Z35, 3)</f>
        <v/>
      </c>
      <c r="AA35" s="50">
        <f>AVERAGE(C35:G35)</f>
        <v/>
      </c>
      <c r="AB35" s="50">
        <f>AVERAGE(H35:O35)</f>
        <v/>
      </c>
      <c r="AC35" s="50">
        <f>AVERAGE(P35:T35)</f>
        <v/>
      </c>
      <c r="AD35" s="50">
        <f>AVERAGE(U35:X35)</f>
        <v/>
      </c>
      <c r="AE35" s="50">
        <f>AVERAGE(AA35:AD35)</f>
        <v/>
      </c>
    </row>
    <row r="36">
      <c r="A36" s="47" t="n">
        <v>4601</v>
      </c>
      <c r="B36" s="47">
        <f>COUNTIF(MatchScoutingData!E$2:E$1000, $A36)</f>
        <v/>
      </c>
      <c r="C36" s="50">
        <f>PERCENTRANK('Team Scores'!$C$3:$C$1000, 'Team Scores'!$C36, 3)</f>
        <v/>
      </c>
      <c r="D36" s="50">
        <f>PERCENTRANK('Team Scores'!$D$3:$D$1000, 'Team Scores'!$D36, 3)</f>
        <v/>
      </c>
      <c r="E36" s="50">
        <f>PERCENTRANK('Team Scores'!$E$3:$E$1000, 'Team Scores'!$E36, 3)</f>
        <v/>
      </c>
      <c r="F36" s="50">
        <f>PERCENTRANK('Team Scores'!$F$3:$F$1000, 'Team Scores'!$F36, 3)</f>
        <v/>
      </c>
      <c r="G36" s="50">
        <f>PERCENTRANK('Team Scores'!$G$3:$G$1000, 'Team Scores'!$G36, 3)</f>
        <v/>
      </c>
      <c r="H36" s="50">
        <f>PERCENTRANK('Team Scores'!$H$3:$H$1000, 'Team Scores'!$H36, 3)</f>
        <v/>
      </c>
      <c r="I36" s="50">
        <f>PERCENTRANK('Team Scores'!$I$3:$I$1000, 'Team Scores'!$I36, 3)</f>
        <v/>
      </c>
      <c r="J36" s="50">
        <f>PERCENTRANK('Team Scores'!$J$3:$J$1000, 'Team Scores'!$J36, 3)</f>
        <v/>
      </c>
      <c r="K36" s="50">
        <f>PERCENTRANK('Team Scores'!$K$3:$K$1000, 'Team Scores'!$K36, 3)</f>
        <v/>
      </c>
      <c r="L36" s="50">
        <f>PERCENTRANK('Team Scores'!$L$3:$L$1000, 'Team Scores'!$L36, 3)</f>
        <v/>
      </c>
      <c r="M36" s="50">
        <f>PERCENTRANK('Team Scores'!$M$3:$M$1000, 'Team Scores'!$M36, 3)</f>
        <v/>
      </c>
      <c r="N36" s="50">
        <f>PERCENTRANK('Team Scores'!$N$3:$N$1000, 'Team Scores'!$N36, 3)</f>
        <v/>
      </c>
      <c r="O36" s="50">
        <f>PERCENTRANK('Team Scores'!$O$3:$O$1000, 'Team Scores'!$O36, 3)</f>
        <v/>
      </c>
      <c r="P36" s="50">
        <f>PERCENTRANK('Team Scores'!$P$3:$P$1000, 'Team Scores'!$P36, 3)</f>
        <v/>
      </c>
      <c r="Q36" s="50">
        <f>PERCENTRANK('Team Scores'!$Q$3:$Q$1000, 'Team Scores'!$Q36, 3)</f>
        <v/>
      </c>
      <c r="R36" s="50">
        <f>PERCENTRANK('Team Scores'!$R$3:$R$1000, 'Team Scores'!$R36, 3)</f>
        <v/>
      </c>
      <c r="S36" s="50">
        <f>PERCENTRANK('Team Scores'!$S$3:$S$1000, 'Team Scores'!$S36, 3)</f>
        <v/>
      </c>
      <c r="T36" s="50">
        <f>PERCENTRANK('Team Scores'!$T$3:$T$1000, 'Team Scores'!$T36, 3)</f>
        <v/>
      </c>
      <c r="U36" s="50">
        <f>PERCENTRANK('Team Scores'!$U$3:$U$1000, 'Team Scores'!$U36, 3)</f>
        <v/>
      </c>
      <c r="V36" s="50">
        <f>PERCENTRANK('Team Scores'!$V$3:$V$1000, 'Team Scores'!$V36, 3)</f>
        <v/>
      </c>
      <c r="W36" s="50">
        <f>PERCENTRANK('Team Scores'!$W$3:$W$1000, 'Team Scores'!$W36, 3)</f>
        <v/>
      </c>
      <c r="X36" s="50">
        <f>PERCENTRANK('Team Scores'!$X$3:$X$1000, 'Team Scores'!$X36, 3)</f>
        <v/>
      </c>
      <c r="Y36" s="50">
        <f>PERCENTRANK('Team Scores'!$Y$3:$Y$1000, 'Team Scores'!$Y36, 3)</f>
        <v/>
      </c>
      <c r="Z36" s="50">
        <f>PERCENTRANK('Team Scores'!$Z$3:$Z$1000, 'Team Scores'!$Z36, 3)</f>
        <v/>
      </c>
      <c r="AA36" s="50">
        <f>AVERAGE(C36:G36)</f>
        <v/>
      </c>
      <c r="AB36" s="50">
        <f>AVERAGE(H36:O36)</f>
        <v/>
      </c>
      <c r="AC36" s="50">
        <f>AVERAGE(P36:T36)</f>
        <v/>
      </c>
      <c r="AD36" s="50">
        <f>AVERAGE(U36:X36)</f>
        <v/>
      </c>
      <c r="AE36" s="50">
        <f>AVERAGE(AA36:AD36)</f>
        <v/>
      </c>
    </row>
    <row r="37">
      <c r="A37" s="47" t="n">
        <v>4611</v>
      </c>
      <c r="B37" s="47">
        <f>COUNTIF(MatchScoutingData!E$2:E$1000, $A37)</f>
        <v/>
      </c>
      <c r="C37" s="50">
        <f>PERCENTRANK('Team Scores'!$C$3:$C$1000, 'Team Scores'!$C37, 3)</f>
        <v/>
      </c>
      <c r="D37" s="50">
        <f>PERCENTRANK('Team Scores'!$D$3:$D$1000, 'Team Scores'!$D37, 3)</f>
        <v/>
      </c>
      <c r="E37" s="50">
        <f>PERCENTRANK('Team Scores'!$E$3:$E$1000, 'Team Scores'!$E37, 3)</f>
        <v/>
      </c>
      <c r="F37" s="50">
        <f>PERCENTRANK('Team Scores'!$F$3:$F$1000, 'Team Scores'!$F37, 3)</f>
        <v/>
      </c>
      <c r="G37" s="50">
        <f>PERCENTRANK('Team Scores'!$G$3:$G$1000, 'Team Scores'!$G37, 3)</f>
        <v/>
      </c>
      <c r="H37" s="50">
        <f>PERCENTRANK('Team Scores'!$H$3:$H$1000, 'Team Scores'!$H37, 3)</f>
        <v/>
      </c>
      <c r="I37" s="50">
        <f>PERCENTRANK('Team Scores'!$I$3:$I$1000, 'Team Scores'!$I37, 3)</f>
        <v/>
      </c>
      <c r="J37" s="50">
        <f>PERCENTRANK('Team Scores'!$J$3:$J$1000, 'Team Scores'!$J37, 3)</f>
        <v/>
      </c>
      <c r="K37" s="50">
        <f>PERCENTRANK('Team Scores'!$K$3:$K$1000, 'Team Scores'!$K37, 3)</f>
        <v/>
      </c>
      <c r="L37" s="50">
        <f>PERCENTRANK('Team Scores'!$L$3:$L$1000, 'Team Scores'!$L37, 3)</f>
        <v/>
      </c>
      <c r="M37" s="50">
        <f>PERCENTRANK('Team Scores'!$M$3:$M$1000, 'Team Scores'!$M37, 3)</f>
        <v/>
      </c>
      <c r="N37" s="50">
        <f>PERCENTRANK('Team Scores'!$N$3:$N$1000, 'Team Scores'!$N37, 3)</f>
        <v/>
      </c>
      <c r="O37" s="50">
        <f>PERCENTRANK('Team Scores'!$O$3:$O$1000, 'Team Scores'!$O37, 3)</f>
        <v/>
      </c>
      <c r="P37" s="50">
        <f>PERCENTRANK('Team Scores'!$P$3:$P$1000, 'Team Scores'!$P37, 3)</f>
        <v/>
      </c>
      <c r="Q37" s="50">
        <f>PERCENTRANK('Team Scores'!$Q$3:$Q$1000, 'Team Scores'!$Q37, 3)</f>
        <v/>
      </c>
      <c r="R37" s="50">
        <f>PERCENTRANK('Team Scores'!$R$3:$R$1000, 'Team Scores'!$R37, 3)</f>
        <v/>
      </c>
      <c r="S37" s="50">
        <f>PERCENTRANK('Team Scores'!$S$3:$S$1000, 'Team Scores'!$S37, 3)</f>
        <v/>
      </c>
      <c r="T37" s="50">
        <f>PERCENTRANK('Team Scores'!$T$3:$T$1000, 'Team Scores'!$T37, 3)</f>
        <v/>
      </c>
      <c r="U37" s="50">
        <f>PERCENTRANK('Team Scores'!$U$3:$U$1000, 'Team Scores'!$U37, 3)</f>
        <v/>
      </c>
      <c r="V37" s="50">
        <f>PERCENTRANK('Team Scores'!$V$3:$V$1000, 'Team Scores'!$V37, 3)</f>
        <v/>
      </c>
      <c r="W37" s="50">
        <f>PERCENTRANK('Team Scores'!$W$3:$W$1000, 'Team Scores'!$W37, 3)</f>
        <v/>
      </c>
      <c r="X37" s="50">
        <f>PERCENTRANK('Team Scores'!$X$3:$X$1000, 'Team Scores'!$X37, 3)</f>
        <v/>
      </c>
      <c r="Y37" s="50">
        <f>PERCENTRANK('Team Scores'!$Y$3:$Y$1000, 'Team Scores'!$Y37, 3)</f>
        <v/>
      </c>
      <c r="Z37" s="50">
        <f>PERCENTRANK('Team Scores'!$Z$3:$Z$1000, 'Team Scores'!$Z37, 3)</f>
        <v/>
      </c>
      <c r="AA37" s="50">
        <f>AVERAGE(C37:G37)</f>
        <v/>
      </c>
      <c r="AB37" s="50">
        <f>AVERAGE(H37:O37)</f>
        <v/>
      </c>
      <c r="AC37" s="50">
        <f>AVERAGE(P37:T37)</f>
        <v/>
      </c>
      <c r="AD37" s="50">
        <f>AVERAGE(U37:X37)</f>
        <v/>
      </c>
      <c r="AE37" s="50">
        <f>AVERAGE(AA37:AD37)</f>
        <v/>
      </c>
    </row>
    <row r="38">
      <c r="A38" s="47" t="n">
        <v>5667</v>
      </c>
      <c r="B38" s="47">
        <f>COUNTIF(MatchScoutingData!E$2:E$1000, $A38)</f>
        <v/>
      </c>
      <c r="C38" s="50">
        <f>PERCENTRANK('Team Scores'!$C$3:$C$1000, 'Team Scores'!$C38, 3)</f>
        <v/>
      </c>
      <c r="D38" s="50">
        <f>PERCENTRANK('Team Scores'!$D$3:$D$1000, 'Team Scores'!$D38, 3)</f>
        <v/>
      </c>
      <c r="E38" s="50">
        <f>PERCENTRANK('Team Scores'!$E$3:$E$1000, 'Team Scores'!$E38, 3)</f>
        <v/>
      </c>
      <c r="F38" s="50">
        <f>PERCENTRANK('Team Scores'!$F$3:$F$1000, 'Team Scores'!$F38, 3)</f>
        <v/>
      </c>
      <c r="G38" s="50">
        <f>PERCENTRANK('Team Scores'!$G$3:$G$1000, 'Team Scores'!$G38, 3)</f>
        <v/>
      </c>
      <c r="H38" s="50">
        <f>PERCENTRANK('Team Scores'!$H$3:$H$1000, 'Team Scores'!$H38, 3)</f>
        <v/>
      </c>
      <c r="I38" s="50">
        <f>PERCENTRANK('Team Scores'!$I$3:$I$1000, 'Team Scores'!$I38, 3)</f>
        <v/>
      </c>
      <c r="J38" s="50">
        <f>PERCENTRANK('Team Scores'!$J$3:$J$1000, 'Team Scores'!$J38, 3)</f>
        <v/>
      </c>
      <c r="K38" s="50">
        <f>PERCENTRANK('Team Scores'!$K$3:$K$1000, 'Team Scores'!$K38, 3)</f>
        <v/>
      </c>
      <c r="L38" s="50">
        <f>PERCENTRANK('Team Scores'!$L$3:$L$1000, 'Team Scores'!$L38, 3)</f>
        <v/>
      </c>
      <c r="M38" s="50">
        <f>PERCENTRANK('Team Scores'!$M$3:$M$1000, 'Team Scores'!$M38, 3)</f>
        <v/>
      </c>
      <c r="N38" s="50">
        <f>PERCENTRANK('Team Scores'!$N$3:$N$1000, 'Team Scores'!$N38, 3)</f>
        <v/>
      </c>
      <c r="O38" s="50">
        <f>PERCENTRANK('Team Scores'!$O$3:$O$1000, 'Team Scores'!$O38, 3)</f>
        <v/>
      </c>
      <c r="P38" s="50">
        <f>PERCENTRANK('Team Scores'!$P$3:$P$1000, 'Team Scores'!$P38, 3)</f>
        <v/>
      </c>
      <c r="Q38" s="50">
        <f>PERCENTRANK('Team Scores'!$Q$3:$Q$1000, 'Team Scores'!$Q38, 3)</f>
        <v/>
      </c>
      <c r="R38" s="50">
        <f>PERCENTRANK('Team Scores'!$R$3:$R$1000, 'Team Scores'!$R38, 3)</f>
        <v/>
      </c>
      <c r="S38" s="50">
        <f>PERCENTRANK('Team Scores'!$S$3:$S$1000, 'Team Scores'!$S38, 3)</f>
        <v/>
      </c>
      <c r="T38" s="50">
        <f>PERCENTRANK('Team Scores'!$T$3:$T$1000, 'Team Scores'!$T38, 3)</f>
        <v/>
      </c>
      <c r="U38" s="50">
        <f>PERCENTRANK('Team Scores'!$U$3:$U$1000, 'Team Scores'!$U38, 3)</f>
        <v/>
      </c>
      <c r="V38" s="50">
        <f>PERCENTRANK('Team Scores'!$V$3:$V$1000, 'Team Scores'!$V38, 3)</f>
        <v/>
      </c>
      <c r="W38" s="50">
        <f>PERCENTRANK('Team Scores'!$W$3:$W$1000, 'Team Scores'!$W38, 3)</f>
        <v/>
      </c>
      <c r="X38" s="50">
        <f>PERCENTRANK('Team Scores'!$X$3:$X$1000, 'Team Scores'!$X38, 3)</f>
        <v/>
      </c>
      <c r="Y38" s="50">
        <f>PERCENTRANK('Team Scores'!$Y$3:$Y$1000, 'Team Scores'!$Y38, 3)</f>
        <v/>
      </c>
      <c r="Z38" s="50">
        <f>PERCENTRANK('Team Scores'!$Z$3:$Z$1000, 'Team Scores'!$Z38, 3)</f>
        <v/>
      </c>
      <c r="AA38" s="50">
        <f>AVERAGE(C38:G38)</f>
        <v/>
      </c>
      <c r="AB38" s="50">
        <f>AVERAGE(H38:O38)</f>
        <v/>
      </c>
      <c r="AC38" s="50">
        <f>AVERAGE(P38:T38)</f>
        <v/>
      </c>
      <c r="AD38" s="50">
        <f>AVERAGE(U38:X38)</f>
        <v/>
      </c>
      <c r="AE38" s="50">
        <f>AVERAGE(AA38:AD38)</f>
        <v/>
      </c>
    </row>
    <row r="39">
      <c r="A39" s="47" t="n">
        <v>5811</v>
      </c>
      <c r="B39" s="47">
        <f>COUNTIF(MatchScoutingData!E$2:E$1000, $A39)</f>
        <v/>
      </c>
      <c r="C39" s="50">
        <f>PERCENTRANK('Team Scores'!$C$3:$C$1000, 'Team Scores'!$C39, 3)</f>
        <v/>
      </c>
      <c r="D39" s="50">
        <f>PERCENTRANK('Team Scores'!$D$3:$D$1000, 'Team Scores'!$D39, 3)</f>
        <v/>
      </c>
      <c r="E39" s="50">
        <f>PERCENTRANK('Team Scores'!$E$3:$E$1000, 'Team Scores'!$E39, 3)</f>
        <v/>
      </c>
      <c r="F39" s="50">
        <f>PERCENTRANK('Team Scores'!$F$3:$F$1000, 'Team Scores'!$F39, 3)</f>
        <v/>
      </c>
      <c r="G39" s="50">
        <f>PERCENTRANK('Team Scores'!$G$3:$G$1000, 'Team Scores'!$G39, 3)</f>
        <v/>
      </c>
      <c r="H39" s="50">
        <f>PERCENTRANK('Team Scores'!$H$3:$H$1000, 'Team Scores'!$H39, 3)</f>
        <v/>
      </c>
      <c r="I39" s="50">
        <f>PERCENTRANK('Team Scores'!$I$3:$I$1000, 'Team Scores'!$I39, 3)</f>
        <v/>
      </c>
      <c r="J39" s="50">
        <f>PERCENTRANK('Team Scores'!$J$3:$J$1000, 'Team Scores'!$J39, 3)</f>
        <v/>
      </c>
      <c r="K39" s="50">
        <f>PERCENTRANK('Team Scores'!$K$3:$K$1000, 'Team Scores'!$K39, 3)</f>
        <v/>
      </c>
      <c r="L39" s="50">
        <f>PERCENTRANK('Team Scores'!$L$3:$L$1000, 'Team Scores'!$L39, 3)</f>
        <v/>
      </c>
      <c r="M39" s="50">
        <f>PERCENTRANK('Team Scores'!$M$3:$M$1000, 'Team Scores'!$M39, 3)</f>
        <v/>
      </c>
      <c r="N39" s="50">
        <f>PERCENTRANK('Team Scores'!$N$3:$N$1000, 'Team Scores'!$N39, 3)</f>
        <v/>
      </c>
      <c r="O39" s="50">
        <f>PERCENTRANK('Team Scores'!$O$3:$O$1000, 'Team Scores'!$O39, 3)</f>
        <v/>
      </c>
      <c r="P39" s="50">
        <f>PERCENTRANK('Team Scores'!$P$3:$P$1000, 'Team Scores'!$P39, 3)</f>
        <v/>
      </c>
      <c r="Q39" s="50">
        <f>PERCENTRANK('Team Scores'!$Q$3:$Q$1000, 'Team Scores'!$Q39, 3)</f>
        <v/>
      </c>
      <c r="R39" s="50">
        <f>PERCENTRANK('Team Scores'!$R$3:$R$1000, 'Team Scores'!$R39, 3)</f>
        <v/>
      </c>
      <c r="S39" s="50">
        <f>PERCENTRANK('Team Scores'!$S$3:$S$1000, 'Team Scores'!$S39, 3)</f>
        <v/>
      </c>
      <c r="T39" s="50">
        <f>PERCENTRANK('Team Scores'!$T$3:$T$1000, 'Team Scores'!$T39, 3)</f>
        <v/>
      </c>
      <c r="U39" s="50">
        <f>PERCENTRANK('Team Scores'!$U$3:$U$1000, 'Team Scores'!$U39, 3)</f>
        <v/>
      </c>
      <c r="V39" s="50">
        <f>PERCENTRANK('Team Scores'!$V$3:$V$1000, 'Team Scores'!$V39, 3)</f>
        <v/>
      </c>
      <c r="W39" s="50">
        <f>PERCENTRANK('Team Scores'!$W$3:$W$1000, 'Team Scores'!$W39, 3)</f>
        <v/>
      </c>
      <c r="X39" s="50">
        <f>PERCENTRANK('Team Scores'!$X$3:$X$1000, 'Team Scores'!$X39, 3)</f>
        <v/>
      </c>
      <c r="Y39" s="50">
        <f>PERCENTRANK('Team Scores'!$Y$3:$Y$1000, 'Team Scores'!$Y39, 3)</f>
        <v/>
      </c>
      <c r="Z39" s="50">
        <f>PERCENTRANK('Team Scores'!$Z$3:$Z$1000, 'Team Scores'!$Z39, 3)</f>
        <v/>
      </c>
      <c r="AA39" s="50">
        <f>AVERAGE(C39:G39)</f>
        <v/>
      </c>
      <c r="AB39" s="50">
        <f>AVERAGE(H39:O39)</f>
        <v/>
      </c>
      <c r="AC39" s="50">
        <f>AVERAGE(P39:T39)</f>
        <v/>
      </c>
      <c r="AD39" s="50">
        <f>AVERAGE(U39:X39)</f>
        <v/>
      </c>
      <c r="AE39" s="50">
        <f>AVERAGE(AA39:AD39)</f>
        <v/>
      </c>
    </row>
    <row r="40">
      <c r="A40" s="47" t="n">
        <v>6237</v>
      </c>
      <c r="B40" s="47">
        <f>COUNTIF(MatchScoutingData!E$2:E$1000, $A40)</f>
        <v/>
      </c>
      <c r="C40" s="50">
        <f>PERCENTRANK('Team Scores'!$C$3:$C$1000, 'Team Scores'!$C40, 3)</f>
        <v/>
      </c>
      <c r="D40" s="50">
        <f>PERCENTRANK('Team Scores'!$D$3:$D$1000, 'Team Scores'!$D40, 3)</f>
        <v/>
      </c>
      <c r="E40" s="50">
        <f>PERCENTRANK('Team Scores'!$E$3:$E$1000, 'Team Scores'!$E40, 3)</f>
        <v/>
      </c>
      <c r="F40" s="50">
        <f>PERCENTRANK('Team Scores'!$F$3:$F$1000, 'Team Scores'!$F40, 3)</f>
        <v/>
      </c>
      <c r="G40" s="50">
        <f>PERCENTRANK('Team Scores'!$G$3:$G$1000, 'Team Scores'!$G40, 3)</f>
        <v/>
      </c>
      <c r="H40" s="50">
        <f>PERCENTRANK('Team Scores'!$H$3:$H$1000, 'Team Scores'!$H40, 3)</f>
        <v/>
      </c>
      <c r="I40" s="50">
        <f>PERCENTRANK('Team Scores'!$I$3:$I$1000, 'Team Scores'!$I40, 3)</f>
        <v/>
      </c>
      <c r="J40" s="50">
        <f>PERCENTRANK('Team Scores'!$J$3:$J$1000, 'Team Scores'!$J40, 3)</f>
        <v/>
      </c>
      <c r="K40" s="50">
        <f>PERCENTRANK('Team Scores'!$K$3:$K$1000, 'Team Scores'!$K40, 3)</f>
        <v/>
      </c>
      <c r="L40" s="50">
        <f>PERCENTRANK('Team Scores'!$L$3:$L$1000, 'Team Scores'!$L40, 3)</f>
        <v/>
      </c>
      <c r="M40" s="50">
        <f>PERCENTRANK('Team Scores'!$M$3:$M$1000, 'Team Scores'!$M40, 3)</f>
        <v/>
      </c>
      <c r="N40" s="50">
        <f>PERCENTRANK('Team Scores'!$N$3:$N$1000, 'Team Scores'!$N40, 3)</f>
        <v/>
      </c>
      <c r="O40" s="50">
        <f>PERCENTRANK('Team Scores'!$O$3:$O$1000, 'Team Scores'!$O40, 3)</f>
        <v/>
      </c>
      <c r="P40" s="50">
        <f>PERCENTRANK('Team Scores'!$P$3:$P$1000, 'Team Scores'!$P40, 3)</f>
        <v/>
      </c>
      <c r="Q40" s="50">
        <f>PERCENTRANK('Team Scores'!$Q$3:$Q$1000, 'Team Scores'!$Q40, 3)</f>
        <v/>
      </c>
      <c r="R40" s="50">
        <f>PERCENTRANK('Team Scores'!$R$3:$R$1000, 'Team Scores'!$R40, 3)</f>
        <v/>
      </c>
      <c r="S40" s="50">
        <f>PERCENTRANK('Team Scores'!$S$3:$S$1000, 'Team Scores'!$S40, 3)</f>
        <v/>
      </c>
      <c r="T40" s="50">
        <f>PERCENTRANK('Team Scores'!$T$3:$T$1000, 'Team Scores'!$T40, 3)</f>
        <v/>
      </c>
      <c r="U40" s="50">
        <f>PERCENTRANK('Team Scores'!$U$3:$U$1000, 'Team Scores'!$U40, 3)</f>
        <v/>
      </c>
      <c r="V40" s="50">
        <f>PERCENTRANK('Team Scores'!$V$3:$V$1000, 'Team Scores'!$V40, 3)</f>
        <v/>
      </c>
      <c r="W40" s="50">
        <f>PERCENTRANK('Team Scores'!$W$3:$W$1000, 'Team Scores'!$W40, 3)</f>
        <v/>
      </c>
      <c r="X40" s="50">
        <f>PERCENTRANK('Team Scores'!$X$3:$X$1000, 'Team Scores'!$X40, 3)</f>
        <v/>
      </c>
      <c r="Y40" s="50">
        <f>PERCENTRANK('Team Scores'!$Y$3:$Y$1000, 'Team Scores'!$Y40, 3)</f>
        <v/>
      </c>
      <c r="Z40" s="50">
        <f>PERCENTRANK('Team Scores'!$Z$3:$Z$1000, 'Team Scores'!$Z40, 3)</f>
        <v/>
      </c>
      <c r="AA40" s="50">
        <f>AVERAGE(C40:G40)</f>
        <v/>
      </c>
      <c r="AB40" s="50">
        <f>AVERAGE(H40:O40)</f>
        <v/>
      </c>
      <c r="AC40" s="50">
        <f>AVERAGE(P40:T40)</f>
        <v/>
      </c>
      <c r="AD40" s="50">
        <f>AVERAGE(U40:X40)</f>
        <v/>
      </c>
      <c r="AE40" s="50">
        <f>AVERAGE(AA40:AD40)</f>
        <v/>
      </c>
    </row>
    <row r="41">
      <c r="A41" s="47" t="n">
        <v>6302</v>
      </c>
      <c r="B41" s="47">
        <f>COUNTIF(MatchScoutingData!E$2:E$1000, $A41)</f>
        <v/>
      </c>
      <c r="C41" s="50">
        <f>PERCENTRANK('Team Scores'!$C$3:$C$1000, 'Team Scores'!$C41, 3)</f>
        <v/>
      </c>
      <c r="D41" s="50">
        <f>PERCENTRANK('Team Scores'!$D$3:$D$1000, 'Team Scores'!$D41, 3)</f>
        <v/>
      </c>
      <c r="E41" s="50">
        <f>PERCENTRANK('Team Scores'!$E$3:$E$1000, 'Team Scores'!$E41, 3)</f>
        <v/>
      </c>
      <c r="F41" s="50">
        <f>PERCENTRANK('Team Scores'!$F$3:$F$1000, 'Team Scores'!$F41, 3)</f>
        <v/>
      </c>
      <c r="G41" s="50">
        <f>PERCENTRANK('Team Scores'!$G$3:$G$1000, 'Team Scores'!$G41, 3)</f>
        <v/>
      </c>
      <c r="H41" s="50">
        <f>PERCENTRANK('Team Scores'!$H$3:$H$1000, 'Team Scores'!$H41, 3)</f>
        <v/>
      </c>
      <c r="I41" s="50">
        <f>PERCENTRANK('Team Scores'!$I$3:$I$1000, 'Team Scores'!$I41, 3)</f>
        <v/>
      </c>
      <c r="J41" s="50">
        <f>PERCENTRANK('Team Scores'!$J$3:$J$1000, 'Team Scores'!$J41, 3)</f>
        <v/>
      </c>
      <c r="K41" s="50">
        <f>PERCENTRANK('Team Scores'!$K$3:$K$1000, 'Team Scores'!$K41, 3)</f>
        <v/>
      </c>
      <c r="L41" s="50">
        <f>PERCENTRANK('Team Scores'!$L$3:$L$1000, 'Team Scores'!$L41, 3)</f>
        <v/>
      </c>
      <c r="M41" s="50">
        <f>PERCENTRANK('Team Scores'!$M$3:$M$1000, 'Team Scores'!$M41, 3)</f>
        <v/>
      </c>
      <c r="N41" s="50">
        <f>PERCENTRANK('Team Scores'!$N$3:$N$1000, 'Team Scores'!$N41, 3)</f>
        <v/>
      </c>
      <c r="O41" s="50">
        <f>PERCENTRANK('Team Scores'!$O$3:$O$1000, 'Team Scores'!$O41, 3)</f>
        <v/>
      </c>
      <c r="P41" s="50">
        <f>PERCENTRANK('Team Scores'!$P$3:$P$1000, 'Team Scores'!$P41, 3)</f>
        <v/>
      </c>
      <c r="Q41" s="50">
        <f>PERCENTRANK('Team Scores'!$Q$3:$Q$1000, 'Team Scores'!$Q41, 3)</f>
        <v/>
      </c>
      <c r="R41" s="50">
        <f>PERCENTRANK('Team Scores'!$R$3:$R$1000, 'Team Scores'!$R41, 3)</f>
        <v/>
      </c>
      <c r="S41" s="50">
        <f>PERCENTRANK('Team Scores'!$S$3:$S$1000, 'Team Scores'!$S41, 3)</f>
        <v/>
      </c>
      <c r="T41" s="50">
        <f>PERCENTRANK('Team Scores'!$T$3:$T$1000, 'Team Scores'!$T41, 3)</f>
        <v/>
      </c>
      <c r="U41" s="50">
        <f>PERCENTRANK('Team Scores'!$U$3:$U$1000, 'Team Scores'!$U41, 3)</f>
        <v/>
      </c>
      <c r="V41" s="50">
        <f>PERCENTRANK('Team Scores'!$V$3:$V$1000, 'Team Scores'!$V41, 3)</f>
        <v/>
      </c>
      <c r="W41" s="50">
        <f>PERCENTRANK('Team Scores'!$W$3:$W$1000, 'Team Scores'!$W41, 3)</f>
        <v/>
      </c>
      <c r="X41" s="50">
        <f>PERCENTRANK('Team Scores'!$X$3:$X$1000, 'Team Scores'!$X41, 3)</f>
        <v/>
      </c>
      <c r="Y41" s="50">
        <f>PERCENTRANK('Team Scores'!$Y$3:$Y$1000, 'Team Scores'!$Y41, 3)</f>
        <v/>
      </c>
      <c r="Z41" s="50">
        <f>PERCENTRANK('Team Scores'!$Z$3:$Z$1000, 'Team Scores'!$Z41, 3)</f>
        <v/>
      </c>
      <c r="AA41" s="50">
        <f>AVERAGE(C41:G41)</f>
        <v/>
      </c>
      <c r="AB41" s="50">
        <f>AVERAGE(H41:O41)</f>
        <v/>
      </c>
      <c r="AC41" s="50">
        <f>AVERAGE(P41:T41)</f>
        <v/>
      </c>
      <c r="AD41" s="50">
        <f>AVERAGE(U41:X41)</f>
        <v/>
      </c>
      <c r="AE41" s="50">
        <f>AVERAGE(AA41:AD41)</f>
        <v/>
      </c>
    </row>
    <row r="42">
      <c r="A42" s="47" t="n">
        <v>6964</v>
      </c>
      <c r="B42" s="47">
        <f>COUNTIF(MatchScoutingData!E$2:E$1000, $A42)</f>
        <v/>
      </c>
      <c r="C42" s="50">
        <f>PERCENTRANK('Team Scores'!$C$3:$C$1000, 'Team Scores'!$C42, 3)</f>
        <v/>
      </c>
      <c r="D42" s="50">
        <f>PERCENTRANK('Team Scores'!$D$3:$D$1000, 'Team Scores'!$D42, 3)</f>
        <v/>
      </c>
      <c r="E42" s="50">
        <f>PERCENTRANK('Team Scores'!$E$3:$E$1000, 'Team Scores'!$E42, 3)</f>
        <v/>
      </c>
      <c r="F42" s="50">
        <f>PERCENTRANK('Team Scores'!$F$3:$F$1000, 'Team Scores'!$F42, 3)</f>
        <v/>
      </c>
      <c r="G42" s="50">
        <f>PERCENTRANK('Team Scores'!$G$3:$G$1000, 'Team Scores'!$G42, 3)</f>
        <v/>
      </c>
      <c r="H42" s="50">
        <f>PERCENTRANK('Team Scores'!$H$3:$H$1000, 'Team Scores'!$H42, 3)</f>
        <v/>
      </c>
      <c r="I42" s="50">
        <f>PERCENTRANK('Team Scores'!$I$3:$I$1000, 'Team Scores'!$I42, 3)</f>
        <v/>
      </c>
      <c r="J42" s="50">
        <f>PERCENTRANK('Team Scores'!$J$3:$J$1000, 'Team Scores'!$J42, 3)</f>
        <v/>
      </c>
      <c r="K42" s="50">
        <f>PERCENTRANK('Team Scores'!$K$3:$K$1000, 'Team Scores'!$K42, 3)</f>
        <v/>
      </c>
      <c r="L42" s="50">
        <f>PERCENTRANK('Team Scores'!$L$3:$L$1000, 'Team Scores'!$L42, 3)</f>
        <v/>
      </c>
      <c r="M42" s="50">
        <f>PERCENTRANK('Team Scores'!$M$3:$M$1000, 'Team Scores'!$M42, 3)</f>
        <v/>
      </c>
      <c r="N42" s="50">
        <f>PERCENTRANK('Team Scores'!$N$3:$N$1000, 'Team Scores'!$N42, 3)</f>
        <v/>
      </c>
      <c r="O42" s="50">
        <f>PERCENTRANK('Team Scores'!$O$3:$O$1000, 'Team Scores'!$O42, 3)</f>
        <v/>
      </c>
      <c r="P42" s="50">
        <f>PERCENTRANK('Team Scores'!$P$3:$P$1000, 'Team Scores'!$P42, 3)</f>
        <v/>
      </c>
      <c r="Q42" s="50">
        <f>PERCENTRANK('Team Scores'!$Q$3:$Q$1000, 'Team Scores'!$Q42, 3)</f>
        <v/>
      </c>
      <c r="R42" s="50">
        <f>PERCENTRANK('Team Scores'!$R$3:$R$1000, 'Team Scores'!$R42, 3)</f>
        <v/>
      </c>
      <c r="S42" s="50">
        <f>PERCENTRANK('Team Scores'!$S$3:$S$1000, 'Team Scores'!$S42, 3)</f>
        <v/>
      </c>
      <c r="T42" s="50">
        <f>PERCENTRANK('Team Scores'!$T$3:$T$1000, 'Team Scores'!$T42, 3)</f>
        <v/>
      </c>
      <c r="U42" s="50">
        <f>PERCENTRANK('Team Scores'!$U$3:$U$1000, 'Team Scores'!$U42, 3)</f>
        <v/>
      </c>
      <c r="V42" s="50">
        <f>PERCENTRANK('Team Scores'!$V$3:$V$1000, 'Team Scores'!$V42, 3)</f>
        <v/>
      </c>
      <c r="W42" s="50">
        <f>PERCENTRANK('Team Scores'!$W$3:$W$1000, 'Team Scores'!$W42, 3)</f>
        <v/>
      </c>
      <c r="X42" s="50">
        <f>PERCENTRANK('Team Scores'!$X$3:$X$1000, 'Team Scores'!$X42, 3)</f>
        <v/>
      </c>
      <c r="Y42" s="50">
        <f>PERCENTRANK('Team Scores'!$Y$3:$Y$1000, 'Team Scores'!$Y42, 3)</f>
        <v/>
      </c>
      <c r="Z42" s="50">
        <f>PERCENTRANK('Team Scores'!$Z$3:$Z$1000, 'Team Scores'!$Z42, 3)</f>
        <v/>
      </c>
      <c r="AA42" s="50">
        <f>AVERAGE(C42:G42)</f>
        <v/>
      </c>
      <c r="AB42" s="50">
        <f>AVERAGE(H42:O42)</f>
        <v/>
      </c>
      <c r="AC42" s="50">
        <f>AVERAGE(P42:T42)</f>
        <v/>
      </c>
      <c r="AD42" s="50">
        <f>AVERAGE(U42:X42)</f>
        <v/>
      </c>
      <c r="AE42" s="50">
        <f>AVERAGE(AA42:AD42)</f>
        <v/>
      </c>
    </row>
    <row r="43">
      <c r="A43" s="47" t="n">
        <v>8145</v>
      </c>
      <c r="B43" s="47">
        <f>COUNTIF(MatchScoutingData!E$2:E$1000, $A43)</f>
        <v/>
      </c>
      <c r="C43" s="50">
        <f>PERCENTRANK('Team Scores'!$C$3:$C$1000, 'Team Scores'!$C43, 3)</f>
        <v/>
      </c>
      <c r="D43" s="50">
        <f>PERCENTRANK('Team Scores'!$D$3:$D$1000, 'Team Scores'!$D43, 3)</f>
        <v/>
      </c>
      <c r="E43" s="50">
        <f>PERCENTRANK('Team Scores'!$E$3:$E$1000, 'Team Scores'!$E43, 3)</f>
        <v/>
      </c>
      <c r="F43" s="50">
        <f>PERCENTRANK('Team Scores'!$F$3:$F$1000, 'Team Scores'!$F43, 3)</f>
        <v/>
      </c>
      <c r="G43" s="50">
        <f>PERCENTRANK('Team Scores'!$G$3:$G$1000, 'Team Scores'!$G43, 3)</f>
        <v/>
      </c>
      <c r="H43" s="50">
        <f>PERCENTRANK('Team Scores'!$H$3:$H$1000, 'Team Scores'!$H43, 3)</f>
        <v/>
      </c>
      <c r="I43" s="50">
        <f>PERCENTRANK('Team Scores'!$I$3:$I$1000, 'Team Scores'!$I43, 3)</f>
        <v/>
      </c>
      <c r="J43" s="50">
        <f>PERCENTRANK('Team Scores'!$J$3:$J$1000, 'Team Scores'!$J43, 3)</f>
        <v/>
      </c>
      <c r="K43" s="50">
        <f>PERCENTRANK('Team Scores'!$K$3:$K$1000, 'Team Scores'!$K43, 3)</f>
        <v/>
      </c>
      <c r="L43" s="50">
        <f>PERCENTRANK('Team Scores'!$L$3:$L$1000, 'Team Scores'!$L43, 3)</f>
        <v/>
      </c>
      <c r="M43" s="50">
        <f>PERCENTRANK('Team Scores'!$M$3:$M$1000, 'Team Scores'!$M43, 3)</f>
        <v/>
      </c>
      <c r="N43" s="50">
        <f>PERCENTRANK('Team Scores'!$N$3:$N$1000, 'Team Scores'!$N43, 3)</f>
        <v/>
      </c>
      <c r="O43" s="50">
        <f>PERCENTRANK('Team Scores'!$O$3:$O$1000, 'Team Scores'!$O43, 3)</f>
        <v/>
      </c>
      <c r="P43" s="50">
        <f>PERCENTRANK('Team Scores'!$P$3:$P$1000, 'Team Scores'!$P43, 3)</f>
        <v/>
      </c>
      <c r="Q43" s="50">
        <f>PERCENTRANK('Team Scores'!$Q$3:$Q$1000, 'Team Scores'!$Q43, 3)</f>
        <v/>
      </c>
      <c r="R43" s="50">
        <f>PERCENTRANK('Team Scores'!$R$3:$R$1000, 'Team Scores'!$R43, 3)</f>
        <v/>
      </c>
      <c r="S43" s="50">
        <f>PERCENTRANK('Team Scores'!$S$3:$S$1000, 'Team Scores'!$S43, 3)</f>
        <v/>
      </c>
      <c r="T43" s="50">
        <f>PERCENTRANK('Team Scores'!$T$3:$T$1000, 'Team Scores'!$T43, 3)</f>
        <v/>
      </c>
      <c r="U43" s="50">
        <f>PERCENTRANK('Team Scores'!$U$3:$U$1000, 'Team Scores'!$U43, 3)</f>
        <v/>
      </c>
      <c r="V43" s="50">
        <f>PERCENTRANK('Team Scores'!$V$3:$V$1000, 'Team Scores'!$V43, 3)</f>
        <v/>
      </c>
      <c r="W43" s="50">
        <f>PERCENTRANK('Team Scores'!$W$3:$W$1000, 'Team Scores'!$W43, 3)</f>
        <v/>
      </c>
      <c r="X43" s="50">
        <f>PERCENTRANK('Team Scores'!$X$3:$X$1000, 'Team Scores'!$X43, 3)</f>
        <v/>
      </c>
      <c r="Y43" s="50">
        <f>PERCENTRANK('Team Scores'!$Y$3:$Y$1000, 'Team Scores'!$Y43, 3)</f>
        <v/>
      </c>
      <c r="Z43" s="50">
        <f>PERCENTRANK('Team Scores'!$Z$3:$Z$1000, 'Team Scores'!$Z43, 3)</f>
        <v/>
      </c>
      <c r="AA43" s="50">
        <f>AVERAGE(C43:G43)</f>
        <v/>
      </c>
      <c r="AB43" s="50">
        <f>AVERAGE(H43:O43)</f>
        <v/>
      </c>
      <c r="AC43" s="50">
        <f>AVERAGE(P43:T43)</f>
        <v/>
      </c>
      <c r="AD43" s="50">
        <f>AVERAGE(U43:X43)</f>
        <v/>
      </c>
      <c r="AE43" s="50">
        <f>AVERAGE(AA43:AD43)</f>
        <v/>
      </c>
    </row>
    <row r="44">
      <c r="A44" s="47" t="n">
        <v>8243</v>
      </c>
      <c r="B44" s="47">
        <f>COUNTIF(MatchScoutingData!E$2:E$1000, $A44)</f>
        <v/>
      </c>
      <c r="C44" s="50">
        <f>PERCENTRANK('Team Scores'!$C$3:$C$1000, 'Team Scores'!$C44, 3)</f>
        <v/>
      </c>
      <c r="D44" s="50">
        <f>PERCENTRANK('Team Scores'!$D$3:$D$1000, 'Team Scores'!$D44, 3)</f>
        <v/>
      </c>
      <c r="E44" s="50">
        <f>PERCENTRANK('Team Scores'!$E$3:$E$1000, 'Team Scores'!$E44, 3)</f>
        <v/>
      </c>
      <c r="F44" s="50">
        <f>PERCENTRANK('Team Scores'!$F$3:$F$1000, 'Team Scores'!$F44, 3)</f>
        <v/>
      </c>
      <c r="G44" s="50">
        <f>PERCENTRANK('Team Scores'!$G$3:$G$1000, 'Team Scores'!$G44, 3)</f>
        <v/>
      </c>
      <c r="H44" s="50">
        <f>PERCENTRANK('Team Scores'!$H$3:$H$1000, 'Team Scores'!$H44, 3)</f>
        <v/>
      </c>
      <c r="I44" s="50">
        <f>PERCENTRANK('Team Scores'!$I$3:$I$1000, 'Team Scores'!$I44, 3)</f>
        <v/>
      </c>
      <c r="J44" s="50">
        <f>PERCENTRANK('Team Scores'!$J$3:$J$1000, 'Team Scores'!$J44, 3)</f>
        <v/>
      </c>
      <c r="K44" s="50">
        <f>PERCENTRANK('Team Scores'!$K$3:$K$1000, 'Team Scores'!$K44, 3)</f>
        <v/>
      </c>
      <c r="L44" s="50">
        <f>PERCENTRANK('Team Scores'!$L$3:$L$1000, 'Team Scores'!$L44, 3)</f>
        <v/>
      </c>
      <c r="M44" s="50">
        <f>PERCENTRANK('Team Scores'!$M$3:$M$1000, 'Team Scores'!$M44, 3)</f>
        <v/>
      </c>
      <c r="N44" s="50">
        <f>PERCENTRANK('Team Scores'!$N$3:$N$1000, 'Team Scores'!$N44, 3)</f>
        <v/>
      </c>
      <c r="O44" s="50">
        <f>PERCENTRANK('Team Scores'!$O$3:$O$1000, 'Team Scores'!$O44, 3)</f>
        <v/>
      </c>
      <c r="P44" s="50">
        <f>PERCENTRANK('Team Scores'!$P$3:$P$1000, 'Team Scores'!$P44, 3)</f>
        <v/>
      </c>
      <c r="Q44" s="50">
        <f>PERCENTRANK('Team Scores'!$Q$3:$Q$1000, 'Team Scores'!$Q44, 3)</f>
        <v/>
      </c>
      <c r="R44" s="50">
        <f>PERCENTRANK('Team Scores'!$R$3:$R$1000, 'Team Scores'!$R44, 3)</f>
        <v/>
      </c>
      <c r="S44" s="50">
        <f>PERCENTRANK('Team Scores'!$S$3:$S$1000, 'Team Scores'!$S44, 3)</f>
        <v/>
      </c>
      <c r="T44" s="50">
        <f>PERCENTRANK('Team Scores'!$T$3:$T$1000, 'Team Scores'!$T44, 3)</f>
        <v/>
      </c>
      <c r="U44" s="50">
        <f>PERCENTRANK('Team Scores'!$U$3:$U$1000, 'Team Scores'!$U44, 3)</f>
        <v/>
      </c>
      <c r="V44" s="50">
        <f>PERCENTRANK('Team Scores'!$V$3:$V$1000, 'Team Scores'!$V44, 3)</f>
        <v/>
      </c>
      <c r="W44" s="50">
        <f>PERCENTRANK('Team Scores'!$W$3:$W$1000, 'Team Scores'!$W44, 3)</f>
        <v/>
      </c>
      <c r="X44" s="50">
        <f>PERCENTRANK('Team Scores'!$X$3:$X$1000, 'Team Scores'!$X44, 3)</f>
        <v/>
      </c>
      <c r="Y44" s="50">
        <f>PERCENTRANK('Team Scores'!$Y$3:$Y$1000, 'Team Scores'!$Y44, 3)</f>
        <v/>
      </c>
      <c r="Z44" s="50">
        <f>PERCENTRANK('Team Scores'!$Z$3:$Z$1000, 'Team Scores'!$Z44, 3)</f>
        <v/>
      </c>
      <c r="AA44" s="50">
        <f>AVERAGE(C44:G44)</f>
        <v/>
      </c>
      <c r="AB44" s="50">
        <f>AVERAGE(H44:O44)</f>
        <v/>
      </c>
      <c r="AC44" s="50">
        <f>AVERAGE(P44:T44)</f>
        <v/>
      </c>
      <c r="AD44" s="50">
        <f>AVERAGE(U44:X44)</f>
        <v/>
      </c>
      <c r="AE44" s="50">
        <f>AVERAGE(AA44:AD44)</f>
        <v/>
      </c>
    </row>
    <row r="45">
      <c r="A45" s="47" t="n">
        <v>9075</v>
      </c>
      <c r="B45" s="47">
        <f>COUNTIF(MatchScoutingData!E$2:E$1000, $A45)</f>
        <v/>
      </c>
      <c r="C45" s="50">
        <f>PERCENTRANK('Team Scores'!$C$3:$C$1000, 'Team Scores'!$C45, 3)</f>
        <v/>
      </c>
      <c r="D45" s="50">
        <f>PERCENTRANK('Team Scores'!$D$3:$D$1000, 'Team Scores'!$D45, 3)</f>
        <v/>
      </c>
      <c r="E45" s="50">
        <f>PERCENTRANK('Team Scores'!$E$3:$E$1000, 'Team Scores'!$E45, 3)</f>
        <v/>
      </c>
      <c r="F45" s="50">
        <f>PERCENTRANK('Team Scores'!$F$3:$F$1000, 'Team Scores'!$F45, 3)</f>
        <v/>
      </c>
      <c r="G45" s="50">
        <f>PERCENTRANK('Team Scores'!$G$3:$G$1000, 'Team Scores'!$G45, 3)</f>
        <v/>
      </c>
      <c r="H45" s="50">
        <f>PERCENTRANK('Team Scores'!$H$3:$H$1000, 'Team Scores'!$H45, 3)</f>
        <v/>
      </c>
      <c r="I45" s="50">
        <f>PERCENTRANK('Team Scores'!$I$3:$I$1000, 'Team Scores'!$I45, 3)</f>
        <v/>
      </c>
      <c r="J45" s="50">
        <f>PERCENTRANK('Team Scores'!$J$3:$J$1000, 'Team Scores'!$J45, 3)</f>
        <v/>
      </c>
      <c r="K45" s="50">
        <f>PERCENTRANK('Team Scores'!$K$3:$K$1000, 'Team Scores'!$K45, 3)</f>
        <v/>
      </c>
      <c r="L45" s="50">
        <f>PERCENTRANK('Team Scores'!$L$3:$L$1000, 'Team Scores'!$L45, 3)</f>
        <v/>
      </c>
      <c r="M45" s="50">
        <f>PERCENTRANK('Team Scores'!$M$3:$M$1000, 'Team Scores'!$M45, 3)</f>
        <v/>
      </c>
      <c r="N45" s="50">
        <f>PERCENTRANK('Team Scores'!$N$3:$N$1000, 'Team Scores'!$N45, 3)</f>
        <v/>
      </c>
      <c r="O45" s="50">
        <f>PERCENTRANK('Team Scores'!$O$3:$O$1000, 'Team Scores'!$O45, 3)</f>
        <v/>
      </c>
      <c r="P45" s="50">
        <f>PERCENTRANK('Team Scores'!$P$3:$P$1000, 'Team Scores'!$P45, 3)</f>
        <v/>
      </c>
      <c r="Q45" s="50">
        <f>PERCENTRANK('Team Scores'!$Q$3:$Q$1000, 'Team Scores'!$Q45, 3)</f>
        <v/>
      </c>
      <c r="R45" s="50">
        <f>PERCENTRANK('Team Scores'!$R$3:$R$1000, 'Team Scores'!$R45, 3)</f>
        <v/>
      </c>
      <c r="S45" s="50">
        <f>PERCENTRANK('Team Scores'!$S$3:$S$1000, 'Team Scores'!$S45, 3)</f>
        <v/>
      </c>
      <c r="T45" s="50">
        <f>PERCENTRANK('Team Scores'!$T$3:$T$1000, 'Team Scores'!$T45, 3)</f>
        <v/>
      </c>
      <c r="U45" s="50">
        <f>PERCENTRANK('Team Scores'!$U$3:$U$1000, 'Team Scores'!$U45, 3)</f>
        <v/>
      </c>
      <c r="V45" s="50">
        <f>PERCENTRANK('Team Scores'!$V$3:$V$1000, 'Team Scores'!$V45, 3)</f>
        <v/>
      </c>
      <c r="W45" s="50">
        <f>PERCENTRANK('Team Scores'!$W$3:$W$1000, 'Team Scores'!$W45, 3)</f>
        <v/>
      </c>
      <c r="X45" s="50">
        <f>PERCENTRANK('Team Scores'!$X$3:$X$1000, 'Team Scores'!$X45, 3)</f>
        <v/>
      </c>
      <c r="Y45" s="50">
        <f>PERCENTRANK('Team Scores'!$Y$3:$Y$1000, 'Team Scores'!$Y45, 3)</f>
        <v/>
      </c>
      <c r="Z45" s="50">
        <f>PERCENTRANK('Team Scores'!$Z$3:$Z$1000, 'Team Scores'!$Z45, 3)</f>
        <v/>
      </c>
      <c r="AA45" s="50">
        <f>AVERAGE(C45:G45)</f>
        <v/>
      </c>
      <c r="AB45" s="50">
        <f>AVERAGE(H45:O45)</f>
        <v/>
      </c>
      <c r="AC45" s="50">
        <f>AVERAGE(P45:T45)</f>
        <v/>
      </c>
      <c r="AD45" s="50">
        <f>AVERAGE(U45:X45)</f>
        <v/>
      </c>
      <c r="AE45" s="50">
        <f>AVERAGE(AA45:AD45)</f>
        <v/>
      </c>
    </row>
    <row r="46">
      <c r="A46" s="47" t="n">
        <v>9097</v>
      </c>
      <c r="B46" s="47">
        <f>COUNTIF(MatchScoutingData!E$2:E$1000, $A46)</f>
        <v/>
      </c>
      <c r="C46" s="50">
        <f>PERCENTRANK('Team Scores'!$C$3:$C$1000, 'Team Scores'!$C46, 3)</f>
        <v/>
      </c>
      <c r="D46" s="50">
        <f>PERCENTRANK('Team Scores'!$D$3:$D$1000, 'Team Scores'!$D46, 3)</f>
        <v/>
      </c>
      <c r="E46" s="50">
        <f>PERCENTRANK('Team Scores'!$E$3:$E$1000, 'Team Scores'!$E46, 3)</f>
        <v/>
      </c>
      <c r="F46" s="50">
        <f>PERCENTRANK('Team Scores'!$F$3:$F$1000, 'Team Scores'!$F46, 3)</f>
        <v/>
      </c>
      <c r="G46" s="50">
        <f>PERCENTRANK('Team Scores'!$G$3:$G$1000, 'Team Scores'!$G46, 3)</f>
        <v/>
      </c>
      <c r="H46" s="50">
        <f>PERCENTRANK('Team Scores'!$H$3:$H$1000, 'Team Scores'!$H46, 3)</f>
        <v/>
      </c>
      <c r="I46" s="50">
        <f>PERCENTRANK('Team Scores'!$I$3:$I$1000, 'Team Scores'!$I46, 3)</f>
        <v/>
      </c>
      <c r="J46" s="50">
        <f>PERCENTRANK('Team Scores'!$J$3:$J$1000, 'Team Scores'!$J46, 3)</f>
        <v/>
      </c>
      <c r="K46" s="50">
        <f>PERCENTRANK('Team Scores'!$K$3:$K$1000, 'Team Scores'!$K46, 3)</f>
        <v/>
      </c>
      <c r="L46" s="50">
        <f>PERCENTRANK('Team Scores'!$L$3:$L$1000, 'Team Scores'!$L46, 3)</f>
        <v/>
      </c>
      <c r="M46" s="50">
        <f>PERCENTRANK('Team Scores'!$M$3:$M$1000, 'Team Scores'!$M46, 3)</f>
        <v/>
      </c>
      <c r="N46" s="50">
        <f>PERCENTRANK('Team Scores'!$N$3:$N$1000, 'Team Scores'!$N46, 3)</f>
        <v/>
      </c>
      <c r="O46" s="50">
        <f>PERCENTRANK('Team Scores'!$O$3:$O$1000, 'Team Scores'!$O46, 3)</f>
        <v/>
      </c>
      <c r="P46" s="50">
        <f>PERCENTRANK('Team Scores'!$P$3:$P$1000, 'Team Scores'!$P46, 3)</f>
        <v/>
      </c>
      <c r="Q46" s="50">
        <f>PERCENTRANK('Team Scores'!$Q$3:$Q$1000, 'Team Scores'!$Q46, 3)</f>
        <v/>
      </c>
      <c r="R46" s="50">
        <f>PERCENTRANK('Team Scores'!$R$3:$R$1000, 'Team Scores'!$R46, 3)</f>
        <v/>
      </c>
      <c r="S46" s="50">
        <f>PERCENTRANK('Team Scores'!$S$3:$S$1000, 'Team Scores'!$S46, 3)</f>
        <v/>
      </c>
      <c r="T46" s="50">
        <f>PERCENTRANK('Team Scores'!$T$3:$T$1000, 'Team Scores'!$T46, 3)</f>
        <v/>
      </c>
      <c r="U46" s="50">
        <f>PERCENTRANK('Team Scores'!$U$3:$U$1000, 'Team Scores'!$U46, 3)</f>
        <v/>
      </c>
      <c r="V46" s="50">
        <f>PERCENTRANK('Team Scores'!$V$3:$V$1000, 'Team Scores'!$V46, 3)</f>
        <v/>
      </c>
      <c r="W46" s="50">
        <f>PERCENTRANK('Team Scores'!$W$3:$W$1000, 'Team Scores'!$W46, 3)</f>
        <v/>
      </c>
      <c r="X46" s="50">
        <f>PERCENTRANK('Team Scores'!$X$3:$X$1000, 'Team Scores'!$X46, 3)</f>
        <v/>
      </c>
      <c r="Y46" s="50">
        <f>PERCENTRANK('Team Scores'!$Y$3:$Y$1000, 'Team Scores'!$Y46, 3)</f>
        <v/>
      </c>
      <c r="Z46" s="50">
        <f>PERCENTRANK('Team Scores'!$Z$3:$Z$1000, 'Team Scores'!$Z46, 3)</f>
        <v/>
      </c>
      <c r="AA46" s="50">
        <f>AVERAGE(C46:G46)</f>
        <v/>
      </c>
      <c r="AB46" s="50">
        <f>AVERAGE(H46:O46)</f>
        <v/>
      </c>
      <c r="AC46" s="50">
        <f>AVERAGE(P46:T46)</f>
        <v/>
      </c>
      <c r="AD46" s="50">
        <f>AVERAGE(U46:X46)</f>
        <v/>
      </c>
      <c r="AE46" s="50">
        <f>AVERAGE(AA46:AD46)</f>
        <v/>
      </c>
    </row>
    <row r="47">
      <c r="A47" s="47" t="n">
        <v>9139</v>
      </c>
      <c r="B47" s="47">
        <f>COUNTIF(MatchScoutingData!E$2:E$1000, $A47)</f>
        <v/>
      </c>
      <c r="C47" s="50">
        <f>PERCENTRANK('Team Scores'!$C$3:$C$1000, 'Team Scores'!$C47, 3)</f>
        <v/>
      </c>
      <c r="D47" s="50">
        <f>PERCENTRANK('Team Scores'!$D$3:$D$1000, 'Team Scores'!$D47, 3)</f>
        <v/>
      </c>
      <c r="E47" s="50">
        <f>PERCENTRANK('Team Scores'!$E$3:$E$1000, 'Team Scores'!$E47, 3)</f>
        <v/>
      </c>
      <c r="F47" s="50">
        <f>PERCENTRANK('Team Scores'!$F$3:$F$1000, 'Team Scores'!$F47, 3)</f>
        <v/>
      </c>
      <c r="G47" s="50">
        <f>PERCENTRANK('Team Scores'!$G$3:$G$1000, 'Team Scores'!$G47, 3)</f>
        <v/>
      </c>
      <c r="H47" s="50">
        <f>PERCENTRANK('Team Scores'!$H$3:$H$1000, 'Team Scores'!$H47, 3)</f>
        <v/>
      </c>
      <c r="I47" s="50">
        <f>PERCENTRANK('Team Scores'!$I$3:$I$1000, 'Team Scores'!$I47, 3)</f>
        <v/>
      </c>
      <c r="J47" s="50">
        <f>PERCENTRANK('Team Scores'!$J$3:$J$1000, 'Team Scores'!$J47, 3)</f>
        <v/>
      </c>
      <c r="K47" s="50">
        <f>PERCENTRANK('Team Scores'!$K$3:$K$1000, 'Team Scores'!$K47, 3)</f>
        <v/>
      </c>
      <c r="L47" s="50">
        <f>PERCENTRANK('Team Scores'!$L$3:$L$1000, 'Team Scores'!$L47, 3)</f>
        <v/>
      </c>
      <c r="M47" s="50">
        <f>PERCENTRANK('Team Scores'!$M$3:$M$1000, 'Team Scores'!$M47, 3)</f>
        <v/>
      </c>
      <c r="N47" s="50">
        <f>PERCENTRANK('Team Scores'!$N$3:$N$1000, 'Team Scores'!$N47, 3)</f>
        <v/>
      </c>
      <c r="O47" s="50">
        <f>PERCENTRANK('Team Scores'!$O$3:$O$1000, 'Team Scores'!$O47, 3)</f>
        <v/>
      </c>
      <c r="P47" s="50">
        <f>PERCENTRANK('Team Scores'!$P$3:$P$1000, 'Team Scores'!$P47, 3)</f>
        <v/>
      </c>
      <c r="Q47" s="50">
        <f>PERCENTRANK('Team Scores'!$Q$3:$Q$1000, 'Team Scores'!$Q47, 3)</f>
        <v/>
      </c>
      <c r="R47" s="50">
        <f>PERCENTRANK('Team Scores'!$R$3:$R$1000, 'Team Scores'!$R47, 3)</f>
        <v/>
      </c>
      <c r="S47" s="50">
        <f>PERCENTRANK('Team Scores'!$S$3:$S$1000, 'Team Scores'!$S47, 3)</f>
        <v/>
      </c>
      <c r="T47" s="50">
        <f>PERCENTRANK('Team Scores'!$T$3:$T$1000, 'Team Scores'!$T47, 3)</f>
        <v/>
      </c>
      <c r="U47" s="50">
        <f>PERCENTRANK('Team Scores'!$U$3:$U$1000, 'Team Scores'!$U47, 3)</f>
        <v/>
      </c>
      <c r="V47" s="50">
        <f>PERCENTRANK('Team Scores'!$V$3:$V$1000, 'Team Scores'!$V47, 3)</f>
        <v/>
      </c>
      <c r="W47" s="50">
        <f>PERCENTRANK('Team Scores'!$W$3:$W$1000, 'Team Scores'!$W47, 3)</f>
        <v/>
      </c>
      <c r="X47" s="50">
        <f>PERCENTRANK('Team Scores'!$X$3:$X$1000, 'Team Scores'!$X47, 3)</f>
        <v/>
      </c>
      <c r="Y47" s="50">
        <f>PERCENTRANK('Team Scores'!$Y$3:$Y$1000, 'Team Scores'!$Y47, 3)</f>
        <v/>
      </c>
      <c r="Z47" s="50">
        <f>PERCENTRANK('Team Scores'!$Z$3:$Z$1000, 'Team Scores'!$Z47, 3)</f>
        <v/>
      </c>
      <c r="AA47" s="50">
        <f>AVERAGE(C47:G47)</f>
        <v/>
      </c>
      <c r="AB47" s="50">
        <f>AVERAGE(H47:O47)</f>
        <v/>
      </c>
      <c r="AC47" s="50">
        <f>AVERAGE(P47:T47)</f>
        <v/>
      </c>
      <c r="AD47" s="50">
        <f>AVERAGE(U47:X47)</f>
        <v/>
      </c>
      <c r="AE47" s="50">
        <f>AVERAGE(AA47:AD47)</f>
        <v/>
      </c>
    </row>
    <row r="48">
      <c r="A48" s="47" t="n">
        <v>9152</v>
      </c>
      <c r="B48" s="47">
        <f>COUNTIF(MatchScoutingData!E$2:E$1000, $A48)</f>
        <v/>
      </c>
      <c r="C48" s="50">
        <f>PERCENTRANK('Team Scores'!$C$3:$C$1000, 'Team Scores'!$C48, 3)</f>
        <v/>
      </c>
      <c r="D48" s="50">
        <f>PERCENTRANK('Team Scores'!$D$3:$D$1000, 'Team Scores'!$D48, 3)</f>
        <v/>
      </c>
      <c r="E48" s="50">
        <f>PERCENTRANK('Team Scores'!$E$3:$E$1000, 'Team Scores'!$E48, 3)</f>
        <v/>
      </c>
      <c r="F48" s="50">
        <f>PERCENTRANK('Team Scores'!$F$3:$F$1000, 'Team Scores'!$F48, 3)</f>
        <v/>
      </c>
      <c r="G48" s="50">
        <f>PERCENTRANK('Team Scores'!$G$3:$G$1000, 'Team Scores'!$G48, 3)</f>
        <v/>
      </c>
      <c r="H48" s="50">
        <f>PERCENTRANK('Team Scores'!$H$3:$H$1000, 'Team Scores'!$H48, 3)</f>
        <v/>
      </c>
      <c r="I48" s="50">
        <f>PERCENTRANK('Team Scores'!$I$3:$I$1000, 'Team Scores'!$I48, 3)</f>
        <v/>
      </c>
      <c r="J48" s="50">
        <f>PERCENTRANK('Team Scores'!$J$3:$J$1000, 'Team Scores'!$J48, 3)</f>
        <v/>
      </c>
      <c r="K48" s="50">
        <f>PERCENTRANK('Team Scores'!$K$3:$K$1000, 'Team Scores'!$K48, 3)</f>
        <v/>
      </c>
      <c r="L48" s="50">
        <f>PERCENTRANK('Team Scores'!$L$3:$L$1000, 'Team Scores'!$L48, 3)</f>
        <v/>
      </c>
      <c r="M48" s="50">
        <f>PERCENTRANK('Team Scores'!$M$3:$M$1000, 'Team Scores'!$M48, 3)</f>
        <v/>
      </c>
      <c r="N48" s="50">
        <f>PERCENTRANK('Team Scores'!$N$3:$N$1000, 'Team Scores'!$N48, 3)</f>
        <v/>
      </c>
      <c r="O48" s="50">
        <f>PERCENTRANK('Team Scores'!$O$3:$O$1000, 'Team Scores'!$O48, 3)</f>
        <v/>
      </c>
      <c r="P48" s="50">
        <f>PERCENTRANK('Team Scores'!$P$3:$P$1000, 'Team Scores'!$P48, 3)</f>
        <v/>
      </c>
      <c r="Q48" s="50">
        <f>PERCENTRANK('Team Scores'!$Q$3:$Q$1000, 'Team Scores'!$Q48, 3)</f>
        <v/>
      </c>
      <c r="R48" s="50">
        <f>PERCENTRANK('Team Scores'!$R$3:$R$1000, 'Team Scores'!$R48, 3)</f>
        <v/>
      </c>
      <c r="S48" s="50">
        <f>PERCENTRANK('Team Scores'!$S$3:$S$1000, 'Team Scores'!$S48, 3)</f>
        <v/>
      </c>
      <c r="T48" s="50">
        <f>PERCENTRANK('Team Scores'!$T$3:$T$1000, 'Team Scores'!$T48, 3)</f>
        <v/>
      </c>
      <c r="U48" s="50">
        <f>PERCENTRANK('Team Scores'!$U$3:$U$1000, 'Team Scores'!$U48, 3)</f>
        <v/>
      </c>
      <c r="V48" s="50">
        <f>PERCENTRANK('Team Scores'!$V$3:$V$1000, 'Team Scores'!$V48, 3)</f>
        <v/>
      </c>
      <c r="W48" s="50">
        <f>PERCENTRANK('Team Scores'!$W$3:$W$1000, 'Team Scores'!$W48, 3)</f>
        <v/>
      </c>
      <c r="X48" s="50">
        <f>PERCENTRANK('Team Scores'!$X$3:$X$1000, 'Team Scores'!$X48, 3)</f>
        <v/>
      </c>
      <c r="Y48" s="50">
        <f>PERCENTRANK('Team Scores'!$Y$3:$Y$1000, 'Team Scores'!$Y48, 3)</f>
        <v/>
      </c>
      <c r="Z48" s="50">
        <f>PERCENTRANK('Team Scores'!$Z$3:$Z$1000, 'Team Scores'!$Z48, 3)</f>
        <v/>
      </c>
      <c r="AA48" s="50">
        <f>AVERAGE(C48:G48)</f>
        <v/>
      </c>
      <c r="AB48" s="50">
        <f>AVERAGE(H48:O48)</f>
        <v/>
      </c>
      <c r="AC48" s="50">
        <f>AVERAGE(P48:T48)</f>
        <v/>
      </c>
      <c r="AD48" s="50">
        <f>AVERAGE(U48:X48)</f>
        <v/>
      </c>
      <c r="AE48" s="50">
        <f>AVERAGE(AA48:AD48)</f>
        <v/>
      </c>
    </row>
    <row r="49">
      <c r="A49" s="47" t="n">
        <v>10011</v>
      </c>
      <c r="B49" s="47">
        <f>COUNTIF(MatchScoutingData!E$2:E$1000, $A49)</f>
        <v/>
      </c>
      <c r="C49" s="50">
        <f>PERCENTRANK('Team Scores'!$C$3:$C$1000, 'Team Scores'!$C49, 3)</f>
        <v/>
      </c>
      <c r="D49" s="50">
        <f>PERCENTRANK('Team Scores'!$D$3:$D$1000, 'Team Scores'!$D49, 3)</f>
        <v/>
      </c>
      <c r="E49" s="50">
        <f>PERCENTRANK('Team Scores'!$E$3:$E$1000, 'Team Scores'!$E49, 3)</f>
        <v/>
      </c>
      <c r="F49" s="50">
        <f>PERCENTRANK('Team Scores'!$F$3:$F$1000, 'Team Scores'!$F49, 3)</f>
        <v/>
      </c>
      <c r="G49" s="50">
        <f>PERCENTRANK('Team Scores'!$G$3:$G$1000, 'Team Scores'!$G49, 3)</f>
        <v/>
      </c>
      <c r="H49" s="50">
        <f>PERCENTRANK('Team Scores'!$H$3:$H$1000, 'Team Scores'!$H49, 3)</f>
        <v/>
      </c>
      <c r="I49" s="50">
        <f>PERCENTRANK('Team Scores'!$I$3:$I$1000, 'Team Scores'!$I49, 3)</f>
        <v/>
      </c>
      <c r="J49" s="50">
        <f>PERCENTRANK('Team Scores'!$J$3:$J$1000, 'Team Scores'!$J49, 3)</f>
        <v/>
      </c>
      <c r="K49" s="50">
        <f>PERCENTRANK('Team Scores'!$K$3:$K$1000, 'Team Scores'!$K49, 3)</f>
        <v/>
      </c>
      <c r="L49" s="50">
        <f>PERCENTRANK('Team Scores'!$L$3:$L$1000, 'Team Scores'!$L49, 3)</f>
        <v/>
      </c>
      <c r="M49" s="50">
        <f>PERCENTRANK('Team Scores'!$M$3:$M$1000, 'Team Scores'!$M49, 3)</f>
        <v/>
      </c>
      <c r="N49" s="50">
        <f>PERCENTRANK('Team Scores'!$N$3:$N$1000, 'Team Scores'!$N49, 3)</f>
        <v/>
      </c>
      <c r="O49" s="50">
        <f>PERCENTRANK('Team Scores'!$O$3:$O$1000, 'Team Scores'!$O49, 3)</f>
        <v/>
      </c>
      <c r="P49" s="50">
        <f>PERCENTRANK('Team Scores'!$P$3:$P$1000, 'Team Scores'!$P49, 3)</f>
        <v/>
      </c>
      <c r="Q49" s="50">
        <f>PERCENTRANK('Team Scores'!$Q$3:$Q$1000, 'Team Scores'!$Q49, 3)</f>
        <v/>
      </c>
      <c r="R49" s="50">
        <f>PERCENTRANK('Team Scores'!$R$3:$R$1000, 'Team Scores'!$R49, 3)</f>
        <v/>
      </c>
      <c r="S49" s="50">
        <f>PERCENTRANK('Team Scores'!$S$3:$S$1000, 'Team Scores'!$S49, 3)</f>
        <v/>
      </c>
      <c r="T49" s="50">
        <f>PERCENTRANK('Team Scores'!$T$3:$T$1000, 'Team Scores'!$T49, 3)</f>
        <v/>
      </c>
      <c r="U49" s="50">
        <f>PERCENTRANK('Team Scores'!$U$3:$U$1000, 'Team Scores'!$U49, 3)</f>
        <v/>
      </c>
      <c r="V49" s="50">
        <f>PERCENTRANK('Team Scores'!$V$3:$V$1000, 'Team Scores'!$V49, 3)</f>
        <v/>
      </c>
      <c r="W49" s="50">
        <f>PERCENTRANK('Team Scores'!$W$3:$W$1000, 'Team Scores'!$W49, 3)</f>
        <v/>
      </c>
      <c r="X49" s="50">
        <f>PERCENTRANK('Team Scores'!$X$3:$X$1000, 'Team Scores'!$X49, 3)</f>
        <v/>
      </c>
      <c r="Y49" s="50">
        <f>PERCENTRANK('Team Scores'!$Y$3:$Y$1000, 'Team Scores'!$Y49, 3)</f>
        <v/>
      </c>
      <c r="Z49" s="50">
        <f>PERCENTRANK('Team Scores'!$Z$3:$Z$1000, 'Team Scores'!$Z49, 3)</f>
        <v/>
      </c>
      <c r="AA49" s="50">
        <f>AVERAGE(C49:G49)</f>
        <v/>
      </c>
      <c r="AB49" s="50">
        <f>AVERAGE(H49:O49)</f>
        <v/>
      </c>
      <c r="AC49" s="50">
        <f>AVERAGE(P49:T49)</f>
        <v/>
      </c>
      <c r="AD49" s="50">
        <f>AVERAGE(U49:X49)</f>
        <v/>
      </c>
      <c r="AE49" s="50">
        <f>AVERAGE(AA49:AD49)</f>
        <v/>
      </c>
    </row>
    <row r="50">
      <c r="A50" s="47" t="n">
        <v>10207</v>
      </c>
      <c r="B50" s="47">
        <f>COUNTIF(MatchScoutingData!E$2:E$1000, $A50)</f>
        <v/>
      </c>
      <c r="C50" s="50">
        <f>PERCENTRANK('Team Scores'!$C$3:$C$1000, 'Team Scores'!$C50, 3)</f>
        <v/>
      </c>
      <c r="D50" s="50">
        <f>PERCENTRANK('Team Scores'!$D$3:$D$1000, 'Team Scores'!$D50, 3)</f>
        <v/>
      </c>
      <c r="E50" s="50">
        <f>PERCENTRANK('Team Scores'!$E$3:$E$1000, 'Team Scores'!$E50, 3)</f>
        <v/>
      </c>
      <c r="F50" s="50">
        <f>PERCENTRANK('Team Scores'!$F$3:$F$1000, 'Team Scores'!$F50, 3)</f>
        <v/>
      </c>
      <c r="G50" s="50">
        <f>PERCENTRANK('Team Scores'!$G$3:$G$1000, 'Team Scores'!$G50, 3)</f>
        <v/>
      </c>
      <c r="H50" s="50">
        <f>PERCENTRANK('Team Scores'!$H$3:$H$1000, 'Team Scores'!$H50, 3)</f>
        <v/>
      </c>
      <c r="I50" s="50">
        <f>PERCENTRANK('Team Scores'!$I$3:$I$1000, 'Team Scores'!$I50, 3)</f>
        <v/>
      </c>
      <c r="J50" s="50">
        <f>PERCENTRANK('Team Scores'!$J$3:$J$1000, 'Team Scores'!$J50, 3)</f>
        <v/>
      </c>
      <c r="K50" s="50">
        <f>PERCENTRANK('Team Scores'!$K$3:$K$1000, 'Team Scores'!$K50, 3)</f>
        <v/>
      </c>
      <c r="L50" s="50">
        <f>PERCENTRANK('Team Scores'!$L$3:$L$1000, 'Team Scores'!$L50, 3)</f>
        <v/>
      </c>
      <c r="M50" s="50">
        <f>PERCENTRANK('Team Scores'!$M$3:$M$1000, 'Team Scores'!$M50, 3)</f>
        <v/>
      </c>
      <c r="N50" s="50">
        <f>PERCENTRANK('Team Scores'!$N$3:$N$1000, 'Team Scores'!$N50, 3)</f>
        <v/>
      </c>
      <c r="O50" s="50">
        <f>PERCENTRANK('Team Scores'!$O$3:$O$1000, 'Team Scores'!$O50, 3)</f>
        <v/>
      </c>
      <c r="P50" s="50">
        <f>PERCENTRANK('Team Scores'!$P$3:$P$1000, 'Team Scores'!$P50, 3)</f>
        <v/>
      </c>
      <c r="Q50" s="50">
        <f>PERCENTRANK('Team Scores'!$Q$3:$Q$1000, 'Team Scores'!$Q50, 3)</f>
        <v/>
      </c>
      <c r="R50" s="50">
        <f>PERCENTRANK('Team Scores'!$R$3:$R$1000, 'Team Scores'!$R50, 3)</f>
        <v/>
      </c>
      <c r="S50" s="50">
        <f>PERCENTRANK('Team Scores'!$S$3:$S$1000, 'Team Scores'!$S50, 3)</f>
        <v/>
      </c>
      <c r="T50" s="50">
        <f>PERCENTRANK('Team Scores'!$T$3:$T$1000, 'Team Scores'!$T50, 3)</f>
        <v/>
      </c>
      <c r="U50" s="50">
        <f>PERCENTRANK('Team Scores'!$U$3:$U$1000, 'Team Scores'!$U50, 3)</f>
        <v/>
      </c>
      <c r="V50" s="50">
        <f>PERCENTRANK('Team Scores'!$V$3:$V$1000, 'Team Scores'!$V50, 3)</f>
        <v/>
      </c>
      <c r="W50" s="50">
        <f>PERCENTRANK('Team Scores'!$W$3:$W$1000, 'Team Scores'!$W50, 3)</f>
        <v/>
      </c>
      <c r="X50" s="50">
        <f>PERCENTRANK('Team Scores'!$X$3:$X$1000, 'Team Scores'!$X50, 3)</f>
        <v/>
      </c>
      <c r="Y50" s="50">
        <f>PERCENTRANK('Team Scores'!$Y$3:$Y$1000, 'Team Scores'!$Y50, 3)</f>
        <v/>
      </c>
      <c r="Z50" s="50">
        <f>PERCENTRANK('Team Scores'!$Z$3:$Z$1000, 'Team Scores'!$Z50, 3)</f>
        <v/>
      </c>
      <c r="AA50" s="50">
        <f>AVERAGE(C50:G50)</f>
        <v/>
      </c>
      <c r="AB50" s="50">
        <f>AVERAGE(H50:O50)</f>
        <v/>
      </c>
      <c r="AC50" s="50">
        <f>AVERAGE(P50:T50)</f>
        <v/>
      </c>
      <c r="AD50" s="50">
        <f>AVERAGE(U50:X50)</f>
        <v/>
      </c>
      <c r="AE50" s="50">
        <f>AVERAGE(AA50:AD50)</f>
        <v/>
      </c>
    </row>
    <row r="51">
      <c r="A51" s="47" t="n">
        <v>10208</v>
      </c>
      <c r="B51" s="47">
        <f>COUNTIF(MatchScoutingData!E$2:E$1000, $A51)</f>
        <v/>
      </c>
      <c r="C51" s="50">
        <f>PERCENTRANK('Team Scores'!$C$3:$C$1000, 'Team Scores'!$C51, 3)</f>
        <v/>
      </c>
      <c r="D51" s="50">
        <f>PERCENTRANK('Team Scores'!$D$3:$D$1000, 'Team Scores'!$D51, 3)</f>
        <v/>
      </c>
      <c r="E51" s="50">
        <f>PERCENTRANK('Team Scores'!$E$3:$E$1000, 'Team Scores'!$E51, 3)</f>
        <v/>
      </c>
      <c r="F51" s="50">
        <f>PERCENTRANK('Team Scores'!$F$3:$F$1000, 'Team Scores'!$F51, 3)</f>
        <v/>
      </c>
      <c r="G51" s="50">
        <f>PERCENTRANK('Team Scores'!$G$3:$G$1000, 'Team Scores'!$G51, 3)</f>
        <v/>
      </c>
      <c r="H51" s="50">
        <f>PERCENTRANK('Team Scores'!$H$3:$H$1000, 'Team Scores'!$H51, 3)</f>
        <v/>
      </c>
      <c r="I51" s="50">
        <f>PERCENTRANK('Team Scores'!$I$3:$I$1000, 'Team Scores'!$I51, 3)</f>
        <v/>
      </c>
      <c r="J51" s="50">
        <f>PERCENTRANK('Team Scores'!$J$3:$J$1000, 'Team Scores'!$J51, 3)</f>
        <v/>
      </c>
      <c r="K51" s="50">
        <f>PERCENTRANK('Team Scores'!$K$3:$K$1000, 'Team Scores'!$K51, 3)</f>
        <v/>
      </c>
      <c r="L51" s="50">
        <f>PERCENTRANK('Team Scores'!$L$3:$L$1000, 'Team Scores'!$L51, 3)</f>
        <v/>
      </c>
      <c r="M51" s="50">
        <f>PERCENTRANK('Team Scores'!$M$3:$M$1000, 'Team Scores'!$M51, 3)</f>
        <v/>
      </c>
      <c r="N51" s="50">
        <f>PERCENTRANK('Team Scores'!$N$3:$N$1000, 'Team Scores'!$N51, 3)</f>
        <v/>
      </c>
      <c r="O51" s="50">
        <f>PERCENTRANK('Team Scores'!$O$3:$O$1000, 'Team Scores'!$O51, 3)</f>
        <v/>
      </c>
      <c r="P51" s="50">
        <f>PERCENTRANK('Team Scores'!$P$3:$P$1000, 'Team Scores'!$P51, 3)</f>
        <v/>
      </c>
      <c r="Q51" s="50">
        <f>PERCENTRANK('Team Scores'!$Q$3:$Q$1000, 'Team Scores'!$Q51, 3)</f>
        <v/>
      </c>
      <c r="R51" s="50">
        <f>PERCENTRANK('Team Scores'!$R$3:$R$1000, 'Team Scores'!$R51, 3)</f>
        <v/>
      </c>
      <c r="S51" s="50">
        <f>PERCENTRANK('Team Scores'!$S$3:$S$1000, 'Team Scores'!$S51, 3)</f>
        <v/>
      </c>
      <c r="T51" s="50">
        <f>PERCENTRANK('Team Scores'!$T$3:$T$1000, 'Team Scores'!$T51, 3)</f>
        <v/>
      </c>
      <c r="U51" s="50">
        <f>PERCENTRANK('Team Scores'!$U$3:$U$1000, 'Team Scores'!$U51, 3)</f>
        <v/>
      </c>
      <c r="V51" s="50">
        <f>PERCENTRANK('Team Scores'!$V$3:$V$1000, 'Team Scores'!$V51, 3)</f>
        <v/>
      </c>
      <c r="W51" s="50">
        <f>PERCENTRANK('Team Scores'!$W$3:$W$1000, 'Team Scores'!$W51, 3)</f>
        <v/>
      </c>
      <c r="X51" s="50">
        <f>PERCENTRANK('Team Scores'!$X$3:$X$1000, 'Team Scores'!$X51, 3)</f>
        <v/>
      </c>
      <c r="Y51" s="50">
        <f>PERCENTRANK('Team Scores'!$Y$3:$Y$1000, 'Team Scores'!$Y51, 3)</f>
        <v/>
      </c>
      <c r="Z51" s="50">
        <f>PERCENTRANK('Team Scores'!$Z$3:$Z$1000, 'Team Scores'!$Z51, 3)</f>
        <v/>
      </c>
      <c r="AA51" s="50">
        <f>AVERAGE(C51:G51)</f>
        <v/>
      </c>
      <c r="AB51" s="50">
        <f>AVERAGE(H51:O51)</f>
        <v/>
      </c>
      <c r="AC51" s="50">
        <f>AVERAGE(P51:T51)</f>
        <v/>
      </c>
      <c r="AD51" s="50">
        <f>AVERAGE(U51:X51)</f>
        <v/>
      </c>
      <c r="AE51" s="50">
        <f>AVERAGE(AA51:AD51)</f>
        <v/>
      </c>
    </row>
    <row r="52">
      <c r="A52" s="47" t="n">
        <v>10987</v>
      </c>
      <c r="B52" s="47">
        <f>COUNTIF(MatchScoutingData!E$2:E$1000, $A52)</f>
        <v/>
      </c>
      <c r="C52" s="50">
        <f>PERCENTRANK('Team Scores'!$C$3:$C$1000, 'Team Scores'!$C52, 3)</f>
        <v/>
      </c>
      <c r="D52" s="50">
        <f>PERCENTRANK('Team Scores'!$D$3:$D$1000, 'Team Scores'!$D52, 3)</f>
        <v/>
      </c>
      <c r="E52" s="50">
        <f>PERCENTRANK('Team Scores'!$E$3:$E$1000, 'Team Scores'!$E52, 3)</f>
        <v/>
      </c>
      <c r="F52" s="50">
        <f>PERCENTRANK('Team Scores'!$F$3:$F$1000, 'Team Scores'!$F52, 3)</f>
        <v/>
      </c>
      <c r="G52" s="50">
        <f>PERCENTRANK('Team Scores'!$G$3:$G$1000, 'Team Scores'!$G52, 3)</f>
        <v/>
      </c>
      <c r="H52" s="50">
        <f>PERCENTRANK('Team Scores'!$H$3:$H$1000, 'Team Scores'!$H52, 3)</f>
        <v/>
      </c>
      <c r="I52" s="50">
        <f>PERCENTRANK('Team Scores'!$I$3:$I$1000, 'Team Scores'!$I52, 3)</f>
        <v/>
      </c>
      <c r="J52" s="50">
        <f>PERCENTRANK('Team Scores'!$J$3:$J$1000, 'Team Scores'!$J52, 3)</f>
        <v/>
      </c>
      <c r="K52" s="50">
        <f>PERCENTRANK('Team Scores'!$K$3:$K$1000, 'Team Scores'!$K52, 3)</f>
        <v/>
      </c>
      <c r="L52" s="50">
        <f>PERCENTRANK('Team Scores'!$L$3:$L$1000, 'Team Scores'!$L52, 3)</f>
        <v/>
      </c>
      <c r="M52" s="50">
        <f>PERCENTRANK('Team Scores'!$M$3:$M$1000, 'Team Scores'!$M52, 3)</f>
        <v/>
      </c>
      <c r="N52" s="50">
        <f>PERCENTRANK('Team Scores'!$N$3:$N$1000, 'Team Scores'!$N52, 3)</f>
        <v/>
      </c>
      <c r="O52" s="50">
        <f>PERCENTRANK('Team Scores'!$O$3:$O$1000, 'Team Scores'!$O52, 3)</f>
        <v/>
      </c>
      <c r="P52" s="50">
        <f>PERCENTRANK('Team Scores'!$P$3:$P$1000, 'Team Scores'!$P52, 3)</f>
        <v/>
      </c>
      <c r="Q52" s="50">
        <f>PERCENTRANK('Team Scores'!$Q$3:$Q$1000, 'Team Scores'!$Q52, 3)</f>
        <v/>
      </c>
      <c r="R52" s="50">
        <f>PERCENTRANK('Team Scores'!$R$3:$R$1000, 'Team Scores'!$R52, 3)</f>
        <v/>
      </c>
      <c r="S52" s="50">
        <f>PERCENTRANK('Team Scores'!$S$3:$S$1000, 'Team Scores'!$S52, 3)</f>
        <v/>
      </c>
      <c r="T52" s="50">
        <f>PERCENTRANK('Team Scores'!$T$3:$T$1000, 'Team Scores'!$T52, 3)</f>
        <v/>
      </c>
      <c r="U52" s="50">
        <f>PERCENTRANK('Team Scores'!$U$3:$U$1000, 'Team Scores'!$U52, 3)</f>
        <v/>
      </c>
      <c r="V52" s="50">
        <f>PERCENTRANK('Team Scores'!$V$3:$V$1000, 'Team Scores'!$V52, 3)</f>
        <v/>
      </c>
      <c r="W52" s="50">
        <f>PERCENTRANK('Team Scores'!$W$3:$W$1000, 'Team Scores'!$W52, 3)</f>
        <v/>
      </c>
      <c r="X52" s="50">
        <f>PERCENTRANK('Team Scores'!$X$3:$X$1000, 'Team Scores'!$X52, 3)</f>
        <v/>
      </c>
      <c r="Y52" s="50">
        <f>PERCENTRANK('Team Scores'!$Y$3:$Y$1000, 'Team Scores'!$Y52, 3)</f>
        <v/>
      </c>
      <c r="Z52" s="50">
        <f>PERCENTRANK('Team Scores'!$Z$3:$Z$1000, 'Team Scores'!$Z52, 3)</f>
        <v/>
      </c>
      <c r="AA52" s="50">
        <f>AVERAGE(C52:G52)</f>
        <v/>
      </c>
      <c r="AB52" s="50">
        <f>AVERAGE(H52:O52)</f>
        <v/>
      </c>
      <c r="AC52" s="50">
        <f>AVERAGE(P52:T52)</f>
        <v/>
      </c>
      <c r="AD52" s="50">
        <f>AVERAGE(U52:X52)</f>
        <v/>
      </c>
      <c r="AE52" s="50">
        <f>AVERAGE(AA52:AD52)</f>
        <v/>
      </c>
    </row>
  </sheetData>
  <autoFilter ref="A2:AE2"/>
  <mergeCells count="6">
    <mergeCell ref="U1:Z1"/>
    <mergeCell ref="C1:G1"/>
    <mergeCell ref="H1:O1"/>
    <mergeCell ref="AA1:AE1"/>
    <mergeCell ref="P1:T1"/>
    <mergeCell ref="A1:A2"/>
  </mergeCells>
  <conditionalFormatting sqref="C3:AE52">
    <cfRule type="colorScale" priority="1">
      <colorScale>
        <cfvo type="min"/>
        <cfvo type="percentile" val="50"/>
        <cfvo type="max"/>
        <color rgb="00CB4335"/>
        <color rgb="00D68910"/>
        <color rgb="00229954"/>
      </colorScale>
    </cfRule>
  </conditionalFormatting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01"/>
  <sheetViews>
    <sheetView zoomScale="150" zoomScaleNormal="150" workbookViewId="0">
      <selection activeCell="A2" sqref="A2"/>
    </sheetView>
  </sheetViews>
  <sheetFormatPr baseColWidth="10" defaultRowHeight="15" outlineLevelCol="0"/>
  <cols>
    <col width="25.83203125" customWidth="1" min="1" max="2"/>
  </cols>
  <sheetData>
    <row r="1" ht="16" customHeight="1">
      <c r="A1" s="5" t="inlineStr">
        <is>
          <t>Scouter Name</t>
        </is>
      </c>
      <c r="B1" s="5" t="inlineStr">
        <is>
          <t>Match Count</t>
        </is>
      </c>
    </row>
    <row r="2">
      <c r="A2" s="8">
        <f t="array" ref="A2">_xlfn._xlws.SORT(_xlfn.UNIQUE(MatchScoutingData!B2:B9991))</f>
        <v/>
      </c>
      <c r="B2" s="8">
        <f>COUNTIF(MatchScoutingData!B$2:B$9991, $A2)</f>
        <v/>
      </c>
    </row>
    <row r="3">
      <c r="A3" s="8" t="n"/>
      <c r="B3" s="8">
        <f>COUNTIF(MatchScoutingData!B$2:B$9991, $A3)</f>
        <v/>
      </c>
    </row>
    <row r="4">
      <c r="A4" s="8" t="n"/>
      <c r="B4" s="8">
        <f>COUNTIF(MatchScoutingData!B$2:B$9991, $A4)</f>
        <v/>
      </c>
    </row>
    <row r="5">
      <c r="A5" s="8" t="n"/>
      <c r="B5" s="8">
        <f>COUNTIF(MatchScoutingData!B$2:B$9991, $A5)</f>
        <v/>
      </c>
    </row>
    <row r="6">
      <c r="A6" s="8" t="n"/>
      <c r="B6" s="8">
        <f>COUNTIF(MatchScoutingData!B$2:B$9991, $A6)</f>
        <v/>
      </c>
    </row>
    <row r="7">
      <c r="A7" s="8" t="n"/>
      <c r="B7" s="8">
        <f>COUNTIF(MatchScoutingData!B$2:B$9991, $A7)</f>
        <v/>
      </c>
    </row>
    <row r="8">
      <c r="A8" s="8" t="n"/>
      <c r="B8" s="8">
        <f>COUNTIF(MatchScoutingData!B$2:B$9991, $A8)</f>
        <v/>
      </c>
    </row>
    <row r="9">
      <c r="A9" s="8" t="n"/>
      <c r="B9" s="8">
        <f>COUNTIF(MatchScoutingData!B$2:B$9991, $A9)</f>
        <v/>
      </c>
    </row>
    <row r="10">
      <c r="A10" s="8" t="n"/>
      <c r="B10" s="8">
        <f>COUNTIF(MatchScoutingData!B$2:B$9991, $A10)</f>
        <v/>
      </c>
    </row>
    <row r="11">
      <c r="A11" s="8" t="n"/>
      <c r="B11" s="8">
        <f>COUNTIF(MatchScoutingData!B$2:B$9991, $A11)</f>
        <v/>
      </c>
    </row>
    <row r="12">
      <c r="A12" s="8" t="n"/>
      <c r="B12" s="8">
        <f>COUNTIF(MatchScoutingData!B$2:B$9991, $A12)</f>
        <v/>
      </c>
    </row>
    <row r="13">
      <c r="A13" s="8" t="n"/>
      <c r="B13" s="8">
        <f>COUNTIF(MatchScoutingData!B$2:B$9991, $A13)</f>
        <v/>
      </c>
    </row>
    <row r="14">
      <c r="A14" s="8" t="n"/>
      <c r="B14" s="8">
        <f>COUNTIF(MatchScoutingData!B$2:B$9991, $A14)</f>
        <v/>
      </c>
    </row>
    <row r="15">
      <c r="A15" s="8" t="n"/>
      <c r="B15" s="8">
        <f>COUNTIF(MatchScoutingData!B$2:B$9991, $A15)</f>
        <v/>
      </c>
    </row>
    <row r="16">
      <c r="A16" s="8" t="n"/>
      <c r="B16" s="8">
        <f>COUNTIF(MatchScoutingData!B$2:B$9991, $A16)</f>
        <v/>
      </c>
    </row>
    <row r="17">
      <c r="A17" s="8" t="n"/>
      <c r="B17" s="8">
        <f>COUNTIF(MatchScoutingData!B$2:B$9991, $A17)</f>
        <v/>
      </c>
    </row>
    <row r="18">
      <c r="A18" s="8" t="n"/>
      <c r="B18" s="8">
        <f>COUNTIF(MatchScoutingData!B$2:B$9991, $A18)</f>
        <v/>
      </c>
    </row>
    <row r="19">
      <c r="A19" s="8" t="n"/>
      <c r="B19" s="8">
        <f>COUNTIF(MatchScoutingData!B$2:B$9991, $A19)</f>
        <v/>
      </c>
    </row>
    <row r="20">
      <c r="A20" s="8" t="n"/>
      <c r="B20" s="8">
        <f>COUNTIF(MatchScoutingData!B$2:B$9991, $A20)</f>
        <v/>
      </c>
    </row>
    <row r="21">
      <c r="A21" s="8" t="n"/>
      <c r="B21" s="8">
        <f>COUNTIF(MatchScoutingData!B$2:B$9991, $A21)</f>
        <v/>
      </c>
    </row>
    <row r="22">
      <c r="A22" s="8" t="n"/>
      <c r="B22" s="8">
        <f>COUNTIF(MatchScoutingData!B$2:B$9991, $A22)</f>
        <v/>
      </c>
    </row>
    <row r="23">
      <c r="A23" s="8" t="n"/>
      <c r="B23" s="8">
        <f>COUNTIF(MatchScoutingData!B$2:B$9991, $A23)</f>
        <v/>
      </c>
    </row>
    <row r="24">
      <c r="A24" s="8" t="n"/>
      <c r="B24" s="8">
        <f>COUNTIF(MatchScoutingData!B$2:B$9991, $A24)</f>
        <v/>
      </c>
    </row>
    <row r="25">
      <c r="A25" s="8" t="n"/>
      <c r="B25" s="8">
        <f>COUNTIF(MatchScoutingData!B$2:B$9991, $A25)</f>
        <v/>
      </c>
    </row>
    <row r="26">
      <c r="A26" s="8" t="n"/>
      <c r="B26" s="8">
        <f>COUNTIF(MatchScoutingData!B$2:B$9991, $A26)</f>
        <v/>
      </c>
    </row>
    <row r="27">
      <c r="A27" s="8" t="n"/>
      <c r="B27" s="8">
        <f>COUNTIF(MatchScoutingData!B$2:B$9991, $A27)</f>
        <v/>
      </c>
    </row>
    <row r="28">
      <c r="A28" s="8" t="n"/>
      <c r="B28" s="8">
        <f>COUNTIF(MatchScoutingData!B$2:B$9991, $A28)</f>
        <v/>
      </c>
    </row>
    <row r="29">
      <c r="A29" s="8" t="n"/>
      <c r="B29" s="8">
        <f>COUNTIF(MatchScoutingData!B$2:B$9991, $A29)</f>
        <v/>
      </c>
    </row>
    <row r="30">
      <c r="A30" s="8" t="n"/>
      <c r="B30" s="8">
        <f>COUNTIF(MatchScoutingData!B$2:B$9991, $A30)</f>
        <v/>
      </c>
    </row>
    <row r="31">
      <c r="A31" s="8" t="n"/>
      <c r="B31" s="8">
        <f>COUNTIF(MatchScoutingData!B$2:B$9991, $A31)</f>
        <v/>
      </c>
    </row>
    <row r="32">
      <c r="A32" s="8" t="n"/>
      <c r="B32" s="8">
        <f>COUNTIF(MatchScoutingData!B$2:B$9991, $A32)</f>
        <v/>
      </c>
    </row>
    <row r="33">
      <c r="A33" s="8" t="n"/>
      <c r="B33" s="8">
        <f>COUNTIF(MatchScoutingData!B$2:B$9991, $A33)</f>
        <v/>
      </c>
    </row>
    <row r="34">
      <c r="A34" s="8" t="n"/>
      <c r="B34" s="8">
        <f>COUNTIF(MatchScoutingData!B$2:B$9991, $A34)</f>
        <v/>
      </c>
    </row>
    <row r="35">
      <c r="A35" s="8" t="n"/>
      <c r="B35" s="8">
        <f>COUNTIF(MatchScoutingData!B$2:B$9991, $A35)</f>
        <v/>
      </c>
    </row>
    <row r="36">
      <c r="A36" s="8" t="n"/>
      <c r="B36" s="8">
        <f>COUNTIF(MatchScoutingData!B$2:B$9991, $A36)</f>
        <v/>
      </c>
    </row>
    <row r="37">
      <c r="A37" s="8" t="n"/>
      <c r="B37" s="8">
        <f>COUNTIF(MatchScoutingData!B$2:B$9991, $A37)</f>
        <v/>
      </c>
    </row>
    <row r="38">
      <c r="A38" s="8" t="n"/>
      <c r="B38" s="8">
        <f>COUNTIF(MatchScoutingData!B$2:B$9991, $A38)</f>
        <v/>
      </c>
    </row>
    <row r="39">
      <c r="A39" s="8" t="n"/>
      <c r="B39" s="8">
        <f>COUNTIF(MatchScoutingData!B$2:B$9991, $A39)</f>
        <v/>
      </c>
    </row>
    <row r="40">
      <c r="A40" s="8" t="n"/>
      <c r="B40" s="8">
        <f>COUNTIF(MatchScoutingData!B$2:B$9991, $A40)</f>
        <v/>
      </c>
    </row>
    <row r="41">
      <c r="A41" s="8" t="n"/>
      <c r="B41" s="8">
        <f>COUNTIF(MatchScoutingData!B$2:B$9991, $A41)</f>
        <v/>
      </c>
    </row>
    <row r="42">
      <c r="A42" s="8" t="n"/>
      <c r="B42" s="8">
        <f>COUNTIF(MatchScoutingData!B$2:B$9991, $A42)</f>
        <v/>
      </c>
    </row>
    <row r="43">
      <c r="A43" s="8" t="n"/>
      <c r="B43" s="8">
        <f>COUNTIF(MatchScoutingData!B$2:B$9991, $A43)</f>
        <v/>
      </c>
    </row>
    <row r="44">
      <c r="A44" s="8" t="n"/>
      <c r="B44" s="8">
        <f>COUNTIF(MatchScoutingData!B$2:B$9991, $A44)</f>
        <v/>
      </c>
    </row>
    <row r="45">
      <c r="A45" s="8" t="n"/>
      <c r="B45" s="8">
        <f>COUNTIF(MatchScoutingData!B$2:B$9991, $A45)</f>
        <v/>
      </c>
    </row>
    <row r="46">
      <c r="A46" s="8" t="n"/>
      <c r="B46" s="8">
        <f>COUNTIF(MatchScoutingData!B$2:B$9991, $A46)</f>
        <v/>
      </c>
    </row>
    <row r="47">
      <c r="A47" s="8" t="n"/>
      <c r="B47" s="8">
        <f>COUNTIF(MatchScoutingData!B$2:B$9991, $A47)</f>
        <v/>
      </c>
    </row>
    <row r="48">
      <c r="A48" s="8" t="n"/>
      <c r="B48" s="8">
        <f>COUNTIF(MatchScoutingData!B$2:B$9991, $A48)</f>
        <v/>
      </c>
    </row>
    <row r="49">
      <c r="A49" s="8" t="n"/>
      <c r="B49" s="8">
        <f>COUNTIF(MatchScoutingData!B$2:B$9991, $A49)</f>
        <v/>
      </c>
    </row>
    <row r="50">
      <c r="A50" s="8" t="n"/>
      <c r="B50" s="8">
        <f>COUNTIF(MatchScoutingData!B$2:B$9991, $A50)</f>
        <v/>
      </c>
    </row>
    <row r="51">
      <c r="A51" s="8" t="n"/>
      <c r="B51" s="8">
        <f>COUNTIF(MatchScoutingData!B$2:B$9991, $A51)</f>
        <v/>
      </c>
    </row>
    <row r="52">
      <c r="A52" s="8" t="n"/>
      <c r="B52" s="8">
        <f>COUNTIF(MatchScoutingData!B$2:B$9991, $A52)</f>
        <v/>
      </c>
    </row>
    <row r="53">
      <c r="A53" s="8" t="n"/>
      <c r="B53" s="8">
        <f>COUNTIF(MatchScoutingData!B$2:B$9991, $A53)</f>
        <v/>
      </c>
    </row>
    <row r="54">
      <c r="A54" s="8" t="n"/>
      <c r="B54" s="8">
        <f>COUNTIF(MatchScoutingData!B$2:B$9991, $A54)</f>
        <v/>
      </c>
    </row>
    <row r="55">
      <c r="A55" s="8" t="n"/>
      <c r="B55" s="8">
        <f>COUNTIF(MatchScoutingData!B$2:B$9991, $A55)</f>
        <v/>
      </c>
    </row>
    <row r="56">
      <c r="A56" s="8" t="n"/>
      <c r="B56" s="8">
        <f>COUNTIF(MatchScoutingData!B$2:B$9991, $A56)</f>
        <v/>
      </c>
    </row>
    <row r="57">
      <c r="A57" s="8" t="n"/>
      <c r="B57" s="8">
        <f>COUNTIF(MatchScoutingData!B$2:B$9991, $A57)</f>
        <v/>
      </c>
    </row>
    <row r="58">
      <c r="A58" s="8" t="n"/>
      <c r="B58" s="8">
        <f>COUNTIF(MatchScoutingData!B$2:B$9991, $A58)</f>
        <v/>
      </c>
    </row>
    <row r="59">
      <c r="A59" s="8" t="n"/>
      <c r="B59" s="8">
        <f>COUNTIF(MatchScoutingData!B$2:B$9991, $A59)</f>
        <v/>
      </c>
    </row>
    <row r="60">
      <c r="A60" s="8" t="n"/>
      <c r="B60" s="8">
        <f>COUNTIF(MatchScoutingData!B$2:B$9991, $A60)</f>
        <v/>
      </c>
    </row>
    <row r="61">
      <c r="A61" s="8" t="n"/>
      <c r="B61" s="8">
        <f>COUNTIF(MatchScoutingData!B$2:B$9991, $A61)</f>
        <v/>
      </c>
    </row>
    <row r="62">
      <c r="A62" s="8" t="n"/>
      <c r="B62" s="8">
        <f>COUNTIF(MatchScoutingData!B$2:B$9991, $A62)</f>
        <v/>
      </c>
    </row>
    <row r="63">
      <c r="A63" s="8" t="n"/>
      <c r="B63" s="8">
        <f>COUNTIF(MatchScoutingData!B$2:B$9991, $A63)</f>
        <v/>
      </c>
    </row>
    <row r="64">
      <c r="A64" s="8" t="n"/>
      <c r="B64" s="8">
        <f>COUNTIF(MatchScoutingData!B$2:B$9991, $A64)</f>
        <v/>
      </c>
    </row>
    <row r="65">
      <c r="A65" s="8" t="n"/>
      <c r="B65" s="8">
        <f>COUNTIF(MatchScoutingData!B$2:B$9991, $A65)</f>
        <v/>
      </c>
    </row>
    <row r="66">
      <c r="A66" s="8" t="n"/>
      <c r="B66" s="8">
        <f>COUNTIF(MatchScoutingData!B$2:B$9991, $A66)</f>
        <v/>
      </c>
    </row>
    <row r="67">
      <c r="A67" s="8" t="n"/>
      <c r="B67" s="8">
        <f>COUNTIF(MatchScoutingData!B$2:B$9991, $A67)</f>
        <v/>
      </c>
    </row>
    <row r="68">
      <c r="A68" s="8" t="n"/>
      <c r="B68" s="8">
        <f>COUNTIF(MatchScoutingData!B$2:B$9991, $A68)</f>
        <v/>
      </c>
    </row>
    <row r="69">
      <c r="A69" s="8" t="n"/>
      <c r="B69" s="8">
        <f>COUNTIF(MatchScoutingData!B$2:B$9991, $A69)</f>
        <v/>
      </c>
    </row>
    <row r="70">
      <c r="A70" s="8" t="n"/>
      <c r="B70" s="8">
        <f>COUNTIF(MatchScoutingData!B$2:B$9991, $A70)</f>
        <v/>
      </c>
    </row>
    <row r="71">
      <c r="A71" s="8" t="n"/>
      <c r="B71" s="8">
        <f>COUNTIF(MatchScoutingData!B$2:B$9991, $A71)</f>
        <v/>
      </c>
    </row>
    <row r="72">
      <c r="A72" s="8" t="n"/>
      <c r="B72" s="8">
        <f>COUNTIF(MatchScoutingData!B$2:B$9991, $A72)</f>
        <v/>
      </c>
    </row>
    <row r="73">
      <c r="A73" s="8" t="n"/>
      <c r="B73" s="8">
        <f>COUNTIF(MatchScoutingData!B$2:B$9991, $A73)</f>
        <v/>
      </c>
    </row>
    <row r="74">
      <c r="A74" s="8" t="n"/>
      <c r="B74" s="8">
        <f>COUNTIF(MatchScoutingData!B$2:B$9991, $A74)</f>
        <v/>
      </c>
    </row>
    <row r="75">
      <c r="A75" s="8" t="n"/>
      <c r="B75" s="8">
        <f>COUNTIF(MatchScoutingData!B$2:B$9991, $A75)</f>
        <v/>
      </c>
    </row>
    <row r="76">
      <c r="A76" s="8" t="n"/>
      <c r="B76" s="8">
        <f>COUNTIF(MatchScoutingData!B$2:B$9991, $A76)</f>
        <v/>
      </c>
    </row>
    <row r="77">
      <c r="A77" s="8" t="n"/>
      <c r="B77" s="8">
        <f>COUNTIF(MatchScoutingData!B$2:B$9991, $A77)</f>
        <v/>
      </c>
    </row>
    <row r="78">
      <c r="A78" s="8" t="n"/>
      <c r="B78" s="8">
        <f>COUNTIF(MatchScoutingData!B$2:B$9991, $A78)</f>
        <v/>
      </c>
    </row>
    <row r="79">
      <c r="A79" s="8" t="n"/>
      <c r="B79" s="8">
        <f>COUNTIF(MatchScoutingData!B$2:B$9991, $A79)</f>
        <v/>
      </c>
    </row>
    <row r="80">
      <c r="A80" s="8" t="n"/>
      <c r="B80" s="8">
        <f>COUNTIF(MatchScoutingData!B$2:B$9991, $A80)</f>
        <v/>
      </c>
    </row>
    <row r="81">
      <c r="A81" s="8" t="n"/>
      <c r="B81" s="8">
        <f>COUNTIF(MatchScoutingData!B$2:B$9991, $A81)</f>
        <v/>
      </c>
    </row>
    <row r="82">
      <c r="A82" s="8" t="n"/>
      <c r="B82" s="8">
        <f>COUNTIF(MatchScoutingData!B$2:B$9991, $A82)</f>
        <v/>
      </c>
    </row>
    <row r="83">
      <c r="A83" s="8" t="n"/>
      <c r="B83" s="8">
        <f>COUNTIF(MatchScoutingData!B$2:B$9991, $A83)</f>
        <v/>
      </c>
    </row>
    <row r="84">
      <c r="A84" s="8" t="n"/>
      <c r="B84" s="8">
        <f>COUNTIF(MatchScoutingData!B$2:B$9991, $A84)</f>
        <v/>
      </c>
    </row>
    <row r="85">
      <c r="A85" s="8" t="n"/>
      <c r="B85" s="8">
        <f>COUNTIF(MatchScoutingData!B$2:B$9991, $A85)</f>
        <v/>
      </c>
    </row>
    <row r="86">
      <c r="A86" s="8" t="n"/>
      <c r="B86" s="8">
        <f>COUNTIF(MatchScoutingData!B$2:B$9991, $A86)</f>
        <v/>
      </c>
    </row>
    <row r="87">
      <c r="A87" s="8" t="n"/>
      <c r="B87" s="8">
        <f>COUNTIF(MatchScoutingData!B$2:B$9991, $A87)</f>
        <v/>
      </c>
    </row>
    <row r="88">
      <c r="A88" s="8" t="n"/>
      <c r="B88" s="8">
        <f>COUNTIF(MatchScoutingData!B$2:B$9991, $A88)</f>
        <v/>
      </c>
    </row>
    <row r="89">
      <c r="A89" s="8" t="n"/>
      <c r="B89" s="8">
        <f>COUNTIF(MatchScoutingData!B$2:B$9991, $A89)</f>
        <v/>
      </c>
    </row>
    <row r="90">
      <c r="A90" s="8" t="n"/>
      <c r="B90" s="8">
        <f>COUNTIF(MatchScoutingData!B$2:B$9991, $A90)</f>
        <v/>
      </c>
    </row>
    <row r="91">
      <c r="A91" s="8" t="n"/>
      <c r="B91" s="8">
        <f>COUNTIF(MatchScoutingData!B$2:B$9991, $A91)</f>
        <v/>
      </c>
    </row>
    <row r="92">
      <c r="A92" s="8" t="n"/>
      <c r="B92" s="8">
        <f>COUNTIF(MatchScoutingData!B$2:B$9991, $A92)</f>
        <v/>
      </c>
    </row>
    <row r="93">
      <c r="A93" s="8" t="n"/>
      <c r="B93" s="8">
        <f>COUNTIF(MatchScoutingData!B$2:B$9991, $A93)</f>
        <v/>
      </c>
    </row>
    <row r="94">
      <c r="A94" s="8" t="n"/>
      <c r="B94" s="8">
        <f>COUNTIF(MatchScoutingData!B$2:B$9991, $A94)</f>
        <v/>
      </c>
    </row>
    <row r="95">
      <c r="A95" s="8" t="n"/>
      <c r="B95" s="8">
        <f>COUNTIF(MatchScoutingData!B$2:B$9991, $A95)</f>
        <v/>
      </c>
    </row>
    <row r="96">
      <c r="A96" s="8" t="n"/>
      <c r="B96" s="8">
        <f>COUNTIF(MatchScoutingData!B$2:B$9991, $A96)</f>
        <v/>
      </c>
    </row>
    <row r="97">
      <c r="A97" s="8" t="n"/>
      <c r="B97" s="8">
        <f>COUNTIF(MatchScoutingData!B$2:B$9991, $A97)</f>
        <v/>
      </c>
    </row>
    <row r="98">
      <c r="A98" s="8" t="n"/>
      <c r="B98" s="8">
        <f>COUNTIF(MatchScoutingData!B$2:B$9991, $A98)</f>
        <v/>
      </c>
    </row>
    <row r="99">
      <c r="A99" s="8" t="n"/>
      <c r="B99" s="8">
        <f>COUNTIF(MatchScoutingData!B$2:B$9991, $A99)</f>
        <v/>
      </c>
    </row>
    <row r="100">
      <c r="A100" s="8" t="n"/>
      <c r="B100" s="8">
        <f>COUNTIF(MatchScoutingData!B$2:B$9991, $A100)</f>
        <v/>
      </c>
    </row>
    <row r="101">
      <c r="A101" s="8" t="n"/>
      <c r="B101" s="8">
        <f>COUNTIF(MatchScoutingData!B$2:B$9991, $A101)</f>
        <v/>
      </c>
    </row>
  </sheetData>
  <autoFilter ref="A1:B101"/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zoomScale="150" zoomScaleNormal="150" workbookViewId="0">
      <selection activeCell="A2" sqref="A2"/>
    </sheetView>
  </sheetViews>
  <sheetFormatPr baseColWidth="10" defaultRowHeight="15" outlineLevelCol="0"/>
  <cols>
    <col width="18.83203125" customWidth="1" min="1" max="7"/>
  </cols>
  <sheetData>
    <row r="1" ht="16" customFormat="1" customHeight="1" s="7">
      <c r="A1" s="5" t="inlineStr">
        <is>
          <t>Team</t>
        </is>
      </c>
      <c r="B1" s="5" t="inlineStr">
        <is>
          <t>Auto Total</t>
        </is>
      </c>
      <c r="C1" s="5" t="inlineStr">
        <is>
          <t>Auto Average</t>
        </is>
      </c>
      <c r="D1" s="5" t="inlineStr">
        <is>
          <t>Teleop Total</t>
        </is>
      </c>
      <c r="E1" s="5" t="inlineStr">
        <is>
          <t>Teleop Average</t>
        </is>
      </c>
      <c r="F1" s="5" t="inlineStr">
        <is>
          <t>Endgame Total</t>
        </is>
      </c>
      <c r="G1" s="5" t="inlineStr">
        <is>
          <t>Endgame Average</t>
        </is>
      </c>
    </row>
    <row r="2">
      <c r="A2">
        <f>'Team Summary'!#REF!</f>
        <v/>
      </c>
      <c r="B2">
        <f>'Team Summary'!#REF!</f>
        <v/>
      </c>
      <c r="C2">
        <f>'Team Summary'!#REF!</f>
        <v/>
      </c>
      <c r="D2">
        <f>'Team Summary'!#REF!</f>
        <v/>
      </c>
      <c r="E2">
        <f>'Team Summary'!#REF!</f>
        <v/>
      </c>
      <c r="F2">
        <f>'Team Summary'!#REF!</f>
        <v/>
      </c>
      <c r="G2">
        <f>'Team Summary'!#REF!</f>
        <v/>
      </c>
    </row>
  </sheetData>
  <autoFilter ref="A1:G1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2025-01-14T14:14:10Z</dcterms:created>
  <dcterms:modified xsi:type="dcterms:W3CDTF">2026-03-26T20:45:12Z</dcterms:modified>
  <cp:lastModifiedBy>John Hurrell</cp:lastModifiedBy>
</cp:coreProperties>
</file>