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he Blue Alliance/Game Years/2026/2026nyro/"/>
    </mc:Choice>
  </mc:AlternateContent>
  <xr:revisionPtr revIDLastSave="0" documentId="13_ncr:1_{9C85EC35-D00F-C842-B076-BE7C803EB81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6" r:id="rId6"/>
    <sheet name="PB Scouter Summary" sheetId="7" r:id="rId7"/>
    <sheet name="PB Team Summary" sheetId="8" r:id="rId8"/>
  </sheets>
  <definedNames>
    <definedName name="_xlnm._FilterDatabase" localSheetId="3" hidden="1">Matches!$A$1:$H$1</definedName>
    <definedName name="_xlnm._FilterDatabase" localSheetId="0" hidden="1">MatchScoutingData!$A$1:$AI$1</definedName>
    <definedName name="_xlnm._FilterDatabase" localSheetId="6" hidden="1">'PB Scouter Summary'!$A$1:$B$101</definedName>
    <definedName name="_xlnm._FilterDatabase" localSheetId="7" hidden="1">'PB Team Summary'!$A$1:$G$1</definedName>
    <definedName name="_xlnm._FilterDatabase" localSheetId="4" hidden="1">'Team Scores'!$A$2:$Z$2</definedName>
    <definedName name="_xlnm._FilterDatabase" localSheetId="5" hidden="1">'Team Summary'!$A$2:$AE$2</definedName>
    <definedName name="_xlnm._FilterDatabase" localSheetId="2" hidden="1">Teams!$A$1:$E$1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8" l="1"/>
  <c r="F2" i="8"/>
  <c r="E2" i="8"/>
  <c r="D2" i="8"/>
  <c r="C2" i="8"/>
  <c r="B2" i="8"/>
  <c r="A2" i="8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A2" i="7" a="1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Y57" i="6" l="1"/>
  <c r="U57" i="6"/>
  <c r="S57" i="6"/>
  <c r="P57" i="6"/>
  <c r="N57" i="6"/>
  <c r="L57" i="6"/>
  <c r="J57" i="6"/>
  <c r="H57" i="6"/>
  <c r="F57" i="6"/>
  <c r="D57" i="6"/>
  <c r="V56" i="6"/>
  <c r="T56" i="6"/>
  <c r="S50" i="6"/>
  <c r="P50" i="6"/>
  <c r="H50" i="6"/>
  <c r="E50" i="6"/>
  <c r="X57" i="6"/>
  <c r="V57" i="6"/>
  <c r="T57" i="6"/>
  <c r="Q57" i="6"/>
  <c r="O57" i="6"/>
  <c r="M57" i="6"/>
  <c r="K57" i="6"/>
  <c r="I57" i="6"/>
  <c r="G57" i="6"/>
  <c r="E57" i="6"/>
  <c r="C57" i="6"/>
  <c r="Y56" i="6"/>
  <c r="X56" i="6"/>
  <c r="U56" i="6"/>
  <c r="S56" i="6"/>
  <c r="O53" i="6"/>
  <c r="U50" i="6"/>
  <c r="Q50" i="6"/>
  <c r="M50" i="6"/>
  <c r="I50" i="6"/>
  <c r="D50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Y55" i="6"/>
  <c r="X55" i="6"/>
  <c r="Q55" i="6"/>
  <c r="N54" i="6"/>
  <c r="V50" i="6"/>
  <c r="R50" i="6"/>
  <c r="J50" i="6"/>
  <c r="F50" i="6"/>
  <c r="T50" i="6"/>
  <c r="K50" i="6"/>
  <c r="G50" i="6"/>
  <c r="C50" i="6"/>
  <c r="L42" i="6"/>
  <c r="Y49" i="6"/>
  <c r="X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AB49" i="6" s="1"/>
  <c r="G49" i="6"/>
  <c r="F49" i="6"/>
  <c r="E49" i="6"/>
  <c r="D49" i="6"/>
  <c r="C49" i="6"/>
  <c r="AA49" i="6" s="1"/>
  <c r="Y48" i="6"/>
  <c r="X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AB48" i="6" s="1"/>
  <c r="G48" i="6"/>
  <c r="F48" i="6"/>
  <c r="E48" i="6"/>
  <c r="D48" i="6"/>
  <c r="C48" i="6"/>
  <c r="AA48" i="6" s="1"/>
  <c r="Y47" i="6"/>
  <c r="X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AA47" i="6" s="1"/>
  <c r="Y46" i="6"/>
  <c r="X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O42" i="6"/>
  <c r="J42" i="6"/>
  <c r="H42" i="6"/>
  <c r="F42" i="6"/>
  <c r="D42" i="6"/>
  <c r="X41" i="6"/>
  <c r="V41" i="6"/>
  <c r="T41" i="6"/>
  <c r="R41" i="6"/>
  <c r="P41" i="6"/>
  <c r="N41" i="6"/>
  <c r="L41" i="6"/>
  <c r="J41" i="6"/>
  <c r="H41" i="6"/>
  <c r="F41" i="6"/>
  <c r="D41" i="6"/>
  <c r="Y40" i="6"/>
  <c r="U40" i="6"/>
  <c r="S40" i="6"/>
  <c r="Q40" i="6"/>
  <c r="O40" i="6"/>
  <c r="M40" i="6"/>
  <c r="K40" i="6"/>
  <c r="I40" i="6"/>
  <c r="G40" i="6"/>
  <c r="E40" i="6"/>
  <c r="C40" i="6"/>
  <c r="Y39" i="6"/>
  <c r="U39" i="6"/>
  <c r="S39" i="6"/>
  <c r="Q39" i="6"/>
  <c r="O39" i="6"/>
  <c r="M39" i="6"/>
  <c r="K39" i="6"/>
  <c r="I39" i="6"/>
  <c r="G39" i="6"/>
  <c r="D39" i="6"/>
  <c r="Y38" i="6"/>
  <c r="U38" i="6"/>
  <c r="V55" i="6"/>
  <c r="M55" i="6"/>
  <c r="E55" i="6"/>
  <c r="U54" i="6"/>
  <c r="L54" i="6"/>
  <c r="E54" i="6"/>
  <c r="U53" i="6"/>
  <c r="K53" i="6"/>
  <c r="U52" i="6"/>
  <c r="L52" i="6"/>
  <c r="C52" i="6"/>
  <c r="P51" i="6"/>
  <c r="F51" i="6"/>
  <c r="F46" i="6"/>
  <c r="E46" i="6"/>
  <c r="D46" i="6"/>
  <c r="C46" i="6"/>
  <c r="Y45" i="6"/>
  <c r="X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AB45" i="6" s="1"/>
  <c r="G45" i="6"/>
  <c r="F45" i="6"/>
  <c r="E45" i="6"/>
  <c r="D45" i="6"/>
  <c r="C45" i="6"/>
  <c r="AA45" i="6" s="1"/>
  <c r="Y44" i="6"/>
  <c r="X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AB44" i="6" s="1"/>
  <c r="G44" i="6"/>
  <c r="F44" i="6"/>
  <c r="E44" i="6"/>
  <c r="D44" i="6"/>
  <c r="C44" i="6"/>
  <c r="Y43" i="6"/>
  <c r="X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Y42" i="6"/>
  <c r="X42" i="6"/>
  <c r="V42" i="6"/>
  <c r="U42" i="6"/>
  <c r="T42" i="6"/>
  <c r="S42" i="6"/>
  <c r="R42" i="6"/>
  <c r="Q42" i="6"/>
  <c r="P42" i="6"/>
  <c r="AC42" i="6" s="1"/>
  <c r="N42" i="6"/>
  <c r="K42" i="6"/>
  <c r="I42" i="6"/>
  <c r="G42" i="6"/>
  <c r="E42" i="6"/>
  <c r="C42" i="6"/>
  <c r="Y41" i="6"/>
  <c r="U41" i="6"/>
  <c r="S41" i="6"/>
  <c r="Q41" i="6"/>
  <c r="O41" i="6"/>
  <c r="M41" i="6"/>
  <c r="K41" i="6"/>
  <c r="I41" i="6"/>
  <c r="G41" i="6"/>
  <c r="E41" i="6"/>
  <c r="C41" i="6"/>
  <c r="X40" i="6"/>
  <c r="V40" i="6"/>
  <c r="T40" i="6"/>
  <c r="R40" i="6"/>
  <c r="P40" i="6"/>
  <c r="N40" i="6"/>
  <c r="L40" i="6"/>
  <c r="J40" i="6"/>
  <c r="H40" i="6"/>
  <c r="F40" i="6"/>
  <c r="D40" i="6"/>
  <c r="X39" i="6"/>
  <c r="V39" i="6"/>
  <c r="T39" i="6"/>
  <c r="R39" i="6"/>
  <c r="P39" i="6"/>
  <c r="N39" i="6"/>
  <c r="L39" i="6"/>
  <c r="J39" i="6"/>
  <c r="H39" i="6"/>
  <c r="F39" i="6"/>
  <c r="E39" i="6"/>
  <c r="C39" i="6"/>
  <c r="X38" i="6"/>
  <c r="V38" i="6"/>
  <c r="T38" i="6"/>
  <c r="S55" i="6"/>
  <c r="J55" i="6"/>
  <c r="S54" i="6"/>
  <c r="J54" i="6"/>
  <c r="C54" i="6"/>
  <c r="Q53" i="6"/>
  <c r="H53" i="6"/>
  <c r="X52" i="6"/>
  <c r="O52" i="6"/>
  <c r="F52" i="6"/>
  <c r="U51" i="6"/>
  <c r="M51" i="6"/>
  <c r="D51" i="6"/>
  <c r="M42" i="6"/>
  <c r="S38" i="6"/>
  <c r="R38" i="6"/>
  <c r="Q38" i="6"/>
  <c r="P38" i="6"/>
  <c r="O38" i="6"/>
  <c r="N38" i="6"/>
  <c r="M38" i="6"/>
  <c r="L38" i="6"/>
  <c r="K38" i="6"/>
  <c r="J38" i="6"/>
  <c r="I38" i="6"/>
  <c r="H38" i="6"/>
  <c r="AB38" i="6" s="1"/>
  <c r="G38" i="6"/>
  <c r="F38" i="6"/>
  <c r="E38" i="6"/>
  <c r="D38" i="6"/>
  <c r="C38" i="6"/>
  <c r="Y37" i="6"/>
  <c r="X37" i="6"/>
  <c r="V37" i="6"/>
  <c r="U37" i="6"/>
  <c r="T37" i="6"/>
  <c r="S37" i="6"/>
  <c r="R37" i="6"/>
  <c r="Q37" i="6"/>
  <c r="P37" i="6"/>
  <c r="AC37" i="6" s="1"/>
  <c r="O37" i="6"/>
  <c r="N37" i="6"/>
  <c r="M37" i="6"/>
  <c r="L37" i="6"/>
  <c r="K37" i="6"/>
  <c r="J37" i="6"/>
  <c r="I37" i="6"/>
  <c r="H37" i="6"/>
  <c r="AB37" i="6" s="1"/>
  <c r="G37" i="6"/>
  <c r="F37" i="6"/>
  <c r="E37" i="6"/>
  <c r="D37" i="6"/>
  <c r="C37" i="6"/>
  <c r="AA37" i="6" s="1"/>
  <c r="Y36" i="6"/>
  <c r="X36" i="6"/>
  <c r="V36" i="6"/>
  <c r="U36" i="6"/>
  <c r="T36" i="6"/>
  <c r="S36" i="6"/>
  <c r="R36" i="6"/>
  <c r="Q36" i="6"/>
  <c r="P36" i="6"/>
  <c r="AC36" i="6" s="1"/>
  <c r="O36" i="6"/>
  <c r="N36" i="6"/>
  <c r="M36" i="6"/>
  <c r="L36" i="6"/>
  <c r="K36" i="6"/>
  <c r="J36" i="6"/>
  <c r="I36" i="6"/>
  <c r="H36" i="6"/>
  <c r="AB36" i="6" s="1"/>
  <c r="G36" i="6"/>
  <c r="F36" i="6"/>
  <c r="E36" i="6"/>
  <c r="D36" i="6"/>
  <c r="C36" i="6"/>
  <c r="AA36" i="6" s="1"/>
  <c r="Y35" i="6"/>
  <c r="X35" i="6"/>
  <c r="V35" i="6"/>
  <c r="U35" i="6"/>
  <c r="T35" i="6"/>
  <c r="S35" i="6"/>
  <c r="R35" i="6"/>
  <c r="Q35" i="6"/>
  <c r="P35" i="6"/>
  <c r="AC35" i="6" s="1"/>
  <c r="O35" i="6"/>
  <c r="N35" i="6"/>
  <c r="M35" i="6"/>
  <c r="L35" i="6"/>
  <c r="K35" i="6"/>
  <c r="J35" i="6"/>
  <c r="I35" i="6"/>
  <c r="H35" i="6"/>
  <c r="AB35" i="6" s="1"/>
  <c r="G35" i="6"/>
  <c r="F35" i="6"/>
  <c r="E35" i="6"/>
  <c r="D35" i="6"/>
  <c r="C35" i="6"/>
  <c r="AA35" i="6" s="1"/>
  <c r="M16" i="6"/>
  <c r="G16" i="6"/>
  <c r="Y15" i="6"/>
  <c r="O15" i="6"/>
  <c r="H15" i="6"/>
  <c r="C15" i="6"/>
  <c r="U14" i="6"/>
  <c r="O14" i="6"/>
  <c r="H14" i="6"/>
  <c r="D14" i="6"/>
  <c r="T13" i="6"/>
  <c r="O13" i="6"/>
  <c r="H13" i="6"/>
  <c r="T12" i="6"/>
  <c r="M5" i="6"/>
  <c r="G5" i="6"/>
  <c r="O4" i="6"/>
  <c r="G4" i="6"/>
  <c r="R3" i="6"/>
  <c r="L3" i="6"/>
  <c r="D3" i="6"/>
  <c r="N55" i="6"/>
  <c r="F55" i="6"/>
  <c r="V54" i="6"/>
  <c r="M54" i="6"/>
  <c r="D54" i="6"/>
  <c r="S53" i="6"/>
  <c r="J53" i="6"/>
  <c r="Y52" i="6"/>
  <c r="P52" i="6"/>
  <c r="G52" i="6"/>
  <c r="R51" i="6"/>
  <c r="I51" i="6"/>
  <c r="X50" i="6"/>
  <c r="N50" i="6"/>
  <c r="Y34" i="6"/>
  <c r="X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AB34" i="6" s="1"/>
  <c r="G34" i="6"/>
  <c r="F34" i="6"/>
  <c r="E34" i="6"/>
  <c r="D34" i="6"/>
  <c r="C34" i="6"/>
  <c r="Y33" i="6"/>
  <c r="X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A33" i="6" s="1"/>
  <c r="Y32" i="6"/>
  <c r="X32" i="6"/>
  <c r="V32" i="6"/>
  <c r="U32" i="6"/>
  <c r="T32" i="6"/>
  <c r="S32" i="6"/>
  <c r="R32" i="6"/>
  <c r="Q32" i="6"/>
  <c r="P32" i="6"/>
  <c r="AC32" i="6" s="1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Y31" i="6"/>
  <c r="X31" i="6"/>
  <c r="V31" i="6"/>
  <c r="U31" i="6"/>
  <c r="T31" i="6"/>
  <c r="S31" i="6"/>
  <c r="R31" i="6"/>
  <c r="Q31" i="6"/>
  <c r="P31" i="6"/>
  <c r="AC31" i="6" s="1"/>
  <c r="O31" i="6"/>
  <c r="N31" i="6"/>
  <c r="M31" i="6"/>
  <c r="L31" i="6"/>
  <c r="K31" i="6"/>
  <c r="J31" i="6"/>
  <c r="I31" i="6"/>
  <c r="U27" i="6"/>
  <c r="S27" i="6"/>
  <c r="Q27" i="6"/>
  <c r="G20" i="6"/>
  <c r="L16" i="6"/>
  <c r="F16" i="6"/>
  <c r="X15" i="6"/>
  <c r="Q15" i="6"/>
  <c r="J15" i="6"/>
  <c r="E15" i="6"/>
  <c r="V14" i="6"/>
  <c r="S14" i="6"/>
  <c r="L14" i="6"/>
  <c r="G14" i="6"/>
  <c r="Y13" i="6"/>
  <c r="S13" i="6"/>
  <c r="M13" i="6"/>
  <c r="G13" i="6"/>
  <c r="Y12" i="6"/>
  <c r="S12" i="6"/>
  <c r="K5" i="6"/>
  <c r="C5" i="6"/>
  <c r="S4" i="6"/>
  <c r="J4" i="6"/>
  <c r="D4" i="6"/>
  <c r="U3" i="6"/>
  <c r="M3" i="6"/>
  <c r="F3" i="6"/>
  <c r="U55" i="6"/>
  <c r="L55" i="6"/>
  <c r="C55" i="6"/>
  <c r="Q54" i="6"/>
  <c r="I54" i="6"/>
  <c r="Y53" i="6"/>
  <c r="M53" i="6"/>
  <c r="E53" i="6"/>
  <c r="S52" i="6"/>
  <c r="M52" i="6"/>
  <c r="D52" i="6"/>
  <c r="Q51" i="6"/>
  <c r="G51" i="6"/>
  <c r="H31" i="6"/>
  <c r="AB31" i="6" s="1"/>
  <c r="G31" i="6"/>
  <c r="F31" i="6"/>
  <c r="E31" i="6"/>
  <c r="D31" i="6"/>
  <c r="C31" i="6"/>
  <c r="Y30" i="6"/>
  <c r="X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AB30" i="6" s="1"/>
  <c r="G30" i="6"/>
  <c r="F30" i="6"/>
  <c r="E30" i="6"/>
  <c r="D30" i="6"/>
  <c r="C30" i="6"/>
  <c r="AA30" i="6" s="1"/>
  <c r="Y29" i="6"/>
  <c r="X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AA29" i="6" s="1"/>
  <c r="Y28" i="6"/>
  <c r="X28" i="6"/>
  <c r="V28" i="6"/>
  <c r="U28" i="6"/>
  <c r="T28" i="6"/>
  <c r="S28" i="6"/>
  <c r="R28" i="6"/>
  <c r="Q28" i="6"/>
  <c r="P28" i="6"/>
  <c r="AC28" i="6" s="1"/>
  <c r="O28" i="6"/>
  <c r="N28" i="6"/>
  <c r="M28" i="6"/>
  <c r="L28" i="6"/>
  <c r="K28" i="6"/>
  <c r="J28" i="6"/>
  <c r="I28" i="6"/>
  <c r="H28" i="6"/>
  <c r="AB28" i="6" s="1"/>
  <c r="G28" i="6"/>
  <c r="F28" i="6"/>
  <c r="E28" i="6"/>
  <c r="D28" i="6"/>
  <c r="C28" i="6"/>
  <c r="AA28" i="6" s="1"/>
  <c r="Y27" i="6"/>
  <c r="X27" i="6"/>
  <c r="V27" i="6"/>
  <c r="T27" i="6"/>
  <c r="R27" i="6"/>
  <c r="P27" i="6"/>
  <c r="AC27" i="6" s="1"/>
  <c r="P16" i="6"/>
  <c r="J16" i="6"/>
  <c r="D16" i="6"/>
  <c r="V15" i="6"/>
  <c r="P15" i="6"/>
  <c r="K15" i="6"/>
  <c r="F15" i="6"/>
  <c r="Y14" i="6"/>
  <c r="P14" i="6"/>
  <c r="K14" i="6"/>
  <c r="E14" i="6"/>
  <c r="Q13" i="6"/>
  <c r="J13" i="6"/>
  <c r="E13" i="6"/>
  <c r="V12" i="6"/>
  <c r="L5" i="6"/>
  <c r="D5" i="6"/>
  <c r="T4" i="6"/>
  <c r="L4" i="6"/>
  <c r="C4" i="6"/>
  <c r="Q3" i="6"/>
  <c r="I3" i="6"/>
  <c r="O55" i="6"/>
  <c r="G55" i="6"/>
  <c r="T54" i="6"/>
  <c r="K54" i="6"/>
  <c r="T53" i="6"/>
  <c r="I53" i="6"/>
  <c r="V52" i="6"/>
  <c r="H52" i="6"/>
  <c r="V51" i="6"/>
  <c r="O51" i="6"/>
  <c r="H51" i="6"/>
  <c r="O27" i="6"/>
  <c r="N27" i="6"/>
  <c r="M27" i="6"/>
  <c r="L27" i="6"/>
  <c r="K27" i="6"/>
  <c r="J27" i="6"/>
  <c r="I27" i="6"/>
  <c r="H27" i="6"/>
  <c r="AB27" i="6" s="1"/>
  <c r="G27" i="6"/>
  <c r="F27" i="6"/>
  <c r="E27" i="6"/>
  <c r="D27" i="6"/>
  <c r="C27" i="6"/>
  <c r="AA27" i="6" s="1"/>
  <c r="Y26" i="6"/>
  <c r="X26" i="6"/>
  <c r="V26" i="6"/>
  <c r="U26" i="6"/>
  <c r="T26" i="6"/>
  <c r="S26" i="6"/>
  <c r="R26" i="6"/>
  <c r="Q26" i="6"/>
  <c r="P26" i="6"/>
  <c r="AC26" i="6" s="1"/>
  <c r="O26" i="6"/>
  <c r="N26" i="6"/>
  <c r="M26" i="6"/>
  <c r="L26" i="6"/>
  <c r="K26" i="6"/>
  <c r="J26" i="6"/>
  <c r="I26" i="6"/>
  <c r="H26" i="6"/>
  <c r="AB26" i="6" s="1"/>
  <c r="G26" i="6"/>
  <c r="F26" i="6"/>
  <c r="E26" i="6"/>
  <c r="D26" i="6"/>
  <c r="C26" i="6"/>
  <c r="AA26" i="6" s="1"/>
  <c r="Y25" i="6"/>
  <c r="X25" i="6"/>
  <c r="V25" i="6"/>
  <c r="U25" i="6"/>
  <c r="T25" i="6"/>
  <c r="S25" i="6"/>
  <c r="R25" i="6"/>
  <c r="Q25" i="6"/>
  <c r="P25" i="6"/>
  <c r="AC25" i="6" s="1"/>
  <c r="O25" i="6"/>
  <c r="N25" i="6"/>
  <c r="M25" i="6"/>
  <c r="L25" i="6"/>
  <c r="K25" i="6"/>
  <c r="J25" i="6"/>
  <c r="I25" i="6"/>
  <c r="H25" i="6"/>
  <c r="AB25" i="6" s="1"/>
  <c r="G25" i="6"/>
  <c r="F25" i="6"/>
  <c r="E25" i="6"/>
  <c r="D25" i="6"/>
  <c r="C25" i="6"/>
  <c r="AA25" i="6" s="1"/>
  <c r="Y24" i="6"/>
  <c r="X24" i="6"/>
  <c r="V24" i="6"/>
  <c r="U24" i="6"/>
  <c r="T24" i="6"/>
  <c r="S24" i="6"/>
  <c r="R24" i="6"/>
  <c r="Q24" i="6"/>
  <c r="P24" i="6"/>
  <c r="AC24" i="6" s="1"/>
  <c r="O24" i="6"/>
  <c r="N24" i="6"/>
  <c r="M24" i="6"/>
  <c r="L24" i="6"/>
  <c r="K24" i="6"/>
  <c r="J24" i="6"/>
  <c r="I24" i="6"/>
  <c r="H24" i="6"/>
  <c r="AB24" i="6" s="1"/>
  <c r="G24" i="6"/>
  <c r="F24" i="6"/>
  <c r="E24" i="6"/>
  <c r="D24" i="6"/>
  <c r="C24" i="6"/>
  <c r="AA24" i="6" s="1"/>
  <c r="Y23" i="6"/>
  <c r="X23" i="6"/>
  <c r="K20" i="6"/>
  <c r="I20" i="6"/>
  <c r="F20" i="6"/>
  <c r="N16" i="6"/>
  <c r="H16" i="6"/>
  <c r="T15" i="6"/>
  <c r="N15" i="6"/>
  <c r="I15" i="6"/>
  <c r="T14" i="6"/>
  <c r="N14" i="6"/>
  <c r="I14" i="6"/>
  <c r="U13" i="6"/>
  <c r="N13" i="6"/>
  <c r="I13" i="6"/>
  <c r="C13" i="6"/>
  <c r="U12" i="6"/>
  <c r="N5" i="6"/>
  <c r="H5" i="6"/>
  <c r="X4" i="6"/>
  <c r="P4" i="6"/>
  <c r="H4" i="6"/>
  <c r="X3" i="6"/>
  <c r="P3" i="6"/>
  <c r="H3" i="6"/>
  <c r="R55" i="6"/>
  <c r="I55" i="6"/>
  <c r="X54" i="6"/>
  <c r="O54" i="6"/>
  <c r="F54" i="6"/>
  <c r="V53" i="6"/>
  <c r="L53" i="6"/>
  <c r="D53" i="6"/>
  <c r="R52" i="6"/>
  <c r="J52" i="6"/>
  <c r="Y51" i="6"/>
  <c r="N51" i="6"/>
  <c r="C51" i="6"/>
  <c r="V23" i="6"/>
  <c r="U23" i="6"/>
  <c r="T23" i="6"/>
  <c r="S23" i="6"/>
  <c r="R23" i="6"/>
  <c r="Q23" i="6"/>
  <c r="P23" i="6"/>
  <c r="AC23" i="6" s="1"/>
  <c r="O23" i="6"/>
  <c r="N23" i="6"/>
  <c r="M23" i="6"/>
  <c r="L23" i="6"/>
  <c r="K23" i="6"/>
  <c r="J23" i="6"/>
  <c r="I23" i="6"/>
  <c r="H23" i="6"/>
  <c r="AB23" i="6" s="1"/>
  <c r="G23" i="6"/>
  <c r="F23" i="6"/>
  <c r="E23" i="6"/>
  <c r="D23" i="6"/>
  <c r="C23" i="6"/>
  <c r="AA23" i="6" s="1"/>
  <c r="Y22" i="6"/>
  <c r="X22" i="6"/>
  <c r="V22" i="6"/>
  <c r="U22" i="6"/>
  <c r="T22" i="6"/>
  <c r="S22" i="6"/>
  <c r="R22" i="6"/>
  <c r="Q22" i="6"/>
  <c r="P22" i="6"/>
  <c r="AC22" i="6" s="1"/>
  <c r="O22" i="6"/>
  <c r="N22" i="6"/>
  <c r="M22" i="6"/>
  <c r="L22" i="6"/>
  <c r="K22" i="6"/>
  <c r="J22" i="6"/>
  <c r="I22" i="6"/>
  <c r="H22" i="6"/>
  <c r="AB22" i="6" s="1"/>
  <c r="G22" i="6"/>
  <c r="F22" i="6"/>
  <c r="E22" i="6"/>
  <c r="D22" i="6"/>
  <c r="C22" i="6"/>
  <c r="AA22" i="6" s="1"/>
  <c r="Y21" i="6"/>
  <c r="X21" i="6"/>
  <c r="V21" i="6"/>
  <c r="U21" i="6"/>
  <c r="T21" i="6"/>
  <c r="S21" i="6"/>
  <c r="R21" i="6"/>
  <c r="Q21" i="6"/>
  <c r="P21" i="6"/>
  <c r="AC21" i="6" s="1"/>
  <c r="O21" i="6"/>
  <c r="N21" i="6"/>
  <c r="M21" i="6"/>
  <c r="L21" i="6"/>
  <c r="K21" i="6"/>
  <c r="J21" i="6"/>
  <c r="I21" i="6"/>
  <c r="H21" i="6"/>
  <c r="AB21" i="6" s="1"/>
  <c r="G21" i="6"/>
  <c r="F21" i="6"/>
  <c r="E21" i="6"/>
  <c r="D21" i="6"/>
  <c r="C21" i="6"/>
  <c r="AA21" i="6" s="1"/>
  <c r="Y20" i="6"/>
  <c r="X20" i="6"/>
  <c r="V20" i="6"/>
  <c r="U20" i="6"/>
  <c r="T20" i="6"/>
  <c r="S20" i="6"/>
  <c r="R20" i="6"/>
  <c r="Q20" i="6"/>
  <c r="P20" i="6"/>
  <c r="AC20" i="6" s="1"/>
  <c r="O20" i="6"/>
  <c r="N20" i="6"/>
  <c r="M20" i="6"/>
  <c r="L20" i="6"/>
  <c r="J20" i="6"/>
  <c r="H20" i="6"/>
  <c r="Q16" i="6"/>
  <c r="K16" i="6"/>
  <c r="E16" i="6"/>
  <c r="R15" i="6"/>
  <c r="L15" i="6"/>
  <c r="D15" i="6"/>
  <c r="R14" i="6"/>
  <c r="M14" i="6"/>
  <c r="F14" i="6"/>
  <c r="X13" i="6"/>
  <c r="R13" i="6"/>
  <c r="L13" i="6"/>
  <c r="F13" i="6"/>
  <c r="X12" i="6"/>
  <c r="C9" i="6"/>
  <c r="J5" i="6"/>
  <c r="R4" i="6"/>
  <c r="I4" i="6"/>
  <c r="E4" i="6"/>
  <c r="S3" i="6"/>
  <c r="K3" i="6"/>
  <c r="C3" i="6"/>
  <c r="P55" i="6"/>
  <c r="H55" i="6"/>
  <c r="P54" i="6"/>
  <c r="H54" i="6"/>
  <c r="X53" i="6"/>
  <c r="P53" i="6"/>
  <c r="F53" i="6"/>
  <c r="T52" i="6"/>
  <c r="K52" i="6"/>
  <c r="S51" i="6"/>
  <c r="J51" i="6"/>
  <c r="Y50" i="6"/>
  <c r="O50" i="6"/>
  <c r="L50" i="6"/>
  <c r="E20" i="6"/>
  <c r="D20" i="6"/>
  <c r="C20" i="6"/>
  <c r="Y19" i="6"/>
  <c r="X19" i="6"/>
  <c r="V19" i="6"/>
  <c r="U19" i="6"/>
  <c r="T19" i="6"/>
  <c r="S19" i="6"/>
  <c r="R19" i="6"/>
  <c r="Q19" i="6"/>
  <c r="P19" i="6"/>
  <c r="AC19" i="6" s="1"/>
  <c r="O19" i="6"/>
  <c r="N19" i="6"/>
  <c r="M19" i="6"/>
  <c r="L19" i="6"/>
  <c r="K19" i="6"/>
  <c r="J19" i="6"/>
  <c r="I19" i="6"/>
  <c r="H19" i="6"/>
  <c r="AB19" i="6" s="1"/>
  <c r="G19" i="6"/>
  <c r="F19" i="6"/>
  <c r="E19" i="6"/>
  <c r="D19" i="6"/>
  <c r="C19" i="6"/>
  <c r="AA19" i="6" s="1"/>
  <c r="Y18" i="6"/>
  <c r="X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AA18" i="6" s="1"/>
  <c r="Y17" i="6"/>
  <c r="X17" i="6"/>
  <c r="V17" i="6"/>
  <c r="U17" i="6"/>
  <c r="T17" i="6"/>
  <c r="S17" i="6"/>
  <c r="R17" i="6"/>
  <c r="Q17" i="6"/>
  <c r="P17" i="6"/>
  <c r="AC17" i="6" s="1"/>
  <c r="O17" i="6"/>
  <c r="N17" i="6"/>
  <c r="M17" i="6"/>
  <c r="L17" i="6"/>
  <c r="K17" i="6"/>
  <c r="J17" i="6"/>
  <c r="I17" i="6"/>
  <c r="H17" i="6"/>
  <c r="AB17" i="6" s="1"/>
  <c r="G17" i="6"/>
  <c r="F17" i="6"/>
  <c r="E17" i="6"/>
  <c r="D17" i="6"/>
  <c r="C17" i="6"/>
  <c r="AA17" i="6" s="1"/>
  <c r="Y16" i="6"/>
  <c r="X16" i="6"/>
  <c r="V16" i="6"/>
  <c r="U16" i="6"/>
  <c r="T16" i="6"/>
  <c r="S16" i="6"/>
  <c r="R16" i="6"/>
  <c r="O16" i="6"/>
  <c r="I16" i="6"/>
  <c r="C16" i="6"/>
  <c r="U15" i="6"/>
  <c r="S15" i="6"/>
  <c r="M15" i="6"/>
  <c r="G15" i="6"/>
  <c r="X14" i="6"/>
  <c r="Q14" i="6"/>
  <c r="J14" i="6"/>
  <c r="C14" i="6"/>
  <c r="V13" i="6"/>
  <c r="P13" i="6"/>
  <c r="K13" i="6"/>
  <c r="D13" i="6"/>
  <c r="P5" i="6"/>
  <c r="F5" i="6"/>
  <c r="U4" i="6"/>
  <c r="M4" i="6"/>
  <c r="T3" i="6"/>
  <c r="J3" i="6"/>
  <c r="D55" i="6"/>
  <c r="R54" i="6"/>
  <c r="G54" i="6"/>
  <c r="N53" i="6"/>
  <c r="C53" i="6"/>
  <c r="Q52" i="6"/>
  <c r="I52" i="6"/>
  <c r="X51" i="6"/>
  <c r="L51" i="6"/>
  <c r="E51" i="6"/>
  <c r="R12" i="6"/>
  <c r="Q12" i="6"/>
  <c r="P12" i="6"/>
  <c r="O12" i="6"/>
  <c r="N12" i="6"/>
  <c r="M12" i="6"/>
  <c r="L12" i="6"/>
  <c r="K12" i="6"/>
  <c r="J12" i="6"/>
  <c r="I12" i="6"/>
  <c r="H12" i="6"/>
  <c r="AB12" i="6" s="1"/>
  <c r="G12" i="6"/>
  <c r="F12" i="6"/>
  <c r="E12" i="6"/>
  <c r="D12" i="6"/>
  <c r="C12" i="6"/>
  <c r="Y11" i="6"/>
  <c r="X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AB11" i="6" s="1"/>
  <c r="G11" i="6"/>
  <c r="F11" i="6"/>
  <c r="E11" i="6"/>
  <c r="D11" i="6"/>
  <c r="C11" i="6"/>
  <c r="AA11" i="6" s="1"/>
  <c r="Y10" i="6"/>
  <c r="X10" i="6"/>
  <c r="V10" i="6"/>
  <c r="U10" i="6"/>
  <c r="T10" i="6"/>
  <c r="S10" i="6"/>
  <c r="R10" i="6"/>
  <c r="Q10" i="6"/>
  <c r="P10" i="6"/>
  <c r="AC10" i="6" s="1"/>
  <c r="O10" i="6"/>
  <c r="N10" i="6"/>
  <c r="M10" i="6"/>
  <c r="L10" i="6"/>
  <c r="K10" i="6"/>
  <c r="J10" i="6"/>
  <c r="I10" i="6"/>
  <c r="H10" i="6"/>
  <c r="AB10" i="6" s="1"/>
  <c r="G10" i="6"/>
  <c r="F10" i="6"/>
  <c r="E10" i="6"/>
  <c r="D10" i="6"/>
  <c r="C10" i="6"/>
  <c r="AA10" i="6" s="1"/>
  <c r="Y9" i="6"/>
  <c r="X9" i="6"/>
  <c r="V9" i="6"/>
  <c r="U9" i="6"/>
  <c r="T9" i="6"/>
  <c r="S9" i="6"/>
  <c r="R9" i="6"/>
  <c r="Q9" i="6"/>
  <c r="P9" i="6"/>
  <c r="AC9" i="6" s="1"/>
  <c r="O9" i="6"/>
  <c r="N9" i="6"/>
  <c r="M9" i="6"/>
  <c r="L9" i="6"/>
  <c r="K9" i="6"/>
  <c r="J9" i="6"/>
  <c r="I9" i="6"/>
  <c r="H9" i="6"/>
  <c r="AB9" i="6" s="1"/>
  <c r="G9" i="6"/>
  <c r="F9" i="6"/>
  <c r="E9" i="6"/>
  <c r="D9" i="6"/>
  <c r="O5" i="6"/>
  <c r="E5" i="6"/>
  <c r="V4" i="6"/>
  <c r="N4" i="6"/>
  <c r="Y3" i="6"/>
  <c r="O3" i="6"/>
  <c r="G3" i="6"/>
  <c r="Y8" i="6"/>
  <c r="X8" i="6"/>
  <c r="V8" i="6"/>
  <c r="U8" i="6"/>
  <c r="T8" i="6"/>
  <c r="S8" i="6"/>
  <c r="R8" i="6"/>
  <c r="Q8" i="6"/>
  <c r="P8" i="6"/>
  <c r="AC8" i="6" s="1"/>
  <c r="O8" i="6"/>
  <c r="N8" i="6"/>
  <c r="M8" i="6"/>
  <c r="L8" i="6"/>
  <c r="K8" i="6"/>
  <c r="J8" i="6"/>
  <c r="I8" i="6"/>
  <c r="H8" i="6"/>
  <c r="G8" i="6"/>
  <c r="F8" i="6"/>
  <c r="E8" i="6"/>
  <c r="D8" i="6"/>
  <c r="C8" i="6"/>
  <c r="Y7" i="6"/>
  <c r="X7" i="6"/>
  <c r="V7" i="6"/>
  <c r="U7" i="6"/>
  <c r="T7" i="6"/>
  <c r="S7" i="6"/>
  <c r="R7" i="6"/>
  <c r="Q7" i="6"/>
  <c r="P7" i="6"/>
  <c r="AC7" i="6" s="1"/>
  <c r="O7" i="6"/>
  <c r="N7" i="6"/>
  <c r="M7" i="6"/>
  <c r="L7" i="6"/>
  <c r="K7" i="6"/>
  <c r="J7" i="6"/>
  <c r="I7" i="6"/>
  <c r="H7" i="6"/>
  <c r="AB7" i="6" s="1"/>
  <c r="G7" i="6"/>
  <c r="F7" i="6"/>
  <c r="E7" i="6"/>
  <c r="D7" i="6"/>
  <c r="C7" i="6"/>
  <c r="AA7" i="6" s="1"/>
  <c r="Y6" i="6"/>
  <c r="X6" i="6"/>
  <c r="V6" i="6"/>
  <c r="U6" i="6"/>
  <c r="T6" i="6"/>
  <c r="S6" i="6"/>
  <c r="Q6" i="6"/>
  <c r="P6" i="6"/>
  <c r="O6" i="6"/>
  <c r="N6" i="6"/>
  <c r="M6" i="6"/>
  <c r="L6" i="6"/>
  <c r="K6" i="6"/>
  <c r="J6" i="6"/>
  <c r="I6" i="6"/>
  <c r="H6" i="6"/>
  <c r="AB6" i="6" s="1"/>
  <c r="G6" i="6"/>
  <c r="F6" i="6"/>
  <c r="E6" i="6"/>
  <c r="D6" i="6"/>
  <c r="C6" i="6"/>
  <c r="AA6" i="6" s="1"/>
  <c r="Y5" i="6"/>
  <c r="X5" i="6"/>
  <c r="V5" i="6"/>
  <c r="U5" i="6"/>
  <c r="T5" i="6"/>
  <c r="S5" i="6"/>
  <c r="R5" i="6"/>
  <c r="Q5" i="6"/>
  <c r="I5" i="6"/>
  <c r="Y4" i="6"/>
  <c r="Q4" i="6"/>
  <c r="K4" i="6"/>
  <c r="F4" i="6"/>
  <c r="V3" i="6"/>
  <c r="N3" i="6"/>
  <c r="E3" i="6"/>
  <c r="T55" i="6"/>
  <c r="K55" i="6"/>
  <c r="Y54" i="6"/>
  <c r="R53" i="6"/>
  <c r="G53" i="6"/>
  <c r="N52" i="6"/>
  <c r="E52" i="6"/>
  <c r="T51" i="6"/>
  <c r="K51" i="6"/>
  <c r="Z57" i="5"/>
  <c r="W57" i="6"/>
  <c r="Z56" i="5"/>
  <c r="W56" i="6"/>
  <c r="Z55" i="5"/>
  <c r="W55" i="6"/>
  <c r="A23" i="7"/>
  <c r="B23" i="7" s="1"/>
  <c r="A2" i="7"/>
  <c r="B2" i="7" s="1"/>
  <c r="A21" i="7"/>
  <c r="B21" i="7" s="1"/>
  <c r="A25" i="7"/>
  <c r="B25" i="7" s="1"/>
  <c r="A3" i="7"/>
  <c r="B3" i="7" s="1"/>
  <c r="A4" i="7"/>
  <c r="B4" i="7" s="1"/>
  <c r="A24" i="7"/>
  <c r="B24" i="7" s="1"/>
  <c r="A22" i="7"/>
  <c r="B22" i="7" s="1"/>
  <c r="A5" i="7"/>
  <c r="B5" i="7" s="1"/>
  <c r="A6" i="7"/>
  <c r="B6" i="7" s="1"/>
  <c r="A7" i="7"/>
  <c r="B7" i="7" s="1"/>
  <c r="A8" i="7"/>
  <c r="B8" i="7" s="1"/>
  <c r="A9" i="7"/>
  <c r="B9" i="7" s="1"/>
  <c r="A10" i="7"/>
  <c r="B10" i="7" s="1"/>
  <c r="A11" i="7"/>
  <c r="B11" i="7" s="1"/>
  <c r="A12" i="7"/>
  <c r="B12" i="7" s="1"/>
  <c r="A13" i="7"/>
  <c r="B13" i="7" s="1"/>
  <c r="A14" i="7"/>
  <c r="B14" i="7" s="1"/>
  <c r="A15" i="7"/>
  <c r="B15" i="7" s="1"/>
  <c r="A16" i="7"/>
  <c r="B16" i="7" s="1"/>
  <c r="A17" i="7"/>
  <c r="B17" i="7" s="1"/>
  <c r="A18" i="7"/>
  <c r="B18" i="7" s="1"/>
  <c r="A19" i="7"/>
  <c r="B19" i="7" s="1"/>
  <c r="A20" i="7"/>
  <c r="B20" i="7" s="1"/>
  <c r="W54" i="6"/>
  <c r="Z54" i="5"/>
  <c r="W53" i="6"/>
  <c r="Z53" i="5"/>
  <c r="Z52" i="5"/>
  <c r="W52" i="6"/>
  <c r="Z51" i="5"/>
  <c r="W51" i="6"/>
  <c r="W50" i="6"/>
  <c r="Z50" i="5"/>
  <c r="Z49" i="5"/>
  <c r="W49" i="6"/>
  <c r="Z48" i="5"/>
  <c r="W48" i="6"/>
  <c r="W47" i="6"/>
  <c r="Z47" i="5"/>
  <c r="Z46" i="5"/>
  <c r="W46" i="6"/>
  <c r="Z45" i="5"/>
  <c r="W45" i="6"/>
  <c r="W44" i="6"/>
  <c r="Z44" i="5"/>
  <c r="Z43" i="5"/>
  <c r="W43" i="6"/>
  <c r="W42" i="6"/>
  <c r="Z42" i="5"/>
  <c r="Z41" i="5"/>
  <c r="W41" i="6"/>
  <c r="Z40" i="5"/>
  <c r="W40" i="6"/>
  <c r="Z39" i="5"/>
  <c r="W39" i="6"/>
  <c r="Z38" i="5"/>
  <c r="W38" i="6"/>
  <c r="W37" i="6"/>
  <c r="Z37" i="5"/>
  <c r="Z36" i="5"/>
  <c r="W36" i="6"/>
  <c r="Z35" i="5"/>
  <c r="W35" i="6"/>
  <c r="Z34" i="5"/>
  <c r="W34" i="6"/>
  <c r="W33" i="6"/>
  <c r="Z33" i="5"/>
  <c r="W32" i="6"/>
  <c r="Z32" i="5"/>
  <c r="Z31" i="5"/>
  <c r="W31" i="6"/>
  <c r="W30" i="6"/>
  <c r="Z30" i="5"/>
  <c r="W29" i="6"/>
  <c r="Z29" i="5"/>
  <c r="W28" i="6"/>
  <c r="Z28" i="5"/>
  <c r="W27" i="6"/>
  <c r="Z27" i="5"/>
  <c r="Z26" i="5"/>
  <c r="W26" i="6"/>
  <c r="Z25" i="5"/>
  <c r="W25" i="6"/>
  <c r="W24" i="6"/>
  <c r="Z24" i="5"/>
  <c r="W23" i="6"/>
  <c r="Z23" i="5"/>
  <c r="W22" i="6"/>
  <c r="Z22" i="5"/>
  <c r="Z21" i="5"/>
  <c r="W21" i="6"/>
  <c r="W20" i="6"/>
  <c r="Z20" i="5"/>
  <c r="W19" i="6"/>
  <c r="Z19" i="5"/>
  <c r="W18" i="6"/>
  <c r="Z18" i="5"/>
  <c r="Z17" i="5"/>
  <c r="W17" i="6"/>
  <c r="W16" i="6"/>
  <c r="Z16" i="5"/>
  <c r="Z15" i="5"/>
  <c r="W15" i="6"/>
  <c r="W14" i="6"/>
  <c r="Z14" i="5"/>
  <c r="Z13" i="5"/>
  <c r="W13" i="6"/>
  <c r="Z12" i="5"/>
  <c r="W12" i="6"/>
  <c r="Z11" i="5"/>
  <c r="W11" i="6"/>
  <c r="Z10" i="5"/>
  <c r="W10" i="6"/>
  <c r="W9" i="6"/>
  <c r="Z9" i="5"/>
  <c r="W8" i="6"/>
  <c r="Z8" i="5"/>
  <c r="W7" i="6"/>
  <c r="Z7" i="5"/>
  <c r="Z6" i="5"/>
  <c r="W6" i="6"/>
  <c r="R6" i="6"/>
  <c r="R57" i="6"/>
  <c r="R56" i="6"/>
  <c r="W5" i="6"/>
  <c r="Z5" i="5"/>
  <c r="W4" i="6"/>
  <c r="Z4" i="5"/>
  <c r="W3" i="6"/>
  <c r="Z3" i="5"/>
  <c r="AB47" i="6" l="1"/>
  <c r="AA43" i="6"/>
  <c r="AE43" i="6" s="1"/>
  <c r="AD29" i="6"/>
  <c r="AC45" i="6"/>
  <c r="AC43" i="6"/>
  <c r="AC29" i="6"/>
  <c r="AB43" i="6"/>
  <c r="AA42" i="6"/>
  <c r="AE42" i="6" s="1"/>
  <c r="AA41" i="6"/>
  <c r="AC40" i="6"/>
  <c r="AB40" i="6"/>
  <c r="AC39" i="6"/>
  <c r="AB39" i="6"/>
  <c r="AA39" i="6"/>
  <c r="AB20" i="6"/>
  <c r="AA9" i="6"/>
  <c r="AA20" i="6"/>
  <c r="AC49" i="6"/>
  <c r="AE49" i="6" s="1"/>
  <c r="AC47" i="6"/>
  <c r="AA8" i="6"/>
  <c r="AB5" i="6"/>
  <c r="AE5" i="6" s="1"/>
  <c r="AD43" i="6"/>
  <c r="AD20" i="6"/>
  <c r="AD11" i="6"/>
  <c r="AD57" i="6"/>
  <c r="AB57" i="6"/>
  <c r="AD56" i="6"/>
  <c r="AC48" i="6"/>
  <c r="AC46" i="6"/>
  <c r="AC44" i="6"/>
  <c r="AB42" i="6"/>
  <c r="AA40" i="6"/>
  <c r="AC38" i="6"/>
  <c r="AC34" i="6"/>
  <c r="AA34" i="6"/>
  <c r="AA32" i="6"/>
  <c r="AD38" i="6"/>
  <c r="AC33" i="6"/>
  <c r="AA38" i="6"/>
  <c r="AB16" i="6"/>
  <c r="AD49" i="6"/>
  <c r="AA57" i="6"/>
  <c r="AB29" i="6"/>
  <c r="AC16" i="6"/>
  <c r="AC14" i="6"/>
  <c r="AA4" i="6"/>
  <c r="AA56" i="6"/>
  <c r="AB50" i="6"/>
  <c r="AA51" i="6"/>
  <c r="AC57" i="6"/>
  <c r="AC50" i="6"/>
  <c r="AB56" i="6"/>
  <c r="AB18" i="6"/>
  <c r="AA14" i="6"/>
  <c r="AC5" i="6"/>
  <c r="AC12" i="6"/>
  <c r="AC56" i="6"/>
  <c r="AC11" i="6"/>
  <c r="AA50" i="6"/>
  <c r="AB46" i="6"/>
  <c r="AB51" i="6"/>
  <c r="AC41" i="6"/>
  <c r="AB41" i="6"/>
  <c r="AC51" i="6"/>
  <c r="AB53" i="6"/>
  <c r="AB33" i="6"/>
  <c r="AB52" i="6"/>
  <c r="AA44" i="6"/>
  <c r="AB15" i="6"/>
  <c r="AA15" i="6"/>
  <c r="AB14" i="6"/>
  <c r="AB13" i="6"/>
  <c r="AC52" i="6"/>
  <c r="AA31" i="6"/>
  <c r="AC30" i="6"/>
  <c r="AB32" i="6"/>
  <c r="AA5" i="6"/>
  <c r="AD55" i="6"/>
  <c r="AA55" i="6"/>
  <c r="AC15" i="6"/>
  <c r="AA13" i="6"/>
  <c r="AC4" i="6"/>
  <c r="AB4" i="6"/>
  <c r="AC3" i="6"/>
  <c r="AB3" i="6"/>
  <c r="AA3" i="6"/>
  <c r="AC55" i="6"/>
  <c r="AB55" i="6"/>
  <c r="AC54" i="6"/>
  <c r="AB54" i="6"/>
  <c r="AC53" i="6"/>
  <c r="AC18" i="6"/>
  <c r="AA16" i="6"/>
  <c r="AC13" i="6"/>
  <c r="AA53" i="6"/>
  <c r="AA12" i="6"/>
  <c r="AB8" i="6"/>
  <c r="AD54" i="6"/>
  <c r="AD53" i="6"/>
  <c r="AD52" i="6"/>
  <c r="AD51" i="6"/>
  <c r="AD50" i="6"/>
  <c r="AD48" i="6"/>
  <c r="AD47" i="6"/>
  <c r="AD46" i="6"/>
  <c r="Z45" i="6"/>
  <c r="AD45" i="6"/>
  <c r="AD44" i="6"/>
  <c r="AD42" i="6"/>
  <c r="AD41" i="6"/>
  <c r="AD40" i="6"/>
  <c r="AD39" i="6"/>
  <c r="AD19" i="6"/>
  <c r="AE19" i="6" s="1"/>
  <c r="AD17" i="6"/>
  <c r="AE17" i="6" s="1"/>
  <c r="AD15" i="6"/>
  <c r="AD13" i="6"/>
  <c r="AA52" i="6"/>
  <c r="AA46" i="6"/>
  <c r="AA54" i="6"/>
  <c r="AD37" i="6"/>
  <c r="AE37" i="6" s="1"/>
  <c r="AD36" i="6"/>
  <c r="AE36" i="6" s="1"/>
  <c r="AD35" i="6"/>
  <c r="AD34" i="6"/>
  <c r="AD33" i="6"/>
  <c r="AD32" i="6"/>
  <c r="AD31" i="6"/>
  <c r="AD30" i="6"/>
  <c r="AD28" i="6"/>
  <c r="AD27" i="6"/>
  <c r="AE27" i="6" s="1"/>
  <c r="AD26" i="6"/>
  <c r="AE26" i="6" s="1"/>
  <c r="AD25" i="6"/>
  <c r="AD24" i="6"/>
  <c r="AD23" i="6"/>
  <c r="AE23" i="6" s="1"/>
  <c r="AD22" i="6"/>
  <c r="AD21" i="6"/>
  <c r="AD18" i="6"/>
  <c r="AD16" i="6"/>
  <c r="AD14" i="6"/>
  <c r="AD12" i="6"/>
  <c r="AD10" i="6"/>
  <c r="AE10" i="6" s="1"/>
  <c r="AD9" i="6"/>
  <c r="AD8" i="6"/>
  <c r="AD7" i="6"/>
  <c r="AE7" i="6" s="1"/>
  <c r="AD6" i="6"/>
  <c r="AC6" i="6"/>
  <c r="AD5" i="6"/>
  <c r="AD4" i="6"/>
  <c r="AD3" i="6"/>
  <c r="Z55" i="6"/>
  <c r="Z56" i="6"/>
  <c r="Z57" i="6"/>
  <c r="Z3" i="6"/>
  <c r="Z54" i="6"/>
  <c r="Z52" i="6"/>
  <c r="Z50" i="6"/>
  <c r="Z49" i="6"/>
  <c r="Z48" i="6"/>
  <c r="Z47" i="6"/>
  <c r="Z46" i="6"/>
  <c r="Z44" i="6"/>
  <c r="Z43" i="6"/>
  <c r="Z42" i="6"/>
  <c r="Z41" i="6"/>
  <c r="Z40" i="6"/>
  <c r="Z39" i="6"/>
  <c r="Z38" i="6"/>
  <c r="Z37" i="6"/>
  <c r="Z36" i="6"/>
  <c r="Z35" i="6"/>
  <c r="Z34" i="6"/>
  <c r="Z33" i="6"/>
  <c r="Z30" i="6"/>
  <c r="Z29" i="6"/>
  <c r="Z32" i="6"/>
  <c r="Z31" i="6"/>
  <c r="Z28" i="6"/>
  <c r="Z24" i="6"/>
  <c r="Z23" i="6"/>
  <c r="Z27" i="6"/>
  <c r="Z26" i="6"/>
  <c r="Z25" i="6"/>
  <c r="Z22" i="6"/>
  <c r="Z21" i="6"/>
  <c r="Z11" i="6"/>
  <c r="Z20" i="6"/>
  <c r="Z19" i="6"/>
  <c r="Z18" i="6"/>
  <c r="Z17" i="6"/>
  <c r="Z53" i="6"/>
  <c r="Z51" i="6"/>
  <c r="Z16" i="6"/>
  <c r="Z15" i="6"/>
  <c r="Z14" i="6"/>
  <c r="Z13" i="6"/>
  <c r="Z12" i="6"/>
  <c r="Z8" i="6"/>
  <c r="Z6" i="6"/>
  <c r="Z10" i="6"/>
  <c r="Z9" i="6"/>
  <c r="Z7" i="6"/>
  <c r="AE6" i="6"/>
  <c r="Z5" i="6"/>
  <c r="Z4" i="6"/>
  <c r="AE51" i="6"/>
  <c r="AE24" i="6"/>
  <c r="AE22" i="6"/>
  <c r="AE25" i="6"/>
  <c r="AE12" i="6"/>
  <c r="AE35" i="6"/>
  <c r="AE28" i="6"/>
  <c r="AE21" i="6"/>
  <c r="AE39" i="6" l="1"/>
  <c r="AE9" i="6"/>
  <c r="AE20" i="6"/>
  <c r="AE40" i="6"/>
  <c r="AE29" i="6"/>
  <c r="AE14" i="6"/>
  <c r="AE50" i="6"/>
  <c r="AE45" i="6"/>
  <c r="AE38" i="6"/>
  <c r="AE57" i="6"/>
  <c r="AE56" i="6"/>
  <c r="AE11" i="6"/>
  <c r="AE48" i="6"/>
  <c r="AE47" i="6"/>
  <c r="AE46" i="6"/>
  <c r="AE44" i="6"/>
  <c r="AE41" i="6"/>
  <c r="AE34" i="6"/>
  <c r="AE33" i="6"/>
  <c r="AE32" i="6"/>
  <c r="AE8" i="6"/>
  <c r="AE4" i="6"/>
  <c r="AE55" i="6"/>
  <c r="AE54" i="6"/>
  <c r="AE53" i="6"/>
  <c r="AE52" i="6"/>
  <c r="AE15" i="6"/>
  <c r="AE13" i="6"/>
  <c r="AE31" i="6"/>
  <c r="AE30" i="6"/>
  <c r="AE18" i="6"/>
  <c r="AE16" i="6"/>
  <c r="AE3" i="6"/>
</calcChain>
</file>

<file path=xl/sharedStrings.xml><?xml version="1.0" encoding="utf-8"?>
<sst xmlns="http://schemas.openxmlformats.org/spreadsheetml/2006/main" count="2371" uniqueCount="864">
  <si>
    <t>Match</t>
  </si>
  <si>
    <t>Start Time</t>
  </si>
  <si>
    <t>Blue 1</t>
  </si>
  <si>
    <t>Blue 2</t>
  </si>
  <si>
    <t>Blue 3</t>
  </si>
  <si>
    <t>Red 1</t>
  </si>
  <si>
    <t>Red 2</t>
  </si>
  <si>
    <t>Red 3</t>
  </si>
  <si>
    <t>2026-03-13 08:50:00</t>
  </si>
  <si>
    <t>Match has not yet been scouted</t>
  </si>
  <si>
    <t>2026-03-13 08:59:00</t>
  </si>
  <si>
    <t>Match has been scouted</t>
  </si>
  <si>
    <t>2026-03-13 09:08:00</t>
  </si>
  <si>
    <t>Match was scouted more than once</t>
  </si>
  <si>
    <t>2026-03-13 09:17:00</t>
  </si>
  <si>
    <t>Wrong team was scouted</t>
  </si>
  <si>
    <t>2026-03-13 09:26:00</t>
  </si>
  <si>
    <t>2026-03-13 09:35:00</t>
  </si>
  <si>
    <t>2026-03-13 09:44:00</t>
  </si>
  <si>
    <t>2026-03-13 09:53:00</t>
  </si>
  <si>
    <t>2026-03-13 10:02:00</t>
  </si>
  <si>
    <t>2026-03-13 10:11:00</t>
  </si>
  <si>
    <t>2026-03-13 10:20:00</t>
  </si>
  <si>
    <t>2026-03-13 10:28:00</t>
  </si>
  <si>
    <t>2026-03-13 10:36:00</t>
  </si>
  <si>
    <t>2026-03-13 10:44:00</t>
  </si>
  <si>
    <t>2026-03-13 10:52:00</t>
  </si>
  <si>
    <t>2026-03-13 11:00:00</t>
  </si>
  <si>
    <t>2026-03-13 11:08:00</t>
  </si>
  <si>
    <t>2026-03-13 11:16:00</t>
  </si>
  <si>
    <t>2026-03-13 11:24:00</t>
  </si>
  <si>
    <t>2026-03-13 11:32:00</t>
  </si>
  <si>
    <t>2026-03-13 11:40:00</t>
  </si>
  <si>
    <t>2026-03-13 11:48:00</t>
  </si>
  <si>
    <t>2026-03-13 11:56:00</t>
  </si>
  <si>
    <t>2026-03-13 13:00:00</t>
  </si>
  <si>
    <t>2026-03-13 13:08:00</t>
  </si>
  <si>
    <t>2026-03-13 13:16:00</t>
  </si>
  <si>
    <t>2026-03-13 13:24:00</t>
  </si>
  <si>
    <t>2026-03-13 13:32:00</t>
  </si>
  <si>
    <t>2026-03-13 13:40:00</t>
  </si>
  <si>
    <t>2026-03-13 13:48:00</t>
  </si>
  <si>
    <t>2026-03-13 13:56:00</t>
  </si>
  <si>
    <t>2026-03-13 14:04:00</t>
  </si>
  <si>
    <t>2026-03-13 14:12:00</t>
  </si>
  <si>
    <t>2026-03-13 14:20:00</t>
  </si>
  <si>
    <t>2026-03-13 14:28:00</t>
  </si>
  <si>
    <t>2026-03-13 14:36:00</t>
  </si>
  <si>
    <t>2026-03-13 14:44:00</t>
  </si>
  <si>
    <t>2026-03-13 14:52:00</t>
  </si>
  <si>
    <t>2026-03-13 15:00:00</t>
  </si>
  <si>
    <t>2026-03-13 15:08:00</t>
  </si>
  <si>
    <t>2026-03-13 15:16:00</t>
  </si>
  <si>
    <t>2026-03-13 15:24:00</t>
  </si>
  <si>
    <t>2026-03-13 15:32:00</t>
  </si>
  <si>
    <t>2026-03-13 15:40:00</t>
  </si>
  <si>
    <t>2026-03-13 15:48:00</t>
  </si>
  <si>
    <t>2026-03-13 15:56:00</t>
  </si>
  <si>
    <t>2026-03-13 16:04:00</t>
  </si>
  <si>
    <t>2026-03-13 16:12:00</t>
  </si>
  <si>
    <t>2026-03-13 16:20:00</t>
  </si>
  <si>
    <t>2026-03-13 16:28:00</t>
  </si>
  <si>
    <t>2026-03-13 16:36:00</t>
  </si>
  <si>
    <t>2026-03-13 16:44:00</t>
  </si>
  <si>
    <t>2026-03-13 16:52:00</t>
  </si>
  <si>
    <t>2026-03-13 17:00:00</t>
  </si>
  <si>
    <t>2026-03-13 17:08:00</t>
  </si>
  <si>
    <t>2026-03-13 17:16:00</t>
  </si>
  <si>
    <t>2026-03-13 17:24:00</t>
  </si>
  <si>
    <t>2026-03-13 17:32:00</t>
  </si>
  <si>
    <t>2026-03-13 17:40:00</t>
  </si>
  <si>
    <t>2026-03-13 17:48:00</t>
  </si>
  <si>
    <t>2026-03-14 08:50:00</t>
  </si>
  <si>
    <t>2026-03-14 08:58:00</t>
  </si>
  <si>
    <t>2026-03-14 09:06:00</t>
  </si>
  <si>
    <t>2026-03-14 09:14:00</t>
  </si>
  <si>
    <t>2026-03-14 09:22:00</t>
  </si>
  <si>
    <t>2026-03-14 09:30:00</t>
  </si>
  <si>
    <t>2026-03-14 09:38:00</t>
  </si>
  <si>
    <t>2026-03-14 09:46:00</t>
  </si>
  <si>
    <t>2026-03-14 09:54:00</t>
  </si>
  <si>
    <t>2026-03-14 10:02:00</t>
  </si>
  <si>
    <t>2026-03-14 10:10:00</t>
  </si>
  <si>
    <t>2026-03-14 10:18:00</t>
  </si>
  <si>
    <t>2026-03-14 10:26:00</t>
  </si>
  <si>
    <t>2026-03-14 10:34:00</t>
  </si>
  <si>
    <t>2026-03-14 10:42:00</t>
  </si>
  <si>
    <t>2026-03-14 10:50:00</t>
  </si>
  <si>
    <t>2026-03-14 10:58:00</t>
  </si>
  <si>
    <t>2026-03-14 11:06:00</t>
  </si>
  <si>
    <t>2026-03-14 11:14:00</t>
  </si>
  <si>
    <t>2026-03-14 11:22:00</t>
  </si>
  <si>
    <t>2026-03-14 11:30:00</t>
  </si>
  <si>
    <t>2026-03-14 11:38:00</t>
  </si>
  <si>
    <t>2026-03-14 11:46:00</t>
  </si>
  <si>
    <t>Key</t>
  </si>
  <si>
    <t>Scouter PIN</t>
  </si>
  <si>
    <t>Alliance</t>
  </si>
  <si>
    <t>Team</t>
  </si>
  <si>
    <t>Climbing Attempted</t>
  </si>
  <si>
    <t>Robot Reach Level 1</t>
  </si>
  <si>
    <t>Robot Move in Auto</t>
  </si>
  <si>
    <t>A-Stop Activated</t>
  </si>
  <si>
    <t>Total Fuel Scored</t>
  </si>
  <si>
    <t>Speed to Shoot Fuel</t>
  </si>
  <si>
    <t>Accuracy to Shoot Fuel</t>
  </si>
  <si>
    <t>Number of Fuel Collected</t>
  </si>
  <si>
    <t>Duirng Inactive, did Collect</t>
  </si>
  <si>
    <t>During Inactive, did Pass</t>
  </si>
  <si>
    <t>Collect from Alliance Zone</t>
  </si>
  <si>
    <t>Collect from Neutral Zone</t>
  </si>
  <si>
    <t>Was Intake Good</t>
  </si>
  <si>
    <t>Climb, Scucess, Level (Endgame)</t>
  </si>
  <si>
    <t>Defensive Whole Game</t>
  </si>
  <si>
    <t>Shot from Same Position</t>
  </si>
  <si>
    <t>Continue to Shoot Until End</t>
  </si>
  <si>
    <t>Grade Robot's Performance</t>
  </si>
  <si>
    <t>Result of Match (Postmatch)</t>
  </si>
  <si>
    <t>Energized Ranking Point</t>
  </si>
  <si>
    <t>Supercharged Ranking Point</t>
  </si>
  <si>
    <t>Traversal Ranking Point</t>
  </si>
  <si>
    <t>Total Points Scored</t>
  </si>
  <si>
    <t>Comments</t>
  </si>
  <si>
    <t>1.Blue 1</t>
  </si>
  <si>
    <t>Arthur Sayre</t>
  </si>
  <si>
    <t>b1</t>
  </si>
  <si>
    <t>Hello World!</t>
  </si>
  <si>
    <t>1.Blue 2</t>
  </si>
  <si>
    <t>Gianmarco D'Angelo</t>
  </si>
  <si>
    <t>b2</t>
  </si>
  <si>
    <t>1.Blue 3</t>
  </si>
  <si>
    <t>Celton Norter</t>
  </si>
  <si>
    <t>b3</t>
  </si>
  <si>
    <t>1.Red 1</t>
  </si>
  <si>
    <t>Domenic Giammusso</t>
  </si>
  <si>
    <t>r1</t>
  </si>
  <si>
    <t>1.Red 2</t>
  </si>
  <si>
    <t>Nathan DeVito</t>
  </si>
  <si>
    <t>r2</t>
  </si>
  <si>
    <t>1.Red 3</t>
  </si>
  <si>
    <t>r3</t>
  </si>
  <si>
    <t>2.Blue 1</t>
  </si>
  <si>
    <t>2.Blue 2</t>
  </si>
  <si>
    <t xml:space="preserve">Tetra Ukav </t>
  </si>
  <si>
    <t>2.Blue 3</t>
  </si>
  <si>
    <t>Carter Silva</t>
  </si>
  <si>
    <t>2.Red 1</t>
  </si>
  <si>
    <t>Dean Blanchard</t>
  </si>
  <si>
    <t>2.Red 2</t>
  </si>
  <si>
    <t>Andrew Crawford</t>
  </si>
  <si>
    <t>2.Red 3</t>
  </si>
  <si>
    <t>3.Blue 1</t>
  </si>
  <si>
    <t>3.Blue 2</t>
  </si>
  <si>
    <t>3.Blue 3</t>
  </si>
  <si>
    <t>3.Red 1</t>
  </si>
  <si>
    <t>3.Red 2</t>
  </si>
  <si>
    <t>3.Red 3</t>
  </si>
  <si>
    <t>Madison DeCicca</t>
  </si>
  <si>
    <t>4.Blue 1</t>
  </si>
  <si>
    <t>Runa Hunt</t>
  </si>
  <si>
    <t>4.Blue 2</t>
  </si>
  <si>
    <t>Caitlin Munier</t>
  </si>
  <si>
    <t>4.Blue 3</t>
  </si>
  <si>
    <t>4.Red 1</t>
  </si>
  <si>
    <t>Eli Harrison</t>
  </si>
  <si>
    <t>4.Red 2</t>
  </si>
  <si>
    <t>Connor Rapp</t>
  </si>
  <si>
    <t>4.Red 3</t>
  </si>
  <si>
    <t>Jonah WoikaKai Wilbur</t>
  </si>
  <si>
    <t>5.Blue 1</t>
  </si>
  <si>
    <t>5.Blue 2</t>
  </si>
  <si>
    <t>5.Blue 3</t>
  </si>
  <si>
    <t>5.Red 1</t>
  </si>
  <si>
    <t>5.Red 2</t>
  </si>
  <si>
    <t>5.Red 3</t>
  </si>
  <si>
    <t>6.Blue 1</t>
  </si>
  <si>
    <t>Amanah Obaji</t>
  </si>
  <si>
    <t>6.Blue 2</t>
  </si>
  <si>
    <t>6.Blue 3</t>
  </si>
  <si>
    <t>6.Red 1</t>
  </si>
  <si>
    <t>6.Red 2</t>
  </si>
  <si>
    <t>Autumn Schoenfeld</t>
  </si>
  <si>
    <t>6.Red 3</t>
  </si>
  <si>
    <t>7.Blue 1</t>
  </si>
  <si>
    <t>7.Blue 2</t>
  </si>
  <si>
    <t xml:space="preserve">Ruth Christensen </t>
  </si>
  <si>
    <t>7.Blue 3</t>
  </si>
  <si>
    <t>7.Red 1</t>
  </si>
  <si>
    <t>7.Red 2</t>
  </si>
  <si>
    <t>7.Red 3</t>
  </si>
  <si>
    <t>8.Blue 1</t>
  </si>
  <si>
    <t>8.Blue 2</t>
  </si>
  <si>
    <t>8.Blue 3</t>
  </si>
  <si>
    <t>Nicholas Munier</t>
  </si>
  <si>
    <t>8.Red 1</t>
  </si>
  <si>
    <t>Ethan Stiffler</t>
  </si>
  <si>
    <t>8.Red 2</t>
  </si>
  <si>
    <t>8.Red 3</t>
  </si>
  <si>
    <t>9.Blue 1</t>
  </si>
  <si>
    <t xml:space="preserve">Tyler Hignett </t>
  </si>
  <si>
    <t>9.Blue 2</t>
  </si>
  <si>
    <t>Matthew Mazzota</t>
  </si>
  <si>
    <t>9.Blue 3</t>
  </si>
  <si>
    <t>9.Red 1</t>
  </si>
  <si>
    <t>9.Red 2</t>
  </si>
  <si>
    <t>9.Red 3</t>
  </si>
  <si>
    <t>10.Blue 1</t>
  </si>
  <si>
    <t>10.Blue 2</t>
  </si>
  <si>
    <t>Colby Jackson</t>
  </si>
  <si>
    <t>10.Blue 3</t>
  </si>
  <si>
    <t>10.Red 1</t>
  </si>
  <si>
    <t>10.Red 2</t>
  </si>
  <si>
    <t>10.Red 3</t>
  </si>
  <si>
    <t>11.Blue 1</t>
  </si>
  <si>
    <t>11.Blue 2</t>
  </si>
  <si>
    <t>11.Blue 3</t>
  </si>
  <si>
    <t>11.Red 1</t>
  </si>
  <si>
    <t>11.Red 2</t>
  </si>
  <si>
    <t>11.Red 3</t>
  </si>
  <si>
    <t>12.Blue 1</t>
  </si>
  <si>
    <t>12.Blue 2</t>
  </si>
  <si>
    <t>12.Blue 3</t>
  </si>
  <si>
    <t>12.Red 1</t>
  </si>
  <si>
    <t>12.Red 2</t>
  </si>
  <si>
    <t>12.Red 3</t>
  </si>
  <si>
    <t>13.Blue 1</t>
  </si>
  <si>
    <t>13.Blue 2</t>
  </si>
  <si>
    <t>13.Blue 3</t>
  </si>
  <si>
    <t>13.Red 1</t>
  </si>
  <si>
    <t>13.Red 2</t>
  </si>
  <si>
    <t>13.Red 3</t>
  </si>
  <si>
    <t>14.Blue 1</t>
  </si>
  <si>
    <t>14.Blue 2</t>
  </si>
  <si>
    <t>14.Blue 3</t>
  </si>
  <si>
    <t>14.Red 1</t>
  </si>
  <si>
    <t>14.Red 2</t>
  </si>
  <si>
    <t>14.Red 3</t>
  </si>
  <si>
    <t>15.Blue 1</t>
  </si>
  <si>
    <t>15.Blue 2</t>
  </si>
  <si>
    <t>15.Blue 3</t>
  </si>
  <si>
    <t>15.Red 1</t>
  </si>
  <si>
    <t>15.Red 2</t>
  </si>
  <si>
    <t>15.Red 3</t>
  </si>
  <si>
    <t>16.Blue 1</t>
  </si>
  <si>
    <t>16.Blue 2</t>
  </si>
  <si>
    <t>16.Blue 3</t>
  </si>
  <si>
    <t>16.Red 1</t>
  </si>
  <si>
    <t>16.Red 2</t>
  </si>
  <si>
    <t>16.Red 3</t>
  </si>
  <si>
    <t>17.Blue 1</t>
  </si>
  <si>
    <t>17.Blue 2</t>
  </si>
  <si>
    <t>17.Blue 3</t>
  </si>
  <si>
    <t>17.Red 1</t>
  </si>
  <si>
    <t>17.Red 2</t>
  </si>
  <si>
    <t>17.Red 3</t>
  </si>
  <si>
    <t>18.Blue 1</t>
  </si>
  <si>
    <t>18.Blue 2</t>
  </si>
  <si>
    <t>18.Blue 3</t>
  </si>
  <si>
    <t>18.Red 1</t>
  </si>
  <si>
    <t>18.Red 2</t>
  </si>
  <si>
    <t>18.Red 3</t>
  </si>
  <si>
    <t>19.Blue 1</t>
  </si>
  <si>
    <t>19.Blue 2</t>
  </si>
  <si>
    <t>19.Blue 3</t>
  </si>
  <si>
    <t>19.Red 1</t>
  </si>
  <si>
    <t>19.Red 2</t>
  </si>
  <si>
    <t>19.Red 3</t>
  </si>
  <si>
    <t>20.Blue 1</t>
  </si>
  <si>
    <t>20.Blue 2</t>
  </si>
  <si>
    <t>20.Blue 3</t>
  </si>
  <si>
    <t>20.Red 1</t>
  </si>
  <si>
    <t>20.Red 2</t>
  </si>
  <si>
    <t>20.Red 3</t>
  </si>
  <si>
    <t>21.Blue 1</t>
  </si>
  <si>
    <t>21.Blue 2</t>
  </si>
  <si>
    <t>21.Blue 3</t>
  </si>
  <si>
    <t>21.Red 1</t>
  </si>
  <si>
    <t>21.Red 2</t>
  </si>
  <si>
    <t>21.Red 3</t>
  </si>
  <si>
    <t>22.Blue 1</t>
  </si>
  <si>
    <t>22.Blue 2</t>
  </si>
  <si>
    <t>22.Blue 3</t>
  </si>
  <si>
    <t>22.Red 1</t>
  </si>
  <si>
    <t>22.Red 2</t>
  </si>
  <si>
    <t>22.Red 3</t>
  </si>
  <si>
    <t>23.Blue 1</t>
  </si>
  <si>
    <t>23.Blue 2</t>
  </si>
  <si>
    <t>23.Blue 3</t>
  </si>
  <si>
    <t>23.Red 1</t>
  </si>
  <si>
    <t>23.Red 2</t>
  </si>
  <si>
    <t>23.Red 3</t>
  </si>
  <si>
    <t>24.Blue 1</t>
  </si>
  <si>
    <t>24.Blue 2</t>
  </si>
  <si>
    <t>24.Blue 3</t>
  </si>
  <si>
    <t>24.Red 1</t>
  </si>
  <si>
    <t>24.Red 2</t>
  </si>
  <si>
    <t>24.Red 3</t>
  </si>
  <si>
    <t>25.Blue 1</t>
  </si>
  <si>
    <t>25.Blue 2</t>
  </si>
  <si>
    <t>25.Blue 3</t>
  </si>
  <si>
    <t>25.Red 1</t>
  </si>
  <si>
    <t>25.Red 2</t>
  </si>
  <si>
    <t>25.Red 3</t>
  </si>
  <si>
    <t>26.Blue 1</t>
  </si>
  <si>
    <t>26.Blue 2</t>
  </si>
  <si>
    <t>26.Blue 3</t>
  </si>
  <si>
    <t>26.Red 1</t>
  </si>
  <si>
    <t>26.Red 2</t>
  </si>
  <si>
    <t>26.Red 3</t>
  </si>
  <si>
    <t>27.Blue 1</t>
  </si>
  <si>
    <t>27.Blue 2</t>
  </si>
  <si>
    <t>27.Blue 3</t>
  </si>
  <si>
    <t>27.Red 1</t>
  </si>
  <si>
    <t>27.Red 2</t>
  </si>
  <si>
    <t>27.Red 3</t>
  </si>
  <si>
    <t>28.Blue 1</t>
  </si>
  <si>
    <t>28.Blue 2</t>
  </si>
  <si>
    <t>28.Blue 3</t>
  </si>
  <si>
    <t>28.Red 1</t>
  </si>
  <si>
    <t>28.Red 2</t>
  </si>
  <si>
    <t>28.Red 3</t>
  </si>
  <si>
    <t>29.Blue 1</t>
  </si>
  <si>
    <t>29.Blue 2</t>
  </si>
  <si>
    <t>29.Blue 3</t>
  </si>
  <si>
    <t>29.Red 1</t>
  </si>
  <si>
    <t>29.Red 2</t>
  </si>
  <si>
    <t>29.Red 3</t>
  </si>
  <si>
    <t>30.Blue 1</t>
  </si>
  <si>
    <t>30.Blue 2</t>
  </si>
  <si>
    <t>30.Blue 3</t>
  </si>
  <si>
    <t>30.Red 1</t>
  </si>
  <si>
    <t>30.Red 2</t>
  </si>
  <si>
    <t>30.Red 3</t>
  </si>
  <si>
    <t>31.Blue 1</t>
  </si>
  <si>
    <t>31.Blue 2</t>
  </si>
  <si>
    <t>31.Blue 3</t>
  </si>
  <si>
    <t>31.Red 1</t>
  </si>
  <si>
    <t>31.Red 2</t>
  </si>
  <si>
    <t>31.Red 3</t>
  </si>
  <si>
    <t>32.Blue 1</t>
  </si>
  <si>
    <t>32.Blue 2</t>
  </si>
  <si>
    <t>32.Blue 3</t>
  </si>
  <si>
    <t>32.Red 1</t>
  </si>
  <si>
    <t>32.Red 2</t>
  </si>
  <si>
    <t>32.Red 3</t>
  </si>
  <si>
    <t>33.Blue 1</t>
  </si>
  <si>
    <t>33.Blue 2</t>
  </si>
  <si>
    <t>33.Blue 3</t>
  </si>
  <si>
    <t>33.Red 1</t>
  </si>
  <si>
    <t>33.Red 2</t>
  </si>
  <si>
    <t>33.Red 3</t>
  </si>
  <si>
    <t>34.Blue 1</t>
  </si>
  <si>
    <t>34.Blue 2</t>
  </si>
  <si>
    <t>34.Blue 3</t>
  </si>
  <si>
    <t>34.Red 1</t>
  </si>
  <si>
    <t>34.Red 2</t>
  </si>
  <si>
    <t>34.Red 3</t>
  </si>
  <si>
    <t>35.Blue 1</t>
  </si>
  <si>
    <t>35.Blue 2</t>
  </si>
  <si>
    <t>35.Blue 3</t>
  </si>
  <si>
    <t>35.Red 1</t>
  </si>
  <si>
    <t>35.Red 2</t>
  </si>
  <si>
    <t>35.Red 3</t>
  </si>
  <si>
    <t>36.Blue 1</t>
  </si>
  <si>
    <t>36.Blue 2</t>
  </si>
  <si>
    <t>36.Blue 3</t>
  </si>
  <si>
    <t>36.Red 1</t>
  </si>
  <si>
    <t>36.Red 2</t>
  </si>
  <si>
    <t>36.Red 3</t>
  </si>
  <si>
    <t>37.Blue 1</t>
  </si>
  <si>
    <t>37.Blue 2</t>
  </si>
  <si>
    <t>37.Blue 3</t>
  </si>
  <si>
    <t>37.Red 1</t>
  </si>
  <si>
    <t>37.Red 2</t>
  </si>
  <si>
    <t>37.Red 3</t>
  </si>
  <si>
    <t>38.Blue 1</t>
  </si>
  <si>
    <t>38.Blue 2</t>
  </si>
  <si>
    <t>38.Blue 3</t>
  </si>
  <si>
    <t>38.Red 1</t>
  </si>
  <si>
    <t>38.Red 2</t>
  </si>
  <si>
    <t>38.Red 3</t>
  </si>
  <si>
    <t>39.Blue 1</t>
  </si>
  <si>
    <t>39.Blue 2</t>
  </si>
  <si>
    <t>39.Blue 3</t>
  </si>
  <si>
    <t>39.Red 1</t>
  </si>
  <si>
    <t>39.Red 2</t>
  </si>
  <si>
    <t>39.Red 3</t>
  </si>
  <si>
    <t>40.Blue 1</t>
  </si>
  <si>
    <t>40.Blue 2</t>
  </si>
  <si>
    <t>40.Blue 3</t>
  </si>
  <si>
    <t>40.Red 1</t>
  </si>
  <si>
    <t>40.Red 2</t>
  </si>
  <si>
    <t>40.Red 3</t>
  </si>
  <si>
    <t>41.Blue 1</t>
  </si>
  <si>
    <t>41.Blue 2</t>
  </si>
  <si>
    <t>41.Blue 3</t>
  </si>
  <si>
    <t>41.Red 1</t>
  </si>
  <si>
    <t>41.Red 2</t>
  </si>
  <si>
    <t>41.Red 3</t>
  </si>
  <si>
    <t>42.Blue 1</t>
  </si>
  <si>
    <t>42.Blue 2</t>
  </si>
  <si>
    <t>42.Blue 3</t>
  </si>
  <si>
    <t>42.Red 1</t>
  </si>
  <si>
    <t>42.Red 2</t>
  </si>
  <si>
    <t>42.Red 3</t>
  </si>
  <si>
    <t>43.Blue 1</t>
  </si>
  <si>
    <t>43.Blue 2</t>
  </si>
  <si>
    <t>43.Blue 3</t>
  </si>
  <si>
    <t>43.Red 1</t>
  </si>
  <si>
    <t>43.Red 2</t>
  </si>
  <si>
    <t>43.Red 3</t>
  </si>
  <si>
    <t>44.Blue 1</t>
  </si>
  <si>
    <t>44.Blue 2</t>
  </si>
  <si>
    <t>44.Blue 3</t>
  </si>
  <si>
    <t>44.Red 1</t>
  </si>
  <si>
    <t>44.Red 2</t>
  </si>
  <si>
    <t>44.Red 3</t>
  </si>
  <si>
    <t>45.Blue 1</t>
  </si>
  <si>
    <t>45.Blue 2</t>
  </si>
  <si>
    <t>45.Blue 3</t>
  </si>
  <si>
    <t>45.Red 1</t>
  </si>
  <si>
    <t>45.Red 2</t>
  </si>
  <si>
    <t>45.Red 3</t>
  </si>
  <si>
    <t>46.Blue 1</t>
  </si>
  <si>
    <t>46.Blue 2</t>
  </si>
  <si>
    <t>46.Blue 3</t>
  </si>
  <si>
    <t>46.Red 1</t>
  </si>
  <si>
    <t>46.Red 2</t>
  </si>
  <si>
    <t>46.Red 3</t>
  </si>
  <si>
    <t>47.Blue 1</t>
  </si>
  <si>
    <t>47.Blue 2</t>
  </si>
  <si>
    <t>47.Blue 3</t>
  </si>
  <si>
    <t>47.Red 1</t>
  </si>
  <si>
    <t>47.Red 2</t>
  </si>
  <si>
    <t>47.Red 3</t>
  </si>
  <si>
    <t>48.Blue 1</t>
  </si>
  <si>
    <t>48.Blue 2</t>
  </si>
  <si>
    <t>48.Blue 3</t>
  </si>
  <si>
    <t>48.Red 1</t>
  </si>
  <si>
    <t>48.Red 2</t>
  </si>
  <si>
    <t>48.Red 3</t>
  </si>
  <si>
    <t>49.Blue 1</t>
  </si>
  <si>
    <t>49.Blue 2</t>
  </si>
  <si>
    <t>49.Blue 3</t>
  </si>
  <si>
    <t>49.Red 1</t>
  </si>
  <si>
    <t>49.Red 2</t>
  </si>
  <si>
    <t>49.Red 3</t>
  </si>
  <si>
    <t>50.Blue 1</t>
  </si>
  <si>
    <t>50.Blue 2</t>
  </si>
  <si>
    <t>50.Blue 3</t>
  </si>
  <si>
    <t>50.Red 1</t>
  </si>
  <si>
    <t>50.Red 2</t>
  </si>
  <si>
    <t>50.Red 3</t>
  </si>
  <si>
    <t>51.Blue 1</t>
  </si>
  <si>
    <t>51.Blue 2</t>
  </si>
  <si>
    <t>51.Blue 3</t>
  </si>
  <si>
    <t>51.Red 1</t>
  </si>
  <si>
    <t>51.Red 2</t>
  </si>
  <si>
    <t>51.Red 3</t>
  </si>
  <si>
    <t>52.Blue 1</t>
  </si>
  <si>
    <t>52.Blue 2</t>
  </si>
  <si>
    <t>52.Blue 3</t>
  </si>
  <si>
    <t>52.Red 1</t>
  </si>
  <si>
    <t>52.Red 2</t>
  </si>
  <si>
    <t>52.Red 3</t>
  </si>
  <si>
    <t>53.Blue 1</t>
  </si>
  <si>
    <t>53.Blue 2</t>
  </si>
  <si>
    <t>53.Blue 3</t>
  </si>
  <si>
    <t>53.Red 1</t>
  </si>
  <si>
    <t>53.Red 2</t>
  </si>
  <si>
    <t>53.Red 3</t>
  </si>
  <si>
    <t>54.Blue 1</t>
  </si>
  <si>
    <t>54.Blue 2</t>
  </si>
  <si>
    <t>54.Blue 3</t>
  </si>
  <si>
    <t>54.Red 1</t>
  </si>
  <si>
    <t>54.Red 2</t>
  </si>
  <si>
    <t>54.Red 3</t>
  </si>
  <si>
    <t>55.Blue 1</t>
  </si>
  <si>
    <t>55.Blue 2</t>
  </si>
  <si>
    <t>55.Blue 3</t>
  </si>
  <si>
    <t>55.Red 1</t>
  </si>
  <si>
    <t>55.Red 2</t>
  </si>
  <si>
    <t>55.Red 3</t>
  </si>
  <si>
    <t>56.Blue 1</t>
  </si>
  <si>
    <t>56.Blue 2</t>
  </si>
  <si>
    <t>56.Blue 3</t>
  </si>
  <si>
    <t>56.Red 1</t>
  </si>
  <si>
    <t>56.Red 2</t>
  </si>
  <si>
    <t>56.Red 3</t>
  </si>
  <si>
    <t>57.Blue 1</t>
  </si>
  <si>
    <t>57.Blue 2</t>
  </si>
  <si>
    <t>57.Blue 3</t>
  </si>
  <si>
    <t>57.Red 1</t>
  </si>
  <si>
    <t>57.Red 2</t>
  </si>
  <si>
    <t>57.Red 3</t>
  </si>
  <si>
    <t>58.Blue 1</t>
  </si>
  <si>
    <t>58.Blue 2</t>
  </si>
  <si>
    <t>58.Blue 3</t>
  </si>
  <si>
    <t>58.Red 1</t>
  </si>
  <si>
    <t>58.Red 2</t>
  </si>
  <si>
    <t>58.Red 3</t>
  </si>
  <si>
    <t>59.Blue 1</t>
  </si>
  <si>
    <t>59.Blue 2</t>
  </si>
  <si>
    <t>59.Blue 3</t>
  </si>
  <si>
    <t>59.Red 1</t>
  </si>
  <si>
    <t>59.Red 2</t>
  </si>
  <si>
    <t>59.Red 3</t>
  </si>
  <si>
    <t>60.Blue 1</t>
  </si>
  <si>
    <t>60.Blue 2</t>
  </si>
  <si>
    <t>60.Blue 3</t>
  </si>
  <si>
    <t>60.Red 1</t>
  </si>
  <si>
    <t>60.Red 2</t>
  </si>
  <si>
    <t>60.Red 3</t>
  </si>
  <si>
    <t>61.Blue 1</t>
  </si>
  <si>
    <t>61.Blue 2</t>
  </si>
  <si>
    <t>61.Blue 3</t>
  </si>
  <si>
    <t>61.Red 1</t>
  </si>
  <si>
    <t>61.Red 2</t>
  </si>
  <si>
    <t>61.Red 3</t>
  </si>
  <si>
    <t>62.Blue 1</t>
  </si>
  <si>
    <t>62.Blue 2</t>
  </si>
  <si>
    <t>62.Blue 3</t>
  </si>
  <si>
    <t>62.Red 1</t>
  </si>
  <si>
    <t>62.Red 2</t>
  </si>
  <si>
    <t>62.Red 3</t>
  </si>
  <si>
    <t>63.Blue 1</t>
  </si>
  <si>
    <t>63.Blue 2</t>
  </si>
  <si>
    <t>63.Blue 3</t>
  </si>
  <si>
    <t>63.Red 1</t>
  </si>
  <si>
    <t>63.Red 2</t>
  </si>
  <si>
    <t>63.Red 3</t>
  </si>
  <si>
    <t>64.Blue 1</t>
  </si>
  <si>
    <t>64.Blue 2</t>
  </si>
  <si>
    <t>64.Blue 3</t>
  </si>
  <si>
    <t>64.Red 1</t>
  </si>
  <si>
    <t>64.Red 2</t>
  </si>
  <si>
    <t>64.Red 3</t>
  </si>
  <si>
    <t>65.Blue 1</t>
  </si>
  <si>
    <t>65.Blue 2</t>
  </si>
  <si>
    <t>65.Blue 3</t>
  </si>
  <si>
    <t>65.Red 1</t>
  </si>
  <si>
    <t>65.Red 2</t>
  </si>
  <si>
    <t>65.Red 3</t>
  </si>
  <si>
    <t>66.Blue 1</t>
  </si>
  <si>
    <t>66.Blue 2</t>
  </si>
  <si>
    <t>66.Blue 3</t>
  </si>
  <si>
    <t>66.Red 1</t>
  </si>
  <si>
    <t>66.Red 2</t>
  </si>
  <si>
    <t>66.Red 3</t>
  </si>
  <si>
    <t>67.Blue 1</t>
  </si>
  <si>
    <t>67.Blue 2</t>
  </si>
  <si>
    <t>67.Blue 3</t>
  </si>
  <si>
    <t>67.Red 1</t>
  </si>
  <si>
    <t>67.Red 2</t>
  </si>
  <si>
    <t>67.Red 3</t>
  </si>
  <si>
    <t>68.Blue 1</t>
  </si>
  <si>
    <t>68.Blue 2</t>
  </si>
  <si>
    <t>68.Blue 3</t>
  </si>
  <si>
    <t>68.Red 1</t>
  </si>
  <si>
    <t>68.Red 2</t>
  </si>
  <si>
    <t>68.Red 3</t>
  </si>
  <si>
    <t>69.Blue 1</t>
  </si>
  <si>
    <t>69.Blue 2</t>
  </si>
  <si>
    <t>69.Blue 3</t>
  </si>
  <si>
    <t>69.Red 1</t>
  </si>
  <si>
    <t>69.Red 2</t>
  </si>
  <si>
    <t>69.Red 3</t>
  </si>
  <si>
    <t>70.Blue 1</t>
  </si>
  <si>
    <t>70.Blue 2</t>
  </si>
  <si>
    <t>70.Blue 3</t>
  </si>
  <si>
    <t>70.Red 1</t>
  </si>
  <si>
    <t>70.Red 2</t>
  </si>
  <si>
    <t>70.Red 3</t>
  </si>
  <si>
    <t>71.Blue 1</t>
  </si>
  <si>
    <t>71.Blue 2</t>
  </si>
  <si>
    <t>71.Blue 3</t>
  </si>
  <si>
    <t>71.Red 1</t>
  </si>
  <si>
    <t>71.Red 2</t>
  </si>
  <si>
    <t>71.Red 3</t>
  </si>
  <si>
    <t>72.Blue 1</t>
  </si>
  <si>
    <t>72.Blue 2</t>
  </si>
  <si>
    <t>72.Blue 3</t>
  </si>
  <si>
    <t>72.Red 1</t>
  </si>
  <si>
    <t>72.Red 2</t>
  </si>
  <si>
    <t>72.Red 3</t>
  </si>
  <si>
    <t>73.Blue 1</t>
  </si>
  <si>
    <t>73.Blue 2</t>
  </si>
  <si>
    <t>73.Blue 3</t>
  </si>
  <si>
    <t>73.Red 1</t>
  </si>
  <si>
    <t>73.Red 2</t>
  </si>
  <si>
    <t>73.Red 3</t>
  </si>
  <si>
    <t>74.Blue 1</t>
  </si>
  <si>
    <t>74.Blue 2</t>
  </si>
  <si>
    <t>74.Blue 3</t>
  </si>
  <si>
    <t>74.Red 1</t>
  </si>
  <si>
    <t>74.Red 2</t>
  </si>
  <si>
    <t>74.Red 3</t>
  </si>
  <si>
    <t>75.Blue 1</t>
  </si>
  <si>
    <t>75.Blue 2</t>
  </si>
  <si>
    <t>75.Blue 3</t>
  </si>
  <si>
    <t>75.Red 1</t>
  </si>
  <si>
    <t>75.Red 2</t>
  </si>
  <si>
    <t>75.Red 3</t>
  </si>
  <si>
    <t>76.Blue 1</t>
  </si>
  <si>
    <t>76.Blue 2</t>
  </si>
  <si>
    <t>76.Blue 3</t>
  </si>
  <si>
    <t>76.Red 1</t>
  </si>
  <si>
    <t>76.Red 2</t>
  </si>
  <si>
    <t>76.Red 3</t>
  </si>
  <si>
    <t>77.Blue 1</t>
  </si>
  <si>
    <t>77.Blue 2</t>
  </si>
  <si>
    <t>77.Blue 3</t>
  </si>
  <si>
    <t>77.Red 1</t>
  </si>
  <si>
    <t>77.Red 2</t>
  </si>
  <si>
    <t>77.Red 3</t>
  </si>
  <si>
    <t>78.Blue 1</t>
  </si>
  <si>
    <t>78.Blue 2</t>
  </si>
  <si>
    <t>78.Blue 3</t>
  </si>
  <si>
    <t>78.Red 1</t>
  </si>
  <si>
    <t>78.Red 2</t>
  </si>
  <si>
    <t>78.Red 3</t>
  </si>
  <si>
    <t>79.Blue 1</t>
  </si>
  <si>
    <t>79.Blue 2</t>
  </si>
  <si>
    <t>79.Blue 3</t>
  </si>
  <si>
    <t>79.Red 1</t>
  </si>
  <si>
    <t>79.Red 2</t>
  </si>
  <si>
    <t>79.Red 3</t>
  </si>
  <si>
    <t>80.Blue 1</t>
  </si>
  <si>
    <t>80.Blue 2</t>
  </si>
  <si>
    <t>80.Blue 3</t>
  </si>
  <si>
    <t>80.Red 1</t>
  </si>
  <si>
    <t>80.Red 2</t>
  </si>
  <si>
    <t>80.Red 3</t>
  </si>
  <si>
    <t>81.Blue 1</t>
  </si>
  <si>
    <t>81.Blue 2</t>
  </si>
  <si>
    <t>81.Blue 3</t>
  </si>
  <si>
    <t>81.Red 1</t>
  </si>
  <si>
    <t>81.Red 2</t>
  </si>
  <si>
    <t>81.Red 3</t>
  </si>
  <si>
    <t>82.Blue 1</t>
  </si>
  <si>
    <t>82.Blue 2</t>
  </si>
  <si>
    <t>82.Blue 3</t>
  </si>
  <si>
    <t>82.Red 1</t>
  </si>
  <si>
    <t>82.Red 2</t>
  </si>
  <si>
    <t>82.Red 3</t>
  </si>
  <si>
    <t>83.Blue 1</t>
  </si>
  <si>
    <t>83.Blue 2</t>
  </si>
  <si>
    <t>83.Blue 3</t>
  </si>
  <si>
    <t>83.Red 1</t>
  </si>
  <si>
    <t>83.Red 2</t>
  </si>
  <si>
    <t>83.Red 3</t>
  </si>
  <si>
    <t>TBA Key</t>
  </si>
  <si>
    <t>2026nyro</t>
  </si>
  <si>
    <t>FIRST Key</t>
  </si>
  <si>
    <t>nyro</t>
  </si>
  <si>
    <t>Name</t>
  </si>
  <si>
    <t>Finger Lakes Regional</t>
  </si>
  <si>
    <t>Location</t>
  </si>
  <si>
    <t>Gordon Field House - Rochester Institute of Technology</t>
  </si>
  <si>
    <t>Start Date</t>
  </si>
  <si>
    <t>2026-03-11</t>
  </si>
  <si>
    <t>Team Number</t>
  </si>
  <si>
    <t>Nickname</t>
  </si>
  <si>
    <t>School</t>
  </si>
  <si>
    <t>Rookie Year</t>
  </si>
  <si>
    <t>The Rocketeers</t>
  </si>
  <si>
    <t>Shenendehowa High School</t>
  </si>
  <si>
    <t>frc20</t>
  </si>
  <si>
    <t>Team E.L.I.T.E.</t>
  </si>
  <si>
    <t>Warren G Harding High School</t>
  </si>
  <si>
    <t>frc48</t>
  </si>
  <si>
    <t>Operation Orange</t>
  </si>
  <si>
    <t>Butler Tech Career Center</t>
  </si>
  <si>
    <t>frc144</t>
  </si>
  <si>
    <t>X-CATS</t>
  </si>
  <si>
    <t>Wilson Magnet High School</t>
  </si>
  <si>
    <t>frc191</t>
  </si>
  <si>
    <t>Mechanical Marauders</t>
  </si>
  <si>
    <t>Bay Shore High School</t>
  </si>
  <si>
    <t>frc271</t>
  </si>
  <si>
    <t>Respawn Robotics</t>
  </si>
  <si>
    <t>Butler Tech</t>
  </si>
  <si>
    <t>frc325</t>
  </si>
  <si>
    <t>G.R.R. (Greater Rochester Robotics)</t>
  </si>
  <si>
    <t>Churchville Chili High School</t>
  </si>
  <si>
    <t>frc340</t>
  </si>
  <si>
    <t>POBots</t>
  </si>
  <si>
    <t>John F Kennedy High School</t>
  </si>
  <si>
    <t>frc353</t>
  </si>
  <si>
    <t>The Circuit Stompers</t>
  </si>
  <si>
    <t>4-H</t>
  </si>
  <si>
    <t>frc378</t>
  </si>
  <si>
    <t>Rust Belt Robotics</t>
  </si>
  <si>
    <t>Churchville-Chili High School &amp; Bausch &amp; Lomb Incorporated</t>
  </si>
  <si>
    <t>frc424</t>
  </si>
  <si>
    <t>The Final Countdown</t>
  </si>
  <si>
    <t>Butler Tech AM-Hub</t>
  </si>
  <si>
    <t>frc432</t>
  </si>
  <si>
    <t>Longwood RoboLions</t>
  </si>
  <si>
    <t>Longwood High School</t>
  </si>
  <si>
    <t>frc564</t>
  </si>
  <si>
    <t>Fairport Robotics</t>
  </si>
  <si>
    <t>Fairport High School</t>
  </si>
  <si>
    <t>frc578</t>
  </si>
  <si>
    <t>Code Red Robotics</t>
  </si>
  <si>
    <t>Ithaca High School</t>
  </si>
  <si>
    <t>frc639</t>
  </si>
  <si>
    <t>StuyPulse</t>
  </si>
  <si>
    <t>Stuyvesant High School</t>
  </si>
  <si>
    <t>frc694</t>
  </si>
  <si>
    <t>The Mechanical Bulls</t>
  </si>
  <si>
    <t>Smithtown High School-East &amp; Smithtown High School-West</t>
  </si>
  <si>
    <t>frc810</t>
  </si>
  <si>
    <t>Hot Rocks</t>
  </si>
  <si>
    <t>Waiakea High School</t>
  </si>
  <si>
    <t>frc1056</t>
  </si>
  <si>
    <t>SPARX</t>
  </si>
  <si>
    <t>Schroeder High School &amp; Webster Thomas High School</t>
  </si>
  <si>
    <t>frc1126</t>
  </si>
  <si>
    <t>Finney Falcons</t>
  </si>
  <si>
    <t>The Charles Finney School</t>
  </si>
  <si>
    <t>frc1405</t>
  </si>
  <si>
    <t>XQ Robotix Team 1450</t>
  </si>
  <si>
    <t>Franklin Upper School</t>
  </si>
  <si>
    <t>frc1450</t>
  </si>
  <si>
    <t>Hicksville J-Birds</t>
  </si>
  <si>
    <t>Hicksville High School</t>
  </si>
  <si>
    <t>frc1468</t>
  </si>
  <si>
    <t>Warlocks</t>
  </si>
  <si>
    <t>Lockport High School</t>
  </si>
  <si>
    <t>frc1507</t>
  </si>
  <si>
    <t>Rolling Thunder</t>
  </si>
  <si>
    <t>Penfield High School</t>
  </si>
  <si>
    <t>frc1511</t>
  </si>
  <si>
    <t>Raider Robotics</t>
  </si>
  <si>
    <t>Palmyra-Macedon High School</t>
  </si>
  <si>
    <t>frc1518</t>
  </si>
  <si>
    <t>Devil Tech</t>
  </si>
  <si>
    <t>Victor High School</t>
  </si>
  <si>
    <t>frc1559</t>
  </si>
  <si>
    <t>Scitobor Robotics</t>
  </si>
  <si>
    <t>Red Jacket High School</t>
  </si>
  <si>
    <t>frc1585</t>
  </si>
  <si>
    <t>Greece Gladiators</t>
  </si>
  <si>
    <t>Odyssey Academy &amp; Athena High School &amp; Olympia High School &amp; Arcadia High School</t>
  </si>
  <si>
    <t>frc1591</t>
  </si>
  <si>
    <t>Lindblom Electric Eagles</t>
  </si>
  <si>
    <t>Lindblom Math Science Academy</t>
  </si>
  <si>
    <t>frc1781</t>
  </si>
  <si>
    <t>The Flying Circuits</t>
  </si>
  <si>
    <t>Orange High School</t>
  </si>
  <si>
    <t>frc1787</t>
  </si>
  <si>
    <t>CougarTech</t>
  </si>
  <si>
    <t>Honeoye Falls Lima High School &amp; Rush Henrietta Senior High Sch</t>
  </si>
  <si>
    <t>frc2228</t>
  </si>
  <si>
    <t>Mercy Robotics-Xcentrics</t>
  </si>
  <si>
    <t>Our Lady of Mercy School</t>
  </si>
  <si>
    <t>frc2340</t>
  </si>
  <si>
    <t>TAN(X)</t>
  </si>
  <si>
    <t>Canandaigua Academy</t>
  </si>
  <si>
    <t>frc3003</t>
  </si>
  <si>
    <t>Ranger Robotics</t>
  </si>
  <si>
    <t>Spencerport High School</t>
  </si>
  <si>
    <t>frc3015</t>
  </si>
  <si>
    <t>Team 0xBE4</t>
  </si>
  <si>
    <t>Ballston Spa High School</t>
  </si>
  <si>
    <t>frc3044</t>
  </si>
  <si>
    <t>IgKnighters</t>
  </si>
  <si>
    <t>McQuaid Jesuit High School</t>
  </si>
  <si>
    <t>frc3173</t>
  </si>
  <si>
    <t>Pittsford Panthers</t>
  </si>
  <si>
    <t>Pittsford Sutherland High Sch &amp; Pittsford Mendon High School</t>
  </si>
  <si>
    <t>frc3181</t>
  </si>
  <si>
    <t>Electric Fire</t>
  </si>
  <si>
    <t>Notre Dame High School</t>
  </si>
  <si>
    <t>frc3799</t>
  </si>
  <si>
    <t>Roc City Robotix</t>
  </si>
  <si>
    <t>Edison Career and Technology High School</t>
  </si>
  <si>
    <t>frc3838</t>
  </si>
  <si>
    <t>SUITS</t>
  </si>
  <si>
    <t>frc3951</t>
  </si>
  <si>
    <t>Hardwired</t>
  </si>
  <si>
    <t>frc4093</t>
  </si>
  <si>
    <t>Raid Zero</t>
  </si>
  <si>
    <t>Taipei American School</t>
  </si>
  <si>
    <t>frc4253</t>
  </si>
  <si>
    <t>Infernobotix</t>
  </si>
  <si>
    <t>Center Moriches High School</t>
  </si>
  <si>
    <t>frc4458</t>
  </si>
  <si>
    <t>Electric Mayhem</t>
  </si>
  <si>
    <t>Nichols School</t>
  </si>
  <si>
    <t>frc4930</t>
  </si>
  <si>
    <t>Ultime</t>
  </si>
  <si>
    <t>Institut Secondaire Keranna</t>
  </si>
  <si>
    <t>frc5528</t>
  </si>
  <si>
    <t>Alumiboti</t>
  </si>
  <si>
    <t>St Joseph Collegiate Institute</t>
  </si>
  <si>
    <t>frc5590</t>
  </si>
  <si>
    <t>Ward Melville Iron Patriots</t>
  </si>
  <si>
    <t>Ward Melville Sr High School</t>
  </si>
  <si>
    <t>frc6423</t>
  </si>
  <si>
    <t>Cadet Robotics</t>
  </si>
  <si>
    <t>Hilton High School</t>
  </si>
  <si>
    <t>frc6868</t>
  </si>
  <si>
    <t>Savage Tumaz</t>
  </si>
  <si>
    <t>Taipei Fuhsing Private School</t>
  </si>
  <si>
    <t>frc6947</t>
  </si>
  <si>
    <t>The ROBOlympians</t>
  </si>
  <si>
    <t>Lake Placid Middle High School</t>
  </si>
  <si>
    <t>frc7030</t>
  </si>
  <si>
    <t>Tigers</t>
  </si>
  <si>
    <t>Rochester Prep High School</t>
  </si>
  <si>
    <t>frc7903</t>
  </si>
  <si>
    <t>Raid One</t>
  </si>
  <si>
    <t>frc8503</t>
  </si>
  <si>
    <t>Syosset SuperSonics</t>
  </si>
  <si>
    <t>Syosset High School</t>
  </si>
  <si>
    <t>frc9016</t>
  </si>
  <si>
    <t>Magnificat MagnifiBots</t>
  </si>
  <si>
    <t>Magnificat High School</t>
  </si>
  <si>
    <t>frc9767</t>
  </si>
  <si>
    <t>Crimson Jewels</t>
  </si>
  <si>
    <t>James Monroe Upper School</t>
  </si>
  <si>
    <t>frc10223</t>
  </si>
  <si>
    <t>Amped</t>
  </si>
  <si>
    <t>Family/Community</t>
  </si>
  <si>
    <t>frc10922</t>
  </si>
  <si>
    <t>Auto</t>
  </si>
  <si>
    <t>Teleop</t>
  </si>
  <si>
    <t>Endgame</t>
  </si>
  <si>
    <t>Post Match</t>
  </si>
  <si>
    <t>Matches Scouted</t>
  </si>
  <si>
    <t>Climbed</t>
  </si>
  <si>
    <t>Level 1</t>
  </si>
  <si>
    <t>Moved</t>
  </si>
  <si>
    <t>A-Stop</t>
  </si>
  <si>
    <t>Fuel Scored</t>
  </si>
  <si>
    <t>Shoot Speed</t>
  </si>
  <si>
    <t>Accuracy</t>
  </si>
  <si>
    <t>Fuel Collected</t>
  </si>
  <si>
    <t>Collect Inactive</t>
  </si>
  <si>
    <t>Did Pass</t>
  </si>
  <si>
    <t>Collect Alliance Zone</t>
  </si>
  <si>
    <t>Collect Neutral Zone</t>
  </si>
  <si>
    <t>Climb Success</t>
  </si>
  <si>
    <t>Defense Whole Game</t>
  </si>
  <si>
    <t>Shoot to End</t>
  </si>
  <si>
    <t>Performance</t>
  </si>
  <si>
    <t>Match Results</t>
  </si>
  <si>
    <t>Total Points</t>
  </si>
  <si>
    <t>Energized Ranking</t>
  </si>
  <si>
    <t>Supercharged Ranking</t>
  </si>
  <si>
    <t>Traversal Ranking</t>
  </si>
  <si>
    <t>Total Ranking Points</t>
  </si>
  <si>
    <t>Overall</t>
  </si>
  <si>
    <t>Complete</t>
  </si>
  <si>
    <t>Scouter Name</t>
  </si>
  <si>
    <t>Match Count</t>
  </si>
  <si>
    <t>Auto Total</t>
  </si>
  <si>
    <t>Auto Average</t>
  </si>
  <si>
    <t>Teleop Total</t>
  </si>
  <si>
    <t>Teleop Average</t>
  </si>
  <si>
    <t>Endgame Total</t>
  </si>
  <si>
    <t>Endgame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</si>
</sst>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#,##0;[Red]\-#,##0;&quot;-&quot;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1"/>
      <name val="Calibri (Body)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theme="1" tint="0.34998626667073579"/>
        <bgColor rgb="FFD68910"/>
      </patternFill>
    </fill>
    <fill>
      <patternFill patternType="solid">
        <fgColor rgb="FF00B050"/>
        <bgColor rgb="FF595959"/>
      </patternFill>
    </fill>
    <fill>
      <patternFill patternType="solid">
        <fgColor rgb="FF00B050"/>
        <bgColor indexed="64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C8D6A1"/>
        <bgColor rgb="FFC8D6A1"/>
      </patternFill>
    </fill>
    <fill>
      <patternFill patternType="solid">
        <fgColor rgb="FFFFFF54"/>
        <bgColor rgb="FFFFFF54"/>
      </patternFill>
    </fill>
    <fill>
      <patternFill patternType="solid">
        <fgColor rgb="FFF5C242"/>
        <bgColor rgb="FFF5C242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left" textRotation="90"/>
    </xf>
    <xf numFmtId="0" fontId="4" fillId="0" borderId="0" xfId="0" applyFont="1"/>
    <xf numFmtId="164" fontId="0" fillId="0" borderId="0" xfId="0" applyNumberFormat="1"/>
    <xf numFmtId="0" fontId="6" fillId="0" borderId="0" xfId="0" applyFont="1"/>
    <xf numFmtId="0" fontId="5" fillId="3" borderId="0" xfId="0" applyFont="1" applyFill="1" applyAlignment="1">
      <alignment horizontal="center" textRotation="90"/>
    </xf>
    <xf numFmtId="0" fontId="3" fillId="3" borderId="5" xfId="0" applyFont="1" applyFill="1" applyBorder="1" applyAlignment="1">
      <alignment horizontal="center" textRotation="90"/>
    </xf>
    <xf numFmtId="0" fontId="1" fillId="3" borderId="5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horizontal="center" textRotation="90"/>
    </xf>
    <xf numFmtId="0" fontId="1" fillId="3" borderId="0" xfId="0" applyFont="1" applyFill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8" borderId="1" xfId="0" applyFont="1" applyFill="1" applyBorder="1" applyAlignment="1">
      <alignment horizontal="center" textRotation="90"/>
    </xf>
    <xf numFmtId="0" fontId="8" fillId="0" borderId="0" xfId="0" applyFont="1"/>
    <xf numFmtId="0" fontId="9" fillId="0" borderId="0" xfId="0" applyFont="1"/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165" fontId="9" fillId="0" borderId="0" xfId="0" applyNumberFormat="1" applyFont="1"/>
    <xf numFmtId="0" fontId="10" fillId="10" borderId="0" xfId="0" applyFont="1" applyFill="1"/>
    <xf numFmtId="165" fontId="0" fillId="0" borderId="0" xfId="0" applyNumberFormat="1"/>
    <xf numFmtId="166" fontId="0" fillId="0" borderId="0" xfId="0" applyNumberFormat="1"/>
    <xf numFmtId="0" fontId="1" fillId="4" borderId="2" xfId="0" applyFont="1" applyFill="1" applyBorder="1" applyAlignment="1">
      <alignment horizontal="center"/>
    </xf>
    <xf numFmtId="0" fontId="0" fillId="0" borderId="3" xfId="0" applyBorder="1"/>
    <xf numFmtId="0" fontId="1" fillId="5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 vertical="center"/>
    </xf>
    <xf numFmtId="0" fontId="0" fillId="0" borderId="4" xfId="0" applyBorder="1"/>
    <xf numFmtId="0" fontId="1" fillId="6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8">
    <dxf>
      <fill>
        <patternFill patternType="solid">
          <fgColor rgb="FFF5C242"/>
          <bgColor rgb="FFF5C242"/>
        </patternFill>
      </fill>
    </dxf>
    <dxf>
      <fill>
        <patternFill patternType="solid">
          <fgColor rgb="FFF5C242"/>
          <bgColor rgb="FFF5C242"/>
        </patternFill>
      </fill>
    </dxf>
    <dxf>
      <fill>
        <patternFill patternType="solid">
          <fgColor rgb="FFF5C242"/>
          <bgColor rgb="FFF5C242"/>
        </patternFill>
      </fill>
    </dxf>
    <dxf>
      <fill>
        <patternFill patternType="solid">
          <fgColor rgb="FFF5C242"/>
          <bgColor rgb="FFF5C242"/>
        </patternFill>
      </fill>
    </dxf>
    <dxf>
      <fill>
        <patternFill patternType="solid">
          <fgColor rgb="FFF5C242"/>
          <bgColor rgb="FFF5C242"/>
        </patternFill>
      </fill>
    </dxf>
    <dxf>
      <fill>
        <patternFill patternType="solid">
          <fgColor rgb="FFC8D6A1"/>
          <bgColor rgb="FFC8D6A1"/>
        </patternFill>
      </fill>
    </dxf>
    <dxf>
      <fill>
        <patternFill patternType="solid">
          <fgColor rgb="FFFFFF54"/>
          <bgColor rgb="FFFFFF54"/>
        </patternFill>
      </fill>
    </dxf>
    <dxf>
      <fill>
        <patternFill patternType="solid">
          <fgColor rgb="FFF5C242"/>
          <bgColor rgb="FFF5C2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tabSelected="1" zoomScale="150" zoomScaleNormal="150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sheetData>
    <row r="1" spans="1:29" ht="125" customHeight="1" x14ac:dyDescent="0.2">
      <c r="A1" s="9" t="s">
        <v>95</v>
      </c>
      <c r="B1" s="9" t="s">
        <v>96</v>
      </c>
      <c r="C1" s="9" t="s">
        <v>0</v>
      </c>
      <c r="D1" s="9" t="s">
        <v>97</v>
      </c>
      <c r="E1" s="9" t="s">
        <v>98</v>
      </c>
      <c r="F1" s="9" t="s">
        <v>99</v>
      </c>
      <c r="G1" s="9" t="s">
        <v>100</v>
      </c>
      <c r="H1" s="9" t="s">
        <v>101</v>
      </c>
      <c r="I1" s="9" t="s">
        <v>102</v>
      </c>
      <c r="J1" s="9" t="s">
        <v>103</v>
      </c>
      <c r="K1" s="9" t="s">
        <v>104</v>
      </c>
      <c r="L1" s="9" t="s">
        <v>105</v>
      </c>
      <c r="M1" s="9" t="s">
        <v>106</v>
      </c>
      <c r="N1" s="9" t="s">
        <v>107</v>
      </c>
      <c r="O1" s="9" t="s">
        <v>108</v>
      </c>
      <c r="P1" s="9" t="s">
        <v>109</v>
      </c>
      <c r="Q1" s="9" t="s">
        <v>110</v>
      </c>
      <c r="R1" s="9" t="s">
        <v>111</v>
      </c>
      <c r="S1" s="9" t="s">
        <v>112</v>
      </c>
      <c r="T1" s="9" t="s">
        <v>113</v>
      </c>
      <c r="U1" s="9" t="s">
        <v>114</v>
      </c>
      <c r="V1" s="9" t="s">
        <v>115</v>
      </c>
      <c r="W1" s="9" t="s">
        <v>116</v>
      </c>
      <c r="X1" s="9" t="s">
        <v>117</v>
      </c>
      <c r="Y1" s="9" t="s">
        <v>118</v>
      </c>
      <c r="Z1" s="9" t="s">
        <v>119</v>
      </c>
      <c r="AA1" s="9" t="s">
        <v>120</v>
      </c>
      <c r="AB1" s="9" t="s">
        <v>121</v>
      </c>
      <c r="AC1" s="9" t="s">
        <v>122</v>
      </c>
    </row>
    <row r="2" spans="1:29" ht="16" customHeight="1" x14ac:dyDescent="0.2">
      <c r="A2" s="1" t="s">
        <v>123</v>
      </c>
      <c r="B2" s="2" t="s">
        <v>124</v>
      </c>
      <c r="C2" s="2">
        <v>1</v>
      </c>
      <c r="D2" s="2" t="s">
        <v>125</v>
      </c>
      <c r="E2" s="2">
        <v>5528</v>
      </c>
      <c r="F2" s="2">
        <v>0</v>
      </c>
      <c r="G2" s="2">
        <v>0</v>
      </c>
      <c r="H2" s="2">
        <v>1</v>
      </c>
      <c r="I2" s="2">
        <v>1</v>
      </c>
      <c r="J2" s="2">
        <v>2</v>
      </c>
      <c r="K2" s="2">
        <v>3</v>
      </c>
      <c r="L2" s="2">
        <v>1</v>
      </c>
      <c r="M2" s="2">
        <v>3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>
        <v>3</v>
      </c>
      <c r="T2">
        <v>0</v>
      </c>
      <c r="U2">
        <v>0</v>
      </c>
      <c r="V2">
        <v>0</v>
      </c>
      <c r="W2">
        <v>2</v>
      </c>
      <c r="X2">
        <v>1</v>
      </c>
      <c r="Y2">
        <v>0</v>
      </c>
      <c r="Z2">
        <v>1</v>
      </c>
      <c r="AA2">
        <v>1</v>
      </c>
      <c r="AB2">
        <v>262</v>
      </c>
      <c r="AC2" t="s">
        <v>126</v>
      </c>
    </row>
    <row r="3" spans="1:29" ht="16" customHeight="1" x14ac:dyDescent="0.2">
      <c r="A3" s="1" t="s">
        <v>127</v>
      </c>
      <c r="B3" s="2" t="s">
        <v>128</v>
      </c>
      <c r="C3" s="2">
        <v>1</v>
      </c>
      <c r="D3" s="2" t="s">
        <v>129</v>
      </c>
      <c r="E3" s="2">
        <v>1405</v>
      </c>
      <c r="F3" s="2">
        <v>1</v>
      </c>
      <c r="G3" s="2">
        <v>1</v>
      </c>
      <c r="H3" s="2">
        <v>1</v>
      </c>
      <c r="I3" s="2">
        <v>1</v>
      </c>
      <c r="J3" s="2">
        <v>2</v>
      </c>
      <c r="K3" s="2">
        <v>1</v>
      </c>
      <c r="L3" s="2">
        <v>2</v>
      </c>
      <c r="M3" s="2">
        <v>2</v>
      </c>
      <c r="N3" s="2">
        <v>1</v>
      </c>
      <c r="O3" s="2">
        <v>1</v>
      </c>
      <c r="P3" s="2">
        <v>0</v>
      </c>
      <c r="Q3" s="2">
        <v>0</v>
      </c>
      <c r="R3" s="2">
        <v>1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43</v>
      </c>
      <c r="AC3" t="s">
        <v>126</v>
      </c>
    </row>
    <row r="4" spans="1:29" ht="16" customHeight="1" x14ac:dyDescent="0.2">
      <c r="A4" s="1" t="s">
        <v>130</v>
      </c>
      <c r="B4" s="2" t="s">
        <v>131</v>
      </c>
      <c r="C4" s="2">
        <v>1</v>
      </c>
      <c r="D4" s="2" t="s">
        <v>132</v>
      </c>
      <c r="E4" s="2">
        <v>7030</v>
      </c>
      <c r="F4" s="2">
        <v>1</v>
      </c>
      <c r="G4" s="2">
        <v>1</v>
      </c>
      <c r="H4" s="2">
        <v>0</v>
      </c>
      <c r="I4" s="2">
        <v>1</v>
      </c>
      <c r="J4" s="2">
        <v>2</v>
      </c>
      <c r="K4" s="2">
        <v>1</v>
      </c>
      <c r="L4" s="2">
        <v>1</v>
      </c>
      <c r="M4" s="2">
        <v>5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>
        <v>0</v>
      </c>
      <c r="T4">
        <v>0</v>
      </c>
      <c r="U4">
        <v>0</v>
      </c>
      <c r="V4">
        <v>0</v>
      </c>
      <c r="W4">
        <v>3</v>
      </c>
      <c r="X4">
        <v>-1</v>
      </c>
      <c r="Y4">
        <v>1</v>
      </c>
      <c r="Z4">
        <v>1</v>
      </c>
      <c r="AA4">
        <v>1</v>
      </c>
      <c r="AB4">
        <v>24</v>
      </c>
      <c r="AC4" t="s">
        <v>126</v>
      </c>
    </row>
    <row r="5" spans="1:29" ht="16" customHeight="1" x14ac:dyDescent="0.2">
      <c r="A5" s="1" t="s">
        <v>133</v>
      </c>
      <c r="B5" s="2" t="s">
        <v>134</v>
      </c>
      <c r="C5" s="2">
        <v>1</v>
      </c>
      <c r="D5" s="2" t="s">
        <v>135</v>
      </c>
      <c r="E5" s="2">
        <v>810</v>
      </c>
      <c r="F5" s="2">
        <v>0</v>
      </c>
      <c r="G5" s="2">
        <v>1</v>
      </c>
      <c r="H5" s="2">
        <v>1</v>
      </c>
      <c r="I5" s="2">
        <v>1</v>
      </c>
      <c r="J5" s="2">
        <v>4</v>
      </c>
      <c r="K5" s="2">
        <v>1</v>
      </c>
      <c r="L5" s="2">
        <v>3</v>
      </c>
      <c r="M5" s="2">
        <v>5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>
        <v>2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198</v>
      </c>
      <c r="AC5" t="s">
        <v>126</v>
      </c>
    </row>
    <row r="6" spans="1:29" ht="16" customHeight="1" x14ac:dyDescent="0.2">
      <c r="A6" s="1" t="s">
        <v>136</v>
      </c>
      <c r="B6" s="2" t="s">
        <v>137</v>
      </c>
      <c r="C6" s="2">
        <v>1</v>
      </c>
      <c r="D6" s="2" t="s">
        <v>138</v>
      </c>
      <c r="E6" s="2">
        <v>564</v>
      </c>
      <c r="F6" s="2">
        <v>0</v>
      </c>
      <c r="G6" s="2">
        <v>0</v>
      </c>
      <c r="H6" s="2">
        <v>0</v>
      </c>
      <c r="I6" s="2">
        <v>0</v>
      </c>
      <c r="J6" s="2">
        <v>5</v>
      </c>
      <c r="K6" s="2">
        <v>1</v>
      </c>
      <c r="L6" s="2">
        <v>3</v>
      </c>
      <c r="M6" s="2">
        <v>1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>
        <v>2</v>
      </c>
      <c r="T6">
        <v>0</v>
      </c>
      <c r="U6">
        <v>1</v>
      </c>
      <c r="V6">
        <v>0</v>
      </c>
      <c r="W6">
        <v>1</v>
      </c>
      <c r="X6">
        <v>-1</v>
      </c>
      <c r="Y6">
        <v>1</v>
      </c>
      <c r="Z6">
        <v>1</v>
      </c>
      <c r="AA6">
        <v>1</v>
      </c>
      <c r="AB6">
        <v>173</v>
      </c>
      <c r="AC6" t="s">
        <v>126</v>
      </c>
    </row>
    <row r="7" spans="1:29" ht="16" customHeight="1" x14ac:dyDescent="0.2">
      <c r="A7" s="1" t="s">
        <v>139</v>
      </c>
      <c r="B7" s="2" t="s">
        <v>128</v>
      </c>
      <c r="C7" s="2">
        <v>1</v>
      </c>
      <c r="D7" s="2" t="s">
        <v>140</v>
      </c>
      <c r="E7" s="2">
        <v>10922</v>
      </c>
      <c r="F7" s="2">
        <v>1</v>
      </c>
      <c r="G7" s="2">
        <v>1</v>
      </c>
      <c r="H7" s="2">
        <v>1</v>
      </c>
      <c r="I7" s="2">
        <v>0</v>
      </c>
      <c r="J7" s="2">
        <v>5</v>
      </c>
      <c r="K7" s="2">
        <v>2</v>
      </c>
      <c r="L7" s="2">
        <v>2</v>
      </c>
      <c r="M7" s="2">
        <v>3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>
        <v>2</v>
      </c>
      <c r="T7">
        <v>1</v>
      </c>
      <c r="U7">
        <v>1</v>
      </c>
      <c r="V7">
        <v>0</v>
      </c>
      <c r="W7">
        <v>1</v>
      </c>
      <c r="X7">
        <v>-1</v>
      </c>
      <c r="Y7">
        <v>0</v>
      </c>
      <c r="Z7">
        <v>0</v>
      </c>
      <c r="AA7">
        <v>0</v>
      </c>
      <c r="AB7">
        <v>2</v>
      </c>
      <c r="AC7" t="s">
        <v>126</v>
      </c>
    </row>
    <row r="8" spans="1:29" ht="16" customHeight="1" x14ac:dyDescent="0.2">
      <c r="A8" s="1" t="s">
        <v>141</v>
      </c>
      <c r="B8" s="2" t="s">
        <v>131</v>
      </c>
      <c r="C8" s="2">
        <v>2</v>
      </c>
      <c r="D8" s="2" t="s">
        <v>125</v>
      </c>
      <c r="E8" s="2">
        <v>1591</v>
      </c>
      <c r="F8" s="2">
        <v>1</v>
      </c>
      <c r="G8" s="2">
        <v>0</v>
      </c>
      <c r="H8" s="2">
        <v>0</v>
      </c>
      <c r="I8" s="2">
        <v>0</v>
      </c>
      <c r="J8" s="2">
        <v>4</v>
      </c>
      <c r="K8" s="2">
        <v>3</v>
      </c>
      <c r="L8" s="2">
        <v>3</v>
      </c>
      <c r="M8" s="2">
        <v>2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>
        <v>1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0</v>
      </c>
      <c r="AB8">
        <v>149</v>
      </c>
      <c r="AC8" t="s">
        <v>126</v>
      </c>
    </row>
    <row r="9" spans="1:29" ht="16" customHeight="1" x14ac:dyDescent="0.2">
      <c r="A9" s="1" t="s">
        <v>142</v>
      </c>
      <c r="B9" s="2" t="s">
        <v>143</v>
      </c>
      <c r="C9" s="2">
        <v>2</v>
      </c>
      <c r="D9" s="2" t="s">
        <v>129</v>
      </c>
      <c r="E9" s="2">
        <v>432</v>
      </c>
      <c r="F9" s="2">
        <v>0</v>
      </c>
      <c r="G9" s="2">
        <v>0</v>
      </c>
      <c r="H9" s="2">
        <v>1</v>
      </c>
      <c r="I9" s="2">
        <v>0</v>
      </c>
      <c r="J9" s="2">
        <v>4</v>
      </c>
      <c r="K9" s="2">
        <v>3</v>
      </c>
      <c r="L9" s="2">
        <v>3</v>
      </c>
      <c r="M9" s="2">
        <v>2</v>
      </c>
      <c r="N9" s="2">
        <v>1</v>
      </c>
      <c r="O9" s="2">
        <v>0</v>
      </c>
      <c r="P9" s="2">
        <v>1</v>
      </c>
      <c r="Q9" s="2">
        <v>1</v>
      </c>
      <c r="R9" s="2">
        <v>1</v>
      </c>
      <c r="S9">
        <v>1</v>
      </c>
      <c r="T9">
        <v>0</v>
      </c>
      <c r="U9">
        <v>0</v>
      </c>
      <c r="V9">
        <v>1</v>
      </c>
      <c r="W9">
        <v>4</v>
      </c>
      <c r="X9">
        <v>0</v>
      </c>
      <c r="Y9">
        <v>1</v>
      </c>
      <c r="Z9">
        <v>1</v>
      </c>
      <c r="AA9">
        <v>1</v>
      </c>
      <c r="AB9">
        <v>207</v>
      </c>
      <c r="AC9" t="s">
        <v>126</v>
      </c>
    </row>
    <row r="10" spans="1:29" ht="16" customHeight="1" x14ac:dyDescent="0.2">
      <c r="A10" s="1" t="s">
        <v>144</v>
      </c>
      <c r="B10" s="2" t="s">
        <v>145</v>
      </c>
      <c r="C10" s="2">
        <v>2</v>
      </c>
      <c r="D10" s="2" t="s">
        <v>132</v>
      </c>
      <c r="E10" s="2">
        <v>1468</v>
      </c>
      <c r="F10" s="2">
        <v>1</v>
      </c>
      <c r="G10" s="2">
        <v>0</v>
      </c>
      <c r="H10" s="2">
        <v>1</v>
      </c>
      <c r="I10" s="2">
        <v>1</v>
      </c>
      <c r="J10" s="2">
        <v>4</v>
      </c>
      <c r="K10" s="2">
        <v>3</v>
      </c>
      <c r="L10" s="2">
        <v>3</v>
      </c>
      <c r="M10" s="2">
        <v>4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>
        <v>1</v>
      </c>
      <c r="T10">
        <v>0</v>
      </c>
      <c r="U10">
        <v>1</v>
      </c>
      <c r="V10">
        <v>1</v>
      </c>
      <c r="W10">
        <v>2</v>
      </c>
      <c r="X10">
        <v>0</v>
      </c>
      <c r="Y10">
        <v>0</v>
      </c>
      <c r="Z10">
        <v>1</v>
      </c>
      <c r="AA10">
        <v>0</v>
      </c>
      <c r="AB10">
        <v>260</v>
      </c>
      <c r="AC10" t="s">
        <v>126</v>
      </c>
    </row>
    <row r="11" spans="1:29" ht="16" customHeight="1" x14ac:dyDescent="0.2">
      <c r="A11" s="1" t="s">
        <v>146</v>
      </c>
      <c r="B11" s="2" t="s">
        <v>147</v>
      </c>
      <c r="C11" s="2">
        <v>2</v>
      </c>
      <c r="D11" s="2" t="s">
        <v>135</v>
      </c>
      <c r="E11" s="2">
        <v>1559</v>
      </c>
      <c r="F11" s="2">
        <v>0</v>
      </c>
      <c r="G11" s="2">
        <v>1</v>
      </c>
      <c r="H11" s="2">
        <v>1</v>
      </c>
      <c r="I11" s="2">
        <v>0</v>
      </c>
      <c r="J11" s="2">
        <v>4</v>
      </c>
      <c r="K11" s="2">
        <v>3</v>
      </c>
      <c r="L11" s="2">
        <v>1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1</v>
      </c>
      <c r="S11">
        <v>3</v>
      </c>
      <c r="T11">
        <v>0</v>
      </c>
      <c r="U11">
        <v>0</v>
      </c>
      <c r="V11">
        <v>1</v>
      </c>
      <c r="W11">
        <v>2</v>
      </c>
      <c r="X11">
        <v>0</v>
      </c>
      <c r="Y11">
        <v>1</v>
      </c>
      <c r="Z11">
        <v>0</v>
      </c>
      <c r="AA11">
        <v>0</v>
      </c>
      <c r="AB11">
        <v>44</v>
      </c>
      <c r="AC11" t="s">
        <v>126</v>
      </c>
    </row>
    <row r="12" spans="1:29" ht="16" customHeight="1" x14ac:dyDescent="0.2">
      <c r="A12" s="1" t="s">
        <v>148</v>
      </c>
      <c r="B12" s="2" t="s">
        <v>149</v>
      </c>
      <c r="C12" s="2">
        <v>2</v>
      </c>
      <c r="D12" s="2" t="s">
        <v>138</v>
      </c>
      <c r="E12" s="2">
        <v>4253</v>
      </c>
      <c r="F12" s="2">
        <v>0</v>
      </c>
      <c r="G12" s="2">
        <v>1</v>
      </c>
      <c r="H12" s="2">
        <v>1</v>
      </c>
      <c r="I12" s="2">
        <v>-1</v>
      </c>
      <c r="J12" s="2">
        <v>5</v>
      </c>
      <c r="K12" s="2">
        <v>1</v>
      </c>
      <c r="L12" s="2">
        <v>3</v>
      </c>
      <c r="M12" s="2">
        <v>2</v>
      </c>
      <c r="N12" s="2">
        <v>0</v>
      </c>
      <c r="O12" s="2">
        <v>1</v>
      </c>
      <c r="P12" s="2">
        <v>1</v>
      </c>
      <c r="Q12" s="2">
        <v>1</v>
      </c>
      <c r="R12" s="2">
        <v>1</v>
      </c>
      <c r="S12">
        <v>0</v>
      </c>
      <c r="T12">
        <v>1</v>
      </c>
      <c r="U12">
        <v>0</v>
      </c>
      <c r="V12">
        <v>0</v>
      </c>
      <c r="W12">
        <v>5</v>
      </c>
      <c r="X12">
        <v>1</v>
      </c>
      <c r="Y12">
        <v>1</v>
      </c>
      <c r="Z12">
        <v>0</v>
      </c>
      <c r="AA12">
        <v>0</v>
      </c>
      <c r="AB12">
        <v>246</v>
      </c>
      <c r="AC12" t="s">
        <v>126</v>
      </c>
    </row>
    <row r="13" spans="1:29" ht="16" customHeight="1" x14ac:dyDescent="0.2">
      <c r="A13" s="1" t="s">
        <v>150</v>
      </c>
      <c r="B13" s="2" t="s">
        <v>131</v>
      </c>
      <c r="C13" s="2">
        <v>2</v>
      </c>
      <c r="D13" s="2" t="s">
        <v>140</v>
      </c>
      <c r="E13" s="2">
        <v>271</v>
      </c>
      <c r="F13" s="2">
        <v>1</v>
      </c>
      <c r="G13" s="2">
        <v>1</v>
      </c>
      <c r="H13" s="2">
        <v>0</v>
      </c>
      <c r="I13" s="2">
        <v>-1</v>
      </c>
      <c r="J13" s="2">
        <v>4</v>
      </c>
      <c r="K13" s="2">
        <v>2</v>
      </c>
      <c r="L13" s="2">
        <v>3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>
        <v>-1</v>
      </c>
      <c r="T13">
        <v>1</v>
      </c>
      <c r="U13">
        <v>1</v>
      </c>
      <c r="V13">
        <v>1</v>
      </c>
      <c r="W13">
        <v>5</v>
      </c>
      <c r="X13">
        <v>1</v>
      </c>
      <c r="Y13">
        <v>0</v>
      </c>
      <c r="Z13">
        <v>0</v>
      </c>
      <c r="AA13">
        <v>0</v>
      </c>
      <c r="AB13">
        <v>298</v>
      </c>
      <c r="AC13" t="s">
        <v>126</v>
      </c>
    </row>
    <row r="14" spans="1:29" ht="16" customHeight="1" x14ac:dyDescent="0.2">
      <c r="A14" s="1" t="s">
        <v>151</v>
      </c>
      <c r="B14" s="2" t="s">
        <v>131</v>
      </c>
      <c r="C14" s="2">
        <v>3</v>
      </c>
      <c r="D14" s="2" t="s">
        <v>125</v>
      </c>
      <c r="E14" s="2">
        <v>10223</v>
      </c>
      <c r="F14" s="2">
        <v>0</v>
      </c>
      <c r="G14" s="2">
        <v>1</v>
      </c>
      <c r="H14" s="2">
        <v>0</v>
      </c>
      <c r="I14" s="2">
        <v>1</v>
      </c>
      <c r="J14" s="2">
        <v>5</v>
      </c>
      <c r="K14" s="2">
        <v>1</v>
      </c>
      <c r="L14" s="2">
        <v>1</v>
      </c>
      <c r="M14" s="2">
        <v>1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>
        <v>3</v>
      </c>
      <c r="T14">
        <v>1</v>
      </c>
      <c r="U14">
        <v>0</v>
      </c>
      <c r="V14">
        <v>1</v>
      </c>
      <c r="W14">
        <v>4</v>
      </c>
      <c r="X14">
        <v>0</v>
      </c>
      <c r="Y14">
        <v>0</v>
      </c>
      <c r="Z14">
        <v>1</v>
      </c>
      <c r="AA14">
        <v>0</v>
      </c>
      <c r="AB14">
        <v>248</v>
      </c>
      <c r="AC14" t="s">
        <v>126</v>
      </c>
    </row>
    <row r="15" spans="1:29" ht="16" customHeight="1" x14ac:dyDescent="0.2">
      <c r="A15" s="1" t="s">
        <v>152</v>
      </c>
      <c r="B15" s="2" t="s">
        <v>128</v>
      </c>
      <c r="C15" s="2">
        <v>3</v>
      </c>
      <c r="D15" s="2" t="s">
        <v>129</v>
      </c>
      <c r="E15" s="2">
        <v>191</v>
      </c>
      <c r="F15" s="2">
        <v>0</v>
      </c>
      <c r="G15" s="2">
        <v>1</v>
      </c>
      <c r="H15" s="2">
        <v>0</v>
      </c>
      <c r="I15" s="2">
        <v>-1</v>
      </c>
      <c r="J15" s="2">
        <v>1</v>
      </c>
      <c r="K15" s="2">
        <v>3</v>
      </c>
      <c r="L15" s="2">
        <v>3</v>
      </c>
      <c r="M15" s="2">
        <v>3</v>
      </c>
      <c r="N15" s="2">
        <v>0</v>
      </c>
      <c r="O15" s="2">
        <v>0</v>
      </c>
      <c r="P15" s="2">
        <v>1</v>
      </c>
      <c r="Q15" s="2">
        <v>0</v>
      </c>
      <c r="R15" s="2">
        <v>1</v>
      </c>
      <c r="S15">
        <v>0</v>
      </c>
      <c r="T15">
        <v>1</v>
      </c>
      <c r="U15">
        <v>0</v>
      </c>
      <c r="V15">
        <v>0</v>
      </c>
      <c r="W15">
        <v>4</v>
      </c>
      <c r="X15">
        <v>1</v>
      </c>
      <c r="Y15">
        <v>0</v>
      </c>
      <c r="Z15">
        <v>1</v>
      </c>
      <c r="AA15">
        <v>1</v>
      </c>
      <c r="AB15">
        <v>67</v>
      </c>
      <c r="AC15" t="s">
        <v>126</v>
      </c>
    </row>
    <row r="16" spans="1:29" ht="16" customHeight="1" x14ac:dyDescent="0.2">
      <c r="A16" s="1" t="s">
        <v>153</v>
      </c>
      <c r="B16" s="2" t="s">
        <v>134</v>
      </c>
      <c r="C16" s="2">
        <v>3</v>
      </c>
      <c r="D16" s="2" t="s">
        <v>132</v>
      </c>
      <c r="E16" s="2">
        <v>578</v>
      </c>
      <c r="F16" s="2">
        <v>1</v>
      </c>
      <c r="G16" s="2">
        <v>1</v>
      </c>
      <c r="H16" s="2">
        <v>1</v>
      </c>
      <c r="I16" s="2">
        <v>1</v>
      </c>
      <c r="J16" s="2">
        <v>2</v>
      </c>
      <c r="K16" s="2">
        <v>1</v>
      </c>
      <c r="L16" s="2">
        <v>3</v>
      </c>
      <c r="M16" s="2">
        <v>5</v>
      </c>
      <c r="N16" s="2">
        <v>1</v>
      </c>
      <c r="O16" s="2">
        <v>1</v>
      </c>
      <c r="P16" s="2">
        <v>1</v>
      </c>
      <c r="Q16" s="2">
        <v>1</v>
      </c>
      <c r="R16" s="2">
        <v>0</v>
      </c>
      <c r="S16">
        <v>3</v>
      </c>
      <c r="T16">
        <v>0</v>
      </c>
      <c r="U16">
        <v>0</v>
      </c>
      <c r="V16">
        <v>1</v>
      </c>
      <c r="W16">
        <v>1</v>
      </c>
      <c r="X16">
        <v>-1</v>
      </c>
      <c r="Y16">
        <v>1</v>
      </c>
      <c r="Z16">
        <v>0</v>
      </c>
      <c r="AA16">
        <v>0</v>
      </c>
      <c r="AB16">
        <v>172</v>
      </c>
      <c r="AC16" t="s">
        <v>126</v>
      </c>
    </row>
    <row r="17" spans="1:29" ht="16" customHeight="1" x14ac:dyDescent="0.2">
      <c r="A17" s="1" t="s">
        <v>154</v>
      </c>
      <c r="B17" s="2" t="s">
        <v>145</v>
      </c>
      <c r="C17" s="2">
        <v>3</v>
      </c>
      <c r="D17" s="2" t="s">
        <v>135</v>
      </c>
      <c r="E17" s="2">
        <v>3173</v>
      </c>
      <c r="F17" s="2">
        <v>0</v>
      </c>
      <c r="G17" s="2">
        <v>0</v>
      </c>
      <c r="H17" s="2">
        <v>0</v>
      </c>
      <c r="I17" s="2">
        <v>-1</v>
      </c>
      <c r="J17" s="2">
        <v>2</v>
      </c>
      <c r="K17" s="2">
        <v>1</v>
      </c>
      <c r="L17" s="2">
        <v>3</v>
      </c>
      <c r="M17" s="2">
        <v>2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-1</v>
      </c>
      <c r="Y17">
        <v>0</v>
      </c>
      <c r="Z17">
        <v>0</v>
      </c>
      <c r="AA17">
        <v>0</v>
      </c>
      <c r="AB17">
        <v>146</v>
      </c>
      <c r="AC17" t="s">
        <v>126</v>
      </c>
    </row>
    <row r="18" spans="1:29" ht="16" customHeight="1" x14ac:dyDescent="0.2">
      <c r="A18" s="1" t="s">
        <v>155</v>
      </c>
      <c r="B18" s="2" t="s">
        <v>147</v>
      </c>
      <c r="C18" s="2">
        <v>3</v>
      </c>
      <c r="D18" s="2" t="s">
        <v>138</v>
      </c>
      <c r="E18" s="2">
        <v>7903</v>
      </c>
      <c r="F18" s="2">
        <v>1</v>
      </c>
      <c r="G18" s="2">
        <v>0</v>
      </c>
      <c r="H18" s="2">
        <v>0</v>
      </c>
      <c r="I18" s="2">
        <v>0</v>
      </c>
      <c r="J18" s="2">
        <v>5</v>
      </c>
      <c r="K18" s="2">
        <v>2</v>
      </c>
      <c r="L18" s="2">
        <v>2</v>
      </c>
      <c r="M18" s="2">
        <v>5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>
        <v>3</v>
      </c>
      <c r="T18">
        <v>1</v>
      </c>
      <c r="U18">
        <v>1</v>
      </c>
      <c r="V18">
        <v>0</v>
      </c>
      <c r="W18">
        <v>3</v>
      </c>
      <c r="X18">
        <v>1</v>
      </c>
      <c r="Y18">
        <v>1</v>
      </c>
      <c r="Z18">
        <v>0</v>
      </c>
      <c r="AA18">
        <v>0</v>
      </c>
      <c r="AB18">
        <v>42</v>
      </c>
      <c r="AC18" t="s">
        <v>126</v>
      </c>
    </row>
    <row r="19" spans="1:29" ht="16" customHeight="1" x14ac:dyDescent="0.2">
      <c r="A19" s="1" t="s">
        <v>156</v>
      </c>
      <c r="B19" s="2" t="s">
        <v>157</v>
      </c>
      <c r="C19" s="2">
        <v>3</v>
      </c>
      <c r="D19" s="2" t="s">
        <v>140</v>
      </c>
      <c r="E19" s="2">
        <v>3015</v>
      </c>
      <c r="F19" s="2">
        <v>1</v>
      </c>
      <c r="G19" s="2">
        <v>1</v>
      </c>
      <c r="H19" s="2">
        <v>1</v>
      </c>
      <c r="I19" s="2">
        <v>1</v>
      </c>
      <c r="J19" s="2">
        <v>4</v>
      </c>
      <c r="K19" s="2">
        <v>2</v>
      </c>
      <c r="L19" s="2">
        <v>2</v>
      </c>
      <c r="M19" s="2">
        <v>3</v>
      </c>
      <c r="N19" s="2">
        <v>1</v>
      </c>
      <c r="O19" s="2">
        <v>0</v>
      </c>
      <c r="P19" s="2">
        <v>1</v>
      </c>
      <c r="Q19" s="2">
        <v>0</v>
      </c>
      <c r="R19" s="2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-1</v>
      </c>
      <c r="Y19">
        <v>1</v>
      </c>
      <c r="Z19">
        <v>0</v>
      </c>
      <c r="AA19">
        <v>1</v>
      </c>
      <c r="AB19">
        <v>262</v>
      </c>
      <c r="AC19" t="s">
        <v>126</v>
      </c>
    </row>
    <row r="20" spans="1:29" ht="16" customHeight="1" x14ac:dyDescent="0.2">
      <c r="A20" s="1" t="s">
        <v>158</v>
      </c>
      <c r="B20" s="2" t="s">
        <v>159</v>
      </c>
      <c r="C20" s="2">
        <v>4</v>
      </c>
      <c r="D20" s="2" t="s">
        <v>125</v>
      </c>
      <c r="E20" s="2">
        <v>1511</v>
      </c>
      <c r="F20" s="2">
        <v>0</v>
      </c>
      <c r="G20" s="2">
        <v>0</v>
      </c>
      <c r="H20" s="2">
        <v>0</v>
      </c>
      <c r="I20" s="2">
        <v>1</v>
      </c>
      <c r="J20" s="2">
        <v>2</v>
      </c>
      <c r="K20" s="2">
        <v>3</v>
      </c>
      <c r="L20" s="2">
        <v>1</v>
      </c>
      <c r="M20" s="2">
        <v>5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>
        <v>1</v>
      </c>
      <c r="T20">
        <v>0</v>
      </c>
      <c r="U20">
        <v>0</v>
      </c>
      <c r="V20">
        <v>1</v>
      </c>
      <c r="W20">
        <v>2</v>
      </c>
      <c r="X20">
        <v>-1</v>
      </c>
      <c r="Y20">
        <v>1</v>
      </c>
      <c r="Z20">
        <v>1</v>
      </c>
      <c r="AA20">
        <v>1</v>
      </c>
      <c r="AB20">
        <v>76</v>
      </c>
      <c r="AC20" t="s">
        <v>126</v>
      </c>
    </row>
    <row r="21" spans="1:29" ht="16" customHeight="1" x14ac:dyDescent="0.2">
      <c r="A21" s="1" t="s">
        <v>160</v>
      </c>
      <c r="B21" s="2" t="s">
        <v>161</v>
      </c>
      <c r="C21" s="2">
        <v>4</v>
      </c>
      <c r="D21" s="2" t="s">
        <v>129</v>
      </c>
      <c r="E21" s="2">
        <v>3951</v>
      </c>
      <c r="F21" s="2">
        <v>0</v>
      </c>
      <c r="G21" s="2">
        <v>0</v>
      </c>
      <c r="H21" s="2">
        <v>1</v>
      </c>
      <c r="I21" s="2">
        <v>0</v>
      </c>
      <c r="J21" s="2">
        <v>1</v>
      </c>
      <c r="K21" s="2">
        <v>3</v>
      </c>
      <c r="L21" s="2">
        <v>1</v>
      </c>
      <c r="M21" s="2">
        <v>2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>
        <v>3</v>
      </c>
      <c r="T21">
        <v>1</v>
      </c>
      <c r="U21">
        <v>0</v>
      </c>
      <c r="V21">
        <v>1</v>
      </c>
      <c r="W21">
        <v>1</v>
      </c>
      <c r="X21">
        <v>-1</v>
      </c>
      <c r="Y21">
        <v>0</v>
      </c>
      <c r="Z21">
        <v>1</v>
      </c>
      <c r="AA21">
        <v>0</v>
      </c>
      <c r="AB21">
        <v>55</v>
      </c>
      <c r="AC21" t="s">
        <v>126</v>
      </c>
    </row>
    <row r="22" spans="1:29" ht="16" customHeight="1" x14ac:dyDescent="0.2">
      <c r="A22" s="1" t="s">
        <v>162</v>
      </c>
      <c r="B22" s="2" t="s">
        <v>124</v>
      </c>
      <c r="C22" s="2">
        <v>4</v>
      </c>
      <c r="D22" s="2" t="s">
        <v>132</v>
      </c>
      <c r="E22" s="2">
        <v>4458</v>
      </c>
      <c r="F22" s="2">
        <v>0</v>
      </c>
      <c r="G22" s="2">
        <v>1</v>
      </c>
      <c r="H22" s="2">
        <v>1</v>
      </c>
      <c r="I22" s="2">
        <v>-1</v>
      </c>
      <c r="J22" s="2">
        <v>2</v>
      </c>
      <c r="K22" s="2">
        <v>3</v>
      </c>
      <c r="L22" s="2">
        <v>1</v>
      </c>
      <c r="M22" s="2">
        <v>2</v>
      </c>
      <c r="N22" s="2">
        <v>0</v>
      </c>
      <c r="O22" s="2">
        <v>0</v>
      </c>
      <c r="P22" s="2">
        <v>1</v>
      </c>
      <c r="Q22" s="2">
        <v>1</v>
      </c>
      <c r="R22" s="2">
        <v>1</v>
      </c>
      <c r="S22">
        <v>2</v>
      </c>
      <c r="T22">
        <v>1</v>
      </c>
      <c r="U22">
        <v>1</v>
      </c>
      <c r="V22">
        <v>1</v>
      </c>
      <c r="W22">
        <v>4</v>
      </c>
      <c r="X22">
        <v>-1</v>
      </c>
      <c r="Y22">
        <v>1</v>
      </c>
      <c r="Z22">
        <v>0</v>
      </c>
      <c r="AA22">
        <v>0</v>
      </c>
      <c r="AB22">
        <v>117</v>
      </c>
      <c r="AC22" t="s">
        <v>126</v>
      </c>
    </row>
    <row r="23" spans="1:29" ht="16" customHeight="1" x14ac:dyDescent="0.2">
      <c r="A23" s="1" t="s">
        <v>163</v>
      </c>
      <c r="B23" s="2" t="s">
        <v>164</v>
      </c>
      <c r="C23" s="2">
        <v>4</v>
      </c>
      <c r="D23" s="2" t="s">
        <v>135</v>
      </c>
      <c r="E23" s="2">
        <v>1518</v>
      </c>
      <c r="F23" s="2">
        <v>0</v>
      </c>
      <c r="G23" s="2">
        <v>0</v>
      </c>
      <c r="H23" s="2">
        <v>0</v>
      </c>
      <c r="I23" s="2">
        <v>0</v>
      </c>
      <c r="J23" s="2">
        <v>3</v>
      </c>
      <c r="K23" s="2">
        <v>2</v>
      </c>
      <c r="L23" s="2">
        <v>3</v>
      </c>
      <c r="M23" s="2">
        <v>4</v>
      </c>
      <c r="N23" s="2">
        <v>0</v>
      </c>
      <c r="O23" s="2">
        <v>1</v>
      </c>
      <c r="P23" s="2">
        <v>1</v>
      </c>
      <c r="Q23" s="2">
        <v>1</v>
      </c>
      <c r="R23" s="2">
        <v>0</v>
      </c>
      <c r="S23">
        <v>3</v>
      </c>
      <c r="T23">
        <v>1</v>
      </c>
      <c r="U23">
        <v>1</v>
      </c>
      <c r="V23">
        <v>0</v>
      </c>
      <c r="W23">
        <v>5</v>
      </c>
      <c r="X23">
        <v>-1</v>
      </c>
      <c r="Y23">
        <v>0</v>
      </c>
      <c r="Z23">
        <v>1</v>
      </c>
      <c r="AA23">
        <v>1</v>
      </c>
      <c r="AB23">
        <v>238</v>
      </c>
      <c r="AC23" t="s">
        <v>126</v>
      </c>
    </row>
    <row r="24" spans="1:29" ht="16" customHeight="1" x14ac:dyDescent="0.2">
      <c r="A24" s="1" t="s">
        <v>165</v>
      </c>
      <c r="B24" s="2" t="s">
        <v>166</v>
      </c>
      <c r="C24" s="2">
        <v>4</v>
      </c>
      <c r="D24" s="2" t="s">
        <v>138</v>
      </c>
      <c r="E24" s="2">
        <v>3799</v>
      </c>
      <c r="F24" s="2">
        <v>0</v>
      </c>
      <c r="G24" s="2">
        <v>0</v>
      </c>
      <c r="H24" s="2">
        <v>0</v>
      </c>
      <c r="I24" s="2">
        <v>1</v>
      </c>
      <c r="J24" s="2">
        <v>2</v>
      </c>
      <c r="K24" s="2">
        <v>2</v>
      </c>
      <c r="L24" s="2">
        <v>1</v>
      </c>
      <c r="M24" s="2">
        <v>5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>
        <v>3</v>
      </c>
      <c r="T24">
        <v>1</v>
      </c>
      <c r="U24">
        <v>0</v>
      </c>
      <c r="V24">
        <v>0</v>
      </c>
      <c r="W24">
        <v>4</v>
      </c>
      <c r="X24">
        <v>1</v>
      </c>
      <c r="Y24">
        <v>0</v>
      </c>
      <c r="Z24">
        <v>0</v>
      </c>
      <c r="AA24">
        <v>1</v>
      </c>
      <c r="AB24">
        <v>205</v>
      </c>
      <c r="AC24" t="s">
        <v>126</v>
      </c>
    </row>
    <row r="25" spans="1:29" ht="16" customHeight="1" x14ac:dyDescent="0.2">
      <c r="A25" s="1" t="s">
        <v>167</v>
      </c>
      <c r="B25" s="2" t="s">
        <v>168</v>
      </c>
      <c r="C25" s="2">
        <v>4</v>
      </c>
      <c r="D25" s="2" t="s">
        <v>140</v>
      </c>
      <c r="E25" s="2">
        <v>378</v>
      </c>
      <c r="F25" s="2">
        <v>1</v>
      </c>
      <c r="G25" s="2">
        <v>0</v>
      </c>
      <c r="H25" s="2">
        <v>0</v>
      </c>
      <c r="I25" s="2">
        <v>0</v>
      </c>
      <c r="J25" s="2">
        <v>2</v>
      </c>
      <c r="K25" s="2">
        <v>1</v>
      </c>
      <c r="L25" s="2">
        <v>3</v>
      </c>
      <c r="M25" s="2">
        <v>1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>
        <v>1</v>
      </c>
      <c r="T25">
        <v>0</v>
      </c>
      <c r="U25">
        <v>0</v>
      </c>
      <c r="V25">
        <v>0</v>
      </c>
      <c r="W25">
        <v>3</v>
      </c>
      <c r="X25">
        <v>1</v>
      </c>
      <c r="Y25">
        <v>0</v>
      </c>
      <c r="Z25">
        <v>0</v>
      </c>
      <c r="AA25">
        <v>0</v>
      </c>
      <c r="AB25">
        <v>19</v>
      </c>
      <c r="AC25" t="s">
        <v>126</v>
      </c>
    </row>
    <row r="26" spans="1:29" ht="16" customHeight="1" x14ac:dyDescent="0.2">
      <c r="A26" s="1" t="s">
        <v>169</v>
      </c>
      <c r="B26" s="2" t="s">
        <v>161</v>
      </c>
      <c r="C26" s="2">
        <v>5</v>
      </c>
      <c r="D26" s="2" t="s">
        <v>125</v>
      </c>
      <c r="E26" s="2">
        <v>5590</v>
      </c>
      <c r="F26" s="2">
        <v>1</v>
      </c>
      <c r="G26" s="2">
        <v>1</v>
      </c>
      <c r="H26" s="2">
        <v>1</v>
      </c>
      <c r="I26" s="2">
        <v>1</v>
      </c>
      <c r="J26" s="2">
        <v>5</v>
      </c>
      <c r="K26" s="2">
        <v>3</v>
      </c>
      <c r="L26" s="2">
        <v>2</v>
      </c>
      <c r="M26" s="2">
        <v>1</v>
      </c>
      <c r="N26" s="2">
        <v>0</v>
      </c>
      <c r="O26" s="2">
        <v>1</v>
      </c>
      <c r="P26" s="2">
        <v>1</v>
      </c>
      <c r="Q26" s="2">
        <v>0</v>
      </c>
      <c r="R26" s="2">
        <v>1</v>
      </c>
      <c r="S26">
        <v>1</v>
      </c>
      <c r="T26">
        <v>1</v>
      </c>
      <c r="U26">
        <v>1</v>
      </c>
      <c r="V26">
        <v>0</v>
      </c>
      <c r="W26">
        <v>5</v>
      </c>
      <c r="X26">
        <v>-1</v>
      </c>
      <c r="Y26">
        <v>1</v>
      </c>
      <c r="Z26">
        <v>0</v>
      </c>
      <c r="AA26">
        <v>0</v>
      </c>
      <c r="AB26">
        <v>104</v>
      </c>
      <c r="AC26" t="s">
        <v>126</v>
      </c>
    </row>
    <row r="27" spans="1:29" ht="16" customHeight="1" x14ac:dyDescent="0.2">
      <c r="A27" s="1" t="s">
        <v>170</v>
      </c>
      <c r="B27" s="2" t="s">
        <v>137</v>
      </c>
      <c r="C27" s="2">
        <v>5</v>
      </c>
      <c r="D27" s="2" t="s">
        <v>129</v>
      </c>
      <c r="E27" s="2">
        <v>6423</v>
      </c>
      <c r="F27" s="2">
        <v>0</v>
      </c>
      <c r="G27" s="2">
        <v>1</v>
      </c>
      <c r="H27" s="2">
        <v>1</v>
      </c>
      <c r="I27" s="2">
        <v>0</v>
      </c>
      <c r="J27" s="2">
        <v>1</v>
      </c>
      <c r="K27" s="2">
        <v>2</v>
      </c>
      <c r="L27" s="2">
        <v>2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>
        <v>-1</v>
      </c>
      <c r="T27">
        <v>1</v>
      </c>
      <c r="U27">
        <v>1</v>
      </c>
      <c r="V27">
        <v>1</v>
      </c>
      <c r="W27">
        <v>4</v>
      </c>
      <c r="X27">
        <v>1</v>
      </c>
      <c r="Y27">
        <v>0</v>
      </c>
      <c r="Z27">
        <v>0</v>
      </c>
      <c r="AA27">
        <v>1</v>
      </c>
      <c r="AB27">
        <v>144</v>
      </c>
      <c r="AC27" t="s">
        <v>126</v>
      </c>
    </row>
    <row r="28" spans="1:29" ht="16" customHeight="1" x14ac:dyDescent="0.2">
      <c r="A28" s="1" t="s">
        <v>171</v>
      </c>
      <c r="B28" s="2" t="s">
        <v>147</v>
      </c>
      <c r="C28" s="2">
        <v>5</v>
      </c>
      <c r="D28" s="2" t="s">
        <v>132</v>
      </c>
      <c r="E28" s="2">
        <v>325</v>
      </c>
      <c r="F28" s="2">
        <v>0</v>
      </c>
      <c r="G28" s="2">
        <v>0</v>
      </c>
      <c r="H28" s="2">
        <v>1</v>
      </c>
      <c r="I28" s="2">
        <v>0</v>
      </c>
      <c r="J28" s="2">
        <v>3</v>
      </c>
      <c r="K28" s="2">
        <v>3</v>
      </c>
      <c r="L28" s="2">
        <v>3</v>
      </c>
      <c r="M28" s="2">
        <v>4</v>
      </c>
      <c r="N28" s="2">
        <v>1</v>
      </c>
      <c r="O28" s="2">
        <v>1</v>
      </c>
      <c r="P28" s="2">
        <v>0</v>
      </c>
      <c r="Q28" s="2">
        <v>1</v>
      </c>
      <c r="R28" s="2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1</v>
      </c>
      <c r="AA28">
        <v>1</v>
      </c>
      <c r="AB28">
        <v>29</v>
      </c>
      <c r="AC28" t="s">
        <v>126</v>
      </c>
    </row>
    <row r="29" spans="1:29" ht="16" customHeight="1" x14ac:dyDescent="0.2">
      <c r="A29" s="1" t="s">
        <v>172</v>
      </c>
      <c r="B29" s="2" t="s">
        <v>149</v>
      </c>
      <c r="C29" s="2">
        <v>5</v>
      </c>
      <c r="D29" s="2" t="s">
        <v>135</v>
      </c>
      <c r="E29" s="2">
        <v>3181</v>
      </c>
      <c r="F29" s="2">
        <v>1</v>
      </c>
      <c r="G29" s="2">
        <v>0</v>
      </c>
      <c r="H29" s="2">
        <v>1</v>
      </c>
      <c r="I29" s="2">
        <v>0</v>
      </c>
      <c r="J29" s="2">
        <v>4</v>
      </c>
      <c r="K29" s="2">
        <v>2</v>
      </c>
      <c r="L29" s="2">
        <v>1</v>
      </c>
      <c r="M29" s="2">
        <v>4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  <c r="S29">
        <v>0</v>
      </c>
      <c r="T29">
        <v>0</v>
      </c>
      <c r="U29">
        <v>0</v>
      </c>
      <c r="V29">
        <v>1</v>
      </c>
      <c r="W29">
        <v>2</v>
      </c>
      <c r="X29">
        <v>-1</v>
      </c>
      <c r="Y29">
        <v>1</v>
      </c>
      <c r="Z29">
        <v>0</v>
      </c>
      <c r="AA29">
        <v>0</v>
      </c>
      <c r="AB29">
        <v>218</v>
      </c>
      <c r="AC29" t="s">
        <v>126</v>
      </c>
    </row>
    <row r="30" spans="1:29" ht="16" customHeight="1" x14ac:dyDescent="0.2">
      <c r="A30" s="1" t="s">
        <v>173</v>
      </c>
      <c r="B30" s="2" t="s">
        <v>145</v>
      </c>
      <c r="C30" s="2">
        <v>5</v>
      </c>
      <c r="D30" s="2" t="s">
        <v>138</v>
      </c>
      <c r="E30" s="2">
        <v>1126</v>
      </c>
      <c r="F30" s="2">
        <v>0</v>
      </c>
      <c r="G30" s="2">
        <v>1</v>
      </c>
      <c r="H30" s="2">
        <v>1</v>
      </c>
      <c r="I30" s="2">
        <v>1</v>
      </c>
      <c r="J30" s="2">
        <v>1</v>
      </c>
      <c r="K30" s="2">
        <v>2</v>
      </c>
      <c r="L30" s="2">
        <v>2</v>
      </c>
      <c r="M30" s="2">
        <v>4</v>
      </c>
      <c r="N30" s="2">
        <v>0</v>
      </c>
      <c r="O30" s="2">
        <v>0</v>
      </c>
      <c r="P30" s="2">
        <v>1</v>
      </c>
      <c r="Q30" s="2">
        <v>1</v>
      </c>
      <c r="R30" s="2">
        <v>0</v>
      </c>
      <c r="S30">
        <v>1</v>
      </c>
      <c r="T30">
        <v>0</v>
      </c>
      <c r="U30">
        <v>0</v>
      </c>
      <c r="V30">
        <v>1</v>
      </c>
      <c r="W30">
        <v>3</v>
      </c>
      <c r="X30">
        <v>1</v>
      </c>
      <c r="Y30">
        <v>0</v>
      </c>
      <c r="Z30">
        <v>1</v>
      </c>
      <c r="AA30">
        <v>1</v>
      </c>
      <c r="AB30">
        <v>272</v>
      </c>
      <c r="AC30" t="s">
        <v>126</v>
      </c>
    </row>
    <row r="31" spans="1:29" ht="16" customHeight="1" x14ac:dyDescent="0.2">
      <c r="A31" s="1" t="s">
        <v>174</v>
      </c>
      <c r="B31" s="2" t="s">
        <v>124</v>
      </c>
      <c r="C31" s="2">
        <v>5</v>
      </c>
      <c r="D31" s="2" t="s">
        <v>140</v>
      </c>
      <c r="E31" s="2">
        <v>20</v>
      </c>
      <c r="F31" s="2">
        <v>1</v>
      </c>
      <c r="G31" s="2">
        <v>0</v>
      </c>
      <c r="H31" s="2">
        <v>1</v>
      </c>
      <c r="I31" s="2">
        <v>1</v>
      </c>
      <c r="J31" s="2">
        <v>3</v>
      </c>
      <c r="K31" s="2">
        <v>3</v>
      </c>
      <c r="L31" s="2">
        <v>1</v>
      </c>
      <c r="M31" s="2">
        <v>1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>
        <v>-1</v>
      </c>
      <c r="T31">
        <v>1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1</v>
      </c>
      <c r="AB31">
        <v>299</v>
      </c>
      <c r="AC31" t="s">
        <v>126</v>
      </c>
    </row>
    <row r="32" spans="1:29" ht="16" customHeight="1" x14ac:dyDescent="0.2">
      <c r="A32" s="1" t="s">
        <v>175</v>
      </c>
      <c r="B32" s="2" t="s">
        <v>176</v>
      </c>
      <c r="C32" s="2">
        <v>6</v>
      </c>
      <c r="D32" s="2" t="s">
        <v>125</v>
      </c>
      <c r="E32" s="2">
        <v>1507</v>
      </c>
      <c r="F32" s="2">
        <v>0</v>
      </c>
      <c r="G32" s="2">
        <v>0</v>
      </c>
      <c r="H32" s="2">
        <v>1</v>
      </c>
      <c r="I32" s="2">
        <v>0</v>
      </c>
      <c r="J32" s="2">
        <v>3</v>
      </c>
      <c r="K32" s="2">
        <v>3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0</v>
      </c>
      <c r="R32" s="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-1</v>
      </c>
      <c r="Y32">
        <v>1</v>
      </c>
      <c r="Z32">
        <v>1</v>
      </c>
      <c r="AA32">
        <v>1</v>
      </c>
      <c r="AB32">
        <v>275</v>
      </c>
      <c r="AC32" t="s">
        <v>126</v>
      </c>
    </row>
    <row r="33" spans="1:29" ht="16" customHeight="1" x14ac:dyDescent="0.2">
      <c r="A33" s="1" t="s">
        <v>177</v>
      </c>
      <c r="B33" s="2" t="s">
        <v>157</v>
      </c>
      <c r="C33" s="2">
        <v>6</v>
      </c>
      <c r="D33" s="2" t="s">
        <v>129</v>
      </c>
      <c r="E33" s="2">
        <v>144</v>
      </c>
      <c r="F33" s="2">
        <v>0</v>
      </c>
      <c r="G33" s="2">
        <v>0</v>
      </c>
      <c r="H33" s="2">
        <v>1</v>
      </c>
      <c r="I33" s="2">
        <v>1</v>
      </c>
      <c r="J33" s="2">
        <v>5</v>
      </c>
      <c r="K33" s="2">
        <v>3</v>
      </c>
      <c r="L33" s="2">
        <v>2</v>
      </c>
      <c r="M33" s="2">
        <v>1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>
        <v>3</v>
      </c>
      <c r="T33">
        <v>1</v>
      </c>
      <c r="U33">
        <v>1</v>
      </c>
      <c r="V33">
        <v>1</v>
      </c>
      <c r="W33">
        <v>5</v>
      </c>
      <c r="X33">
        <v>0</v>
      </c>
      <c r="Y33">
        <v>1</v>
      </c>
      <c r="Z33">
        <v>0</v>
      </c>
      <c r="AA33">
        <v>0</v>
      </c>
      <c r="AB33">
        <v>135</v>
      </c>
      <c r="AC33" t="s">
        <v>126</v>
      </c>
    </row>
    <row r="34" spans="1:29" ht="16" customHeight="1" x14ac:dyDescent="0.2">
      <c r="A34" s="1" t="s">
        <v>178</v>
      </c>
      <c r="B34" s="2" t="s">
        <v>131</v>
      </c>
      <c r="C34" s="2">
        <v>6</v>
      </c>
      <c r="D34" s="2" t="s">
        <v>132</v>
      </c>
      <c r="E34" s="2">
        <v>424</v>
      </c>
      <c r="F34" s="2">
        <v>1</v>
      </c>
      <c r="G34" s="2">
        <v>1</v>
      </c>
      <c r="H34" s="2">
        <v>0</v>
      </c>
      <c r="I34" s="2">
        <v>0</v>
      </c>
      <c r="J34" s="2">
        <v>2</v>
      </c>
      <c r="K34" s="2">
        <v>2</v>
      </c>
      <c r="L34" s="2">
        <v>1</v>
      </c>
      <c r="M34" s="2">
        <v>5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>
        <v>1</v>
      </c>
      <c r="T34">
        <v>0</v>
      </c>
      <c r="U34">
        <v>1</v>
      </c>
      <c r="V34">
        <v>1</v>
      </c>
      <c r="W34">
        <v>5</v>
      </c>
      <c r="X34">
        <v>0</v>
      </c>
      <c r="Y34">
        <v>0</v>
      </c>
      <c r="Z34">
        <v>0</v>
      </c>
      <c r="AA34">
        <v>0</v>
      </c>
      <c r="AB34">
        <v>234</v>
      </c>
      <c r="AC34" t="s">
        <v>126</v>
      </c>
    </row>
    <row r="35" spans="1:29" ht="16" customHeight="1" x14ac:dyDescent="0.2">
      <c r="A35" s="1" t="s">
        <v>179</v>
      </c>
      <c r="B35" s="2" t="s">
        <v>149</v>
      </c>
      <c r="C35" s="2">
        <v>6</v>
      </c>
      <c r="D35" s="2" t="s">
        <v>135</v>
      </c>
      <c r="E35" s="2">
        <v>3003</v>
      </c>
      <c r="F35" s="2">
        <v>1</v>
      </c>
      <c r="G35" s="2">
        <v>1</v>
      </c>
      <c r="H35" s="2">
        <v>0</v>
      </c>
      <c r="I35" s="2">
        <v>1</v>
      </c>
      <c r="J35" s="2">
        <v>1</v>
      </c>
      <c r="K35" s="2">
        <v>2</v>
      </c>
      <c r="L35" s="2">
        <v>3</v>
      </c>
      <c r="M35" s="2">
        <v>3</v>
      </c>
      <c r="N35" s="2">
        <v>1</v>
      </c>
      <c r="O35" s="2">
        <v>0</v>
      </c>
      <c r="P35" s="2">
        <v>0</v>
      </c>
      <c r="Q35" s="2">
        <v>1</v>
      </c>
      <c r="R35" s="2">
        <v>1</v>
      </c>
      <c r="S35">
        <v>-1</v>
      </c>
      <c r="T35">
        <v>0</v>
      </c>
      <c r="U35">
        <v>0</v>
      </c>
      <c r="V35">
        <v>0</v>
      </c>
      <c r="W35">
        <v>2</v>
      </c>
      <c r="X35">
        <v>0</v>
      </c>
      <c r="Y35">
        <v>0</v>
      </c>
      <c r="Z35">
        <v>0</v>
      </c>
      <c r="AA35">
        <v>1</v>
      </c>
      <c r="AB35">
        <v>101</v>
      </c>
      <c r="AC35" t="s">
        <v>126</v>
      </c>
    </row>
    <row r="36" spans="1:29" ht="16" customHeight="1" x14ac:dyDescent="0.2">
      <c r="A36" s="1" t="s">
        <v>180</v>
      </c>
      <c r="B36" s="2" t="s">
        <v>181</v>
      </c>
      <c r="C36" s="2">
        <v>6</v>
      </c>
      <c r="D36" s="2" t="s">
        <v>138</v>
      </c>
      <c r="E36" s="2">
        <v>4093</v>
      </c>
      <c r="F36" s="2">
        <v>0</v>
      </c>
      <c r="G36" s="2">
        <v>1</v>
      </c>
      <c r="H36" s="2">
        <v>0</v>
      </c>
      <c r="I36" s="2">
        <v>1</v>
      </c>
      <c r="J36" s="2">
        <v>1</v>
      </c>
      <c r="K36" s="2">
        <v>3</v>
      </c>
      <c r="L36" s="2">
        <v>2</v>
      </c>
      <c r="M36" s="2">
        <v>4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>
        <v>2</v>
      </c>
      <c r="T36">
        <v>0</v>
      </c>
      <c r="U36">
        <v>0</v>
      </c>
      <c r="V36">
        <v>0</v>
      </c>
      <c r="W36">
        <v>4</v>
      </c>
      <c r="X36">
        <v>-1</v>
      </c>
      <c r="Y36">
        <v>1</v>
      </c>
      <c r="Z36">
        <v>0</v>
      </c>
      <c r="AA36">
        <v>0</v>
      </c>
      <c r="AB36">
        <v>40</v>
      </c>
      <c r="AC36" t="s">
        <v>126</v>
      </c>
    </row>
    <row r="37" spans="1:29" ht="16" customHeight="1" x14ac:dyDescent="0.2">
      <c r="A37" s="1" t="s">
        <v>182</v>
      </c>
      <c r="B37" s="2" t="s">
        <v>181</v>
      </c>
      <c r="C37" s="2">
        <v>6</v>
      </c>
      <c r="D37" s="2" t="s">
        <v>140</v>
      </c>
      <c r="E37" s="2">
        <v>9767</v>
      </c>
      <c r="F37" s="2">
        <v>0</v>
      </c>
      <c r="G37" s="2">
        <v>0</v>
      </c>
      <c r="H37" s="2">
        <v>0</v>
      </c>
      <c r="I37" s="2">
        <v>-1</v>
      </c>
      <c r="J37" s="2">
        <v>4</v>
      </c>
      <c r="K37" s="2">
        <v>3</v>
      </c>
      <c r="L37" s="2">
        <v>2</v>
      </c>
      <c r="M37" s="2">
        <v>3</v>
      </c>
      <c r="N37" s="2">
        <v>1</v>
      </c>
      <c r="O37" s="2">
        <v>0</v>
      </c>
      <c r="P37" s="2">
        <v>1</v>
      </c>
      <c r="Q37" s="2">
        <v>1</v>
      </c>
      <c r="R37" s="2">
        <v>0</v>
      </c>
      <c r="S37">
        <v>3</v>
      </c>
      <c r="T37">
        <v>0</v>
      </c>
      <c r="U37">
        <v>1</v>
      </c>
      <c r="V37">
        <v>1</v>
      </c>
      <c r="W37">
        <v>4</v>
      </c>
      <c r="X37">
        <v>0</v>
      </c>
      <c r="Y37">
        <v>1</v>
      </c>
      <c r="Z37">
        <v>1</v>
      </c>
      <c r="AA37">
        <v>0</v>
      </c>
      <c r="AB37">
        <v>158</v>
      </c>
      <c r="AC37" t="s">
        <v>126</v>
      </c>
    </row>
    <row r="38" spans="1:29" ht="16" customHeight="1" x14ac:dyDescent="0.2">
      <c r="A38" s="1" t="s">
        <v>183</v>
      </c>
      <c r="B38" s="2" t="s">
        <v>137</v>
      </c>
      <c r="C38" s="2">
        <v>7</v>
      </c>
      <c r="D38" s="2" t="s">
        <v>125</v>
      </c>
      <c r="E38" s="2">
        <v>4930</v>
      </c>
      <c r="F38" s="2">
        <v>0</v>
      </c>
      <c r="G38" s="2">
        <v>0</v>
      </c>
      <c r="H38" s="2">
        <v>0</v>
      </c>
      <c r="I38" s="2">
        <v>1</v>
      </c>
      <c r="J38" s="2">
        <v>3</v>
      </c>
      <c r="K38" s="2">
        <v>2</v>
      </c>
      <c r="L38" s="2">
        <v>2</v>
      </c>
      <c r="M38" s="2">
        <v>2</v>
      </c>
      <c r="N38" s="2">
        <v>0</v>
      </c>
      <c r="O38" s="2">
        <v>1</v>
      </c>
      <c r="P38" s="2">
        <v>1</v>
      </c>
      <c r="Q38" s="2">
        <v>0</v>
      </c>
      <c r="R38" s="2">
        <v>0</v>
      </c>
      <c r="S38">
        <v>1</v>
      </c>
      <c r="T38">
        <v>0</v>
      </c>
      <c r="U38">
        <v>1</v>
      </c>
      <c r="V38">
        <v>1</v>
      </c>
      <c r="W38">
        <v>2</v>
      </c>
      <c r="X38">
        <v>-1</v>
      </c>
      <c r="Y38">
        <v>1</v>
      </c>
      <c r="Z38">
        <v>0</v>
      </c>
      <c r="AA38">
        <v>1</v>
      </c>
      <c r="AB38">
        <v>186</v>
      </c>
      <c r="AC38" t="s">
        <v>126</v>
      </c>
    </row>
    <row r="39" spans="1:29" ht="16" customHeight="1" x14ac:dyDescent="0.2">
      <c r="A39" s="1" t="s">
        <v>184</v>
      </c>
      <c r="B39" s="2" t="s">
        <v>185</v>
      </c>
      <c r="C39" s="2">
        <v>7</v>
      </c>
      <c r="D39" s="2" t="s">
        <v>129</v>
      </c>
      <c r="E39" s="2">
        <v>1056</v>
      </c>
      <c r="F39" s="2">
        <v>0</v>
      </c>
      <c r="G39" s="2">
        <v>1</v>
      </c>
      <c r="H39" s="2">
        <v>1</v>
      </c>
      <c r="I39" s="2">
        <v>-1</v>
      </c>
      <c r="J39" s="2">
        <v>5</v>
      </c>
      <c r="K39" s="2">
        <v>3</v>
      </c>
      <c r="L39" s="2">
        <v>2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>
        <v>1</v>
      </c>
      <c r="S39">
        <v>1</v>
      </c>
      <c r="T39">
        <v>0</v>
      </c>
      <c r="U39">
        <v>1</v>
      </c>
      <c r="V39">
        <v>1</v>
      </c>
      <c r="W39">
        <v>5</v>
      </c>
      <c r="X39">
        <v>1</v>
      </c>
      <c r="Y39">
        <v>1</v>
      </c>
      <c r="Z39">
        <v>0</v>
      </c>
      <c r="AA39">
        <v>0</v>
      </c>
      <c r="AB39">
        <v>205</v>
      </c>
      <c r="AC39" t="s">
        <v>126</v>
      </c>
    </row>
    <row r="40" spans="1:29" ht="16" customHeight="1" x14ac:dyDescent="0.2">
      <c r="A40" s="1" t="s">
        <v>186</v>
      </c>
      <c r="B40" s="2" t="s">
        <v>157</v>
      </c>
      <c r="C40" s="2">
        <v>7</v>
      </c>
      <c r="D40" s="2" t="s">
        <v>132</v>
      </c>
      <c r="E40" s="2">
        <v>3044</v>
      </c>
      <c r="F40" s="2">
        <v>1</v>
      </c>
      <c r="G40" s="2">
        <v>1</v>
      </c>
      <c r="H40" s="2">
        <v>1</v>
      </c>
      <c r="I40" s="2">
        <v>0</v>
      </c>
      <c r="J40" s="2">
        <v>1</v>
      </c>
      <c r="K40" s="2">
        <v>2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1</v>
      </c>
      <c r="R40" s="2">
        <v>0</v>
      </c>
      <c r="S40">
        <v>1</v>
      </c>
      <c r="T40">
        <v>0</v>
      </c>
      <c r="U40">
        <v>0</v>
      </c>
      <c r="V40">
        <v>1</v>
      </c>
      <c r="W40">
        <v>2</v>
      </c>
      <c r="X40">
        <v>1</v>
      </c>
      <c r="Y40">
        <v>1</v>
      </c>
      <c r="Z40">
        <v>1</v>
      </c>
      <c r="AA40">
        <v>1</v>
      </c>
      <c r="AB40">
        <v>232</v>
      </c>
      <c r="AC40" t="s">
        <v>126</v>
      </c>
    </row>
    <row r="41" spans="1:29" ht="16" customHeight="1" x14ac:dyDescent="0.2">
      <c r="A41" s="1" t="s">
        <v>187</v>
      </c>
      <c r="B41" s="2" t="s">
        <v>143</v>
      </c>
      <c r="C41" s="2">
        <v>7</v>
      </c>
      <c r="D41" s="2" t="s">
        <v>135</v>
      </c>
      <c r="E41" s="2">
        <v>1781</v>
      </c>
      <c r="F41" s="2">
        <v>1</v>
      </c>
      <c r="G41" s="2">
        <v>1</v>
      </c>
      <c r="H41" s="2">
        <v>1</v>
      </c>
      <c r="I41" s="2">
        <v>-1</v>
      </c>
      <c r="J41" s="2">
        <v>4</v>
      </c>
      <c r="K41" s="2">
        <v>2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>
        <v>0</v>
      </c>
      <c r="T41">
        <v>1</v>
      </c>
      <c r="U41">
        <v>0</v>
      </c>
      <c r="V41">
        <v>0</v>
      </c>
      <c r="W41">
        <v>4</v>
      </c>
      <c r="X41">
        <v>0</v>
      </c>
      <c r="Y41">
        <v>1</v>
      </c>
      <c r="Z41">
        <v>0</v>
      </c>
      <c r="AA41">
        <v>0</v>
      </c>
      <c r="AB41">
        <v>62</v>
      </c>
      <c r="AC41" t="s">
        <v>126</v>
      </c>
    </row>
    <row r="42" spans="1:29" ht="16" customHeight="1" x14ac:dyDescent="0.2">
      <c r="A42" s="1" t="s">
        <v>188</v>
      </c>
      <c r="B42" s="2" t="s">
        <v>149</v>
      </c>
      <c r="C42" s="2">
        <v>7</v>
      </c>
      <c r="D42" s="2" t="s">
        <v>138</v>
      </c>
      <c r="E42" s="2">
        <v>1450</v>
      </c>
      <c r="F42" s="2">
        <v>0</v>
      </c>
      <c r="G42" s="2">
        <v>0</v>
      </c>
      <c r="H42" s="2">
        <v>1</v>
      </c>
      <c r="I42" s="2">
        <v>1</v>
      </c>
      <c r="J42" s="2">
        <v>4</v>
      </c>
      <c r="K42" s="2">
        <v>1</v>
      </c>
      <c r="L42" s="2">
        <v>1</v>
      </c>
      <c r="M42" s="2">
        <v>5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>
        <v>3</v>
      </c>
      <c r="T42">
        <v>1</v>
      </c>
      <c r="U42">
        <v>1</v>
      </c>
      <c r="V42">
        <v>1</v>
      </c>
      <c r="W42">
        <v>4</v>
      </c>
      <c r="X42">
        <v>1</v>
      </c>
      <c r="Y42">
        <v>0</v>
      </c>
      <c r="Z42">
        <v>1</v>
      </c>
      <c r="AA42">
        <v>1</v>
      </c>
      <c r="AB42">
        <v>65</v>
      </c>
      <c r="AC42" t="s">
        <v>126</v>
      </c>
    </row>
    <row r="43" spans="1:29" ht="16" customHeight="1" x14ac:dyDescent="0.2">
      <c r="A43" s="1" t="s">
        <v>189</v>
      </c>
      <c r="B43" s="2" t="s">
        <v>124</v>
      </c>
      <c r="C43" s="2">
        <v>7</v>
      </c>
      <c r="D43" s="2" t="s">
        <v>140</v>
      </c>
      <c r="E43" s="2">
        <v>8503</v>
      </c>
      <c r="F43" s="2">
        <v>0</v>
      </c>
      <c r="G43" s="2">
        <v>0</v>
      </c>
      <c r="H43" s="2">
        <v>1</v>
      </c>
      <c r="I43" s="2">
        <v>-1</v>
      </c>
      <c r="J43" s="2">
        <v>2</v>
      </c>
      <c r="K43" s="2">
        <v>2</v>
      </c>
      <c r="L43" s="2">
        <v>2</v>
      </c>
      <c r="M43" s="2">
        <v>2</v>
      </c>
      <c r="N43" s="2">
        <v>1</v>
      </c>
      <c r="O43" s="2">
        <v>0</v>
      </c>
      <c r="P43" s="2">
        <v>1</v>
      </c>
      <c r="Q43" s="2">
        <v>0</v>
      </c>
      <c r="R43" s="2">
        <v>1</v>
      </c>
      <c r="S43">
        <v>0</v>
      </c>
      <c r="T43">
        <v>1</v>
      </c>
      <c r="U43">
        <v>0</v>
      </c>
      <c r="V43">
        <v>1</v>
      </c>
      <c r="W43">
        <v>4</v>
      </c>
      <c r="X43">
        <v>-1</v>
      </c>
      <c r="Y43">
        <v>1</v>
      </c>
      <c r="Z43">
        <v>0</v>
      </c>
      <c r="AA43">
        <v>0</v>
      </c>
      <c r="AB43">
        <v>68</v>
      </c>
      <c r="AC43" t="s">
        <v>126</v>
      </c>
    </row>
    <row r="44" spans="1:29" ht="16" customHeight="1" x14ac:dyDescent="0.2">
      <c r="A44" s="1" t="s">
        <v>190</v>
      </c>
      <c r="B44" s="2" t="s">
        <v>128</v>
      </c>
      <c r="C44" s="2">
        <v>8</v>
      </c>
      <c r="D44" s="2" t="s">
        <v>125</v>
      </c>
      <c r="E44" s="2">
        <v>9016</v>
      </c>
      <c r="F44" s="2">
        <v>0</v>
      </c>
      <c r="G44" s="2">
        <v>0</v>
      </c>
      <c r="H44" s="2">
        <v>0</v>
      </c>
      <c r="I44" s="2">
        <v>1</v>
      </c>
      <c r="J44" s="2">
        <v>2</v>
      </c>
      <c r="K44" s="2">
        <v>3</v>
      </c>
      <c r="L44" s="2">
        <v>1</v>
      </c>
      <c r="M44" s="2">
        <v>2</v>
      </c>
      <c r="N44" s="2">
        <v>1</v>
      </c>
      <c r="O44" s="2">
        <v>1</v>
      </c>
      <c r="P44" s="2">
        <v>1</v>
      </c>
      <c r="Q44" s="2">
        <v>1</v>
      </c>
      <c r="R44" s="2">
        <v>0</v>
      </c>
      <c r="S44">
        <v>0</v>
      </c>
      <c r="T44">
        <v>0</v>
      </c>
      <c r="U44">
        <v>1</v>
      </c>
      <c r="V44">
        <v>0</v>
      </c>
      <c r="W44">
        <v>2</v>
      </c>
      <c r="X44">
        <v>1</v>
      </c>
      <c r="Y44">
        <v>0</v>
      </c>
      <c r="Z44">
        <v>0</v>
      </c>
      <c r="AA44">
        <v>1</v>
      </c>
      <c r="AB44">
        <v>288</v>
      </c>
      <c r="AC44" t="s">
        <v>126</v>
      </c>
    </row>
    <row r="45" spans="1:29" ht="16" customHeight="1" x14ac:dyDescent="0.2">
      <c r="A45" s="1" t="s">
        <v>191</v>
      </c>
      <c r="B45" s="2" t="s">
        <v>124</v>
      </c>
      <c r="C45" s="2">
        <v>8</v>
      </c>
      <c r="D45" s="2" t="s">
        <v>129</v>
      </c>
      <c r="E45" s="2">
        <v>6947</v>
      </c>
      <c r="F45" s="2">
        <v>1</v>
      </c>
      <c r="G45" s="2">
        <v>0</v>
      </c>
      <c r="H45" s="2">
        <v>0</v>
      </c>
      <c r="I45" s="2">
        <v>-1</v>
      </c>
      <c r="J45" s="2">
        <v>4</v>
      </c>
      <c r="K45" s="2">
        <v>2</v>
      </c>
      <c r="L45" s="2">
        <v>1</v>
      </c>
      <c r="M45" s="2">
        <v>4</v>
      </c>
      <c r="N45" s="2">
        <v>1</v>
      </c>
      <c r="O45" s="2">
        <v>0</v>
      </c>
      <c r="P45" s="2">
        <v>0</v>
      </c>
      <c r="Q45" s="2">
        <v>0</v>
      </c>
      <c r="R45" s="2">
        <v>1</v>
      </c>
      <c r="S45">
        <v>2</v>
      </c>
      <c r="T45">
        <v>1</v>
      </c>
      <c r="U45">
        <v>0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181</v>
      </c>
      <c r="AC45" t="s">
        <v>126</v>
      </c>
    </row>
    <row r="46" spans="1:29" ht="16" customHeight="1" x14ac:dyDescent="0.2">
      <c r="A46" s="1" t="s">
        <v>192</v>
      </c>
      <c r="B46" s="2" t="s">
        <v>193</v>
      </c>
      <c r="C46" s="2">
        <v>8</v>
      </c>
      <c r="D46" s="2" t="s">
        <v>132</v>
      </c>
      <c r="E46" s="2">
        <v>6868</v>
      </c>
      <c r="F46" s="2">
        <v>1</v>
      </c>
      <c r="G46" s="2">
        <v>1</v>
      </c>
      <c r="H46" s="2">
        <v>0</v>
      </c>
      <c r="I46" s="2">
        <v>1</v>
      </c>
      <c r="J46" s="2">
        <v>5</v>
      </c>
      <c r="K46" s="2">
        <v>1</v>
      </c>
      <c r="L46" s="2">
        <v>3</v>
      </c>
      <c r="M46" s="2">
        <v>5</v>
      </c>
      <c r="N46" s="2">
        <v>1</v>
      </c>
      <c r="O46" s="2">
        <v>0</v>
      </c>
      <c r="P46" s="2">
        <v>0</v>
      </c>
      <c r="Q46" s="2">
        <v>0</v>
      </c>
      <c r="R46" s="2">
        <v>1</v>
      </c>
      <c r="S46">
        <v>1</v>
      </c>
      <c r="T46">
        <v>0</v>
      </c>
      <c r="U46">
        <v>0</v>
      </c>
      <c r="V46">
        <v>0</v>
      </c>
      <c r="W46">
        <v>5</v>
      </c>
      <c r="X46">
        <v>1</v>
      </c>
      <c r="Y46">
        <v>1</v>
      </c>
      <c r="Z46">
        <v>0</v>
      </c>
      <c r="AA46">
        <v>1</v>
      </c>
      <c r="AB46">
        <v>123</v>
      </c>
      <c r="AC46" t="s">
        <v>126</v>
      </c>
    </row>
    <row r="47" spans="1:29" ht="16" customHeight="1" x14ac:dyDescent="0.2">
      <c r="A47" s="1" t="s">
        <v>194</v>
      </c>
      <c r="B47" s="2" t="s">
        <v>195</v>
      </c>
      <c r="C47" s="2">
        <v>8</v>
      </c>
      <c r="D47" s="2" t="s">
        <v>135</v>
      </c>
      <c r="E47" s="2">
        <v>340</v>
      </c>
      <c r="F47" s="2">
        <v>0</v>
      </c>
      <c r="G47" s="2">
        <v>0</v>
      </c>
      <c r="H47" s="2">
        <v>0</v>
      </c>
      <c r="I47" s="2">
        <v>1</v>
      </c>
      <c r="J47" s="2">
        <v>2</v>
      </c>
      <c r="K47" s="2">
        <v>3</v>
      </c>
      <c r="L47" s="2">
        <v>1</v>
      </c>
      <c r="M47" s="2">
        <v>5</v>
      </c>
      <c r="N47" s="2">
        <v>1</v>
      </c>
      <c r="O47" s="2">
        <v>0</v>
      </c>
      <c r="P47" s="2">
        <v>0</v>
      </c>
      <c r="Q47" s="2">
        <v>1</v>
      </c>
      <c r="R47" s="2">
        <v>0</v>
      </c>
      <c r="S47">
        <v>-1</v>
      </c>
      <c r="T47">
        <v>1</v>
      </c>
      <c r="U47">
        <v>0</v>
      </c>
      <c r="V47">
        <v>1</v>
      </c>
      <c r="W47">
        <v>3</v>
      </c>
      <c r="X47">
        <v>0</v>
      </c>
      <c r="Y47">
        <v>0</v>
      </c>
      <c r="Z47">
        <v>0</v>
      </c>
      <c r="AA47">
        <v>0</v>
      </c>
      <c r="AB47">
        <v>246</v>
      </c>
      <c r="AC47" t="s">
        <v>126</v>
      </c>
    </row>
    <row r="48" spans="1:29" ht="16" customHeight="1" x14ac:dyDescent="0.2">
      <c r="A48" s="1" t="s">
        <v>196</v>
      </c>
      <c r="B48" s="2" t="s">
        <v>143</v>
      </c>
      <c r="C48" s="2">
        <v>8</v>
      </c>
      <c r="D48" s="2" t="s">
        <v>138</v>
      </c>
      <c r="E48" s="2">
        <v>1787</v>
      </c>
      <c r="F48" s="2">
        <v>0</v>
      </c>
      <c r="G48" s="2">
        <v>0</v>
      </c>
      <c r="H48" s="2">
        <v>0</v>
      </c>
      <c r="I48" s="2">
        <v>-1</v>
      </c>
      <c r="J48" s="2">
        <v>1</v>
      </c>
      <c r="K48" s="2">
        <v>2</v>
      </c>
      <c r="L48" s="2">
        <v>2</v>
      </c>
      <c r="M48" s="2">
        <v>3</v>
      </c>
      <c r="N48" s="2">
        <v>0</v>
      </c>
      <c r="O48" s="2">
        <v>1</v>
      </c>
      <c r="P48" s="2">
        <v>0</v>
      </c>
      <c r="Q48" s="2">
        <v>0</v>
      </c>
      <c r="R48" s="2">
        <v>1</v>
      </c>
      <c r="S48">
        <v>3</v>
      </c>
      <c r="T48">
        <v>0</v>
      </c>
      <c r="U48">
        <v>0</v>
      </c>
      <c r="V48">
        <v>1</v>
      </c>
      <c r="W48">
        <v>4</v>
      </c>
      <c r="X48">
        <v>1</v>
      </c>
      <c r="Y48">
        <v>0</v>
      </c>
      <c r="Z48">
        <v>1</v>
      </c>
      <c r="AA48">
        <v>1</v>
      </c>
      <c r="AB48">
        <v>95</v>
      </c>
      <c r="AC48" t="s">
        <v>126</v>
      </c>
    </row>
    <row r="49" spans="1:29" ht="16" customHeight="1" x14ac:dyDescent="0.2">
      <c r="A49" s="1" t="s">
        <v>197</v>
      </c>
      <c r="B49" s="2" t="s">
        <v>145</v>
      </c>
      <c r="C49" s="2">
        <v>8</v>
      </c>
      <c r="D49" s="2" t="s">
        <v>140</v>
      </c>
      <c r="E49" s="2">
        <v>3838</v>
      </c>
      <c r="F49" s="2">
        <v>1</v>
      </c>
      <c r="G49" s="2">
        <v>0</v>
      </c>
      <c r="H49" s="2">
        <v>0</v>
      </c>
      <c r="I49" s="2">
        <v>0</v>
      </c>
      <c r="J49" s="2">
        <v>2</v>
      </c>
      <c r="K49" s="2">
        <v>2</v>
      </c>
      <c r="L49" s="2">
        <v>2</v>
      </c>
      <c r="M49" s="2">
        <v>1</v>
      </c>
      <c r="N49" s="2">
        <v>1</v>
      </c>
      <c r="O49" s="2">
        <v>1</v>
      </c>
      <c r="P49" s="2">
        <v>1</v>
      </c>
      <c r="Q49" s="2">
        <v>0</v>
      </c>
      <c r="R49" s="2">
        <v>0</v>
      </c>
      <c r="S49">
        <v>2</v>
      </c>
      <c r="T49">
        <v>1</v>
      </c>
      <c r="U49">
        <v>0</v>
      </c>
      <c r="V49">
        <v>0</v>
      </c>
      <c r="W49">
        <v>5</v>
      </c>
      <c r="X49">
        <v>1</v>
      </c>
      <c r="Y49">
        <v>1</v>
      </c>
      <c r="Z49">
        <v>0</v>
      </c>
      <c r="AA49">
        <v>0</v>
      </c>
      <c r="AB49">
        <v>148</v>
      </c>
      <c r="AC49" t="s">
        <v>126</v>
      </c>
    </row>
    <row r="50" spans="1:29" ht="16" customHeight="1" x14ac:dyDescent="0.2">
      <c r="A50" s="1" t="s">
        <v>198</v>
      </c>
      <c r="B50" s="2" t="s">
        <v>199</v>
      </c>
      <c r="C50" s="2">
        <v>9</v>
      </c>
      <c r="D50" s="2" t="s">
        <v>125</v>
      </c>
      <c r="E50" s="2">
        <v>2340</v>
      </c>
      <c r="F50" s="2">
        <v>1</v>
      </c>
      <c r="G50" s="2">
        <v>1</v>
      </c>
      <c r="H50" s="2">
        <v>1</v>
      </c>
      <c r="I50" s="2">
        <v>0</v>
      </c>
      <c r="J50" s="2">
        <v>1</v>
      </c>
      <c r="K50" s="2">
        <v>2</v>
      </c>
      <c r="L50" s="2">
        <v>3</v>
      </c>
      <c r="M50" s="2">
        <v>4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>
        <v>0</v>
      </c>
      <c r="T50">
        <v>0</v>
      </c>
      <c r="U50">
        <v>0</v>
      </c>
      <c r="V50">
        <v>1</v>
      </c>
      <c r="W50">
        <v>3</v>
      </c>
      <c r="X50">
        <v>0</v>
      </c>
      <c r="Y50">
        <v>0</v>
      </c>
      <c r="Z50">
        <v>1</v>
      </c>
      <c r="AA50">
        <v>0</v>
      </c>
      <c r="AB50">
        <v>9</v>
      </c>
      <c r="AC50" t="s">
        <v>126</v>
      </c>
    </row>
    <row r="51" spans="1:29" ht="16" customHeight="1" x14ac:dyDescent="0.2">
      <c r="A51" s="1" t="s">
        <v>200</v>
      </c>
      <c r="B51" s="2" t="s">
        <v>201</v>
      </c>
      <c r="C51" s="2">
        <v>9</v>
      </c>
      <c r="D51" s="2" t="s">
        <v>129</v>
      </c>
      <c r="E51" s="2">
        <v>639</v>
      </c>
      <c r="F51" s="2">
        <v>0</v>
      </c>
      <c r="G51" s="2">
        <v>0</v>
      </c>
      <c r="H51" s="2">
        <v>1</v>
      </c>
      <c r="I51" s="2">
        <v>1</v>
      </c>
      <c r="J51" s="2">
        <v>1</v>
      </c>
      <c r="K51" s="2">
        <v>3</v>
      </c>
      <c r="L51" s="2">
        <v>3</v>
      </c>
      <c r="M51" s="2">
        <v>5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>
        <v>-1</v>
      </c>
      <c r="T51">
        <v>0</v>
      </c>
      <c r="U51">
        <v>1</v>
      </c>
      <c r="V51">
        <v>1</v>
      </c>
      <c r="W51">
        <v>3</v>
      </c>
      <c r="X51">
        <v>-1</v>
      </c>
      <c r="Y51">
        <v>1</v>
      </c>
      <c r="Z51">
        <v>1</v>
      </c>
      <c r="AA51">
        <v>0</v>
      </c>
      <c r="AB51">
        <v>38</v>
      </c>
      <c r="AC51" t="s">
        <v>126</v>
      </c>
    </row>
    <row r="52" spans="1:29" ht="16" customHeight="1" x14ac:dyDescent="0.2">
      <c r="A52" s="1" t="s">
        <v>202</v>
      </c>
      <c r="B52" s="2" t="s">
        <v>124</v>
      </c>
      <c r="C52" s="2">
        <v>9</v>
      </c>
      <c r="D52" s="2" t="s">
        <v>132</v>
      </c>
      <c r="E52" s="2">
        <v>2228</v>
      </c>
      <c r="F52" s="2">
        <v>1</v>
      </c>
      <c r="G52" s="2">
        <v>1</v>
      </c>
      <c r="H52" s="2">
        <v>0</v>
      </c>
      <c r="I52" s="2">
        <v>1</v>
      </c>
      <c r="J52" s="2">
        <v>2</v>
      </c>
      <c r="K52" s="2">
        <v>1</v>
      </c>
      <c r="L52" s="2">
        <v>1</v>
      </c>
      <c r="M52" s="2">
        <v>4</v>
      </c>
      <c r="N52" s="2">
        <v>1</v>
      </c>
      <c r="O52" s="2">
        <v>0</v>
      </c>
      <c r="P52" s="2">
        <v>1</v>
      </c>
      <c r="Q52" s="2">
        <v>1</v>
      </c>
      <c r="R52" s="2">
        <v>1</v>
      </c>
      <c r="S52">
        <v>-1</v>
      </c>
      <c r="T52">
        <v>0</v>
      </c>
      <c r="U52">
        <v>1</v>
      </c>
      <c r="V52">
        <v>1</v>
      </c>
      <c r="W52">
        <v>5</v>
      </c>
      <c r="X52">
        <v>0</v>
      </c>
      <c r="Y52">
        <v>1</v>
      </c>
      <c r="Z52">
        <v>1</v>
      </c>
      <c r="AA52">
        <v>0</v>
      </c>
      <c r="AB52">
        <v>280</v>
      </c>
      <c r="AC52" t="s">
        <v>126</v>
      </c>
    </row>
    <row r="53" spans="1:29" ht="16" customHeight="1" x14ac:dyDescent="0.2">
      <c r="A53" s="1" t="s">
        <v>203</v>
      </c>
      <c r="B53" s="2" t="s">
        <v>168</v>
      </c>
      <c r="C53" s="2">
        <v>9</v>
      </c>
      <c r="D53" s="2" t="s">
        <v>135</v>
      </c>
      <c r="E53" s="2">
        <v>1585</v>
      </c>
      <c r="F53" s="2">
        <v>0</v>
      </c>
      <c r="G53" s="2">
        <v>1</v>
      </c>
      <c r="H53" s="2">
        <v>1</v>
      </c>
      <c r="I53" s="2">
        <v>0</v>
      </c>
      <c r="J53" s="2">
        <v>5</v>
      </c>
      <c r="K53" s="2">
        <v>3</v>
      </c>
      <c r="L53" s="2">
        <v>1</v>
      </c>
      <c r="M53" s="2">
        <v>4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>
        <v>-1</v>
      </c>
      <c r="T53">
        <v>0</v>
      </c>
      <c r="U53">
        <v>0</v>
      </c>
      <c r="V53">
        <v>0</v>
      </c>
      <c r="W53">
        <v>4</v>
      </c>
      <c r="X53">
        <v>0</v>
      </c>
      <c r="Y53">
        <v>1</v>
      </c>
      <c r="Z53">
        <v>0</v>
      </c>
      <c r="AA53">
        <v>1</v>
      </c>
      <c r="AB53">
        <v>110</v>
      </c>
      <c r="AC53" t="s">
        <v>126</v>
      </c>
    </row>
    <row r="54" spans="1:29" ht="16" customHeight="1" x14ac:dyDescent="0.2">
      <c r="A54" s="1" t="s">
        <v>204</v>
      </c>
      <c r="B54" s="2" t="s">
        <v>176</v>
      </c>
      <c r="C54" s="2">
        <v>9</v>
      </c>
      <c r="D54" s="2" t="s">
        <v>138</v>
      </c>
      <c r="E54" s="2">
        <v>353</v>
      </c>
      <c r="F54" s="2">
        <v>1</v>
      </c>
      <c r="G54" s="2">
        <v>1</v>
      </c>
      <c r="H54" s="2">
        <v>0</v>
      </c>
      <c r="I54" s="2">
        <v>0</v>
      </c>
      <c r="J54" s="2">
        <v>3</v>
      </c>
      <c r="K54" s="2">
        <v>1</v>
      </c>
      <c r="L54" s="2">
        <v>3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1</v>
      </c>
      <c r="S54">
        <v>1</v>
      </c>
      <c r="T54">
        <v>0</v>
      </c>
      <c r="U54">
        <v>0</v>
      </c>
      <c r="V54">
        <v>0</v>
      </c>
      <c r="W54">
        <v>4</v>
      </c>
      <c r="X54">
        <v>-1</v>
      </c>
      <c r="Y54">
        <v>1</v>
      </c>
      <c r="Z54">
        <v>1</v>
      </c>
      <c r="AA54">
        <v>0</v>
      </c>
      <c r="AB54">
        <v>200</v>
      </c>
      <c r="AC54" t="s">
        <v>126</v>
      </c>
    </row>
    <row r="55" spans="1:29" ht="16" customHeight="1" x14ac:dyDescent="0.2">
      <c r="A55" s="1" t="s">
        <v>205</v>
      </c>
      <c r="B55" s="2" t="s">
        <v>159</v>
      </c>
      <c r="C55" s="2">
        <v>9</v>
      </c>
      <c r="D55" s="2" t="s">
        <v>140</v>
      </c>
      <c r="E55" s="2">
        <v>694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2</v>
      </c>
      <c r="L55" s="2">
        <v>2</v>
      </c>
      <c r="M55" s="2">
        <v>5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>
        <v>2</v>
      </c>
      <c r="T55">
        <v>0</v>
      </c>
      <c r="U55">
        <v>0</v>
      </c>
      <c r="V55">
        <v>1</v>
      </c>
      <c r="W55">
        <v>5</v>
      </c>
      <c r="X55">
        <v>-1</v>
      </c>
      <c r="Y55">
        <v>1</v>
      </c>
      <c r="Z55">
        <v>0</v>
      </c>
      <c r="AA55">
        <v>1</v>
      </c>
      <c r="AB55">
        <v>162</v>
      </c>
      <c r="AC55" t="s">
        <v>126</v>
      </c>
    </row>
    <row r="56" spans="1:29" ht="16" customHeight="1" x14ac:dyDescent="0.2">
      <c r="A56" s="1" t="s">
        <v>206</v>
      </c>
      <c r="B56" s="2" t="s">
        <v>143</v>
      </c>
      <c r="C56" s="2">
        <v>10</v>
      </c>
      <c r="D56" s="2" t="s">
        <v>125</v>
      </c>
      <c r="E56" s="2">
        <v>48</v>
      </c>
      <c r="F56" s="2">
        <v>0</v>
      </c>
      <c r="G56" s="2">
        <v>1</v>
      </c>
      <c r="H56" s="2">
        <v>0</v>
      </c>
      <c r="I56" s="2">
        <v>0</v>
      </c>
      <c r="J56" s="2">
        <v>2</v>
      </c>
      <c r="K56" s="2">
        <v>2</v>
      </c>
      <c r="L56" s="2">
        <v>3</v>
      </c>
      <c r="M56" s="2">
        <v>3</v>
      </c>
      <c r="N56" s="2">
        <v>0</v>
      </c>
      <c r="O56" s="2">
        <v>0</v>
      </c>
      <c r="P56" s="2">
        <v>1</v>
      </c>
      <c r="Q56" s="2">
        <v>0</v>
      </c>
      <c r="R56" s="2">
        <v>1</v>
      </c>
      <c r="S56">
        <v>-1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1</v>
      </c>
      <c r="AA56">
        <v>0</v>
      </c>
      <c r="AB56">
        <v>39</v>
      </c>
      <c r="AC56" t="s">
        <v>126</v>
      </c>
    </row>
    <row r="57" spans="1:29" ht="16" customHeight="1" x14ac:dyDescent="0.2">
      <c r="A57" s="1" t="s">
        <v>207</v>
      </c>
      <c r="B57" s="2" t="s">
        <v>208</v>
      </c>
      <c r="C57" s="2">
        <v>10</v>
      </c>
      <c r="D57" s="2" t="s">
        <v>129</v>
      </c>
      <c r="E57" s="2">
        <v>7030</v>
      </c>
      <c r="F57" s="2">
        <v>1</v>
      </c>
      <c r="G57" s="2">
        <v>1</v>
      </c>
      <c r="H57" s="2">
        <v>0</v>
      </c>
      <c r="I57" s="2">
        <v>0</v>
      </c>
      <c r="J57" s="2">
        <v>5</v>
      </c>
      <c r="K57" s="2">
        <v>3</v>
      </c>
      <c r="L57" s="2">
        <v>1</v>
      </c>
      <c r="M57" s="2">
        <v>2</v>
      </c>
      <c r="N57" s="2">
        <v>0</v>
      </c>
      <c r="O57" s="2">
        <v>1</v>
      </c>
      <c r="P57" s="2">
        <v>0</v>
      </c>
      <c r="Q57" s="2">
        <v>1</v>
      </c>
      <c r="R57" s="2">
        <v>1</v>
      </c>
      <c r="S57">
        <v>2</v>
      </c>
      <c r="T57">
        <v>1</v>
      </c>
      <c r="U57">
        <v>0</v>
      </c>
      <c r="V57">
        <v>0</v>
      </c>
      <c r="W57">
        <v>5</v>
      </c>
      <c r="X57">
        <v>-1</v>
      </c>
      <c r="Y57">
        <v>1</v>
      </c>
      <c r="Z57">
        <v>1</v>
      </c>
      <c r="AA57">
        <v>1</v>
      </c>
      <c r="AB57">
        <v>129</v>
      </c>
      <c r="AC57" t="s">
        <v>126</v>
      </c>
    </row>
    <row r="58" spans="1:29" ht="16" customHeight="1" x14ac:dyDescent="0.2">
      <c r="A58" s="1" t="s">
        <v>209</v>
      </c>
      <c r="B58" s="2" t="s">
        <v>143</v>
      </c>
      <c r="C58" s="2">
        <v>10</v>
      </c>
      <c r="D58" s="2" t="s">
        <v>132</v>
      </c>
      <c r="E58" s="2">
        <v>7903</v>
      </c>
      <c r="F58" s="2">
        <v>1</v>
      </c>
      <c r="G58" s="2">
        <v>1</v>
      </c>
      <c r="H58" s="2">
        <v>0</v>
      </c>
      <c r="I58" s="2">
        <v>1</v>
      </c>
      <c r="J58" s="2">
        <v>5</v>
      </c>
      <c r="K58" s="2">
        <v>1</v>
      </c>
      <c r="L58" s="2">
        <v>2</v>
      </c>
      <c r="M58" s="2">
        <v>4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>
        <v>1</v>
      </c>
      <c r="T58">
        <v>1</v>
      </c>
      <c r="U58">
        <v>0</v>
      </c>
      <c r="V58">
        <v>0</v>
      </c>
      <c r="W58">
        <v>5</v>
      </c>
      <c r="X58">
        <v>0</v>
      </c>
      <c r="Y58">
        <v>0</v>
      </c>
      <c r="Z58">
        <v>1</v>
      </c>
      <c r="AA58">
        <v>0</v>
      </c>
      <c r="AB58">
        <v>89</v>
      </c>
      <c r="AC58" t="s">
        <v>126</v>
      </c>
    </row>
    <row r="59" spans="1:29" ht="16" customHeight="1" x14ac:dyDescent="0.2">
      <c r="A59" s="1" t="s">
        <v>210</v>
      </c>
      <c r="B59" s="2" t="s">
        <v>128</v>
      </c>
      <c r="C59" s="2">
        <v>10</v>
      </c>
      <c r="D59" s="2" t="s">
        <v>135</v>
      </c>
      <c r="E59" s="2">
        <v>271</v>
      </c>
      <c r="F59" s="2">
        <v>1</v>
      </c>
      <c r="G59" s="2">
        <v>0</v>
      </c>
      <c r="H59" s="2">
        <v>0</v>
      </c>
      <c r="I59" s="2">
        <v>1</v>
      </c>
      <c r="J59" s="2">
        <v>2</v>
      </c>
      <c r="K59" s="2">
        <v>2</v>
      </c>
      <c r="L59" s="2">
        <v>2</v>
      </c>
      <c r="M59" s="2">
        <v>1</v>
      </c>
      <c r="N59" s="2">
        <v>0</v>
      </c>
      <c r="O59" s="2">
        <v>1</v>
      </c>
      <c r="P59" s="2">
        <v>1</v>
      </c>
      <c r="Q59" s="2">
        <v>1</v>
      </c>
      <c r="R59" s="2">
        <v>1</v>
      </c>
      <c r="S59">
        <v>-1</v>
      </c>
      <c r="T59">
        <v>1</v>
      </c>
      <c r="U59">
        <v>0</v>
      </c>
      <c r="V59">
        <v>1</v>
      </c>
      <c r="W59">
        <v>5</v>
      </c>
      <c r="X59">
        <v>-1</v>
      </c>
      <c r="Y59">
        <v>0</v>
      </c>
      <c r="Z59">
        <v>0</v>
      </c>
      <c r="AA59">
        <v>0</v>
      </c>
      <c r="AB59">
        <v>53</v>
      </c>
      <c r="AC59" t="s">
        <v>126</v>
      </c>
    </row>
    <row r="60" spans="1:29" ht="16" customHeight="1" x14ac:dyDescent="0.2">
      <c r="A60" s="1" t="s">
        <v>211</v>
      </c>
      <c r="B60" s="2" t="s">
        <v>161</v>
      </c>
      <c r="C60" s="2">
        <v>10</v>
      </c>
      <c r="D60" s="2" t="s">
        <v>138</v>
      </c>
      <c r="E60" s="2">
        <v>1405</v>
      </c>
      <c r="F60" s="2">
        <v>0</v>
      </c>
      <c r="G60" s="2">
        <v>0</v>
      </c>
      <c r="H60" s="2">
        <v>1</v>
      </c>
      <c r="I60" s="2">
        <v>-1</v>
      </c>
      <c r="J60" s="2">
        <v>3</v>
      </c>
      <c r="K60" s="2">
        <v>1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1</v>
      </c>
      <c r="R60" s="2">
        <v>1</v>
      </c>
      <c r="S60">
        <v>0</v>
      </c>
      <c r="T60">
        <v>0</v>
      </c>
      <c r="U60">
        <v>0</v>
      </c>
      <c r="V60">
        <v>1</v>
      </c>
      <c r="W60">
        <v>4</v>
      </c>
      <c r="X60">
        <v>0</v>
      </c>
      <c r="Y60">
        <v>0</v>
      </c>
      <c r="Z60">
        <v>0</v>
      </c>
      <c r="AA60">
        <v>0</v>
      </c>
      <c r="AB60">
        <v>212</v>
      </c>
      <c r="AC60" t="s">
        <v>126</v>
      </c>
    </row>
    <row r="61" spans="1:29" ht="16" customHeight="1" x14ac:dyDescent="0.2">
      <c r="A61" s="1" t="s">
        <v>212</v>
      </c>
      <c r="B61" s="2" t="s">
        <v>137</v>
      </c>
      <c r="C61" s="2">
        <v>10</v>
      </c>
      <c r="D61" s="2" t="s">
        <v>140</v>
      </c>
      <c r="E61" s="2">
        <v>4458</v>
      </c>
      <c r="F61" s="2">
        <v>1</v>
      </c>
      <c r="G61" s="2">
        <v>1</v>
      </c>
      <c r="H61" s="2">
        <v>1</v>
      </c>
      <c r="I61" s="2">
        <v>0</v>
      </c>
      <c r="J61" s="2">
        <v>5</v>
      </c>
      <c r="K61" s="2">
        <v>1</v>
      </c>
      <c r="L61" s="2">
        <v>1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1</v>
      </c>
      <c r="S61">
        <v>2</v>
      </c>
      <c r="T61">
        <v>0</v>
      </c>
      <c r="U61">
        <v>0</v>
      </c>
      <c r="V61">
        <v>1</v>
      </c>
      <c r="W61">
        <v>4</v>
      </c>
      <c r="X61">
        <v>0</v>
      </c>
      <c r="Y61">
        <v>0</v>
      </c>
      <c r="Z61">
        <v>1</v>
      </c>
      <c r="AA61">
        <v>0</v>
      </c>
      <c r="AB61">
        <v>53</v>
      </c>
      <c r="AC61" t="s">
        <v>126</v>
      </c>
    </row>
    <row r="62" spans="1:29" ht="16" customHeight="1" x14ac:dyDescent="0.2">
      <c r="A62" s="1" t="s">
        <v>213</v>
      </c>
      <c r="B62" s="2" t="s">
        <v>208</v>
      </c>
      <c r="C62" s="2">
        <v>11</v>
      </c>
      <c r="D62" s="2" t="s">
        <v>125</v>
      </c>
      <c r="E62" s="2">
        <v>3173</v>
      </c>
      <c r="F62" s="2">
        <v>0</v>
      </c>
      <c r="G62" s="2">
        <v>0</v>
      </c>
      <c r="H62" s="2">
        <v>0</v>
      </c>
      <c r="I62" s="2">
        <v>1</v>
      </c>
      <c r="J62" s="2">
        <v>5</v>
      </c>
      <c r="K62" s="2">
        <v>3</v>
      </c>
      <c r="L62" s="2">
        <v>2</v>
      </c>
      <c r="M62" s="2">
        <v>4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>
        <v>1</v>
      </c>
      <c r="T62">
        <v>0</v>
      </c>
      <c r="U62">
        <v>1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183</v>
      </c>
      <c r="AC62" t="s">
        <v>126</v>
      </c>
    </row>
    <row r="63" spans="1:29" ht="16" customHeight="1" x14ac:dyDescent="0.2">
      <c r="A63" s="1" t="s">
        <v>214</v>
      </c>
      <c r="B63" s="2" t="s">
        <v>185</v>
      </c>
      <c r="C63" s="2">
        <v>11</v>
      </c>
      <c r="D63" s="2" t="s">
        <v>129</v>
      </c>
      <c r="E63" s="2">
        <v>578</v>
      </c>
      <c r="F63" s="2">
        <v>1</v>
      </c>
      <c r="G63" s="2">
        <v>0</v>
      </c>
      <c r="H63" s="2">
        <v>0</v>
      </c>
      <c r="I63" s="2">
        <v>-1</v>
      </c>
      <c r="J63" s="2">
        <v>5</v>
      </c>
      <c r="K63" s="2">
        <v>2</v>
      </c>
      <c r="L63" s="2">
        <v>2</v>
      </c>
      <c r="M63" s="2">
        <v>1</v>
      </c>
      <c r="N63" s="2">
        <v>1</v>
      </c>
      <c r="O63" s="2">
        <v>1</v>
      </c>
      <c r="P63" s="2">
        <v>0</v>
      </c>
      <c r="Q63" s="2">
        <v>1</v>
      </c>
      <c r="R63" s="2">
        <v>1</v>
      </c>
      <c r="S63">
        <v>3</v>
      </c>
      <c r="T63">
        <v>0</v>
      </c>
      <c r="U63">
        <v>0</v>
      </c>
      <c r="V63">
        <v>1</v>
      </c>
      <c r="W63">
        <v>1</v>
      </c>
      <c r="X63">
        <v>-1</v>
      </c>
      <c r="Y63">
        <v>0</v>
      </c>
      <c r="Z63">
        <v>1</v>
      </c>
      <c r="AA63">
        <v>0</v>
      </c>
      <c r="AB63">
        <v>49</v>
      </c>
      <c r="AC63" t="s">
        <v>126</v>
      </c>
    </row>
    <row r="64" spans="1:29" ht="16" customHeight="1" x14ac:dyDescent="0.2">
      <c r="A64" s="1" t="s">
        <v>215</v>
      </c>
      <c r="B64" s="2" t="s">
        <v>128</v>
      </c>
      <c r="C64" s="2">
        <v>11</v>
      </c>
      <c r="D64" s="2" t="s">
        <v>132</v>
      </c>
      <c r="E64" s="2">
        <v>432</v>
      </c>
      <c r="F64" s="2">
        <v>1</v>
      </c>
      <c r="G64" s="2">
        <v>0</v>
      </c>
      <c r="H64" s="2">
        <v>1</v>
      </c>
      <c r="I64" s="2">
        <v>1</v>
      </c>
      <c r="J64" s="2">
        <v>1</v>
      </c>
      <c r="K64" s="2">
        <v>2</v>
      </c>
      <c r="L64" s="2">
        <v>3</v>
      </c>
      <c r="M64" s="2">
        <v>1</v>
      </c>
      <c r="N64" s="2">
        <v>0</v>
      </c>
      <c r="O64" s="2">
        <v>1</v>
      </c>
      <c r="P64" s="2">
        <v>0</v>
      </c>
      <c r="Q64" s="2">
        <v>1</v>
      </c>
      <c r="R64" s="2">
        <v>0</v>
      </c>
      <c r="S64">
        <v>2</v>
      </c>
      <c r="T64">
        <v>1</v>
      </c>
      <c r="U64">
        <v>0</v>
      </c>
      <c r="V64">
        <v>0</v>
      </c>
      <c r="W64">
        <v>1</v>
      </c>
      <c r="X64">
        <v>-1</v>
      </c>
      <c r="Y64">
        <v>1</v>
      </c>
      <c r="Z64">
        <v>1</v>
      </c>
      <c r="AA64">
        <v>1</v>
      </c>
      <c r="AB64">
        <v>148</v>
      </c>
      <c r="AC64" t="s">
        <v>126</v>
      </c>
    </row>
    <row r="65" spans="1:29" ht="16" customHeight="1" x14ac:dyDescent="0.2">
      <c r="A65" s="1" t="s">
        <v>216</v>
      </c>
      <c r="B65" s="2" t="s">
        <v>145</v>
      </c>
      <c r="C65" s="2">
        <v>11</v>
      </c>
      <c r="D65" s="2" t="s">
        <v>135</v>
      </c>
      <c r="E65" s="2">
        <v>20</v>
      </c>
      <c r="F65" s="2">
        <v>0</v>
      </c>
      <c r="G65" s="2">
        <v>0</v>
      </c>
      <c r="H65" s="2">
        <v>1</v>
      </c>
      <c r="I65" s="2">
        <v>0</v>
      </c>
      <c r="J65" s="2">
        <v>5</v>
      </c>
      <c r="K65" s="2">
        <v>1</v>
      </c>
      <c r="L65" s="2">
        <v>1</v>
      </c>
      <c r="M65" s="2">
        <v>4</v>
      </c>
      <c r="N65" s="2">
        <v>1</v>
      </c>
      <c r="O65" s="2">
        <v>1</v>
      </c>
      <c r="P65" s="2">
        <v>0</v>
      </c>
      <c r="Q65" s="2">
        <v>1</v>
      </c>
      <c r="R65" s="2">
        <v>1</v>
      </c>
      <c r="S65">
        <v>1</v>
      </c>
      <c r="T65">
        <v>0</v>
      </c>
      <c r="U65">
        <v>0</v>
      </c>
      <c r="V65">
        <v>1</v>
      </c>
      <c r="W65">
        <v>2</v>
      </c>
      <c r="X65">
        <v>-1</v>
      </c>
      <c r="Y65">
        <v>1</v>
      </c>
      <c r="Z65">
        <v>1</v>
      </c>
      <c r="AA65">
        <v>1</v>
      </c>
      <c r="AB65">
        <v>290</v>
      </c>
      <c r="AC65" t="s">
        <v>126</v>
      </c>
    </row>
    <row r="66" spans="1:29" ht="16" customHeight="1" x14ac:dyDescent="0.2">
      <c r="A66" s="1" t="s">
        <v>217</v>
      </c>
      <c r="B66" s="2" t="s">
        <v>208</v>
      </c>
      <c r="C66" s="2">
        <v>11</v>
      </c>
      <c r="D66" s="2" t="s">
        <v>138</v>
      </c>
      <c r="E66" s="2">
        <v>10922</v>
      </c>
      <c r="F66" s="2">
        <v>1</v>
      </c>
      <c r="G66" s="2">
        <v>0</v>
      </c>
      <c r="H66" s="2">
        <v>1</v>
      </c>
      <c r="I66" s="2">
        <v>1</v>
      </c>
      <c r="J66" s="2">
        <v>5</v>
      </c>
      <c r="K66" s="2">
        <v>1</v>
      </c>
      <c r="L66" s="2">
        <v>1</v>
      </c>
      <c r="M66" s="2">
        <v>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>
        <v>-1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154</v>
      </c>
      <c r="AC66" t="s">
        <v>126</v>
      </c>
    </row>
    <row r="67" spans="1:29" ht="16" customHeight="1" x14ac:dyDescent="0.2">
      <c r="A67" s="1" t="s">
        <v>218</v>
      </c>
      <c r="B67" s="2" t="s">
        <v>161</v>
      </c>
      <c r="C67" s="2">
        <v>11</v>
      </c>
      <c r="D67" s="2" t="s">
        <v>140</v>
      </c>
      <c r="E67" s="2">
        <v>1468</v>
      </c>
      <c r="F67" s="2">
        <v>1</v>
      </c>
      <c r="G67" s="2">
        <v>1</v>
      </c>
      <c r="H67" s="2">
        <v>1</v>
      </c>
      <c r="I67" s="2">
        <v>-1</v>
      </c>
      <c r="J67" s="2">
        <v>4</v>
      </c>
      <c r="K67" s="2">
        <v>2</v>
      </c>
      <c r="L67" s="2">
        <v>3</v>
      </c>
      <c r="M67" s="2">
        <v>3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>
        <v>3</v>
      </c>
      <c r="T67">
        <v>1</v>
      </c>
      <c r="U67">
        <v>0</v>
      </c>
      <c r="V67">
        <v>0</v>
      </c>
      <c r="W67">
        <v>2</v>
      </c>
      <c r="X67">
        <v>1</v>
      </c>
      <c r="Y67">
        <v>1</v>
      </c>
      <c r="Z67">
        <v>1</v>
      </c>
      <c r="AA67">
        <v>1</v>
      </c>
      <c r="AB67">
        <v>231</v>
      </c>
      <c r="AC67" t="s">
        <v>126</v>
      </c>
    </row>
    <row r="68" spans="1:29" ht="16" customHeight="1" x14ac:dyDescent="0.2">
      <c r="A68" s="1" t="s">
        <v>219</v>
      </c>
      <c r="B68" s="2" t="s">
        <v>128</v>
      </c>
      <c r="C68" s="2">
        <v>12</v>
      </c>
      <c r="D68" s="2" t="s">
        <v>125</v>
      </c>
      <c r="E68" s="2">
        <v>9767</v>
      </c>
      <c r="F68" s="2">
        <v>0</v>
      </c>
      <c r="G68" s="2">
        <v>1</v>
      </c>
      <c r="H68" s="2">
        <v>1</v>
      </c>
      <c r="I68" s="2">
        <v>-1</v>
      </c>
      <c r="J68" s="2">
        <v>3</v>
      </c>
      <c r="K68" s="2">
        <v>1</v>
      </c>
      <c r="L68" s="2">
        <v>3</v>
      </c>
      <c r="M68" s="2">
        <v>1</v>
      </c>
      <c r="N68" s="2">
        <v>0</v>
      </c>
      <c r="O68" s="2">
        <v>1</v>
      </c>
      <c r="P68" s="2">
        <v>1</v>
      </c>
      <c r="Q68" s="2">
        <v>1</v>
      </c>
      <c r="R68" s="2">
        <v>0</v>
      </c>
      <c r="S68">
        <v>-1</v>
      </c>
      <c r="T68">
        <v>1</v>
      </c>
      <c r="U68">
        <v>0</v>
      </c>
      <c r="V68">
        <v>0</v>
      </c>
      <c r="W68">
        <v>4</v>
      </c>
      <c r="X68">
        <v>-1</v>
      </c>
      <c r="Y68">
        <v>0</v>
      </c>
      <c r="Z68">
        <v>1</v>
      </c>
      <c r="AA68">
        <v>0</v>
      </c>
      <c r="AB68">
        <v>218</v>
      </c>
      <c r="AC68" t="s">
        <v>126</v>
      </c>
    </row>
    <row r="69" spans="1:29" ht="16" customHeight="1" x14ac:dyDescent="0.2">
      <c r="A69" s="1" t="s">
        <v>220</v>
      </c>
      <c r="B69" s="2" t="s">
        <v>159</v>
      </c>
      <c r="C69" s="2">
        <v>12</v>
      </c>
      <c r="D69" s="2" t="s">
        <v>129</v>
      </c>
      <c r="E69" s="2">
        <v>6423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2</v>
      </c>
      <c r="L69" s="2">
        <v>2</v>
      </c>
      <c r="M69" s="2">
        <v>3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>
        <v>2</v>
      </c>
      <c r="T69">
        <v>1</v>
      </c>
      <c r="U69">
        <v>1</v>
      </c>
      <c r="V69">
        <v>1</v>
      </c>
      <c r="W69">
        <v>5</v>
      </c>
      <c r="X69">
        <v>-1</v>
      </c>
      <c r="Y69">
        <v>1</v>
      </c>
      <c r="Z69">
        <v>1</v>
      </c>
      <c r="AA69">
        <v>1</v>
      </c>
      <c r="AB69">
        <v>171</v>
      </c>
      <c r="AC69" t="s">
        <v>126</v>
      </c>
    </row>
    <row r="70" spans="1:29" ht="16" customHeight="1" x14ac:dyDescent="0.2">
      <c r="A70" s="1" t="s">
        <v>221</v>
      </c>
      <c r="B70" s="2" t="s">
        <v>137</v>
      </c>
      <c r="C70" s="2">
        <v>12</v>
      </c>
      <c r="D70" s="2" t="s">
        <v>132</v>
      </c>
      <c r="E70" s="2">
        <v>1126</v>
      </c>
      <c r="F70" s="2">
        <v>1</v>
      </c>
      <c r="G70" s="2">
        <v>1</v>
      </c>
      <c r="H70" s="2">
        <v>0</v>
      </c>
      <c r="I70" s="2">
        <v>1</v>
      </c>
      <c r="J70" s="2">
        <v>5</v>
      </c>
      <c r="K70" s="2">
        <v>2</v>
      </c>
      <c r="L70" s="2">
        <v>3</v>
      </c>
      <c r="M70" s="2">
        <v>2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>
        <v>3</v>
      </c>
      <c r="T70">
        <v>0</v>
      </c>
      <c r="U70">
        <v>0</v>
      </c>
      <c r="V70">
        <v>1</v>
      </c>
      <c r="W70">
        <v>3</v>
      </c>
      <c r="X70">
        <v>-1</v>
      </c>
      <c r="Y70">
        <v>1</v>
      </c>
      <c r="Z70">
        <v>1</v>
      </c>
      <c r="AA70">
        <v>1</v>
      </c>
      <c r="AB70">
        <v>133</v>
      </c>
      <c r="AC70" t="s">
        <v>126</v>
      </c>
    </row>
    <row r="71" spans="1:29" ht="16" customHeight="1" x14ac:dyDescent="0.2">
      <c r="A71" s="1" t="s">
        <v>222</v>
      </c>
      <c r="B71" s="2" t="s">
        <v>134</v>
      </c>
      <c r="C71" s="2">
        <v>12</v>
      </c>
      <c r="D71" s="2" t="s">
        <v>135</v>
      </c>
      <c r="E71" s="2">
        <v>564</v>
      </c>
      <c r="F71" s="2">
        <v>1</v>
      </c>
      <c r="G71" s="2">
        <v>0</v>
      </c>
      <c r="H71" s="2">
        <v>1</v>
      </c>
      <c r="I71" s="2">
        <v>-1</v>
      </c>
      <c r="J71" s="2">
        <v>4</v>
      </c>
      <c r="K71" s="2">
        <v>2</v>
      </c>
      <c r="L71" s="2">
        <v>3</v>
      </c>
      <c r="M71" s="2">
        <v>3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>
        <v>0</v>
      </c>
      <c r="T71">
        <v>0</v>
      </c>
      <c r="U71">
        <v>0</v>
      </c>
      <c r="V71">
        <v>0</v>
      </c>
      <c r="W71">
        <v>2</v>
      </c>
      <c r="X71">
        <v>0</v>
      </c>
      <c r="Y71">
        <v>1</v>
      </c>
      <c r="Z71">
        <v>1</v>
      </c>
      <c r="AA71">
        <v>1</v>
      </c>
      <c r="AB71">
        <v>173</v>
      </c>
      <c r="AC71" t="s">
        <v>126</v>
      </c>
    </row>
    <row r="72" spans="1:29" ht="16" customHeight="1" x14ac:dyDescent="0.2">
      <c r="A72" s="1" t="s">
        <v>223</v>
      </c>
      <c r="B72" s="2" t="s">
        <v>208</v>
      </c>
      <c r="C72" s="2">
        <v>12</v>
      </c>
      <c r="D72" s="2" t="s">
        <v>138</v>
      </c>
      <c r="E72" s="2">
        <v>4093</v>
      </c>
      <c r="F72" s="2">
        <v>0</v>
      </c>
      <c r="G72" s="2">
        <v>1</v>
      </c>
      <c r="H72" s="2">
        <v>1</v>
      </c>
      <c r="I72" s="2">
        <v>1</v>
      </c>
      <c r="J72" s="2">
        <v>5</v>
      </c>
      <c r="K72" s="2">
        <v>3</v>
      </c>
      <c r="L72" s="2">
        <v>2</v>
      </c>
      <c r="M72" s="2">
        <v>1</v>
      </c>
      <c r="N72" s="2">
        <v>1</v>
      </c>
      <c r="O72" s="2">
        <v>1</v>
      </c>
      <c r="P72" s="2">
        <v>0</v>
      </c>
      <c r="Q72" s="2">
        <v>1</v>
      </c>
      <c r="R72" s="2">
        <v>1</v>
      </c>
      <c r="S72">
        <v>1</v>
      </c>
      <c r="T72">
        <v>1</v>
      </c>
      <c r="U72">
        <v>0</v>
      </c>
      <c r="V72">
        <v>1</v>
      </c>
      <c r="W72">
        <v>3</v>
      </c>
      <c r="X72">
        <v>0</v>
      </c>
      <c r="Y72">
        <v>0</v>
      </c>
      <c r="Z72">
        <v>0</v>
      </c>
      <c r="AA72">
        <v>1</v>
      </c>
      <c r="AB72">
        <v>78</v>
      </c>
      <c r="AC72" t="s">
        <v>126</v>
      </c>
    </row>
    <row r="73" spans="1:29" ht="16" customHeight="1" x14ac:dyDescent="0.2">
      <c r="A73" s="1" t="s">
        <v>224</v>
      </c>
      <c r="B73" s="2" t="s">
        <v>143</v>
      </c>
      <c r="C73" s="2">
        <v>12</v>
      </c>
      <c r="D73" s="2" t="s">
        <v>140</v>
      </c>
      <c r="E73" s="2">
        <v>1518</v>
      </c>
      <c r="F73" s="2">
        <v>1</v>
      </c>
      <c r="G73" s="2">
        <v>0</v>
      </c>
      <c r="H73" s="2">
        <v>1</v>
      </c>
      <c r="I73" s="2">
        <v>-1</v>
      </c>
      <c r="J73" s="2">
        <v>5</v>
      </c>
      <c r="K73" s="2">
        <v>3</v>
      </c>
      <c r="L73" s="2">
        <v>2</v>
      </c>
      <c r="M73" s="2">
        <v>1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>
        <v>2</v>
      </c>
      <c r="T73">
        <v>0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  <c r="AA73">
        <v>0</v>
      </c>
      <c r="AB73">
        <v>70</v>
      </c>
      <c r="AC73" t="s">
        <v>126</v>
      </c>
    </row>
    <row r="74" spans="1:29" ht="16" customHeight="1" x14ac:dyDescent="0.2">
      <c r="A74" s="1" t="s">
        <v>225</v>
      </c>
      <c r="B74" s="2" t="s">
        <v>137</v>
      </c>
      <c r="C74" s="2">
        <v>13</v>
      </c>
      <c r="D74" s="2" t="s">
        <v>125</v>
      </c>
      <c r="E74" s="2">
        <v>3799</v>
      </c>
      <c r="F74" s="2">
        <v>1</v>
      </c>
      <c r="G74" s="2">
        <v>0</v>
      </c>
      <c r="H74" s="2">
        <v>1</v>
      </c>
      <c r="I74" s="2">
        <v>0</v>
      </c>
      <c r="J74" s="2">
        <v>3</v>
      </c>
      <c r="K74" s="2">
        <v>1</v>
      </c>
      <c r="L74" s="2">
        <v>2</v>
      </c>
      <c r="M74" s="2">
        <v>4</v>
      </c>
      <c r="N74" s="2">
        <v>1</v>
      </c>
      <c r="O74" s="2">
        <v>1</v>
      </c>
      <c r="P74" s="2">
        <v>0</v>
      </c>
      <c r="Q74" s="2">
        <v>0</v>
      </c>
      <c r="R74" s="2">
        <v>1</v>
      </c>
      <c r="S74">
        <v>1</v>
      </c>
      <c r="T74">
        <v>0</v>
      </c>
      <c r="U74">
        <v>0</v>
      </c>
      <c r="V74">
        <v>0</v>
      </c>
      <c r="W74">
        <v>5</v>
      </c>
      <c r="X74">
        <v>1</v>
      </c>
      <c r="Y74">
        <v>0</v>
      </c>
      <c r="Z74">
        <v>1</v>
      </c>
      <c r="AA74">
        <v>1</v>
      </c>
      <c r="AB74">
        <v>223</v>
      </c>
      <c r="AC74" t="s">
        <v>126</v>
      </c>
    </row>
    <row r="75" spans="1:29" ht="16" customHeight="1" x14ac:dyDescent="0.2">
      <c r="A75" s="1" t="s">
        <v>226</v>
      </c>
      <c r="B75" s="2" t="s">
        <v>134</v>
      </c>
      <c r="C75" s="2">
        <v>13</v>
      </c>
      <c r="D75" s="2" t="s">
        <v>129</v>
      </c>
      <c r="E75" s="2">
        <v>3003</v>
      </c>
      <c r="F75" s="2">
        <v>1</v>
      </c>
      <c r="G75" s="2">
        <v>0</v>
      </c>
      <c r="H75" s="2">
        <v>1</v>
      </c>
      <c r="I75" s="2">
        <v>1</v>
      </c>
      <c r="J75" s="2">
        <v>2</v>
      </c>
      <c r="K75" s="2">
        <v>3</v>
      </c>
      <c r="L75" s="2">
        <v>3</v>
      </c>
      <c r="M75" s="2">
        <v>3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>
        <v>0</v>
      </c>
      <c r="T75">
        <v>0</v>
      </c>
      <c r="U75">
        <v>0</v>
      </c>
      <c r="V75">
        <v>1</v>
      </c>
      <c r="W75">
        <v>4</v>
      </c>
      <c r="X75">
        <v>1</v>
      </c>
      <c r="Y75">
        <v>0</v>
      </c>
      <c r="Z75">
        <v>0</v>
      </c>
      <c r="AA75">
        <v>0</v>
      </c>
      <c r="AB75">
        <v>95</v>
      </c>
      <c r="AC75" t="s">
        <v>126</v>
      </c>
    </row>
    <row r="76" spans="1:29" ht="16" customHeight="1" x14ac:dyDescent="0.2">
      <c r="A76" s="1" t="s">
        <v>227</v>
      </c>
      <c r="B76" s="2" t="s">
        <v>208</v>
      </c>
      <c r="C76" s="2">
        <v>13</v>
      </c>
      <c r="D76" s="2" t="s">
        <v>132</v>
      </c>
      <c r="E76" s="2">
        <v>4253</v>
      </c>
      <c r="F76" s="2">
        <v>0</v>
      </c>
      <c r="G76" s="2">
        <v>1</v>
      </c>
      <c r="H76" s="2">
        <v>1</v>
      </c>
      <c r="I76" s="2">
        <v>0</v>
      </c>
      <c r="J76" s="2">
        <v>1</v>
      </c>
      <c r="K76" s="2">
        <v>1</v>
      </c>
      <c r="L76" s="2">
        <v>3</v>
      </c>
      <c r="M76" s="2">
        <v>5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  <c r="S76">
        <v>2</v>
      </c>
      <c r="T76">
        <v>0</v>
      </c>
      <c r="U76">
        <v>1</v>
      </c>
      <c r="V76">
        <v>0</v>
      </c>
      <c r="W76">
        <v>5</v>
      </c>
      <c r="X76">
        <v>1</v>
      </c>
      <c r="Y76">
        <v>0</v>
      </c>
      <c r="Z76">
        <v>0</v>
      </c>
      <c r="AA76">
        <v>0</v>
      </c>
      <c r="AB76">
        <v>169</v>
      </c>
      <c r="AC76" t="s">
        <v>126</v>
      </c>
    </row>
    <row r="77" spans="1:29" ht="16" customHeight="1" x14ac:dyDescent="0.2">
      <c r="A77" s="1" t="s">
        <v>228</v>
      </c>
      <c r="B77" s="2" t="s">
        <v>137</v>
      </c>
      <c r="C77" s="2">
        <v>13</v>
      </c>
      <c r="D77" s="2" t="s">
        <v>135</v>
      </c>
      <c r="E77" s="2">
        <v>1056</v>
      </c>
      <c r="F77" s="2">
        <v>0</v>
      </c>
      <c r="G77" s="2">
        <v>0</v>
      </c>
      <c r="H77" s="2">
        <v>0</v>
      </c>
      <c r="I77" s="2">
        <v>1</v>
      </c>
      <c r="J77" s="2">
        <v>5</v>
      </c>
      <c r="K77" s="2">
        <v>2</v>
      </c>
      <c r="L77" s="2">
        <v>2</v>
      </c>
      <c r="M77" s="2">
        <v>2</v>
      </c>
      <c r="N77" s="2">
        <v>0</v>
      </c>
      <c r="O77" s="2">
        <v>1</v>
      </c>
      <c r="P77" s="2">
        <v>0</v>
      </c>
      <c r="Q77" s="2">
        <v>0</v>
      </c>
      <c r="R77" s="2">
        <v>1</v>
      </c>
      <c r="S77">
        <v>2</v>
      </c>
      <c r="T77">
        <v>1</v>
      </c>
      <c r="U77">
        <v>1</v>
      </c>
      <c r="V77">
        <v>1</v>
      </c>
      <c r="W77">
        <v>5</v>
      </c>
      <c r="X77">
        <v>-1</v>
      </c>
      <c r="Y77">
        <v>1</v>
      </c>
      <c r="Z77">
        <v>1</v>
      </c>
      <c r="AA77">
        <v>1</v>
      </c>
      <c r="AB77">
        <v>254</v>
      </c>
      <c r="AC77" t="s">
        <v>126</v>
      </c>
    </row>
    <row r="78" spans="1:29" ht="16" customHeight="1" x14ac:dyDescent="0.2">
      <c r="A78" s="1" t="s">
        <v>229</v>
      </c>
      <c r="B78" s="2" t="s">
        <v>208</v>
      </c>
      <c r="C78" s="2">
        <v>13</v>
      </c>
      <c r="D78" s="2" t="s">
        <v>138</v>
      </c>
      <c r="E78" s="2">
        <v>10223</v>
      </c>
      <c r="F78" s="2">
        <v>1</v>
      </c>
      <c r="G78" s="2">
        <v>0</v>
      </c>
      <c r="H78" s="2">
        <v>1</v>
      </c>
      <c r="I78" s="2">
        <v>1</v>
      </c>
      <c r="J78" s="2">
        <v>5</v>
      </c>
      <c r="K78" s="2">
        <v>3</v>
      </c>
      <c r="L78" s="2">
        <v>3</v>
      </c>
      <c r="M78" s="2">
        <v>5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>
        <v>-1</v>
      </c>
      <c r="T78">
        <v>0</v>
      </c>
      <c r="U78">
        <v>0</v>
      </c>
      <c r="V78">
        <v>1</v>
      </c>
      <c r="W78">
        <v>3</v>
      </c>
      <c r="X78">
        <v>-1</v>
      </c>
      <c r="Y78">
        <v>0</v>
      </c>
      <c r="Z78">
        <v>1</v>
      </c>
      <c r="AA78">
        <v>1</v>
      </c>
      <c r="AB78">
        <v>62</v>
      </c>
      <c r="AC78" t="s">
        <v>126</v>
      </c>
    </row>
    <row r="79" spans="1:29" ht="16" customHeight="1" x14ac:dyDescent="0.2">
      <c r="A79" s="1" t="s">
        <v>230</v>
      </c>
      <c r="B79" s="2" t="s">
        <v>145</v>
      </c>
      <c r="C79" s="2">
        <v>13</v>
      </c>
      <c r="D79" s="2" t="s">
        <v>140</v>
      </c>
      <c r="E79" s="2">
        <v>3181</v>
      </c>
      <c r="F79" s="2">
        <v>0</v>
      </c>
      <c r="G79" s="2">
        <v>1</v>
      </c>
      <c r="H79" s="2">
        <v>1</v>
      </c>
      <c r="I79" s="2">
        <v>1</v>
      </c>
      <c r="J79" s="2">
        <v>1</v>
      </c>
      <c r="K79" s="2">
        <v>3</v>
      </c>
      <c r="L79" s="2">
        <v>2</v>
      </c>
      <c r="M79" s="2">
        <v>1</v>
      </c>
      <c r="N79" s="2">
        <v>1</v>
      </c>
      <c r="O79" s="2">
        <v>1</v>
      </c>
      <c r="P79" s="2">
        <v>0</v>
      </c>
      <c r="Q79" s="2">
        <v>1</v>
      </c>
      <c r="R79" s="2">
        <v>1</v>
      </c>
      <c r="S79">
        <v>2</v>
      </c>
      <c r="T79">
        <v>1</v>
      </c>
      <c r="U79">
        <v>0</v>
      </c>
      <c r="V79">
        <v>0</v>
      </c>
      <c r="W79">
        <v>3</v>
      </c>
      <c r="X79">
        <v>0</v>
      </c>
      <c r="Y79">
        <v>1</v>
      </c>
      <c r="Z79">
        <v>0</v>
      </c>
      <c r="AA79">
        <v>1</v>
      </c>
      <c r="AB79">
        <v>286</v>
      </c>
      <c r="AC79" t="s">
        <v>126</v>
      </c>
    </row>
    <row r="80" spans="1:29" ht="16" customHeight="1" x14ac:dyDescent="0.2">
      <c r="A80" s="1" t="s">
        <v>231</v>
      </c>
      <c r="B80" s="2" t="s">
        <v>161</v>
      </c>
      <c r="C80" s="2">
        <v>14</v>
      </c>
      <c r="D80" s="2" t="s">
        <v>125</v>
      </c>
      <c r="E80" s="2">
        <v>3838</v>
      </c>
      <c r="F80" s="2">
        <v>1</v>
      </c>
      <c r="G80" s="2">
        <v>0</v>
      </c>
      <c r="H80" s="2">
        <v>0</v>
      </c>
      <c r="I80" s="2">
        <v>-1</v>
      </c>
      <c r="J80" s="2">
        <v>3</v>
      </c>
      <c r="K80" s="2">
        <v>2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>
        <v>2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0</v>
      </c>
      <c r="AB80">
        <v>270</v>
      </c>
      <c r="AC80" t="s">
        <v>126</v>
      </c>
    </row>
    <row r="81" spans="1:29" ht="16" customHeight="1" x14ac:dyDescent="0.2">
      <c r="A81" s="1" t="s">
        <v>232</v>
      </c>
      <c r="B81" s="2" t="s">
        <v>176</v>
      </c>
      <c r="C81" s="2">
        <v>14</v>
      </c>
      <c r="D81" s="2" t="s">
        <v>129</v>
      </c>
      <c r="E81" s="2">
        <v>3951</v>
      </c>
      <c r="F81" s="2">
        <v>1</v>
      </c>
      <c r="G81" s="2">
        <v>0</v>
      </c>
      <c r="H81" s="2">
        <v>0</v>
      </c>
      <c r="I81" s="2">
        <v>0</v>
      </c>
      <c r="J81" s="2">
        <v>5</v>
      </c>
      <c r="K81" s="2">
        <v>3</v>
      </c>
      <c r="L81" s="2">
        <v>1</v>
      </c>
      <c r="M81" s="2">
        <v>3</v>
      </c>
      <c r="N81" s="2">
        <v>1</v>
      </c>
      <c r="O81" s="2">
        <v>1</v>
      </c>
      <c r="P81" s="2">
        <v>1</v>
      </c>
      <c r="Q81" s="2">
        <v>0</v>
      </c>
      <c r="R81" s="2">
        <v>0</v>
      </c>
      <c r="S81">
        <v>3</v>
      </c>
      <c r="T81">
        <v>1</v>
      </c>
      <c r="U81">
        <v>1</v>
      </c>
      <c r="V81">
        <v>0</v>
      </c>
      <c r="W81">
        <v>1</v>
      </c>
      <c r="X81">
        <v>1</v>
      </c>
      <c r="Y81">
        <v>1</v>
      </c>
      <c r="Z81">
        <v>1</v>
      </c>
      <c r="AA81">
        <v>0</v>
      </c>
      <c r="AB81">
        <v>170</v>
      </c>
      <c r="AC81" t="s">
        <v>126</v>
      </c>
    </row>
    <row r="82" spans="1:29" ht="16" customHeight="1" x14ac:dyDescent="0.2">
      <c r="A82" s="1" t="s">
        <v>233</v>
      </c>
      <c r="B82" s="2" t="s">
        <v>149</v>
      </c>
      <c r="C82" s="2">
        <v>14</v>
      </c>
      <c r="D82" s="2" t="s">
        <v>132</v>
      </c>
      <c r="E82" s="2">
        <v>8503</v>
      </c>
      <c r="F82" s="2">
        <v>1</v>
      </c>
      <c r="G82" s="2">
        <v>0</v>
      </c>
      <c r="H82" s="2">
        <v>1</v>
      </c>
      <c r="I82" s="2">
        <v>0</v>
      </c>
      <c r="J82" s="2">
        <v>5</v>
      </c>
      <c r="K82" s="2">
        <v>1</v>
      </c>
      <c r="L82" s="2">
        <v>1</v>
      </c>
      <c r="M82" s="2">
        <v>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>
        <v>3</v>
      </c>
      <c r="T82">
        <v>0</v>
      </c>
      <c r="U82">
        <v>1</v>
      </c>
      <c r="V82">
        <v>0</v>
      </c>
      <c r="W82">
        <v>3</v>
      </c>
      <c r="X82">
        <v>-1</v>
      </c>
      <c r="Y82">
        <v>1</v>
      </c>
      <c r="Z82">
        <v>1</v>
      </c>
      <c r="AA82">
        <v>0</v>
      </c>
      <c r="AB82">
        <v>150</v>
      </c>
      <c r="AC82" t="s">
        <v>126</v>
      </c>
    </row>
    <row r="83" spans="1:29" ht="16" customHeight="1" x14ac:dyDescent="0.2">
      <c r="A83" s="1" t="s">
        <v>234</v>
      </c>
      <c r="B83" s="2" t="s">
        <v>185</v>
      </c>
      <c r="C83" s="2">
        <v>14</v>
      </c>
      <c r="D83" s="2" t="s">
        <v>135</v>
      </c>
      <c r="E83" s="2">
        <v>810</v>
      </c>
      <c r="F83" s="2">
        <v>1</v>
      </c>
      <c r="G83" s="2">
        <v>0</v>
      </c>
      <c r="H83" s="2">
        <v>0</v>
      </c>
      <c r="I83" s="2">
        <v>-1</v>
      </c>
      <c r="J83" s="2">
        <v>5</v>
      </c>
      <c r="K83" s="2">
        <v>2</v>
      </c>
      <c r="L83" s="2">
        <v>2</v>
      </c>
      <c r="M83" s="2">
        <v>3</v>
      </c>
      <c r="N83" s="2">
        <v>0</v>
      </c>
      <c r="O83" s="2">
        <v>0</v>
      </c>
      <c r="P83" s="2">
        <v>1</v>
      </c>
      <c r="Q83" s="2">
        <v>0</v>
      </c>
      <c r="R83" s="2">
        <v>0</v>
      </c>
      <c r="S83">
        <v>3</v>
      </c>
      <c r="T83">
        <v>0</v>
      </c>
      <c r="U83">
        <v>1</v>
      </c>
      <c r="V83">
        <v>1</v>
      </c>
      <c r="W83">
        <v>5</v>
      </c>
      <c r="X83">
        <v>-1</v>
      </c>
      <c r="Y83">
        <v>1</v>
      </c>
      <c r="Z83">
        <v>0</v>
      </c>
      <c r="AA83">
        <v>1</v>
      </c>
      <c r="AB83">
        <v>17</v>
      </c>
      <c r="AC83" t="s">
        <v>126</v>
      </c>
    </row>
    <row r="84" spans="1:29" ht="16" customHeight="1" x14ac:dyDescent="0.2">
      <c r="A84" s="1" t="s">
        <v>235</v>
      </c>
      <c r="B84" s="2" t="s">
        <v>168</v>
      </c>
      <c r="C84" s="2">
        <v>14</v>
      </c>
      <c r="D84" s="2" t="s">
        <v>138</v>
      </c>
      <c r="E84" s="2">
        <v>144</v>
      </c>
      <c r="F84" s="2">
        <v>1</v>
      </c>
      <c r="G84" s="2">
        <v>0</v>
      </c>
      <c r="H84" s="2">
        <v>1</v>
      </c>
      <c r="I84" s="2">
        <v>0</v>
      </c>
      <c r="J84" s="2">
        <v>3</v>
      </c>
      <c r="K84" s="2">
        <v>3</v>
      </c>
      <c r="L84" s="2">
        <v>2</v>
      </c>
      <c r="M84" s="2">
        <v>1</v>
      </c>
      <c r="N84" s="2">
        <v>0</v>
      </c>
      <c r="O84" s="2">
        <v>1</v>
      </c>
      <c r="P84" s="2">
        <v>0</v>
      </c>
      <c r="Q84" s="2">
        <v>0</v>
      </c>
      <c r="R84" s="2">
        <v>1</v>
      </c>
      <c r="S84">
        <v>1</v>
      </c>
      <c r="T84">
        <v>1</v>
      </c>
      <c r="U84">
        <v>1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161</v>
      </c>
      <c r="AC84" t="s">
        <v>126</v>
      </c>
    </row>
    <row r="85" spans="1:29" ht="16" customHeight="1" x14ac:dyDescent="0.2">
      <c r="A85" s="1" t="s">
        <v>236</v>
      </c>
      <c r="B85" s="2" t="s">
        <v>168</v>
      </c>
      <c r="C85" s="2">
        <v>14</v>
      </c>
      <c r="D85" s="2" t="s">
        <v>140</v>
      </c>
      <c r="E85" s="2">
        <v>5590</v>
      </c>
      <c r="F85" s="2">
        <v>1</v>
      </c>
      <c r="G85" s="2">
        <v>0</v>
      </c>
      <c r="H85" s="2">
        <v>1</v>
      </c>
      <c r="I85" s="2">
        <v>0</v>
      </c>
      <c r="J85" s="2">
        <v>5</v>
      </c>
      <c r="K85" s="2">
        <v>1</v>
      </c>
      <c r="L85" s="2">
        <v>1</v>
      </c>
      <c r="M85" s="2">
        <v>5</v>
      </c>
      <c r="N85" s="2">
        <v>1</v>
      </c>
      <c r="O85" s="2">
        <v>1</v>
      </c>
      <c r="P85" s="2">
        <v>0</v>
      </c>
      <c r="Q85" s="2">
        <v>0</v>
      </c>
      <c r="R85" s="2">
        <v>1</v>
      </c>
      <c r="S85">
        <v>3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17</v>
      </c>
      <c r="AC85" t="s">
        <v>126</v>
      </c>
    </row>
    <row r="86" spans="1:29" ht="16" customHeight="1" x14ac:dyDescent="0.2">
      <c r="A86" s="1" t="s">
        <v>237</v>
      </c>
      <c r="B86" s="2" t="s">
        <v>176</v>
      </c>
      <c r="C86" s="2">
        <v>15</v>
      </c>
      <c r="D86" s="2" t="s">
        <v>125</v>
      </c>
      <c r="E86" s="2">
        <v>1450</v>
      </c>
      <c r="F86" s="2">
        <v>0</v>
      </c>
      <c r="G86" s="2">
        <v>0</v>
      </c>
      <c r="H86" s="2">
        <v>0</v>
      </c>
      <c r="I86" s="2">
        <v>0</v>
      </c>
      <c r="J86" s="2">
        <v>3</v>
      </c>
      <c r="K86" s="2">
        <v>3</v>
      </c>
      <c r="L86" s="2">
        <v>1</v>
      </c>
      <c r="M86" s="2">
        <v>3</v>
      </c>
      <c r="N86" s="2">
        <v>1</v>
      </c>
      <c r="O86" s="2">
        <v>1</v>
      </c>
      <c r="P86" s="2">
        <v>0</v>
      </c>
      <c r="Q86" s="2">
        <v>1</v>
      </c>
      <c r="R86" s="2">
        <v>0</v>
      </c>
      <c r="S86">
        <v>3</v>
      </c>
      <c r="T86">
        <v>0</v>
      </c>
      <c r="U86">
        <v>0</v>
      </c>
      <c r="V86">
        <v>1</v>
      </c>
      <c r="W86">
        <v>3</v>
      </c>
      <c r="X86">
        <v>0</v>
      </c>
      <c r="Y86">
        <v>1</v>
      </c>
      <c r="Z86">
        <v>1</v>
      </c>
      <c r="AA86">
        <v>1</v>
      </c>
      <c r="AB86">
        <v>5</v>
      </c>
      <c r="AC86" t="s">
        <v>126</v>
      </c>
    </row>
    <row r="87" spans="1:29" ht="16" customHeight="1" x14ac:dyDescent="0.2">
      <c r="A87" s="1" t="s">
        <v>238</v>
      </c>
      <c r="B87" s="2" t="s">
        <v>147</v>
      </c>
      <c r="C87" s="2">
        <v>15</v>
      </c>
      <c r="D87" s="2" t="s">
        <v>129</v>
      </c>
      <c r="E87" s="2">
        <v>3015</v>
      </c>
      <c r="F87" s="2">
        <v>0</v>
      </c>
      <c r="G87" s="2">
        <v>1</v>
      </c>
      <c r="H87" s="2">
        <v>1</v>
      </c>
      <c r="I87" s="2">
        <v>0</v>
      </c>
      <c r="J87" s="2">
        <v>2</v>
      </c>
      <c r="K87" s="2">
        <v>1</v>
      </c>
      <c r="L87" s="2">
        <v>1</v>
      </c>
      <c r="M87" s="2">
        <v>4</v>
      </c>
      <c r="N87" s="2">
        <v>1</v>
      </c>
      <c r="O87" s="2">
        <v>1</v>
      </c>
      <c r="P87" s="2">
        <v>0</v>
      </c>
      <c r="Q87" s="2">
        <v>0</v>
      </c>
      <c r="R87" s="2">
        <v>1</v>
      </c>
      <c r="S87">
        <v>1</v>
      </c>
      <c r="T87">
        <v>0</v>
      </c>
      <c r="U87">
        <v>0</v>
      </c>
      <c r="V87">
        <v>0</v>
      </c>
      <c r="W87">
        <v>4</v>
      </c>
      <c r="X87">
        <v>-1</v>
      </c>
      <c r="Y87">
        <v>0</v>
      </c>
      <c r="Z87">
        <v>0</v>
      </c>
      <c r="AA87">
        <v>0</v>
      </c>
      <c r="AB87">
        <v>16</v>
      </c>
      <c r="AC87" t="s">
        <v>126</v>
      </c>
    </row>
    <row r="88" spans="1:29" ht="16" customHeight="1" x14ac:dyDescent="0.2">
      <c r="A88" s="1" t="s">
        <v>239</v>
      </c>
      <c r="B88" s="2" t="s">
        <v>208</v>
      </c>
      <c r="C88" s="2">
        <v>15</v>
      </c>
      <c r="D88" s="2" t="s">
        <v>132</v>
      </c>
      <c r="E88" s="2">
        <v>9016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2</v>
      </c>
      <c r="L88" s="2">
        <v>2</v>
      </c>
      <c r="M88" s="2">
        <v>1</v>
      </c>
      <c r="N88" s="2">
        <v>1</v>
      </c>
      <c r="O88" s="2">
        <v>1</v>
      </c>
      <c r="P88" s="2">
        <v>0</v>
      </c>
      <c r="Q88" s="2">
        <v>1</v>
      </c>
      <c r="R88" s="2">
        <v>1</v>
      </c>
      <c r="S88">
        <v>2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265</v>
      </c>
      <c r="AC88" t="s">
        <v>126</v>
      </c>
    </row>
    <row r="89" spans="1:29" ht="16" customHeight="1" x14ac:dyDescent="0.2">
      <c r="A89" s="1" t="s">
        <v>240</v>
      </c>
      <c r="B89" s="2" t="s">
        <v>199</v>
      </c>
      <c r="C89" s="2">
        <v>15</v>
      </c>
      <c r="D89" s="2" t="s">
        <v>135</v>
      </c>
      <c r="E89" s="2">
        <v>639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3</v>
      </c>
      <c r="L89" s="2">
        <v>2</v>
      </c>
      <c r="M89" s="2">
        <v>5</v>
      </c>
      <c r="N89" s="2">
        <v>0</v>
      </c>
      <c r="O89" s="2">
        <v>1</v>
      </c>
      <c r="P89" s="2">
        <v>0</v>
      </c>
      <c r="Q89" s="2">
        <v>1</v>
      </c>
      <c r="R89" s="2">
        <v>0</v>
      </c>
      <c r="S89">
        <v>-1</v>
      </c>
      <c r="T89">
        <v>1</v>
      </c>
      <c r="U89">
        <v>1</v>
      </c>
      <c r="V89">
        <v>1</v>
      </c>
      <c r="W89">
        <v>3</v>
      </c>
      <c r="X89">
        <v>-1</v>
      </c>
      <c r="Y89">
        <v>0</v>
      </c>
      <c r="Z89">
        <v>0</v>
      </c>
      <c r="AA89">
        <v>1</v>
      </c>
      <c r="AB89">
        <v>177</v>
      </c>
      <c r="AC89" t="s">
        <v>126</v>
      </c>
    </row>
    <row r="90" spans="1:29" ht="16" customHeight="1" x14ac:dyDescent="0.2">
      <c r="A90" s="1" t="s">
        <v>241</v>
      </c>
      <c r="B90" s="2" t="s">
        <v>199</v>
      </c>
      <c r="C90" s="2">
        <v>15</v>
      </c>
      <c r="D90" s="2" t="s">
        <v>138</v>
      </c>
      <c r="E90" s="2">
        <v>5528</v>
      </c>
      <c r="F90" s="2">
        <v>1</v>
      </c>
      <c r="G90" s="2">
        <v>1</v>
      </c>
      <c r="H90" s="2">
        <v>1</v>
      </c>
      <c r="I90" s="2">
        <v>-1</v>
      </c>
      <c r="J90" s="2">
        <v>1</v>
      </c>
      <c r="K90" s="2">
        <v>2</v>
      </c>
      <c r="L90" s="2">
        <v>3</v>
      </c>
      <c r="M90" s="2">
        <v>5</v>
      </c>
      <c r="N90" s="2">
        <v>0</v>
      </c>
      <c r="O90" s="2">
        <v>1</v>
      </c>
      <c r="P90" s="2">
        <v>1</v>
      </c>
      <c r="Q90" s="2">
        <v>1</v>
      </c>
      <c r="R90" s="2">
        <v>0</v>
      </c>
      <c r="S90">
        <v>2</v>
      </c>
      <c r="T90">
        <v>1</v>
      </c>
      <c r="U90">
        <v>0</v>
      </c>
      <c r="V90">
        <v>0</v>
      </c>
      <c r="W90">
        <v>5</v>
      </c>
      <c r="X90">
        <v>-1</v>
      </c>
      <c r="Y90">
        <v>1</v>
      </c>
      <c r="Z90">
        <v>0</v>
      </c>
      <c r="AA90">
        <v>0</v>
      </c>
      <c r="AB90">
        <v>171</v>
      </c>
      <c r="AC90" t="s">
        <v>126</v>
      </c>
    </row>
    <row r="91" spans="1:29" ht="16" customHeight="1" x14ac:dyDescent="0.2">
      <c r="A91" s="1" t="s">
        <v>242</v>
      </c>
      <c r="B91" s="2" t="s">
        <v>161</v>
      </c>
      <c r="C91" s="2">
        <v>15</v>
      </c>
      <c r="D91" s="2" t="s">
        <v>140</v>
      </c>
      <c r="E91" s="2">
        <v>1591</v>
      </c>
      <c r="F91" s="2">
        <v>1</v>
      </c>
      <c r="G91" s="2">
        <v>0</v>
      </c>
      <c r="H91" s="2">
        <v>0</v>
      </c>
      <c r="I91" s="2">
        <v>0</v>
      </c>
      <c r="J91" s="2">
        <v>1</v>
      </c>
      <c r="K91" s="2">
        <v>1</v>
      </c>
      <c r="L91" s="2">
        <v>3</v>
      </c>
      <c r="M91" s="2">
        <v>5</v>
      </c>
      <c r="N91" s="2">
        <v>0</v>
      </c>
      <c r="O91" s="2">
        <v>0</v>
      </c>
      <c r="P91" s="2">
        <v>1</v>
      </c>
      <c r="Q91" s="2">
        <v>1</v>
      </c>
      <c r="R91" s="2">
        <v>0</v>
      </c>
      <c r="S91">
        <v>-1</v>
      </c>
      <c r="T91">
        <v>1</v>
      </c>
      <c r="U91">
        <v>0</v>
      </c>
      <c r="V91">
        <v>0</v>
      </c>
      <c r="W91">
        <v>4</v>
      </c>
      <c r="X91">
        <v>0</v>
      </c>
      <c r="Y91">
        <v>0</v>
      </c>
      <c r="Z91">
        <v>1</v>
      </c>
      <c r="AA91">
        <v>0</v>
      </c>
      <c r="AB91">
        <v>247</v>
      </c>
      <c r="AC91" t="s">
        <v>126</v>
      </c>
    </row>
    <row r="92" spans="1:29" ht="16" customHeight="1" x14ac:dyDescent="0.2">
      <c r="A92" s="1" t="s">
        <v>243</v>
      </c>
      <c r="B92" s="2" t="s">
        <v>161</v>
      </c>
      <c r="C92" s="2">
        <v>16</v>
      </c>
      <c r="D92" s="2" t="s">
        <v>125</v>
      </c>
      <c r="E92" s="2">
        <v>378</v>
      </c>
      <c r="F92" s="2">
        <v>0</v>
      </c>
      <c r="G92" s="2">
        <v>0</v>
      </c>
      <c r="H92" s="2">
        <v>0</v>
      </c>
      <c r="I92" s="2">
        <v>1</v>
      </c>
      <c r="J92" s="2">
        <v>3</v>
      </c>
      <c r="K92" s="2">
        <v>2</v>
      </c>
      <c r="L92" s="2">
        <v>1</v>
      </c>
      <c r="M92" s="2">
        <v>2</v>
      </c>
      <c r="N92" s="2">
        <v>1</v>
      </c>
      <c r="O92" s="2">
        <v>1</v>
      </c>
      <c r="P92" s="2">
        <v>1</v>
      </c>
      <c r="Q92" s="2">
        <v>1</v>
      </c>
      <c r="R92" s="2">
        <v>0</v>
      </c>
      <c r="S92">
        <v>1</v>
      </c>
      <c r="T92">
        <v>0</v>
      </c>
      <c r="U92">
        <v>1</v>
      </c>
      <c r="V92">
        <v>0</v>
      </c>
      <c r="W92">
        <v>5</v>
      </c>
      <c r="X92">
        <v>-1</v>
      </c>
      <c r="Y92">
        <v>1</v>
      </c>
      <c r="Z92">
        <v>1</v>
      </c>
      <c r="AA92">
        <v>1</v>
      </c>
      <c r="AB92">
        <v>46</v>
      </c>
      <c r="AC92" t="s">
        <v>126</v>
      </c>
    </row>
    <row r="93" spans="1:29" ht="16" customHeight="1" x14ac:dyDescent="0.2">
      <c r="A93" s="1" t="s">
        <v>244</v>
      </c>
      <c r="B93" s="2" t="s">
        <v>208</v>
      </c>
      <c r="C93" s="2">
        <v>16</v>
      </c>
      <c r="D93" s="2" t="s">
        <v>129</v>
      </c>
      <c r="E93" s="2">
        <v>1585</v>
      </c>
      <c r="F93" s="2">
        <v>0</v>
      </c>
      <c r="G93" s="2">
        <v>1</v>
      </c>
      <c r="H93" s="2">
        <v>1</v>
      </c>
      <c r="I93" s="2">
        <v>0</v>
      </c>
      <c r="J93" s="2">
        <v>5</v>
      </c>
      <c r="K93" s="2">
        <v>1</v>
      </c>
      <c r="L93" s="2">
        <v>2</v>
      </c>
      <c r="M93" s="2">
        <v>5</v>
      </c>
      <c r="N93" s="2">
        <v>1</v>
      </c>
      <c r="O93" s="2">
        <v>1</v>
      </c>
      <c r="P93" s="2">
        <v>1</v>
      </c>
      <c r="Q93" s="2">
        <v>1</v>
      </c>
      <c r="R93" s="2">
        <v>0</v>
      </c>
      <c r="S93">
        <v>0</v>
      </c>
      <c r="T93">
        <v>1</v>
      </c>
      <c r="U93">
        <v>1</v>
      </c>
      <c r="V93">
        <v>1</v>
      </c>
      <c r="W93">
        <v>4</v>
      </c>
      <c r="X93">
        <v>0</v>
      </c>
      <c r="Y93">
        <v>0</v>
      </c>
      <c r="Z93">
        <v>1</v>
      </c>
      <c r="AA93">
        <v>1</v>
      </c>
      <c r="AB93">
        <v>209</v>
      </c>
      <c r="AC93" t="s">
        <v>126</v>
      </c>
    </row>
    <row r="94" spans="1:29" ht="16" customHeight="1" x14ac:dyDescent="0.2">
      <c r="A94" s="1" t="s">
        <v>245</v>
      </c>
      <c r="B94" s="2" t="s">
        <v>208</v>
      </c>
      <c r="C94" s="2">
        <v>16</v>
      </c>
      <c r="D94" s="2" t="s">
        <v>132</v>
      </c>
      <c r="E94" s="2">
        <v>6947</v>
      </c>
      <c r="F94" s="2">
        <v>0</v>
      </c>
      <c r="G94" s="2">
        <v>0</v>
      </c>
      <c r="H94" s="2">
        <v>0</v>
      </c>
      <c r="I94" s="2">
        <v>0</v>
      </c>
      <c r="J94" s="2">
        <v>5</v>
      </c>
      <c r="K94" s="2">
        <v>3</v>
      </c>
      <c r="L94" s="2">
        <v>3</v>
      </c>
      <c r="M94" s="2">
        <v>2</v>
      </c>
      <c r="N94" s="2">
        <v>0</v>
      </c>
      <c r="O94" s="2">
        <v>1</v>
      </c>
      <c r="P94" s="2">
        <v>0</v>
      </c>
      <c r="Q94" s="2">
        <v>1</v>
      </c>
      <c r="R94" s="2">
        <v>0</v>
      </c>
      <c r="S94">
        <v>-1</v>
      </c>
      <c r="T94">
        <v>0</v>
      </c>
      <c r="U94">
        <v>0</v>
      </c>
      <c r="V94">
        <v>1</v>
      </c>
      <c r="W94">
        <v>2</v>
      </c>
      <c r="X94">
        <v>1</v>
      </c>
      <c r="Y94">
        <v>1</v>
      </c>
      <c r="Z94">
        <v>1</v>
      </c>
      <c r="AA94">
        <v>1</v>
      </c>
      <c r="AB94">
        <v>176</v>
      </c>
      <c r="AC94" t="s">
        <v>126</v>
      </c>
    </row>
    <row r="95" spans="1:29" ht="16" customHeight="1" x14ac:dyDescent="0.2">
      <c r="A95" s="1" t="s">
        <v>246</v>
      </c>
      <c r="B95" s="2" t="s">
        <v>149</v>
      </c>
      <c r="C95" s="2">
        <v>16</v>
      </c>
      <c r="D95" s="2" t="s">
        <v>135</v>
      </c>
      <c r="E95" s="2">
        <v>353</v>
      </c>
      <c r="F95" s="2">
        <v>1</v>
      </c>
      <c r="G95" s="2">
        <v>0</v>
      </c>
      <c r="H95" s="2">
        <v>0</v>
      </c>
      <c r="I95" s="2">
        <v>-1</v>
      </c>
      <c r="J95" s="2">
        <v>5</v>
      </c>
      <c r="K95" s="2">
        <v>3</v>
      </c>
      <c r="L95" s="2">
        <v>2</v>
      </c>
      <c r="M95" s="2">
        <v>3</v>
      </c>
      <c r="N95" s="2">
        <v>1</v>
      </c>
      <c r="O95" s="2">
        <v>1</v>
      </c>
      <c r="P95" s="2">
        <v>1</v>
      </c>
      <c r="Q95" s="2">
        <v>0</v>
      </c>
      <c r="R95" s="2">
        <v>1</v>
      </c>
      <c r="S95">
        <v>-1</v>
      </c>
      <c r="T95">
        <v>1</v>
      </c>
      <c r="U95">
        <v>0</v>
      </c>
      <c r="V95">
        <v>1</v>
      </c>
      <c r="W95">
        <v>4</v>
      </c>
      <c r="X95">
        <v>0</v>
      </c>
      <c r="Y95">
        <v>0</v>
      </c>
      <c r="Z95">
        <v>1</v>
      </c>
      <c r="AA95">
        <v>1</v>
      </c>
      <c r="AB95">
        <v>227</v>
      </c>
      <c r="AC95" t="s">
        <v>126</v>
      </c>
    </row>
    <row r="96" spans="1:29" ht="16" customHeight="1" x14ac:dyDescent="0.2">
      <c r="A96" s="1" t="s">
        <v>247</v>
      </c>
      <c r="B96" s="2" t="s">
        <v>164</v>
      </c>
      <c r="C96" s="2">
        <v>16</v>
      </c>
      <c r="D96" s="2" t="s">
        <v>138</v>
      </c>
      <c r="E96" s="2">
        <v>4930</v>
      </c>
      <c r="F96" s="2">
        <v>0</v>
      </c>
      <c r="G96" s="2">
        <v>1</v>
      </c>
      <c r="H96" s="2">
        <v>0</v>
      </c>
      <c r="I96" s="2">
        <v>-1</v>
      </c>
      <c r="J96" s="2">
        <v>2</v>
      </c>
      <c r="K96" s="2">
        <v>3</v>
      </c>
      <c r="L96" s="2">
        <v>1</v>
      </c>
      <c r="M96" s="2">
        <v>2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>
        <v>2</v>
      </c>
      <c r="T96">
        <v>0</v>
      </c>
      <c r="U96">
        <v>0</v>
      </c>
      <c r="V96">
        <v>1</v>
      </c>
      <c r="W96">
        <v>1</v>
      </c>
      <c r="X96">
        <v>1</v>
      </c>
      <c r="Y96">
        <v>1</v>
      </c>
      <c r="Z96">
        <v>0</v>
      </c>
      <c r="AA96">
        <v>0</v>
      </c>
      <c r="AB96">
        <v>177</v>
      </c>
      <c r="AC96" t="s">
        <v>126</v>
      </c>
    </row>
    <row r="97" spans="1:29" ht="16" customHeight="1" x14ac:dyDescent="0.2">
      <c r="A97" s="1" t="s">
        <v>248</v>
      </c>
      <c r="B97" s="2" t="s">
        <v>159</v>
      </c>
      <c r="C97" s="2">
        <v>16</v>
      </c>
      <c r="D97" s="2" t="s">
        <v>140</v>
      </c>
      <c r="E97" s="2">
        <v>48</v>
      </c>
      <c r="F97" s="2">
        <v>0</v>
      </c>
      <c r="G97" s="2">
        <v>0</v>
      </c>
      <c r="H97" s="2">
        <v>1</v>
      </c>
      <c r="I97" s="2">
        <v>-1</v>
      </c>
      <c r="J97" s="2">
        <v>5</v>
      </c>
      <c r="K97" s="2">
        <v>2</v>
      </c>
      <c r="L97" s="2">
        <v>3</v>
      </c>
      <c r="M97" s="2">
        <v>4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112</v>
      </c>
      <c r="AC97" t="s">
        <v>126</v>
      </c>
    </row>
    <row r="98" spans="1:29" ht="16" customHeight="1" x14ac:dyDescent="0.2">
      <c r="A98" s="1" t="s">
        <v>249</v>
      </c>
      <c r="B98" s="2" t="s">
        <v>143</v>
      </c>
      <c r="C98" s="2">
        <v>17</v>
      </c>
      <c r="D98" s="2" t="s">
        <v>125</v>
      </c>
      <c r="E98" s="2">
        <v>424</v>
      </c>
      <c r="F98" s="2">
        <v>1</v>
      </c>
      <c r="G98" s="2">
        <v>0</v>
      </c>
      <c r="H98" s="2">
        <v>1</v>
      </c>
      <c r="I98" s="2">
        <v>1</v>
      </c>
      <c r="J98" s="2">
        <v>4</v>
      </c>
      <c r="K98" s="2">
        <v>1</v>
      </c>
      <c r="L98" s="2">
        <v>1</v>
      </c>
      <c r="M98" s="2">
        <v>2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  <c r="S98">
        <v>-1</v>
      </c>
      <c r="T98">
        <v>1</v>
      </c>
      <c r="U98">
        <v>0</v>
      </c>
      <c r="V98">
        <v>0</v>
      </c>
      <c r="W98">
        <v>2</v>
      </c>
      <c r="X98">
        <v>-1</v>
      </c>
      <c r="Y98">
        <v>1</v>
      </c>
      <c r="Z98">
        <v>0</v>
      </c>
      <c r="AA98">
        <v>0</v>
      </c>
      <c r="AB98">
        <v>141</v>
      </c>
      <c r="AC98" t="s">
        <v>126</v>
      </c>
    </row>
    <row r="99" spans="1:29" ht="16" customHeight="1" x14ac:dyDescent="0.2">
      <c r="A99" s="1" t="s">
        <v>250</v>
      </c>
      <c r="B99" s="2" t="s">
        <v>157</v>
      </c>
      <c r="C99" s="2">
        <v>17</v>
      </c>
      <c r="D99" s="2" t="s">
        <v>129</v>
      </c>
      <c r="E99" s="2">
        <v>2228</v>
      </c>
      <c r="F99" s="2">
        <v>0</v>
      </c>
      <c r="G99" s="2">
        <v>1</v>
      </c>
      <c r="H99" s="2">
        <v>0</v>
      </c>
      <c r="I99" s="2">
        <v>0</v>
      </c>
      <c r="J99" s="2">
        <v>2</v>
      </c>
      <c r="K99" s="2">
        <v>1</v>
      </c>
      <c r="L99" s="2">
        <v>1</v>
      </c>
      <c r="M99" s="2">
        <v>5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>
        <v>0</v>
      </c>
      <c r="T99">
        <v>0</v>
      </c>
      <c r="U99">
        <v>1</v>
      </c>
      <c r="V99">
        <v>0</v>
      </c>
      <c r="W99">
        <v>5</v>
      </c>
      <c r="X99">
        <v>1</v>
      </c>
      <c r="Y99">
        <v>0</v>
      </c>
      <c r="Z99">
        <v>1</v>
      </c>
      <c r="AA99">
        <v>0</v>
      </c>
      <c r="AB99">
        <v>209</v>
      </c>
      <c r="AC99" t="s">
        <v>126</v>
      </c>
    </row>
    <row r="100" spans="1:29" ht="16" customHeight="1" x14ac:dyDescent="0.2">
      <c r="A100" s="1" t="s">
        <v>251</v>
      </c>
      <c r="B100" s="2" t="s">
        <v>147</v>
      </c>
      <c r="C100" s="2">
        <v>17</v>
      </c>
      <c r="D100" s="2" t="s">
        <v>132</v>
      </c>
      <c r="E100" s="2">
        <v>1787</v>
      </c>
      <c r="F100" s="2">
        <v>1</v>
      </c>
      <c r="G100" s="2">
        <v>1</v>
      </c>
      <c r="H100" s="2">
        <v>0</v>
      </c>
      <c r="I100" s="2">
        <v>0</v>
      </c>
      <c r="J100" s="2">
        <v>5</v>
      </c>
      <c r="K100" s="2">
        <v>3</v>
      </c>
      <c r="L100" s="2">
        <v>2</v>
      </c>
      <c r="M100" s="2">
        <v>4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>
        <v>3</v>
      </c>
      <c r="T100">
        <v>1</v>
      </c>
      <c r="U100">
        <v>1</v>
      </c>
      <c r="V100">
        <v>0</v>
      </c>
      <c r="W100">
        <v>1</v>
      </c>
      <c r="X100">
        <v>-1</v>
      </c>
      <c r="Y100">
        <v>0</v>
      </c>
      <c r="Z100">
        <v>0</v>
      </c>
      <c r="AA100">
        <v>1</v>
      </c>
      <c r="AB100">
        <v>265</v>
      </c>
      <c r="AC100" t="s">
        <v>126</v>
      </c>
    </row>
    <row r="101" spans="1:29" ht="16" customHeight="1" x14ac:dyDescent="0.2">
      <c r="A101" s="1" t="s">
        <v>252</v>
      </c>
      <c r="B101" s="2" t="s">
        <v>149</v>
      </c>
      <c r="C101" s="2">
        <v>17</v>
      </c>
      <c r="D101" s="2" t="s">
        <v>135</v>
      </c>
      <c r="E101" s="2">
        <v>1781</v>
      </c>
      <c r="F101" s="2">
        <v>0</v>
      </c>
      <c r="G101" s="2">
        <v>0</v>
      </c>
      <c r="H101" s="2">
        <v>0</v>
      </c>
      <c r="I101" s="2">
        <v>1</v>
      </c>
      <c r="J101" s="2">
        <v>5</v>
      </c>
      <c r="K101" s="2">
        <v>2</v>
      </c>
      <c r="L101" s="2">
        <v>2</v>
      </c>
      <c r="M101" s="2">
        <v>5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>
        <v>0</v>
      </c>
      <c r="T101">
        <v>1</v>
      </c>
      <c r="U101">
        <v>0</v>
      </c>
      <c r="V101">
        <v>0</v>
      </c>
      <c r="W101">
        <v>5</v>
      </c>
      <c r="X101">
        <v>1</v>
      </c>
      <c r="Y101">
        <v>0</v>
      </c>
      <c r="Z101">
        <v>0</v>
      </c>
      <c r="AA101">
        <v>1</v>
      </c>
      <c r="AB101">
        <v>151</v>
      </c>
      <c r="AC101" t="s">
        <v>126</v>
      </c>
    </row>
    <row r="102" spans="1:29" ht="16" customHeight="1" x14ac:dyDescent="0.2">
      <c r="A102" s="1" t="s">
        <v>253</v>
      </c>
      <c r="B102" s="2" t="s">
        <v>201</v>
      </c>
      <c r="C102" s="2">
        <v>17</v>
      </c>
      <c r="D102" s="2" t="s">
        <v>138</v>
      </c>
      <c r="E102" s="2">
        <v>1507</v>
      </c>
      <c r="F102" s="2">
        <v>0</v>
      </c>
      <c r="G102" s="2">
        <v>1</v>
      </c>
      <c r="H102" s="2">
        <v>0</v>
      </c>
      <c r="I102" s="2">
        <v>1</v>
      </c>
      <c r="J102" s="2">
        <v>1</v>
      </c>
      <c r="K102" s="2">
        <v>2</v>
      </c>
      <c r="L102" s="2">
        <v>1</v>
      </c>
      <c r="M102" s="2">
        <v>2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>
        <v>-1</v>
      </c>
      <c r="T102">
        <v>1</v>
      </c>
      <c r="U102">
        <v>1</v>
      </c>
      <c r="V102">
        <v>0</v>
      </c>
      <c r="W102">
        <v>4</v>
      </c>
      <c r="X102">
        <v>1</v>
      </c>
      <c r="Y102">
        <v>0</v>
      </c>
      <c r="Z102">
        <v>1</v>
      </c>
      <c r="AA102">
        <v>1</v>
      </c>
      <c r="AB102">
        <v>13</v>
      </c>
      <c r="AC102" t="s">
        <v>126</v>
      </c>
    </row>
    <row r="103" spans="1:29" ht="16" customHeight="1" x14ac:dyDescent="0.2">
      <c r="A103" s="1" t="s">
        <v>254</v>
      </c>
      <c r="B103" s="2" t="s">
        <v>176</v>
      </c>
      <c r="C103" s="2">
        <v>17</v>
      </c>
      <c r="D103" s="2" t="s">
        <v>140</v>
      </c>
      <c r="E103" s="2">
        <v>2340</v>
      </c>
      <c r="F103" s="2">
        <v>0</v>
      </c>
      <c r="G103" s="2">
        <v>1</v>
      </c>
      <c r="H103" s="2">
        <v>0</v>
      </c>
      <c r="I103" s="2">
        <v>1</v>
      </c>
      <c r="J103" s="2">
        <v>1</v>
      </c>
      <c r="K103" s="2">
        <v>1</v>
      </c>
      <c r="L103" s="2">
        <v>1</v>
      </c>
      <c r="M103" s="2">
        <v>3</v>
      </c>
      <c r="N103" s="2">
        <v>0</v>
      </c>
      <c r="O103" s="2">
        <v>0</v>
      </c>
      <c r="P103" s="2">
        <v>1</v>
      </c>
      <c r="Q103" s="2">
        <v>0</v>
      </c>
      <c r="R103" s="2">
        <v>0</v>
      </c>
      <c r="S103">
        <v>1</v>
      </c>
      <c r="T103">
        <v>0</v>
      </c>
      <c r="U103">
        <v>1</v>
      </c>
      <c r="V103">
        <v>0</v>
      </c>
      <c r="W103">
        <v>3</v>
      </c>
      <c r="X103">
        <v>-1</v>
      </c>
      <c r="Y103">
        <v>1</v>
      </c>
      <c r="Z103">
        <v>1</v>
      </c>
      <c r="AA103">
        <v>0</v>
      </c>
      <c r="AB103">
        <v>255</v>
      </c>
      <c r="AC103" t="s">
        <v>126</v>
      </c>
    </row>
    <row r="104" spans="1:29" ht="16" customHeight="1" x14ac:dyDescent="0.2">
      <c r="A104" s="1" t="s">
        <v>255</v>
      </c>
      <c r="B104" s="2" t="s">
        <v>134</v>
      </c>
      <c r="C104" s="2">
        <v>18</v>
      </c>
      <c r="D104" s="2" t="s">
        <v>125</v>
      </c>
      <c r="E104" s="2">
        <v>325</v>
      </c>
      <c r="F104" s="2">
        <v>1</v>
      </c>
      <c r="G104" s="2">
        <v>1</v>
      </c>
      <c r="H104" s="2">
        <v>1</v>
      </c>
      <c r="I104" s="2">
        <v>-1</v>
      </c>
      <c r="J104" s="2">
        <v>4</v>
      </c>
      <c r="K104" s="2">
        <v>3</v>
      </c>
      <c r="L104" s="2">
        <v>3</v>
      </c>
      <c r="M104" s="2">
        <v>2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>
        <v>1</v>
      </c>
      <c r="T104">
        <v>0</v>
      </c>
      <c r="U104">
        <v>1</v>
      </c>
      <c r="V104">
        <v>1</v>
      </c>
      <c r="W104">
        <v>4</v>
      </c>
      <c r="X104">
        <v>1</v>
      </c>
      <c r="Y104">
        <v>1</v>
      </c>
      <c r="Z104">
        <v>0</v>
      </c>
      <c r="AA104">
        <v>1</v>
      </c>
      <c r="AB104">
        <v>170</v>
      </c>
      <c r="AC104" t="s">
        <v>126</v>
      </c>
    </row>
    <row r="105" spans="1:29" ht="16" customHeight="1" x14ac:dyDescent="0.2">
      <c r="A105" s="1" t="s">
        <v>256</v>
      </c>
      <c r="B105" s="2" t="s">
        <v>168</v>
      </c>
      <c r="C105" s="2">
        <v>18</v>
      </c>
      <c r="D105" s="2" t="s">
        <v>129</v>
      </c>
      <c r="E105" s="2">
        <v>694</v>
      </c>
      <c r="F105" s="2">
        <v>1</v>
      </c>
      <c r="G105" s="2">
        <v>0</v>
      </c>
      <c r="H105" s="2">
        <v>1</v>
      </c>
      <c r="I105" s="2">
        <v>1</v>
      </c>
      <c r="J105" s="2">
        <v>4</v>
      </c>
      <c r="K105" s="2">
        <v>2</v>
      </c>
      <c r="L105" s="2">
        <v>3</v>
      </c>
      <c r="M105" s="2">
        <v>2</v>
      </c>
      <c r="N105" s="2">
        <v>0</v>
      </c>
      <c r="O105" s="2">
        <v>0</v>
      </c>
      <c r="P105" s="2">
        <v>1</v>
      </c>
      <c r="Q105" s="2">
        <v>1</v>
      </c>
      <c r="R105" s="2">
        <v>0</v>
      </c>
      <c r="S105">
        <v>3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51</v>
      </c>
      <c r="AC105" t="s">
        <v>126</v>
      </c>
    </row>
    <row r="106" spans="1:29" ht="16" customHeight="1" x14ac:dyDescent="0.2">
      <c r="A106" s="1" t="s">
        <v>257</v>
      </c>
      <c r="B106" s="2" t="s">
        <v>193</v>
      </c>
      <c r="C106" s="2">
        <v>18</v>
      </c>
      <c r="D106" s="2" t="s">
        <v>132</v>
      </c>
      <c r="E106" s="2">
        <v>1559</v>
      </c>
      <c r="F106" s="2">
        <v>1</v>
      </c>
      <c r="G106" s="2">
        <v>1</v>
      </c>
      <c r="H106" s="2">
        <v>0</v>
      </c>
      <c r="I106" s="2">
        <v>-1</v>
      </c>
      <c r="J106" s="2">
        <v>3</v>
      </c>
      <c r="K106" s="2">
        <v>3</v>
      </c>
      <c r="L106" s="2">
        <v>2</v>
      </c>
      <c r="M106" s="2">
        <v>2</v>
      </c>
      <c r="N106" s="2">
        <v>1</v>
      </c>
      <c r="O106" s="2">
        <v>0</v>
      </c>
      <c r="P106" s="2">
        <v>0</v>
      </c>
      <c r="Q106" s="2">
        <v>1</v>
      </c>
      <c r="R106" s="2">
        <v>0</v>
      </c>
      <c r="S106">
        <v>1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0</v>
      </c>
      <c r="Z106">
        <v>1</v>
      </c>
      <c r="AA106">
        <v>0</v>
      </c>
      <c r="AB106">
        <v>142</v>
      </c>
      <c r="AC106" t="s">
        <v>126</v>
      </c>
    </row>
    <row r="107" spans="1:29" ht="16" customHeight="1" x14ac:dyDescent="0.2">
      <c r="A107" s="1" t="s">
        <v>258</v>
      </c>
      <c r="B107" s="2" t="s">
        <v>176</v>
      </c>
      <c r="C107" s="2">
        <v>18</v>
      </c>
      <c r="D107" s="2" t="s">
        <v>135</v>
      </c>
      <c r="E107" s="2">
        <v>191</v>
      </c>
      <c r="F107" s="2">
        <v>0</v>
      </c>
      <c r="G107" s="2">
        <v>1</v>
      </c>
      <c r="H107" s="2">
        <v>1</v>
      </c>
      <c r="I107" s="2">
        <v>0</v>
      </c>
      <c r="J107" s="2">
        <v>5</v>
      </c>
      <c r="K107" s="2">
        <v>1</v>
      </c>
      <c r="L107" s="2">
        <v>1</v>
      </c>
      <c r="M107" s="2">
        <v>3</v>
      </c>
      <c r="N107" s="2">
        <v>0</v>
      </c>
      <c r="O107" s="2">
        <v>0</v>
      </c>
      <c r="P107" s="2">
        <v>0</v>
      </c>
      <c r="Q107" s="2">
        <v>1</v>
      </c>
      <c r="R107" s="2">
        <v>1</v>
      </c>
      <c r="S107">
        <v>0</v>
      </c>
      <c r="T107">
        <v>0</v>
      </c>
      <c r="U107">
        <v>0</v>
      </c>
      <c r="V107">
        <v>0</v>
      </c>
      <c r="W107">
        <v>4</v>
      </c>
      <c r="X107">
        <v>0</v>
      </c>
      <c r="Y107">
        <v>0</v>
      </c>
      <c r="Z107">
        <v>1</v>
      </c>
      <c r="AA107">
        <v>1</v>
      </c>
      <c r="AB107">
        <v>56</v>
      </c>
      <c r="AC107" t="s">
        <v>126</v>
      </c>
    </row>
    <row r="108" spans="1:29" ht="16" customHeight="1" x14ac:dyDescent="0.2">
      <c r="A108" s="1" t="s">
        <v>259</v>
      </c>
      <c r="B108" s="2" t="s">
        <v>168</v>
      </c>
      <c r="C108" s="2">
        <v>18</v>
      </c>
      <c r="D108" s="2" t="s">
        <v>138</v>
      </c>
      <c r="E108" s="2">
        <v>340</v>
      </c>
      <c r="F108" s="2">
        <v>0</v>
      </c>
      <c r="G108" s="2">
        <v>1</v>
      </c>
      <c r="H108" s="2">
        <v>0</v>
      </c>
      <c r="I108" s="2">
        <v>1</v>
      </c>
      <c r="J108" s="2">
        <v>4</v>
      </c>
      <c r="K108" s="2">
        <v>2</v>
      </c>
      <c r="L108" s="2">
        <v>1</v>
      </c>
      <c r="M108" s="2">
        <v>3</v>
      </c>
      <c r="N108" s="2">
        <v>0</v>
      </c>
      <c r="O108" s="2">
        <v>1</v>
      </c>
      <c r="P108" s="2">
        <v>0</v>
      </c>
      <c r="Q108" s="2">
        <v>0</v>
      </c>
      <c r="R108" s="2">
        <v>1</v>
      </c>
      <c r="S108">
        <v>1</v>
      </c>
      <c r="T108">
        <v>0</v>
      </c>
      <c r="U108">
        <v>1</v>
      </c>
      <c r="V108">
        <v>1</v>
      </c>
      <c r="W108">
        <v>4</v>
      </c>
      <c r="X108">
        <v>1</v>
      </c>
      <c r="Y108">
        <v>1</v>
      </c>
      <c r="Z108">
        <v>0</v>
      </c>
      <c r="AA108">
        <v>1</v>
      </c>
      <c r="AB108">
        <v>233</v>
      </c>
      <c r="AC108" t="s">
        <v>126</v>
      </c>
    </row>
    <row r="109" spans="1:29" ht="16" customHeight="1" x14ac:dyDescent="0.2">
      <c r="A109" s="1" t="s">
        <v>260</v>
      </c>
      <c r="B109" s="2" t="s">
        <v>161</v>
      </c>
      <c r="C109" s="2">
        <v>18</v>
      </c>
      <c r="D109" s="2" t="s">
        <v>140</v>
      </c>
      <c r="E109" s="2">
        <v>3044</v>
      </c>
      <c r="F109" s="2">
        <v>0</v>
      </c>
      <c r="G109" s="2">
        <v>1</v>
      </c>
      <c r="H109" s="2">
        <v>0</v>
      </c>
      <c r="I109" s="2">
        <v>-1</v>
      </c>
      <c r="J109" s="2">
        <v>4</v>
      </c>
      <c r="K109" s="2">
        <v>3</v>
      </c>
      <c r="L109" s="2">
        <v>2</v>
      </c>
      <c r="M109" s="2">
        <v>2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>
        <v>3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82</v>
      </c>
      <c r="AC109" t="s">
        <v>126</v>
      </c>
    </row>
    <row r="110" spans="1:29" ht="16" customHeight="1" x14ac:dyDescent="0.2">
      <c r="A110" s="1" t="s">
        <v>261</v>
      </c>
      <c r="B110" s="2" t="s">
        <v>137</v>
      </c>
      <c r="C110" s="2">
        <v>19</v>
      </c>
      <c r="D110" s="2" t="s">
        <v>125</v>
      </c>
      <c r="E110" s="2">
        <v>4253</v>
      </c>
      <c r="F110" s="2">
        <v>1</v>
      </c>
      <c r="G110" s="2">
        <v>1</v>
      </c>
      <c r="H110" s="2">
        <v>0</v>
      </c>
      <c r="I110" s="2">
        <v>-1</v>
      </c>
      <c r="J110" s="2">
        <v>4</v>
      </c>
      <c r="K110" s="2">
        <v>1</v>
      </c>
      <c r="L110" s="2">
        <v>2</v>
      </c>
      <c r="M110" s="2">
        <v>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>
        <v>-1</v>
      </c>
      <c r="T110">
        <v>1</v>
      </c>
      <c r="U110">
        <v>0</v>
      </c>
      <c r="V110">
        <v>0</v>
      </c>
      <c r="W110">
        <v>4</v>
      </c>
      <c r="X110">
        <v>0</v>
      </c>
      <c r="Y110">
        <v>0</v>
      </c>
      <c r="Z110">
        <v>0</v>
      </c>
      <c r="AA110">
        <v>1</v>
      </c>
      <c r="AB110">
        <v>64</v>
      </c>
      <c r="AC110" t="s">
        <v>126</v>
      </c>
    </row>
    <row r="111" spans="1:29" ht="16" customHeight="1" x14ac:dyDescent="0.2">
      <c r="A111" s="1" t="s">
        <v>262</v>
      </c>
      <c r="B111" s="2" t="s">
        <v>137</v>
      </c>
      <c r="C111" s="2">
        <v>19</v>
      </c>
      <c r="D111" s="2" t="s">
        <v>129</v>
      </c>
      <c r="E111" s="2">
        <v>3173</v>
      </c>
      <c r="F111" s="2">
        <v>1</v>
      </c>
      <c r="G111" s="2">
        <v>1</v>
      </c>
      <c r="H111" s="2">
        <v>0</v>
      </c>
      <c r="I111" s="2">
        <v>0</v>
      </c>
      <c r="J111" s="2">
        <v>2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0</v>
      </c>
      <c r="R111" s="2">
        <v>0</v>
      </c>
      <c r="S111">
        <v>3</v>
      </c>
      <c r="T111">
        <v>1</v>
      </c>
      <c r="U111">
        <v>0</v>
      </c>
      <c r="V111">
        <v>1</v>
      </c>
      <c r="W111">
        <v>1</v>
      </c>
      <c r="X111">
        <v>1</v>
      </c>
      <c r="Y111">
        <v>0</v>
      </c>
      <c r="Z111">
        <v>1</v>
      </c>
      <c r="AA111">
        <v>1</v>
      </c>
      <c r="AB111">
        <v>229</v>
      </c>
      <c r="AC111" t="s">
        <v>126</v>
      </c>
    </row>
    <row r="112" spans="1:29" ht="16" customHeight="1" x14ac:dyDescent="0.2">
      <c r="A112" s="1" t="s">
        <v>263</v>
      </c>
      <c r="B112" s="2" t="s">
        <v>159</v>
      </c>
      <c r="C112" s="2">
        <v>19</v>
      </c>
      <c r="D112" s="2" t="s">
        <v>132</v>
      </c>
      <c r="E112" s="2">
        <v>6868</v>
      </c>
      <c r="F112" s="2">
        <v>0</v>
      </c>
      <c r="G112" s="2">
        <v>0</v>
      </c>
      <c r="H112" s="2">
        <v>1</v>
      </c>
      <c r="I112" s="2">
        <v>-1</v>
      </c>
      <c r="J112" s="2">
        <v>3</v>
      </c>
      <c r="K112" s="2">
        <v>3</v>
      </c>
      <c r="L112" s="2">
        <v>2</v>
      </c>
      <c r="M112" s="2">
        <v>1</v>
      </c>
      <c r="N112" s="2">
        <v>0</v>
      </c>
      <c r="O112" s="2">
        <v>0</v>
      </c>
      <c r="P112" s="2">
        <v>1</v>
      </c>
      <c r="Q112" s="2">
        <v>0</v>
      </c>
      <c r="R112" s="2">
        <v>0</v>
      </c>
      <c r="S112">
        <v>3</v>
      </c>
      <c r="T112">
        <v>1</v>
      </c>
      <c r="U112">
        <v>0</v>
      </c>
      <c r="V112">
        <v>0</v>
      </c>
      <c r="W112">
        <v>2</v>
      </c>
      <c r="X112">
        <v>0</v>
      </c>
      <c r="Y112">
        <v>1</v>
      </c>
      <c r="Z112">
        <v>1</v>
      </c>
      <c r="AA112">
        <v>1</v>
      </c>
      <c r="AB112">
        <v>263</v>
      </c>
      <c r="AC112" t="s">
        <v>126</v>
      </c>
    </row>
    <row r="113" spans="1:29" ht="16" customHeight="1" x14ac:dyDescent="0.2">
      <c r="A113" s="1" t="s">
        <v>264</v>
      </c>
      <c r="B113" s="2" t="s">
        <v>176</v>
      </c>
      <c r="C113" s="2">
        <v>19</v>
      </c>
      <c r="D113" s="2" t="s">
        <v>135</v>
      </c>
      <c r="E113" s="2">
        <v>1511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3</v>
      </c>
      <c r="L113" s="2">
        <v>2</v>
      </c>
      <c r="M113" s="2">
        <v>3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>
        <v>-1</v>
      </c>
      <c r="T113">
        <v>0</v>
      </c>
      <c r="U113">
        <v>1</v>
      </c>
      <c r="V113">
        <v>0</v>
      </c>
      <c r="W113">
        <v>3</v>
      </c>
      <c r="X113">
        <v>1</v>
      </c>
      <c r="Y113">
        <v>0</v>
      </c>
      <c r="Z113">
        <v>1</v>
      </c>
      <c r="AA113">
        <v>0</v>
      </c>
      <c r="AB113">
        <v>86</v>
      </c>
      <c r="AC113" t="s">
        <v>126</v>
      </c>
    </row>
    <row r="114" spans="1:29" ht="16" customHeight="1" x14ac:dyDescent="0.2">
      <c r="A114" s="1" t="s">
        <v>265</v>
      </c>
      <c r="B114" s="2" t="s">
        <v>134</v>
      </c>
      <c r="C114" s="2">
        <v>19</v>
      </c>
      <c r="D114" s="2" t="s">
        <v>138</v>
      </c>
      <c r="E114" s="2">
        <v>1126</v>
      </c>
      <c r="F114" s="2">
        <v>1</v>
      </c>
      <c r="G114" s="2">
        <v>0</v>
      </c>
      <c r="H114" s="2">
        <v>1</v>
      </c>
      <c r="I114" s="2">
        <v>1</v>
      </c>
      <c r="J114" s="2">
        <v>3</v>
      </c>
      <c r="K114" s="2">
        <v>3</v>
      </c>
      <c r="L114" s="2">
        <v>2</v>
      </c>
      <c r="M114" s="2">
        <v>2</v>
      </c>
      <c r="N114" s="2">
        <v>0</v>
      </c>
      <c r="O114" s="2">
        <v>1</v>
      </c>
      <c r="P114" s="2">
        <v>0</v>
      </c>
      <c r="Q114" s="2">
        <v>1</v>
      </c>
      <c r="R114" s="2">
        <v>0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-1</v>
      </c>
      <c r="Y114">
        <v>1</v>
      </c>
      <c r="Z114">
        <v>1</v>
      </c>
      <c r="AA114">
        <v>1</v>
      </c>
      <c r="AB114">
        <v>266</v>
      </c>
      <c r="AC114" t="s">
        <v>126</v>
      </c>
    </row>
    <row r="115" spans="1:29" ht="16" customHeight="1" x14ac:dyDescent="0.2">
      <c r="A115" s="1" t="s">
        <v>266</v>
      </c>
      <c r="B115" s="2" t="s">
        <v>134</v>
      </c>
      <c r="C115" s="2">
        <v>19</v>
      </c>
      <c r="D115" s="2" t="s">
        <v>140</v>
      </c>
      <c r="E115" s="2">
        <v>1405</v>
      </c>
      <c r="F115" s="2">
        <v>0</v>
      </c>
      <c r="G115" s="2">
        <v>1</v>
      </c>
      <c r="H115" s="2">
        <v>1</v>
      </c>
      <c r="I115" s="2">
        <v>-1</v>
      </c>
      <c r="J115" s="2">
        <v>3</v>
      </c>
      <c r="K115" s="2">
        <v>2</v>
      </c>
      <c r="L115" s="2">
        <v>1</v>
      </c>
      <c r="M115" s="2">
        <v>3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>
        <v>3</v>
      </c>
      <c r="T115">
        <v>0</v>
      </c>
      <c r="U115">
        <v>0</v>
      </c>
      <c r="V115">
        <v>1</v>
      </c>
      <c r="W115">
        <v>4</v>
      </c>
      <c r="X115">
        <v>1</v>
      </c>
      <c r="Y115">
        <v>0</v>
      </c>
      <c r="Z115">
        <v>0</v>
      </c>
      <c r="AA115">
        <v>0</v>
      </c>
      <c r="AB115">
        <v>54</v>
      </c>
      <c r="AC115" t="s">
        <v>126</v>
      </c>
    </row>
    <row r="116" spans="1:29" ht="16" customHeight="1" x14ac:dyDescent="0.2">
      <c r="A116" s="1" t="s">
        <v>267</v>
      </c>
      <c r="B116" s="2" t="s">
        <v>143</v>
      </c>
      <c r="C116" s="2">
        <v>20</v>
      </c>
      <c r="D116" s="2" t="s">
        <v>125</v>
      </c>
      <c r="E116" s="2">
        <v>7903</v>
      </c>
      <c r="F116" s="2">
        <v>1</v>
      </c>
      <c r="G116" s="2">
        <v>1</v>
      </c>
      <c r="H116" s="2">
        <v>0</v>
      </c>
      <c r="I116" s="2">
        <v>0</v>
      </c>
      <c r="J116" s="2">
        <v>2</v>
      </c>
      <c r="K116" s="2">
        <v>1</v>
      </c>
      <c r="L116" s="2">
        <v>1</v>
      </c>
      <c r="M116" s="2">
        <v>2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>
        <v>2</v>
      </c>
      <c r="T116">
        <v>0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224</v>
      </c>
      <c r="AC116" t="s">
        <v>126</v>
      </c>
    </row>
    <row r="117" spans="1:29" ht="16" customHeight="1" x14ac:dyDescent="0.2">
      <c r="A117" s="1" t="s">
        <v>268</v>
      </c>
      <c r="B117" s="2" t="s">
        <v>137</v>
      </c>
      <c r="C117" s="2">
        <v>20</v>
      </c>
      <c r="D117" s="2" t="s">
        <v>129</v>
      </c>
      <c r="E117" s="2">
        <v>3003</v>
      </c>
      <c r="F117" s="2">
        <v>0</v>
      </c>
      <c r="G117" s="2">
        <v>0</v>
      </c>
      <c r="H117" s="2">
        <v>0</v>
      </c>
      <c r="I117" s="2">
        <v>-1</v>
      </c>
      <c r="J117" s="2">
        <v>2</v>
      </c>
      <c r="K117" s="2">
        <v>3</v>
      </c>
      <c r="L117" s="2">
        <v>2</v>
      </c>
      <c r="M117" s="2">
        <v>3</v>
      </c>
      <c r="N117" s="2">
        <v>1</v>
      </c>
      <c r="O117" s="2">
        <v>0</v>
      </c>
      <c r="P117" s="2">
        <v>0</v>
      </c>
      <c r="Q117" s="2">
        <v>1</v>
      </c>
      <c r="R117" s="2">
        <v>0</v>
      </c>
      <c r="S117">
        <v>0</v>
      </c>
      <c r="T117">
        <v>0</v>
      </c>
      <c r="U117">
        <v>1</v>
      </c>
      <c r="V117">
        <v>1</v>
      </c>
      <c r="W117">
        <v>2</v>
      </c>
      <c r="X117">
        <v>0</v>
      </c>
      <c r="Y117">
        <v>0</v>
      </c>
      <c r="Z117">
        <v>0</v>
      </c>
      <c r="AA117">
        <v>1</v>
      </c>
      <c r="AB117">
        <v>41</v>
      </c>
      <c r="AC117" t="s">
        <v>126</v>
      </c>
    </row>
    <row r="118" spans="1:29" ht="16" customHeight="1" x14ac:dyDescent="0.2">
      <c r="A118" s="1" t="s">
        <v>269</v>
      </c>
      <c r="B118" s="2" t="s">
        <v>208</v>
      </c>
      <c r="C118" s="2">
        <v>20</v>
      </c>
      <c r="D118" s="2" t="s">
        <v>132</v>
      </c>
      <c r="E118" s="2">
        <v>3181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2</v>
      </c>
      <c r="L118" s="2">
        <v>1</v>
      </c>
      <c r="M118" s="2">
        <v>1</v>
      </c>
      <c r="N118" s="2">
        <v>0</v>
      </c>
      <c r="O118" s="2">
        <v>1</v>
      </c>
      <c r="P118" s="2">
        <v>0</v>
      </c>
      <c r="Q118" s="2">
        <v>0</v>
      </c>
      <c r="R118" s="2">
        <v>0</v>
      </c>
      <c r="S118">
        <v>2</v>
      </c>
      <c r="T118">
        <v>1</v>
      </c>
      <c r="U118">
        <v>0</v>
      </c>
      <c r="V118">
        <v>0</v>
      </c>
      <c r="W118">
        <v>5</v>
      </c>
      <c r="X118">
        <v>0</v>
      </c>
      <c r="Y118">
        <v>0</v>
      </c>
      <c r="Z118">
        <v>0</v>
      </c>
      <c r="AA118">
        <v>0</v>
      </c>
      <c r="AB118">
        <v>135</v>
      </c>
      <c r="AC118" t="s">
        <v>126</v>
      </c>
    </row>
    <row r="119" spans="1:29" ht="16" customHeight="1" x14ac:dyDescent="0.2">
      <c r="A119" s="1" t="s">
        <v>270</v>
      </c>
      <c r="B119" s="2" t="s">
        <v>181</v>
      </c>
      <c r="C119" s="2">
        <v>20</v>
      </c>
      <c r="D119" s="2" t="s">
        <v>135</v>
      </c>
      <c r="E119" s="2">
        <v>9767</v>
      </c>
      <c r="F119" s="2">
        <v>0</v>
      </c>
      <c r="G119" s="2">
        <v>1</v>
      </c>
      <c r="H119" s="2">
        <v>0</v>
      </c>
      <c r="I119" s="2">
        <v>0</v>
      </c>
      <c r="J119" s="2">
        <v>2</v>
      </c>
      <c r="K119" s="2">
        <v>2</v>
      </c>
      <c r="L119" s="2">
        <v>2</v>
      </c>
      <c r="M119" s="2">
        <v>1</v>
      </c>
      <c r="N119" s="2">
        <v>1</v>
      </c>
      <c r="O119" s="2">
        <v>0</v>
      </c>
      <c r="P119" s="2">
        <v>1</v>
      </c>
      <c r="Q119" s="2">
        <v>0</v>
      </c>
      <c r="R119" s="2">
        <v>0</v>
      </c>
      <c r="S119">
        <v>1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30</v>
      </c>
      <c r="AC119" t="s">
        <v>126</v>
      </c>
    </row>
    <row r="120" spans="1:29" ht="16" customHeight="1" x14ac:dyDescent="0.2">
      <c r="A120" s="1" t="s">
        <v>271</v>
      </c>
      <c r="B120" s="2" t="s">
        <v>208</v>
      </c>
      <c r="C120" s="2">
        <v>20</v>
      </c>
      <c r="D120" s="2" t="s">
        <v>138</v>
      </c>
      <c r="E120" s="2">
        <v>10922</v>
      </c>
      <c r="F120" s="2">
        <v>1</v>
      </c>
      <c r="G120" s="2">
        <v>0</v>
      </c>
      <c r="H120" s="2">
        <v>0</v>
      </c>
      <c r="I120" s="2">
        <v>1</v>
      </c>
      <c r="J120" s="2">
        <v>3</v>
      </c>
      <c r="K120" s="2">
        <v>2</v>
      </c>
      <c r="L120" s="2">
        <v>2</v>
      </c>
      <c r="M120" s="2">
        <v>1</v>
      </c>
      <c r="N120" s="2">
        <v>0</v>
      </c>
      <c r="O120" s="2">
        <v>1</v>
      </c>
      <c r="P120" s="2">
        <v>0</v>
      </c>
      <c r="Q120" s="2">
        <v>1</v>
      </c>
      <c r="R120" s="2">
        <v>0</v>
      </c>
      <c r="S120">
        <v>-1</v>
      </c>
      <c r="T120">
        <v>0</v>
      </c>
      <c r="U120">
        <v>0</v>
      </c>
      <c r="V120">
        <v>1</v>
      </c>
      <c r="W120">
        <v>1</v>
      </c>
      <c r="X120">
        <v>-1</v>
      </c>
      <c r="Y120">
        <v>1</v>
      </c>
      <c r="Z120">
        <v>0</v>
      </c>
      <c r="AA120">
        <v>1</v>
      </c>
      <c r="AB120">
        <v>257</v>
      </c>
      <c r="AC120" t="s">
        <v>126</v>
      </c>
    </row>
    <row r="121" spans="1:29" ht="16" customHeight="1" x14ac:dyDescent="0.2">
      <c r="A121" s="1" t="s">
        <v>272</v>
      </c>
      <c r="B121" s="2" t="s">
        <v>134</v>
      </c>
      <c r="C121" s="2">
        <v>20</v>
      </c>
      <c r="D121" s="2" t="s">
        <v>140</v>
      </c>
      <c r="E121" s="2">
        <v>3838</v>
      </c>
      <c r="F121" s="2">
        <v>0</v>
      </c>
      <c r="G121" s="2">
        <v>0</v>
      </c>
      <c r="H121" s="2">
        <v>0</v>
      </c>
      <c r="I121" s="2">
        <v>-1</v>
      </c>
      <c r="J121" s="2">
        <v>3</v>
      </c>
      <c r="K121" s="2">
        <v>3</v>
      </c>
      <c r="L121" s="2">
        <v>1</v>
      </c>
      <c r="M121" s="2">
        <v>3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>
        <v>2</v>
      </c>
      <c r="T121">
        <v>1</v>
      </c>
      <c r="U121">
        <v>1</v>
      </c>
      <c r="V121">
        <v>1</v>
      </c>
      <c r="W121">
        <v>4</v>
      </c>
      <c r="X121">
        <v>-1</v>
      </c>
      <c r="Y121">
        <v>1</v>
      </c>
      <c r="Z121">
        <v>0</v>
      </c>
      <c r="AA121">
        <v>0</v>
      </c>
      <c r="AB121">
        <v>61</v>
      </c>
      <c r="AC121" t="s">
        <v>126</v>
      </c>
    </row>
    <row r="122" spans="1:29" ht="16" customHeight="1" x14ac:dyDescent="0.2">
      <c r="A122" s="1" t="s">
        <v>273</v>
      </c>
      <c r="B122" s="2" t="s">
        <v>147</v>
      </c>
      <c r="C122" s="2">
        <v>21</v>
      </c>
      <c r="D122" s="2" t="s">
        <v>125</v>
      </c>
      <c r="E122" s="2">
        <v>9016</v>
      </c>
      <c r="F122" s="2">
        <v>1</v>
      </c>
      <c r="G122" s="2">
        <v>0</v>
      </c>
      <c r="H122" s="2">
        <v>0</v>
      </c>
      <c r="I122" s="2">
        <v>0</v>
      </c>
      <c r="J122" s="2">
        <v>3</v>
      </c>
      <c r="K122" s="2">
        <v>2</v>
      </c>
      <c r="L122" s="2">
        <v>1</v>
      </c>
      <c r="M122" s="2">
        <v>3</v>
      </c>
      <c r="N122" s="2">
        <v>0</v>
      </c>
      <c r="O122" s="2">
        <v>0</v>
      </c>
      <c r="P122" s="2">
        <v>0</v>
      </c>
      <c r="Q122" s="2">
        <v>0</v>
      </c>
      <c r="R122" s="2">
        <v>1</v>
      </c>
      <c r="S122">
        <v>-1</v>
      </c>
      <c r="T122">
        <v>0</v>
      </c>
      <c r="U122">
        <v>1</v>
      </c>
      <c r="V122">
        <v>1</v>
      </c>
      <c r="W122">
        <v>4</v>
      </c>
      <c r="X122">
        <v>1</v>
      </c>
      <c r="Y122">
        <v>1</v>
      </c>
      <c r="Z122">
        <v>0</v>
      </c>
      <c r="AA122">
        <v>1</v>
      </c>
      <c r="AB122">
        <v>135</v>
      </c>
      <c r="AC122" t="s">
        <v>126</v>
      </c>
    </row>
    <row r="123" spans="1:29" ht="16" customHeight="1" x14ac:dyDescent="0.2">
      <c r="A123" s="1" t="s">
        <v>274</v>
      </c>
      <c r="B123" s="2" t="s">
        <v>147</v>
      </c>
      <c r="C123" s="2">
        <v>21</v>
      </c>
      <c r="D123" s="2" t="s">
        <v>129</v>
      </c>
      <c r="E123" s="2">
        <v>144</v>
      </c>
      <c r="F123" s="2">
        <v>1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1</v>
      </c>
      <c r="M123" s="2">
        <v>3</v>
      </c>
      <c r="N123" s="2">
        <v>0</v>
      </c>
      <c r="O123" s="2">
        <v>0</v>
      </c>
      <c r="P123" s="2">
        <v>1</v>
      </c>
      <c r="Q123" s="2">
        <v>1</v>
      </c>
      <c r="R123" s="2">
        <v>1</v>
      </c>
      <c r="S123">
        <v>3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151</v>
      </c>
      <c r="AC123" t="s">
        <v>126</v>
      </c>
    </row>
    <row r="124" spans="1:29" ht="16" customHeight="1" x14ac:dyDescent="0.2">
      <c r="A124" s="1" t="s">
        <v>275</v>
      </c>
      <c r="B124" s="2" t="s">
        <v>195</v>
      </c>
      <c r="C124" s="2">
        <v>21</v>
      </c>
      <c r="D124" s="2" t="s">
        <v>132</v>
      </c>
      <c r="E124" s="2">
        <v>3799</v>
      </c>
      <c r="F124" s="2">
        <v>0</v>
      </c>
      <c r="G124" s="2">
        <v>0</v>
      </c>
      <c r="H124" s="2">
        <v>0</v>
      </c>
      <c r="I124" s="2">
        <v>0</v>
      </c>
      <c r="J124" s="2">
        <v>2</v>
      </c>
      <c r="K124" s="2">
        <v>1</v>
      </c>
      <c r="L124" s="2">
        <v>3</v>
      </c>
      <c r="M124" s="2">
        <v>2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>
        <v>3</v>
      </c>
      <c r="T124">
        <v>0</v>
      </c>
      <c r="U124">
        <v>1</v>
      </c>
      <c r="V124">
        <v>0</v>
      </c>
      <c r="W124">
        <v>3</v>
      </c>
      <c r="X124">
        <v>0</v>
      </c>
      <c r="Y124">
        <v>1</v>
      </c>
      <c r="Z124">
        <v>1</v>
      </c>
      <c r="AA124">
        <v>0</v>
      </c>
      <c r="AB124">
        <v>248</v>
      </c>
      <c r="AC124" t="s">
        <v>126</v>
      </c>
    </row>
    <row r="125" spans="1:29" ht="16" customHeight="1" x14ac:dyDescent="0.2">
      <c r="A125" s="1" t="s">
        <v>276</v>
      </c>
      <c r="B125" s="2" t="s">
        <v>157</v>
      </c>
      <c r="C125" s="2">
        <v>21</v>
      </c>
      <c r="D125" s="2" t="s">
        <v>135</v>
      </c>
      <c r="E125" s="2">
        <v>7030</v>
      </c>
      <c r="F125" s="2">
        <v>0</v>
      </c>
      <c r="G125" s="2">
        <v>1</v>
      </c>
      <c r="H125" s="2">
        <v>0</v>
      </c>
      <c r="I125" s="2">
        <v>-1</v>
      </c>
      <c r="J125" s="2">
        <v>2</v>
      </c>
      <c r="K125" s="2">
        <v>2</v>
      </c>
      <c r="L125" s="2">
        <v>2</v>
      </c>
      <c r="M125" s="2">
        <v>4</v>
      </c>
      <c r="N125" s="2">
        <v>0</v>
      </c>
      <c r="O125" s="2">
        <v>1</v>
      </c>
      <c r="P125" s="2">
        <v>0</v>
      </c>
      <c r="Q125" s="2">
        <v>0</v>
      </c>
      <c r="R125" s="2">
        <v>1</v>
      </c>
      <c r="S125">
        <v>2</v>
      </c>
      <c r="T125">
        <v>0</v>
      </c>
      <c r="U125">
        <v>0</v>
      </c>
      <c r="V125">
        <v>1</v>
      </c>
      <c r="W125">
        <v>5</v>
      </c>
      <c r="X125">
        <v>0</v>
      </c>
      <c r="Y125">
        <v>1</v>
      </c>
      <c r="Z125">
        <v>0</v>
      </c>
      <c r="AA125">
        <v>0</v>
      </c>
      <c r="AB125">
        <v>80</v>
      </c>
      <c r="AC125" t="s">
        <v>126</v>
      </c>
    </row>
    <row r="126" spans="1:29" ht="16" customHeight="1" x14ac:dyDescent="0.2">
      <c r="A126" s="1" t="s">
        <v>277</v>
      </c>
      <c r="B126" s="2" t="s">
        <v>137</v>
      </c>
      <c r="C126" s="2">
        <v>21</v>
      </c>
      <c r="D126" s="2" t="s">
        <v>138</v>
      </c>
      <c r="E126" s="2">
        <v>20</v>
      </c>
      <c r="F126" s="2">
        <v>0</v>
      </c>
      <c r="G126" s="2">
        <v>1</v>
      </c>
      <c r="H126" s="2">
        <v>1</v>
      </c>
      <c r="I126" s="2">
        <v>-1</v>
      </c>
      <c r="J126" s="2">
        <v>3</v>
      </c>
      <c r="K126" s="2">
        <v>3</v>
      </c>
      <c r="L126" s="2">
        <v>2</v>
      </c>
      <c r="M126" s="2">
        <v>4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>
        <v>2</v>
      </c>
      <c r="T126">
        <v>0</v>
      </c>
      <c r="U126">
        <v>1</v>
      </c>
      <c r="V126">
        <v>1</v>
      </c>
      <c r="W126">
        <v>5</v>
      </c>
      <c r="X126">
        <v>1</v>
      </c>
      <c r="Y126">
        <v>0</v>
      </c>
      <c r="Z126">
        <v>1</v>
      </c>
      <c r="AA126">
        <v>1</v>
      </c>
      <c r="AB126">
        <v>215</v>
      </c>
      <c r="AC126" t="s">
        <v>126</v>
      </c>
    </row>
    <row r="127" spans="1:29" ht="16" customHeight="1" x14ac:dyDescent="0.2">
      <c r="A127" s="1" t="s">
        <v>278</v>
      </c>
      <c r="B127" s="2" t="s">
        <v>128</v>
      </c>
      <c r="C127" s="2">
        <v>21</v>
      </c>
      <c r="D127" s="2" t="s">
        <v>140</v>
      </c>
      <c r="E127" s="2">
        <v>3015</v>
      </c>
      <c r="F127" s="2">
        <v>1</v>
      </c>
      <c r="G127" s="2">
        <v>1</v>
      </c>
      <c r="H127" s="2">
        <v>0</v>
      </c>
      <c r="I127" s="2">
        <v>-1</v>
      </c>
      <c r="J127" s="2">
        <v>1</v>
      </c>
      <c r="K127" s="2">
        <v>3</v>
      </c>
      <c r="L127" s="2">
        <v>1</v>
      </c>
      <c r="M127" s="2">
        <v>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>
        <v>1</v>
      </c>
      <c r="T127">
        <v>1</v>
      </c>
      <c r="U127">
        <v>0</v>
      </c>
      <c r="V127">
        <v>0</v>
      </c>
      <c r="W127">
        <v>2</v>
      </c>
      <c r="X127">
        <v>1</v>
      </c>
      <c r="Y127">
        <v>0</v>
      </c>
      <c r="Z127">
        <v>0</v>
      </c>
      <c r="AA127">
        <v>1</v>
      </c>
      <c r="AB127">
        <v>207</v>
      </c>
      <c r="AC127" t="s">
        <v>126</v>
      </c>
    </row>
    <row r="128" spans="1:29" ht="16" customHeight="1" x14ac:dyDescent="0.2">
      <c r="A128" s="1" t="s">
        <v>279</v>
      </c>
      <c r="B128" s="2" t="s">
        <v>199</v>
      </c>
      <c r="C128" s="2">
        <v>22</v>
      </c>
      <c r="D128" s="2" t="s">
        <v>125</v>
      </c>
      <c r="E128" s="2">
        <v>1585</v>
      </c>
      <c r="F128" s="2">
        <v>1</v>
      </c>
      <c r="G128" s="2">
        <v>0</v>
      </c>
      <c r="H128" s="2">
        <v>1</v>
      </c>
      <c r="I128" s="2">
        <v>-1</v>
      </c>
      <c r="J128" s="2">
        <v>1</v>
      </c>
      <c r="K128" s="2">
        <v>2</v>
      </c>
      <c r="L128" s="2">
        <v>2</v>
      </c>
      <c r="M128" s="2">
        <v>3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>
        <v>-1</v>
      </c>
      <c r="T128">
        <v>0</v>
      </c>
      <c r="U128">
        <v>1</v>
      </c>
      <c r="V128">
        <v>0</v>
      </c>
      <c r="W128">
        <v>2</v>
      </c>
      <c r="X128">
        <v>0</v>
      </c>
      <c r="Y128">
        <v>1</v>
      </c>
      <c r="Z128">
        <v>0</v>
      </c>
      <c r="AA128">
        <v>1</v>
      </c>
      <c r="AB128">
        <v>50</v>
      </c>
      <c r="AC128" t="s">
        <v>126</v>
      </c>
    </row>
    <row r="129" spans="1:29" ht="16" customHeight="1" x14ac:dyDescent="0.2">
      <c r="A129" s="1" t="s">
        <v>280</v>
      </c>
      <c r="B129" s="2" t="s">
        <v>143</v>
      </c>
      <c r="C129" s="2">
        <v>22</v>
      </c>
      <c r="D129" s="2" t="s">
        <v>129</v>
      </c>
      <c r="E129" s="2">
        <v>432</v>
      </c>
      <c r="F129" s="2">
        <v>0</v>
      </c>
      <c r="G129" s="2">
        <v>1</v>
      </c>
      <c r="H129" s="2">
        <v>0</v>
      </c>
      <c r="I129" s="2">
        <v>1</v>
      </c>
      <c r="J129" s="2">
        <v>2</v>
      </c>
      <c r="K129" s="2">
        <v>2</v>
      </c>
      <c r="L129" s="2">
        <v>2</v>
      </c>
      <c r="M129" s="2">
        <v>2</v>
      </c>
      <c r="N129" s="2">
        <v>1</v>
      </c>
      <c r="O129" s="2">
        <v>0</v>
      </c>
      <c r="P129" s="2">
        <v>1</v>
      </c>
      <c r="Q129" s="2">
        <v>0</v>
      </c>
      <c r="R129" s="2">
        <v>1</v>
      </c>
      <c r="S129">
        <v>3</v>
      </c>
      <c r="T129">
        <v>1</v>
      </c>
      <c r="U129">
        <v>0</v>
      </c>
      <c r="V129">
        <v>0</v>
      </c>
      <c r="W129">
        <v>1</v>
      </c>
      <c r="X129">
        <v>-1</v>
      </c>
      <c r="Y129">
        <v>0</v>
      </c>
      <c r="Z129">
        <v>1</v>
      </c>
      <c r="AA129">
        <v>0</v>
      </c>
      <c r="AB129">
        <v>235</v>
      </c>
      <c r="AC129" t="s">
        <v>126</v>
      </c>
    </row>
    <row r="130" spans="1:29" ht="16" customHeight="1" x14ac:dyDescent="0.2">
      <c r="A130" s="1" t="s">
        <v>281</v>
      </c>
      <c r="B130" s="2" t="s">
        <v>181</v>
      </c>
      <c r="C130" s="2">
        <v>22</v>
      </c>
      <c r="D130" s="2" t="s">
        <v>132</v>
      </c>
      <c r="E130" s="2">
        <v>564</v>
      </c>
      <c r="F130" s="2">
        <v>0</v>
      </c>
      <c r="G130" s="2">
        <v>0</v>
      </c>
      <c r="H130" s="2">
        <v>0</v>
      </c>
      <c r="I130" s="2">
        <v>1</v>
      </c>
      <c r="J130" s="2">
        <v>1</v>
      </c>
      <c r="K130" s="2">
        <v>1</v>
      </c>
      <c r="L130" s="2">
        <v>2</v>
      </c>
      <c r="M130" s="2">
        <v>1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>
        <v>1</v>
      </c>
      <c r="T130">
        <v>1</v>
      </c>
      <c r="U130">
        <v>0</v>
      </c>
      <c r="V130">
        <v>0</v>
      </c>
      <c r="W130">
        <v>2</v>
      </c>
      <c r="X130">
        <v>-1</v>
      </c>
      <c r="Y130">
        <v>1</v>
      </c>
      <c r="Z130">
        <v>1</v>
      </c>
      <c r="AA130">
        <v>0</v>
      </c>
      <c r="AB130">
        <v>178</v>
      </c>
      <c r="AC130" t="s">
        <v>126</v>
      </c>
    </row>
    <row r="131" spans="1:29" ht="16" customHeight="1" x14ac:dyDescent="0.2">
      <c r="A131" s="1" t="s">
        <v>282</v>
      </c>
      <c r="B131" s="2" t="s">
        <v>176</v>
      </c>
      <c r="C131" s="2">
        <v>22</v>
      </c>
      <c r="D131" s="2" t="s">
        <v>135</v>
      </c>
      <c r="E131" s="2">
        <v>3951</v>
      </c>
      <c r="F131" s="2">
        <v>1</v>
      </c>
      <c r="G131" s="2">
        <v>0</v>
      </c>
      <c r="H131" s="2">
        <v>0</v>
      </c>
      <c r="I131" s="2">
        <v>0</v>
      </c>
      <c r="J131" s="2">
        <v>2</v>
      </c>
      <c r="K131" s="2">
        <v>2</v>
      </c>
      <c r="L131" s="2">
        <v>2</v>
      </c>
      <c r="M131" s="2">
        <v>2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>
        <v>1</v>
      </c>
      <c r="T131">
        <v>0</v>
      </c>
      <c r="U131">
        <v>0</v>
      </c>
      <c r="V131">
        <v>1</v>
      </c>
      <c r="W131">
        <v>5</v>
      </c>
      <c r="X131">
        <v>-1</v>
      </c>
      <c r="Y131">
        <v>0</v>
      </c>
      <c r="Z131">
        <v>0</v>
      </c>
      <c r="AA131">
        <v>0</v>
      </c>
      <c r="AB131">
        <v>109</v>
      </c>
      <c r="AC131" t="s">
        <v>126</v>
      </c>
    </row>
    <row r="132" spans="1:29" ht="16" customHeight="1" x14ac:dyDescent="0.2">
      <c r="A132" s="1" t="s">
        <v>283</v>
      </c>
      <c r="B132" s="2" t="s">
        <v>181</v>
      </c>
      <c r="C132" s="2">
        <v>22</v>
      </c>
      <c r="D132" s="2" t="s">
        <v>138</v>
      </c>
      <c r="E132" s="2">
        <v>1450</v>
      </c>
      <c r="F132" s="2">
        <v>1</v>
      </c>
      <c r="G132" s="2">
        <v>1</v>
      </c>
      <c r="H132" s="2">
        <v>0</v>
      </c>
      <c r="I132" s="2">
        <v>-1</v>
      </c>
      <c r="J132" s="2">
        <v>3</v>
      </c>
      <c r="K132" s="2">
        <v>1</v>
      </c>
      <c r="L132" s="2">
        <v>1</v>
      </c>
      <c r="M132" s="2">
        <v>2</v>
      </c>
      <c r="N132" s="2">
        <v>1</v>
      </c>
      <c r="O132" s="2">
        <v>0</v>
      </c>
      <c r="P132" s="2">
        <v>0</v>
      </c>
      <c r="Q132" s="2">
        <v>1</v>
      </c>
      <c r="R132" s="2">
        <v>0</v>
      </c>
      <c r="S132">
        <v>-1</v>
      </c>
      <c r="T132">
        <v>0</v>
      </c>
      <c r="U132">
        <v>0</v>
      </c>
      <c r="V132">
        <v>1</v>
      </c>
      <c r="W132">
        <v>3</v>
      </c>
      <c r="X132">
        <v>0</v>
      </c>
      <c r="Y132">
        <v>1</v>
      </c>
      <c r="Z132">
        <v>0</v>
      </c>
      <c r="AA132">
        <v>1</v>
      </c>
      <c r="AB132">
        <v>245</v>
      </c>
      <c r="AC132" t="s">
        <v>126</v>
      </c>
    </row>
    <row r="133" spans="1:29" ht="16" customHeight="1" x14ac:dyDescent="0.2">
      <c r="A133" s="1" t="s">
        <v>284</v>
      </c>
      <c r="B133" s="2" t="s">
        <v>159</v>
      </c>
      <c r="C133" s="2">
        <v>22</v>
      </c>
      <c r="D133" s="2" t="s">
        <v>140</v>
      </c>
      <c r="E133" s="2">
        <v>6947</v>
      </c>
      <c r="F133" s="2">
        <v>0</v>
      </c>
      <c r="G133" s="2">
        <v>0</v>
      </c>
      <c r="H133" s="2">
        <v>0</v>
      </c>
      <c r="I133" s="2">
        <v>0</v>
      </c>
      <c r="J133" s="2">
        <v>3</v>
      </c>
      <c r="K133" s="2">
        <v>3</v>
      </c>
      <c r="L133" s="2">
        <v>2</v>
      </c>
      <c r="M133" s="2">
        <v>1</v>
      </c>
      <c r="N133" s="2">
        <v>0</v>
      </c>
      <c r="O133" s="2">
        <v>1</v>
      </c>
      <c r="P133" s="2">
        <v>0</v>
      </c>
      <c r="Q133" s="2">
        <v>0</v>
      </c>
      <c r="R133" s="2">
        <v>1</v>
      </c>
      <c r="S133">
        <v>-1</v>
      </c>
      <c r="T133">
        <v>0</v>
      </c>
      <c r="U133">
        <v>1</v>
      </c>
      <c r="V133">
        <v>1</v>
      </c>
      <c r="W133">
        <v>3</v>
      </c>
      <c r="X133">
        <v>1</v>
      </c>
      <c r="Y133">
        <v>0</v>
      </c>
      <c r="Z133">
        <v>1</v>
      </c>
      <c r="AA133">
        <v>0</v>
      </c>
      <c r="AB133">
        <v>128</v>
      </c>
      <c r="AC133" t="s">
        <v>126</v>
      </c>
    </row>
    <row r="134" spans="1:29" ht="16" customHeight="1" x14ac:dyDescent="0.2">
      <c r="A134" s="1" t="s">
        <v>285</v>
      </c>
      <c r="B134" s="2" t="s">
        <v>143</v>
      </c>
      <c r="C134" s="2">
        <v>23</v>
      </c>
      <c r="D134" s="2" t="s">
        <v>125</v>
      </c>
      <c r="E134" s="2">
        <v>4093</v>
      </c>
      <c r="F134" s="2">
        <v>0</v>
      </c>
      <c r="G134" s="2">
        <v>0</v>
      </c>
      <c r="H134" s="2">
        <v>1</v>
      </c>
      <c r="I134" s="2">
        <v>-1</v>
      </c>
      <c r="J134" s="2">
        <v>3</v>
      </c>
      <c r="K134" s="2">
        <v>2</v>
      </c>
      <c r="L134" s="2">
        <v>3</v>
      </c>
      <c r="M134" s="2">
        <v>3</v>
      </c>
      <c r="N134" s="2">
        <v>1</v>
      </c>
      <c r="O134" s="2">
        <v>1</v>
      </c>
      <c r="P134" s="2">
        <v>1</v>
      </c>
      <c r="Q134" s="2">
        <v>1</v>
      </c>
      <c r="R134" s="2">
        <v>1</v>
      </c>
      <c r="S134">
        <v>2</v>
      </c>
      <c r="T134">
        <v>1</v>
      </c>
      <c r="U134">
        <v>1</v>
      </c>
      <c r="V134">
        <v>0</v>
      </c>
      <c r="W134">
        <v>4</v>
      </c>
      <c r="X134">
        <v>-1</v>
      </c>
      <c r="Y134">
        <v>1</v>
      </c>
      <c r="Z134">
        <v>0</v>
      </c>
      <c r="AA134">
        <v>1</v>
      </c>
      <c r="AB134">
        <v>34</v>
      </c>
      <c r="AC134" t="s">
        <v>126</v>
      </c>
    </row>
    <row r="135" spans="1:29" ht="16" customHeight="1" x14ac:dyDescent="0.2">
      <c r="A135" s="1" t="s">
        <v>286</v>
      </c>
      <c r="B135" s="2" t="s">
        <v>193</v>
      </c>
      <c r="C135" s="2">
        <v>23</v>
      </c>
      <c r="D135" s="2" t="s">
        <v>129</v>
      </c>
      <c r="E135" s="2">
        <v>2228</v>
      </c>
      <c r="F135" s="2">
        <v>1</v>
      </c>
      <c r="G135" s="2">
        <v>1</v>
      </c>
      <c r="H135" s="2">
        <v>1</v>
      </c>
      <c r="I135" s="2">
        <v>0</v>
      </c>
      <c r="J135" s="2">
        <v>3</v>
      </c>
      <c r="K135" s="2">
        <v>3</v>
      </c>
      <c r="L135" s="2">
        <v>1</v>
      </c>
      <c r="M135" s="2">
        <v>1</v>
      </c>
      <c r="N135" s="2">
        <v>1</v>
      </c>
      <c r="O135" s="2">
        <v>0</v>
      </c>
      <c r="P135" s="2">
        <v>1</v>
      </c>
      <c r="Q135" s="2">
        <v>1</v>
      </c>
      <c r="R135" s="2">
        <v>1</v>
      </c>
      <c r="S135">
        <v>0</v>
      </c>
      <c r="T135">
        <v>1</v>
      </c>
      <c r="U135">
        <v>0</v>
      </c>
      <c r="V135">
        <v>0</v>
      </c>
      <c r="W135">
        <v>4</v>
      </c>
      <c r="X135">
        <v>0</v>
      </c>
      <c r="Y135">
        <v>0</v>
      </c>
      <c r="Z135">
        <v>1</v>
      </c>
      <c r="AA135">
        <v>0</v>
      </c>
      <c r="AB135">
        <v>206</v>
      </c>
      <c r="AC135" t="s">
        <v>126</v>
      </c>
    </row>
    <row r="136" spans="1:29" ht="16" customHeight="1" x14ac:dyDescent="0.2">
      <c r="A136" s="1" t="s">
        <v>287</v>
      </c>
      <c r="B136" s="2" t="s">
        <v>131</v>
      </c>
      <c r="C136" s="2">
        <v>23</v>
      </c>
      <c r="D136" s="2" t="s">
        <v>132</v>
      </c>
      <c r="E136" s="2">
        <v>578</v>
      </c>
      <c r="F136" s="2">
        <v>1</v>
      </c>
      <c r="G136" s="2">
        <v>0</v>
      </c>
      <c r="H136" s="2">
        <v>0</v>
      </c>
      <c r="I136" s="2">
        <v>1</v>
      </c>
      <c r="J136" s="2">
        <v>2</v>
      </c>
      <c r="K136" s="2">
        <v>3</v>
      </c>
      <c r="L136" s="2">
        <v>1</v>
      </c>
      <c r="M136" s="2">
        <v>1</v>
      </c>
      <c r="N136" s="2">
        <v>1</v>
      </c>
      <c r="O136" s="2">
        <v>0</v>
      </c>
      <c r="P136" s="2">
        <v>0</v>
      </c>
      <c r="Q136" s="2">
        <v>0</v>
      </c>
      <c r="R136" s="2">
        <v>1</v>
      </c>
      <c r="S136">
        <v>2</v>
      </c>
      <c r="T136">
        <v>1</v>
      </c>
      <c r="U136">
        <v>1</v>
      </c>
      <c r="V136">
        <v>1</v>
      </c>
      <c r="W136">
        <v>1</v>
      </c>
      <c r="X136">
        <v>-1</v>
      </c>
      <c r="Y136">
        <v>0</v>
      </c>
      <c r="Z136">
        <v>0</v>
      </c>
      <c r="AA136">
        <v>1</v>
      </c>
      <c r="AB136">
        <v>165</v>
      </c>
      <c r="AC136" t="s">
        <v>126</v>
      </c>
    </row>
    <row r="137" spans="1:29" ht="16" customHeight="1" x14ac:dyDescent="0.2">
      <c r="A137" s="1" t="s">
        <v>288</v>
      </c>
      <c r="B137" s="2" t="s">
        <v>166</v>
      </c>
      <c r="C137" s="2">
        <v>23</v>
      </c>
      <c r="D137" s="2" t="s">
        <v>135</v>
      </c>
      <c r="E137" s="2">
        <v>1787</v>
      </c>
      <c r="F137" s="2">
        <v>1</v>
      </c>
      <c r="G137" s="2">
        <v>1</v>
      </c>
      <c r="H137" s="2">
        <v>1</v>
      </c>
      <c r="I137" s="2">
        <v>1</v>
      </c>
      <c r="J137" s="2">
        <v>4</v>
      </c>
      <c r="K137" s="2">
        <v>3</v>
      </c>
      <c r="L137" s="2">
        <v>1</v>
      </c>
      <c r="M137" s="2">
        <v>3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>
        <v>1</v>
      </c>
      <c r="T137">
        <v>0</v>
      </c>
      <c r="U137">
        <v>1</v>
      </c>
      <c r="V137">
        <v>0</v>
      </c>
      <c r="W137">
        <v>4</v>
      </c>
      <c r="X137">
        <v>1</v>
      </c>
      <c r="Y137">
        <v>0</v>
      </c>
      <c r="Z137">
        <v>0</v>
      </c>
      <c r="AA137">
        <v>1</v>
      </c>
      <c r="AB137">
        <v>284</v>
      </c>
      <c r="AC137" t="s">
        <v>126</v>
      </c>
    </row>
    <row r="138" spans="1:29" ht="16" customHeight="1" x14ac:dyDescent="0.2">
      <c r="A138" s="1" t="s">
        <v>289</v>
      </c>
      <c r="B138" s="2" t="s">
        <v>164</v>
      </c>
      <c r="C138" s="2">
        <v>23</v>
      </c>
      <c r="D138" s="2" t="s">
        <v>138</v>
      </c>
      <c r="E138" s="2">
        <v>378</v>
      </c>
      <c r="F138" s="2">
        <v>0</v>
      </c>
      <c r="G138" s="2">
        <v>1</v>
      </c>
      <c r="H138" s="2">
        <v>0</v>
      </c>
      <c r="I138" s="2">
        <v>1</v>
      </c>
      <c r="J138" s="2">
        <v>3</v>
      </c>
      <c r="K138" s="2">
        <v>2</v>
      </c>
      <c r="L138" s="2">
        <v>2</v>
      </c>
      <c r="M138" s="2">
        <v>2</v>
      </c>
      <c r="N138" s="2">
        <v>1</v>
      </c>
      <c r="O138" s="2">
        <v>1</v>
      </c>
      <c r="P138" s="2">
        <v>1</v>
      </c>
      <c r="Q138" s="2">
        <v>0</v>
      </c>
      <c r="R138" s="2">
        <v>1</v>
      </c>
      <c r="S138">
        <v>2</v>
      </c>
      <c r="T138">
        <v>1</v>
      </c>
      <c r="U138">
        <v>1</v>
      </c>
      <c r="V138">
        <v>0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134</v>
      </c>
      <c r="AC138" t="s">
        <v>126</v>
      </c>
    </row>
    <row r="139" spans="1:29" ht="16" customHeight="1" x14ac:dyDescent="0.2">
      <c r="A139" s="1" t="s">
        <v>290</v>
      </c>
      <c r="B139" s="2" t="s">
        <v>147</v>
      </c>
      <c r="C139" s="2">
        <v>23</v>
      </c>
      <c r="D139" s="2" t="s">
        <v>140</v>
      </c>
      <c r="E139" s="2">
        <v>1056</v>
      </c>
      <c r="F139" s="2">
        <v>1</v>
      </c>
      <c r="G139" s="2">
        <v>1</v>
      </c>
      <c r="H139" s="2">
        <v>0</v>
      </c>
      <c r="I139" s="2">
        <v>-1</v>
      </c>
      <c r="J139" s="2">
        <v>5</v>
      </c>
      <c r="K139" s="2">
        <v>1</v>
      </c>
      <c r="L139" s="2">
        <v>3</v>
      </c>
      <c r="M139" s="2">
        <v>1</v>
      </c>
      <c r="N139" s="2">
        <v>1</v>
      </c>
      <c r="O139" s="2">
        <v>0</v>
      </c>
      <c r="P139" s="2">
        <v>1</v>
      </c>
      <c r="Q139" s="2">
        <v>0</v>
      </c>
      <c r="R139" s="2">
        <v>0</v>
      </c>
      <c r="S139">
        <v>2</v>
      </c>
      <c r="T139">
        <v>1</v>
      </c>
      <c r="U139">
        <v>1</v>
      </c>
      <c r="V139">
        <v>0</v>
      </c>
      <c r="W139">
        <v>5</v>
      </c>
      <c r="X139">
        <v>-1</v>
      </c>
      <c r="Y139">
        <v>0</v>
      </c>
      <c r="Z139">
        <v>0</v>
      </c>
      <c r="AA139">
        <v>1</v>
      </c>
      <c r="AB139">
        <v>167</v>
      </c>
      <c r="AC139" t="s">
        <v>126</v>
      </c>
    </row>
    <row r="140" spans="1:29" ht="16" customHeight="1" x14ac:dyDescent="0.2">
      <c r="A140" s="1" t="s">
        <v>291</v>
      </c>
      <c r="B140" s="2" t="s">
        <v>159</v>
      </c>
      <c r="C140" s="2">
        <v>24</v>
      </c>
      <c r="D140" s="2" t="s">
        <v>125</v>
      </c>
      <c r="E140" s="2">
        <v>48</v>
      </c>
      <c r="F140" s="2">
        <v>1</v>
      </c>
      <c r="G140" s="2">
        <v>0</v>
      </c>
      <c r="H140" s="2">
        <v>1</v>
      </c>
      <c r="I140" s="2">
        <v>0</v>
      </c>
      <c r="J140" s="2">
        <v>5</v>
      </c>
      <c r="K140" s="2">
        <v>1</v>
      </c>
      <c r="L140" s="2">
        <v>1</v>
      </c>
      <c r="M140" s="2">
        <v>4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>
        <v>-1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165</v>
      </c>
      <c r="AC140" t="s">
        <v>126</v>
      </c>
    </row>
    <row r="141" spans="1:29" ht="16" customHeight="1" x14ac:dyDescent="0.2">
      <c r="A141" s="1" t="s">
        <v>292</v>
      </c>
      <c r="B141" s="2" t="s">
        <v>161</v>
      </c>
      <c r="C141" s="2">
        <v>24</v>
      </c>
      <c r="D141" s="2" t="s">
        <v>129</v>
      </c>
      <c r="E141" s="2">
        <v>1781</v>
      </c>
      <c r="F141" s="2">
        <v>1</v>
      </c>
      <c r="G141" s="2">
        <v>0</v>
      </c>
      <c r="H141" s="2">
        <v>1</v>
      </c>
      <c r="I141" s="2">
        <v>1</v>
      </c>
      <c r="J141" s="2">
        <v>3</v>
      </c>
      <c r="K141" s="2">
        <v>3</v>
      </c>
      <c r="L141" s="2">
        <v>3</v>
      </c>
      <c r="M141" s="2">
        <v>1</v>
      </c>
      <c r="N141" s="2">
        <v>0</v>
      </c>
      <c r="O141" s="2">
        <v>1</v>
      </c>
      <c r="P141" s="2">
        <v>1</v>
      </c>
      <c r="Q141" s="2">
        <v>1</v>
      </c>
      <c r="R141" s="2">
        <v>1</v>
      </c>
      <c r="S141">
        <v>1</v>
      </c>
      <c r="T141">
        <v>1</v>
      </c>
      <c r="U141">
        <v>1</v>
      </c>
      <c r="V141">
        <v>1</v>
      </c>
      <c r="W141">
        <v>3</v>
      </c>
      <c r="X141">
        <v>0</v>
      </c>
      <c r="Y141">
        <v>0</v>
      </c>
      <c r="Z141">
        <v>1</v>
      </c>
      <c r="AA141">
        <v>0</v>
      </c>
      <c r="AB141">
        <v>248</v>
      </c>
      <c r="AC141" t="s">
        <v>126</v>
      </c>
    </row>
    <row r="142" spans="1:29" ht="16" customHeight="1" x14ac:dyDescent="0.2">
      <c r="A142" s="1" t="s">
        <v>293</v>
      </c>
      <c r="B142" s="2" t="s">
        <v>185</v>
      </c>
      <c r="C142" s="2">
        <v>24</v>
      </c>
      <c r="D142" s="2" t="s">
        <v>132</v>
      </c>
      <c r="E142" s="2">
        <v>810</v>
      </c>
      <c r="F142" s="2">
        <v>1</v>
      </c>
      <c r="G142" s="2">
        <v>0</v>
      </c>
      <c r="H142" s="2">
        <v>0</v>
      </c>
      <c r="I142" s="2">
        <v>-1</v>
      </c>
      <c r="J142" s="2">
        <v>4</v>
      </c>
      <c r="K142" s="2">
        <v>2</v>
      </c>
      <c r="L142" s="2">
        <v>3</v>
      </c>
      <c r="M142" s="2">
        <v>4</v>
      </c>
      <c r="N142" s="2">
        <v>0</v>
      </c>
      <c r="O142" s="2">
        <v>1</v>
      </c>
      <c r="P142" s="2">
        <v>0</v>
      </c>
      <c r="Q142" s="2">
        <v>1</v>
      </c>
      <c r="R142" s="2">
        <v>1</v>
      </c>
      <c r="S142">
        <v>3</v>
      </c>
      <c r="T142">
        <v>1</v>
      </c>
      <c r="U142">
        <v>0</v>
      </c>
      <c r="V142">
        <v>0</v>
      </c>
      <c r="W142">
        <v>1</v>
      </c>
      <c r="X142">
        <v>-1</v>
      </c>
      <c r="Y142">
        <v>1</v>
      </c>
      <c r="Z142">
        <v>0</v>
      </c>
      <c r="AA142">
        <v>0</v>
      </c>
      <c r="AB142">
        <v>49</v>
      </c>
      <c r="AC142" t="s">
        <v>126</v>
      </c>
    </row>
    <row r="143" spans="1:29" ht="16" customHeight="1" x14ac:dyDescent="0.2">
      <c r="A143" s="1" t="s">
        <v>294</v>
      </c>
      <c r="B143" s="2" t="s">
        <v>131</v>
      </c>
      <c r="C143" s="2">
        <v>24</v>
      </c>
      <c r="D143" s="2" t="s">
        <v>135</v>
      </c>
      <c r="E143" s="2">
        <v>639</v>
      </c>
      <c r="F143" s="2">
        <v>0</v>
      </c>
      <c r="G143" s="2">
        <v>1</v>
      </c>
      <c r="H143" s="2">
        <v>0</v>
      </c>
      <c r="I143" s="2">
        <v>1</v>
      </c>
      <c r="J143" s="2">
        <v>5</v>
      </c>
      <c r="K143" s="2">
        <v>3</v>
      </c>
      <c r="L143" s="2">
        <v>2</v>
      </c>
      <c r="M143" s="2">
        <v>5</v>
      </c>
      <c r="N143" s="2">
        <v>1</v>
      </c>
      <c r="O143" s="2">
        <v>1</v>
      </c>
      <c r="P143" s="2">
        <v>1</v>
      </c>
      <c r="Q143" s="2">
        <v>0</v>
      </c>
      <c r="R143" s="2">
        <v>0</v>
      </c>
      <c r="S143">
        <v>3</v>
      </c>
      <c r="T143">
        <v>1</v>
      </c>
      <c r="U143">
        <v>1</v>
      </c>
      <c r="V143">
        <v>0</v>
      </c>
      <c r="W143">
        <v>2</v>
      </c>
      <c r="X143">
        <v>0</v>
      </c>
      <c r="Y143">
        <v>1</v>
      </c>
      <c r="Z143">
        <v>0</v>
      </c>
      <c r="AA143">
        <v>1</v>
      </c>
      <c r="AB143">
        <v>74</v>
      </c>
      <c r="AC143" t="s">
        <v>126</v>
      </c>
    </row>
    <row r="144" spans="1:29" ht="16" customHeight="1" x14ac:dyDescent="0.2">
      <c r="A144" s="1" t="s">
        <v>295</v>
      </c>
      <c r="B144" s="2" t="s">
        <v>149</v>
      </c>
      <c r="C144" s="2">
        <v>24</v>
      </c>
      <c r="D144" s="2" t="s">
        <v>138</v>
      </c>
      <c r="E144" s="2">
        <v>325</v>
      </c>
      <c r="F144" s="2">
        <v>0</v>
      </c>
      <c r="G144" s="2">
        <v>0</v>
      </c>
      <c r="H144" s="2">
        <v>0</v>
      </c>
      <c r="I144" s="2">
        <v>0</v>
      </c>
      <c r="J144" s="2">
        <v>5</v>
      </c>
      <c r="K144" s="2">
        <v>3</v>
      </c>
      <c r="L144" s="2">
        <v>1</v>
      </c>
      <c r="M144" s="2">
        <v>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>
        <v>-1</v>
      </c>
      <c r="T144">
        <v>1</v>
      </c>
      <c r="U144">
        <v>1</v>
      </c>
      <c r="V144">
        <v>1</v>
      </c>
      <c r="W144">
        <v>2</v>
      </c>
      <c r="X144">
        <v>1</v>
      </c>
      <c r="Y144">
        <v>1</v>
      </c>
      <c r="Z144">
        <v>0</v>
      </c>
      <c r="AA144">
        <v>0</v>
      </c>
      <c r="AB144">
        <v>222</v>
      </c>
      <c r="AC144" t="s">
        <v>126</v>
      </c>
    </row>
    <row r="145" spans="1:29" ht="16" customHeight="1" x14ac:dyDescent="0.2">
      <c r="A145" s="1" t="s">
        <v>296</v>
      </c>
      <c r="B145" s="2" t="s">
        <v>168</v>
      </c>
      <c r="C145" s="2">
        <v>24</v>
      </c>
      <c r="D145" s="2" t="s">
        <v>140</v>
      </c>
      <c r="E145" s="2">
        <v>1518</v>
      </c>
      <c r="F145" s="2">
        <v>0</v>
      </c>
      <c r="G145" s="2">
        <v>1</v>
      </c>
      <c r="H145" s="2">
        <v>0</v>
      </c>
      <c r="I145" s="2">
        <v>-1</v>
      </c>
      <c r="J145" s="2">
        <v>1</v>
      </c>
      <c r="K145" s="2">
        <v>3</v>
      </c>
      <c r="L145" s="2">
        <v>1</v>
      </c>
      <c r="M145" s="2">
        <v>2</v>
      </c>
      <c r="N145" s="2">
        <v>1</v>
      </c>
      <c r="O145" s="2">
        <v>1</v>
      </c>
      <c r="P145" s="2">
        <v>0</v>
      </c>
      <c r="Q145" s="2">
        <v>0</v>
      </c>
      <c r="R145" s="2">
        <v>0</v>
      </c>
      <c r="S145">
        <v>0</v>
      </c>
      <c r="T145">
        <v>0</v>
      </c>
      <c r="U145">
        <v>1</v>
      </c>
      <c r="V145">
        <v>1</v>
      </c>
      <c r="W145">
        <v>4</v>
      </c>
      <c r="X145">
        <v>-1</v>
      </c>
      <c r="Y145">
        <v>0</v>
      </c>
      <c r="Z145">
        <v>1</v>
      </c>
      <c r="AA145">
        <v>1</v>
      </c>
      <c r="AB145">
        <v>38</v>
      </c>
      <c r="AC145" t="s">
        <v>126</v>
      </c>
    </row>
    <row r="146" spans="1:29" ht="16" customHeight="1" x14ac:dyDescent="0.2">
      <c r="A146" s="1" t="s">
        <v>297</v>
      </c>
      <c r="B146" s="2" t="s">
        <v>164</v>
      </c>
      <c r="C146" s="2">
        <v>25</v>
      </c>
      <c r="D146" s="2" t="s">
        <v>125</v>
      </c>
      <c r="E146" s="2">
        <v>2340</v>
      </c>
      <c r="F146" s="2">
        <v>1</v>
      </c>
      <c r="G146" s="2">
        <v>1</v>
      </c>
      <c r="H146" s="2">
        <v>1</v>
      </c>
      <c r="I146" s="2">
        <v>0</v>
      </c>
      <c r="J146" s="2">
        <v>2</v>
      </c>
      <c r="K146" s="2">
        <v>1</v>
      </c>
      <c r="L146" s="2">
        <v>1</v>
      </c>
      <c r="M146" s="2">
        <v>5</v>
      </c>
      <c r="N146" s="2">
        <v>1</v>
      </c>
      <c r="O146" s="2">
        <v>1</v>
      </c>
      <c r="P146" s="2">
        <v>0</v>
      </c>
      <c r="Q146" s="2">
        <v>1</v>
      </c>
      <c r="R146" s="2">
        <v>0</v>
      </c>
      <c r="S146">
        <v>2</v>
      </c>
      <c r="T146">
        <v>0</v>
      </c>
      <c r="U146">
        <v>0</v>
      </c>
      <c r="V146">
        <v>1</v>
      </c>
      <c r="W146">
        <v>3</v>
      </c>
      <c r="X146">
        <v>-1</v>
      </c>
      <c r="Y146">
        <v>0</v>
      </c>
      <c r="Z146">
        <v>0</v>
      </c>
      <c r="AA146">
        <v>1</v>
      </c>
      <c r="AB146">
        <v>140</v>
      </c>
      <c r="AC146" t="s">
        <v>126</v>
      </c>
    </row>
    <row r="147" spans="1:29" ht="16" customHeight="1" x14ac:dyDescent="0.2">
      <c r="A147" s="1" t="s">
        <v>298</v>
      </c>
      <c r="B147" s="2" t="s">
        <v>137</v>
      </c>
      <c r="C147" s="2">
        <v>25</v>
      </c>
      <c r="D147" s="2" t="s">
        <v>129</v>
      </c>
      <c r="E147" s="2">
        <v>5590</v>
      </c>
      <c r="F147" s="2">
        <v>1</v>
      </c>
      <c r="G147" s="2">
        <v>0</v>
      </c>
      <c r="H147" s="2">
        <v>1</v>
      </c>
      <c r="I147" s="2">
        <v>-1</v>
      </c>
      <c r="J147" s="2">
        <v>5</v>
      </c>
      <c r="K147" s="2">
        <v>3</v>
      </c>
      <c r="L147" s="2">
        <v>1</v>
      </c>
      <c r="M147" s="2">
        <v>4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>
        <v>3</v>
      </c>
      <c r="T147">
        <v>1</v>
      </c>
      <c r="U147">
        <v>1</v>
      </c>
      <c r="V147">
        <v>0</v>
      </c>
      <c r="W147">
        <v>5</v>
      </c>
      <c r="X147">
        <v>0</v>
      </c>
      <c r="Y147">
        <v>0</v>
      </c>
      <c r="Z147">
        <v>1</v>
      </c>
      <c r="AA147">
        <v>0</v>
      </c>
      <c r="AB147">
        <v>70</v>
      </c>
      <c r="AC147" t="s">
        <v>126</v>
      </c>
    </row>
    <row r="148" spans="1:29" ht="16" customHeight="1" x14ac:dyDescent="0.2">
      <c r="A148" s="1" t="s">
        <v>299</v>
      </c>
      <c r="B148" s="2" t="s">
        <v>168</v>
      </c>
      <c r="C148" s="2">
        <v>25</v>
      </c>
      <c r="D148" s="2" t="s">
        <v>132</v>
      </c>
      <c r="E148" s="2">
        <v>191</v>
      </c>
      <c r="F148" s="2">
        <v>0</v>
      </c>
      <c r="G148" s="2">
        <v>1</v>
      </c>
      <c r="H148" s="2">
        <v>1</v>
      </c>
      <c r="I148" s="2">
        <v>-1</v>
      </c>
      <c r="J148" s="2">
        <v>5</v>
      </c>
      <c r="K148" s="2">
        <v>3</v>
      </c>
      <c r="L148" s="2">
        <v>3</v>
      </c>
      <c r="M148" s="2">
        <v>5</v>
      </c>
      <c r="N148" s="2">
        <v>1</v>
      </c>
      <c r="O148" s="2">
        <v>0</v>
      </c>
      <c r="P148" s="2">
        <v>1</v>
      </c>
      <c r="Q148" s="2">
        <v>1</v>
      </c>
      <c r="R148" s="2">
        <v>1</v>
      </c>
      <c r="S148">
        <v>2</v>
      </c>
      <c r="T148">
        <v>0</v>
      </c>
      <c r="U148">
        <v>1</v>
      </c>
      <c r="V148">
        <v>0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130</v>
      </c>
      <c r="AC148" t="s">
        <v>126</v>
      </c>
    </row>
    <row r="149" spans="1:29" ht="16" customHeight="1" x14ac:dyDescent="0.2">
      <c r="A149" s="1" t="s">
        <v>300</v>
      </c>
      <c r="B149" s="2" t="s">
        <v>134</v>
      </c>
      <c r="C149" s="2">
        <v>25</v>
      </c>
      <c r="D149" s="2" t="s">
        <v>135</v>
      </c>
      <c r="E149" s="2">
        <v>1559</v>
      </c>
      <c r="F149" s="2">
        <v>1</v>
      </c>
      <c r="G149" s="2">
        <v>0</v>
      </c>
      <c r="H149" s="2">
        <v>0</v>
      </c>
      <c r="I149" s="2">
        <v>1</v>
      </c>
      <c r="J149" s="2">
        <v>4</v>
      </c>
      <c r="K149" s="2">
        <v>1</v>
      </c>
      <c r="L149" s="2">
        <v>1</v>
      </c>
      <c r="M149" s="2">
        <v>4</v>
      </c>
      <c r="N149" s="2">
        <v>0</v>
      </c>
      <c r="O149" s="2">
        <v>0</v>
      </c>
      <c r="P149" s="2">
        <v>1</v>
      </c>
      <c r="Q149" s="2">
        <v>1</v>
      </c>
      <c r="R149" s="2">
        <v>0</v>
      </c>
      <c r="S149">
        <v>1</v>
      </c>
      <c r="T149">
        <v>1</v>
      </c>
      <c r="U149">
        <v>1</v>
      </c>
      <c r="V149">
        <v>0</v>
      </c>
      <c r="W149">
        <v>4</v>
      </c>
      <c r="X149">
        <v>-1</v>
      </c>
      <c r="Y149">
        <v>0</v>
      </c>
      <c r="Z149">
        <v>1</v>
      </c>
      <c r="AA149">
        <v>1</v>
      </c>
      <c r="AB149">
        <v>35</v>
      </c>
      <c r="AC149" t="s">
        <v>126</v>
      </c>
    </row>
    <row r="150" spans="1:29" ht="16" customHeight="1" x14ac:dyDescent="0.2">
      <c r="A150" s="1" t="s">
        <v>301</v>
      </c>
      <c r="B150" s="2" t="s">
        <v>128</v>
      </c>
      <c r="C150" s="2">
        <v>25</v>
      </c>
      <c r="D150" s="2" t="s">
        <v>138</v>
      </c>
      <c r="E150" s="2">
        <v>1507</v>
      </c>
      <c r="F150" s="2">
        <v>1</v>
      </c>
      <c r="G150" s="2">
        <v>1</v>
      </c>
      <c r="H150" s="2">
        <v>0</v>
      </c>
      <c r="I150" s="2">
        <v>1</v>
      </c>
      <c r="J150" s="2">
        <v>3</v>
      </c>
      <c r="K150" s="2">
        <v>1</v>
      </c>
      <c r="L150" s="2">
        <v>3</v>
      </c>
      <c r="M150" s="2">
        <v>4</v>
      </c>
      <c r="N150" s="2">
        <v>0</v>
      </c>
      <c r="O150" s="2">
        <v>1</v>
      </c>
      <c r="P150" s="2">
        <v>0</v>
      </c>
      <c r="Q150" s="2">
        <v>0</v>
      </c>
      <c r="R150" s="2">
        <v>1</v>
      </c>
      <c r="S150">
        <v>3</v>
      </c>
      <c r="T150">
        <v>0</v>
      </c>
      <c r="U150">
        <v>1</v>
      </c>
      <c r="V150">
        <v>1</v>
      </c>
      <c r="W150">
        <v>5</v>
      </c>
      <c r="X150">
        <v>0</v>
      </c>
      <c r="Y150">
        <v>1</v>
      </c>
      <c r="Z150">
        <v>1</v>
      </c>
      <c r="AA150">
        <v>1</v>
      </c>
      <c r="AB150">
        <v>124</v>
      </c>
      <c r="AC150" t="s">
        <v>126</v>
      </c>
    </row>
    <row r="151" spans="1:29" ht="16" customHeight="1" x14ac:dyDescent="0.2">
      <c r="A151" s="1" t="s">
        <v>302</v>
      </c>
      <c r="B151" s="2" t="s">
        <v>166</v>
      </c>
      <c r="C151" s="2">
        <v>25</v>
      </c>
      <c r="D151" s="2" t="s">
        <v>140</v>
      </c>
      <c r="E151" s="2">
        <v>4930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3</v>
      </c>
      <c r="L151" s="2">
        <v>2</v>
      </c>
      <c r="M151" s="2">
        <v>3</v>
      </c>
      <c r="N151" s="2">
        <v>1</v>
      </c>
      <c r="O151" s="2">
        <v>0</v>
      </c>
      <c r="P151" s="2">
        <v>1</v>
      </c>
      <c r="Q151" s="2">
        <v>1</v>
      </c>
      <c r="R151" s="2">
        <v>0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1</v>
      </c>
      <c r="Y151">
        <v>0</v>
      </c>
      <c r="Z151">
        <v>0</v>
      </c>
      <c r="AA151">
        <v>1</v>
      </c>
      <c r="AB151">
        <v>135</v>
      </c>
      <c r="AC151" t="s">
        <v>126</v>
      </c>
    </row>
    <row r="152" spans="1:29" ht="16" customHeight="1" x14ac:dyDescent="0.2">
      <c r="A152" s="1" t="s">
        <v>303</v>
      </c>
      <c r="B152" s="2" t="s">
        <v>124</v>
      </c>
      <c r="C152" s="2">
        <v>26</v>
      </c>
      <c r="D152" s="2" t="s">
        <v>125</v>
      </c>
      <c r="E152" s="2">
        <v>694</v>
      </c>
      <c r="F152" s="2">
        <v>1</v>
      </c>
      <c r="G152" s="2">
        <v>0</v>
      </c>
      <c r="H152" s="2">
        <v>1</v>
      </c>
      <c r="I152" s="2">
        <v>0</v>
      </c>
      <c r="J152" s="2">
        <v>5</v>
      </c>
      <c r="K152" s="2">
        <v>1</v>
      </c>
      <c r="L152" s="2">
        <v>3</v>
      </c>
      <c r="M152" s="2">
        <v>2</v>
      </c>
      <c r="N152" s="2">
        <v>1</v>
      </c>
      <c r="O152" s="2">
        <v>0</v>
      </c>
      <c r="P152" s="2">
        <v>0</v>
      </c>
      <c r="Q152" s="2">
        <v>1</v>
      </c>
      <c r="R152" s="2">
        <v>1</v>
      </c>
      <c r="S152">
        <v>0</v>
      </c>
      <c r="T152">
        <v>0</v>
      </c>
      <c r="U152">
        <v>0</v>
      </c>
      <c r="V152">
        <v>0</v>
      </c>
      <c r="W152">
        <v>5</v>
      </c>
      <c r="X152">
        <v>1</v>
      </c>
      <c r="Y152">
        <v>0</v>
      </c>
      <c r="Z152">
        <v>0</v>
      </c>
      <c r="AA152">
        <v>1</v>
      </c>
      <c r="AB152">
        <v>210</v>
      </c>
      <c r="AC152" t="s">
        <v>126</v>
      </c>
    </row>
    <row r="153" spans="1:29" ht="16" customHeight="1" x14ac:dyDescent="0.2">
      <c r="A153" s="1" t="s">
        <v>304</v>
      </c>
      <c r="B153" s="2" t="s">
        <v>168</v>
      </c>
      <c r="C153" s="2">
        <v>26</v>
      </c>
      <c r="D153" s="2" t="s">
        <v>129</v>
      </c>
      <c r="E153" s="2">
        <v>271</v>
      </c>
      <c r="F153" s="2">
        <v>1</v>
      </c>
      <c r="G153" s="2">
        <v>1</v>
      </c>
      <c r="H153" s="2">
        <v>0</v>
      </c>
      <c r="I153" s="2">
        <v>1</v>
      </c>
      <c r="J153" s="2">
        <v>4</v>
      </c>
      <c r="K153" s="2">
        <v>3</v>
      </c>
      <c r="L153" s="2">
        <v>3</v>
      </c>
      <c r="M153" s="2">
        <v>3</v>
      </c>
      <c r="N153" s="2">
        <v>1</v>
      </c>
      <c r="O153" s="2">
        <v>1</v>
      </c>
      <c r="P153" s="2">
        <v>0</v>
      </c>
      <c r="Q153" s="2">
        <v>0</v>
      </c>
      <c r="R153" s="2">
        <v>0</v>
      </c>
      <c r="S153">
        <v>2</v>
      </c>
      <c r="T153">
        <v>1</v>
      </c>
      <c r="U153">
        <v>0</v>
      </c>
      <c r="V153">
        <v>1</v>
      </c>
      <c r="W153">
        <v>3</v>
      </c>
      <c r="X153">
        <v>1</v>
      </c>
      <c r="Y153">
        <v>1</v>
      </c>
      <c r="Z153">
        <v>1</v>
      </c>
      <c r="AA153">
        <v>1</v>
      </c>
      <c r="AB153">
        <v>285</v>
      </c>
      <c r="AC153" t="s">
        <v>126</v>
      </c>
    </row>
    <row r="154" spans="1:29" ht="16" customHeight="1" x14ac:dyDescent="0.2">
      <c r="A154" s="1" t="s">
        <v>305</v>
      </c>
      <c r="B154" s="2" t="s">
        <v>195</v>
      </c>
      <c r="C154" s="2">
        <v>26</v>
      </c>
      <c r="D154" s="2" t="s">
        <v>132</v>
      </c>
      <c r="E154" s="2">
        <v>1591</v>
      </c>
      <c r="F154" s="2">
        <v>0</v>
      </c>
      <c r="G154" s="2">
        <v>0</v>
      </c>
      <c r="H154" s="2">
        <v>1</v>
      </c>
      <c r="I154" s="2">
        <v>0</v>
      </c>
      <c r="J154" s="2">
        <v>5</v>
      </c>
      <c r="K154" s="2">
        <v>1</v>
      </c>
      <c r="L154" s="2">
        <v>2</v>
      </c>
      <c r="M154" s="2">
        <v>1</v>
      </c>
      <c r="N154" s="2">
        <v>0</v>
      </c>
      <c r="O154" s="2">
        <v>0</v>
      </c>
      <c r="P154" s="2">
        <v>1</v>
      </c>
      <c r="Q154" s="2">
        <v>0</v>
      </c>
      <c r="R154" s="2">
        <v>0</v>
      </c>
      <c r="S154">
        <v>1</v>
      </c>
      <c r="T154">
        <v>1</v>
      </c>
      <c r="U154">
        <v>1</v>
      </c>
      <c r="V154">
        <v>0</v>
      </c>
      <c r="W154">
        <v>2</v>
      </c>
      <c r="X154">
        <v>0</v>
      </c>
      <c r="Y154">
        <v>1</v>
      </c>
      <c r="Z154">
        <v>1</v>
      </c>
      <c r="AA154">
        <v>1</v>
      </c>
      <c r="AB154">
        <v>92</v>
      </c>
      <c r="AC154" t="s">
        <v>126</v>
      </c>
    </row>
    <row r="155" spans="1:29" ht="16" customHeight="1" x14ac:dyDescent="0.2">
      <c r="A155" s="1" t="s">
        <v>306</v>
      </c>
      <c r="B155" s="2" t="s">
        <v>199</v>
      </c>
      <c r="C155" s="2">
        <v>26</v>
      </c>
      <c r="D155" s="2" t="s">
        <v>135</v>
      </c>
      <c r="E155" s="2">
        <v>6868</v>
      </c>
      <c r="F155" s="2">
        <v>1</v>
      </c>
      <c r="G155" s="2">
        <v>0</v>
      </c>
      <c r="H155" s="2">
        <v>1</v>
      </c>
      <c r="I155" s="2">
        <v>1</v>
      </c>
      <c r="J155" s="2">
        <v>5</v>
      </c>
      <c r="K155" s="2">
        <v>1</v>
      </c>
      <c r="L155" s="2">
        <v>3</v>
      </c>
      <c r="M155" s="2">
        <v>3</v>
      </c>
      <c r="N155" s="2">
        <v>1</v>
      </c>
      <c r="O155" s="2">
        <v>1</v>
      </c>
      <c r="P155" s="2">
        <v>0</v>
      </c>
      <c r="Q155" s="2">
        <v>1</v>
      </c>
      <c r="R155" s="2">
        <v>0</v>
      </c>
      <c r="S155">
        <v>1</v>
      </c>
      <c r="T155">
        <v>0</v>
      </c>
      <c r="U155">
        <v>1</v>
      </c>
      <c r="V155">
        <v>0</v>
      </c>
      <c r="W155">
        <v>2</v>
      </c>
      <c r="X155">
        <v>-1</v>
      </c>
      <c r="Y155">
        <v>1</v>
      </c>
      <c r="Z155">
        <v>1</v>
      </c>
      <c r="AA155">
        <v>0</v>
      </c>
      <c r="AB155">
        <v>17</v>
      </c>
      <c r="AC155" t="s">
        <v>126</v>
      </c>
    </row>
    <row r="156" spans="1:29" ht="16" customHeight="1" x14ac:dyDescent="0.2">
      <c r="A156" s="1" t="s">
        <v>307</v>
      </c>
      <c r="B156" s="2" t="s">
        <v>193</v>
      </c>
      <c r="C156" s="2">
        <v>26</v>
      </c>
      <c r="D156" s="2" t="s">
        <v>138</v>
      </c>
      <c r="E156" s="2">
        <v>8503</v>
      </c>
      <c r="F156" s="2">
        <v>1</v>
      </c>
      <c r="G156" s="2">
        <v>0</v>
      </c>
      <c r="H156" s="2">
        <v>1</v>
      </c>
      <c r="I156" s="2">
        <v>1</v>
      </c>
      <c r="J156" s="2">
        <v>4</v>
      </c>
      <c r="K156" s="2">
        <v>3</v>
      </c>
      <c r="L156" s="2">
        <v>3</v>
      </c>
      <c r="M156" s="2">
        <v>5</v>
      </c>
      <c r="N156" s="2">
        <v>1</v>
      </c>
      <c r="O156" s="2">
        <v>1</v>
      </c>
      <c r="P156" s="2">
        <v>0</v>
      </c>
      <c r="Q156" s="2">
        <v>1</v>
      </c>
      <c r="R156" s="2">
        <v>0</v>
      </c>
      <c r="S156">
        <v>0</v>
      </c>
      <c r="T156">
        <v>1</v>
      </c>
      <c r="U156">
        <v>0</v>
      </c>
      <c r="V156">
        <v>0</v>
      </c>
      <c r="W156">
        <v>2</v>
      </c>
      <c r="X156">
        <v>1</v>
      </c>
      <c r="Y156">
        <v>0</v>
      </c>
      <c r="Z156">
        <v>0</v>
      </c>
      <c r="AA156">
        <v>0</v>
      </c>
      <c r="AB156">
        <v>95</v>
      </c>
      <c r="AC156" t="s">
        <v>126</v>
      </c>
    </row>
    <row r="157" spans="1:29" ht="16" customHeight="1" x14ac:dyDescent="0.2">
      <c r="A157" s="1" t="s">
        <v>308</v>
      </c>
      <c r="B157" s="2" t="s">
        <v>157</v>
      </c>
      <c r="C157" s="2">
        <v>26</v>
      </c>
      <c r="D157" s="2" t="s">
        <v>140</v>
      </c>
      <c r="E157" s="2">
        <v>424</v>
      </c>
      <c r="F157" s="2">
        <v>0</v>
      </c>
      <c r="G157" s="2">
        <v>1</v>
      </c>
      <c r="H157" s="2">
        <v>0</v>
      </c>
      <c r="I157" s="2">
        <v>0</v>
      </c>
      <c r="J157" s="2">
        <v>3</v>
      </c>
      <c r="K157" s="2">
        <v>3</v>
      </c>
      <c r="L157" s="2">
        <v>2</v>
      </c>
      <c r="M157" s="2">
        <v>3</v>
      </c>
      <c r="N157" s="2">
        <v>0</v>
      </c>
      <c r="O157" s="2">
        <v>1</v>
      </c>
      <c r="P157" s="2">
        <v>0</v>
      </c>
      <c r="Q157" s="2">
        <v>1</v>
      </c>
      <c r="R157" s="2">
        <v>0</v>
      </c>
      <c r="S157">
        <v>3</v>
      </c>
      <c r="T157">
        <v>0</v>
      </c>
      <c r="U157">
        <v>1</v>
      </c>
      <c r="V157">
        <v>1</v>
      </c>
      <c r="W157">
        <v>5</v>
      </c>
      <c r="X157">
        <v>0</v>
      </c>
      <c r="Y157">
        <v>1</v>
      </c>
      <c r="Z157">
        <v>1</v>
      </c>
      <c r="AA157">
        <v>0</v>
      </c>
      <c r="AB157">
        <v>146</v>
      </c>
      <c r="AC157" t="s">
        <v>126</v>
      </c>
    </row>
    <row r="158" spans="1:29" ht="16" customHeight="1" x14ac:dyDescent="0.2">
      <c r="A158" s="1" t="s">
        <v>309</v>
      </c>
      <c r="B158" s="2" t="s">
        <v>181</v>
      </c>
      <c r="C158" s="2">
        <v>27</v>
      </c>
      <c r="D158" s="2" t="s">
        <v>125</v>
      </c>
      <c r="E158" s="2">
        <v>353</v>
      </c>
      <c r="F158" s="2">
        <v>0</v>
      </c>
      <c r="G158" s="2">
        <v>0</v>
      </c>
      <c r="H158" s="2">
        <v>1</v>
      </c>
      <c r="I158" s="2">
        <v>1</v>
      </c>
      <c r="J158" s="2">
        <v>5</v>
      </c>
      <c r="K158" s="2">
        <v>2</v>
      </c>
      <c r="L158" s="2">
        <v>1</v>
      </c>
      <c r="M158" s="2">
        <v>2</v>
      </c>
      <c r="N158" s="2">
        <v>0</v>
      </c>
      <c r="O158" s="2">
        <v>1</v>
      </c>
      <c r="P158" s="2">
        <v>0</v>
      </c>
      <c r="Q158" s="2">
        <v>0</v>
      </c>
      <c r="R158" s="2">
        <v>1</v>
      </c>
      <c r="S158">
        <v>1</v>
      </c>
      <c r="T158">
        <v>0</v>
      </c>
      <c r="U158">
        <v>1</v>
      </c>
      <c r="V158">
        <v>0</v>
      </c>
      <c r="W158">
        <v>3</v>
      </c>
      <c r="X158">
        <v>1</v>
      </c>
      <c r="Y158">
        <v>1</v>
      </c>
      <c r="Z158">
        <v>0</v>
      </c>
      <c r="AA158">
        <v>1</v>
      </c>
      <c r="AB158">
        <v>54</v>
      </c>
      <c r="AC158" t="s">
        <v>126</v>
      </c>
    </row>
    <row r="159" spans="1:29" ht="16" customHeight="1" x14ac:dyDescent="0.2">
      <c r="A159" s="1" t="s">
        <v>310</v>
      </c>
      <c r="B159" s="2" t="s">
        <v>176</v>
      </c>
      <c r="C159" s="2">
        <v>27</v>
      </c>
      <c r="D159" s="2" t="s">
        <v>129</v>
      </c>
      <c r="E159" s="2">
        <v>1511</v>
      </c>
      <c r="F159" s="2">
        <v>0</v>
      </c>
      <c r="G159" s="2">
        <v>0</v>
      </c>
      <c r="H159" s="2">
        <v>0</v>
      </c>
      <c r="I159" s="2">
        <v>1</v>
      </c>
      <c r="J159" s="2">
        <v>5</v>
      </c>
      <c r="K159" s="2">
        <v>1</v>
      </c>
      <c r="L159" s="2">
        <v>1</v>
      </c>
      <c r="M159" s="2">
        <v>2</v>
      </c>
      <c r="N159" s="2">
        <v>1</v>
      </c>
      <c r="O159" s="2">
        <v>1</v>
      </c>
      <c r="P159" s="2">
        <v>0</v>
      </c>
      <c r="Q159" s="2">
        <v>0</v>
      </c>
      <c r="R159" s="2">
        <v>0</v>
      </c>
      <c r="S159">
        <v>2</v>
      </c>
      <c r="T159">
        <v>1</v>
      </c>
      <c r="U159">
        <v>0</v>
      </c>
      <c r="V159">
        <v>1</v>
      </c>
      <c r="W159">
        <v>5</v>
      </c>
      <c r="X159">
        <v>0</v>
      </c>
      <c r="Y159">
        <v>0</v>
      </c>
      <c r="Z159">
        <v>1</v>
      </c>
      <c r="AA159">
        <v>1</v>
      </c>
      <c r="AB159">
        <v>120</v>
      </c>
      <c r="AC159" t="s">
        <v>126</v>
      </c>
    </row>
    <row r="160" spans="1:29" ht="16" customHeight="1" x14ac:dyDescent="0.2">
      <c r="A160" s="1" t="s">
        <v>311</v>
      </c>
      <c r="B160" s="2" t="s">
        <v>193</v>
      </c>
      <c r="C160" s="2">
        <v>27</v>
      </c>
      <c r="D160" s="2" t="s">
        <v>132</v>
      </c>
      <c r="E160" s="2">
        <v>340</v>
      </c>
      <c r="F160" s="2">
        <v>1</v>
      </c>
      <c r="G160" s="2">
        <v>1</v>
      </c>
      <c r="H160" s="2">
        <v>1</v>
      </c>
      <c r="I160" s="2">
        <v>0</v>
      </c>
      <c r="J160" s="2">
        <v>3</v>
      </c>
      <c r="K160" s="2">
        <v>2</v>
      </c>
      <c r="L160" s="2">
        <v>1</v>
      </c>
      <c r="M160" s="2">
        <v>1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>
        <v>1</v>
      </c>
      <c r="T160">
        <v>1</v>
      </c>
      <c r="U160">
        <v>1</v>
      </c>
      <c r="V160">
        <v>0</v>
      </c>
      <c r="W160">
        <v>3</v>
      </c>
      <c r="X160">
        <v>-1</v>
      </c>
      <c r="Y160">
        <v>0</v>
      </c>
      <c r="Z160">
        <v>1</v>
      </c>
      <c r="AA160">
        <v>1</v>
      </c>
      <c r="AB160">
        <v>84</v>
      </c>
      <c r="AC160" t="s">
        <v>126</v>
      </c>
    </row>
    <row r="161" spans="1:29" ht="16" customHeight="1" x14ac:dyDescent="0.2">
      <c r="A161" s="1" t="s">
        <v>312</v>
      </c>
      <c r="B161" s="2" t="s">
        <v>168</v>
      </c>
      <c r="C161" s="2">
        <v>27</v>
      </c>
      <c r="D161" s="2" t="s">
        <v>135</v>
      </c>
      <c r="E161" s="2">
        <v>4458</v>
      </c>
      <c r="F161" s="2">
        <v>1</v>
      </c>
      <c r="G161" s="2">
        <v>1</v>
      </c>
      <c r="H161" s="2">
        <v>0</v>
      </c>
      <c r="I161" s="2">
        <v>-1</v>
      </c>
      <c r="J161" s="2">
        <v>3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>
        <v>1</v>
      </c>
      <c r="R161" s="2">
        <v>1</v>
      </c>
      <c r="S161">
        <v>0</v>
      </c>
      <c r="T161">
        <v>1</v>
      </c>
      <c r="U161">
        <v>1</v>
      </c>
      <c r="V161">
        <v>1</v>
      </c>
      <c r="W161">
        <v>5</v>
      </c>
      <c r="X161">
        <v>-1</v>
      </c>
      <c r="Y161">
        <v>1</v>
      </c>
      <c r="Z161">
        <v>1</v>
      </c>
      <c r="AA161">
        <v>0</v>
      </c>
      <c r="AB161">
        <v>102</v>
      </c>
      <c r="AC161" t="s">
        <v>126</v>
      </c>
    </row>
    <row r="162" spans="1:29" ht="16" customHeight="1" x14ac:dyDescent="0.2">
      <c r="A162" s="1" t="s">
        <v>313</v>
      </c>
      <c r="B162" s="2" t="s">
        <v>124</v>
      </c>
      <c r="C162" s="2">
        <v>27</v>
      </c>
      <c r="D162" s="2" t="s">
        <v>138</v>
      </c>
      <c r="E162" s="2">
        <v>3044</v>
      </c>
      <c r="F162" s="2">
        <v>0</v>
      </c>
      <c r="G162" s="2">
        <v>0</v>
      </c>
      <c r="H162" s="2">
        <v>1</v>
      </c>
      <c r="I162" s="2">
        <v>0</v>
      </c>
      <c r="J162" s="2">
        <v>1</v>
      </c>
      <c r="K162" s="2">
        <v>2</v>
      </c>
      <c r="L162" s="2">
        <v>1</v>
      </c>
      <c r="M162" s="2">
        <v>5</v>
      </c>
      <c r="N162" s="2">
        <v>0</v>
      </c>
      <c r="O162" s="2">
        <v>1</v>
      </c>
      <c r="P162" s="2">
        <v>1</v>
      </c>
      <c r="Q162" s="2">
        <v>1</v>
      </c>
      <c r="R162" s="2">
        <v>0</v>
      </c>
      <c r="S162">
        <v>-1</v>
      </c>
      <c r="T162">
        <v>0</v>
      </c>
      <c r="U162">
        <v>1</v>
      </c>
      <c r="V162">
        <v>0</v>
      </c>
      <c r="W162">
        <v>5</v>
      </c>
      <c r="X162">
        <v>1</v>
      </c>
      <c r="Y162">
        <v>0</v>
      </c>
      <c r="Z162">
        <v>0</v>
      </c>
      <c r="AA162">
        <v>0</v>
      </c>
      <c r="AB162">
        <v>283</v>
      </c>
      <c r="AC162" t="s">
        <v>126</v>
      </c>
    </row>
    <row r="163" spans="1:29" ht="16" customHeight="1" x14ac:dyDescent="0.2">
      <c r="A163" s="1" t="s">
        <v>314</v>
      </c>
      <c r="B163" s="2" t="s">
        <v>124</v>
      </c>
      <c r="C163" s="2">
        <v>27</v>
      </c>
      <c r="D163" s="2" t="s">
        <v>140</v>
      </c>
      <c r="E163" s="2">
        <v>10223</v>
      </c>
      <c r="F163" s="2">
        <v>0</v>
      </c>
      <c r="G163" s="2">
        <v>1</v>
      </c>
      <c r="H163" s="2">
        <v>0</v>
      </c>
      <c r="I163" s="2">
        <v>-1</v>
      </c>
      <c r="J163" s="2">
        <v>4</v>
      </c>
      <c r="K163" s="2">
        <v>1</v>
      </c>
      <c r="L163" s="2">
        <v>1</v>
      </c>
      <c r="M163" s="2">
        <v>4</v>
      </c>
      <c r="N163" s="2">
        <v>0</v>
      </c>
      <c r="O163" s="2">
        <v>1</v>
      </c>
      <c r="P163" s="2">
        <v>1</v>
      </c>
      <c r="Q163" s="2">
        <v>1</v>
      </c>
      <c r="R163" s="2">
        <v>0</v>
      </c>
      <c r="S163">
        <v>0</v>
      </c>
      <c r="T163">
        <v>0</v>
      </c>
      <c r="U163">
        <v>0</v>
      </c>
      <c r="V163">
        <v>0</v>
      </c>
      <c r="W163">
        <v>4</v>
      </c>
      <c r="X163">
        <v>1</v>
      </c>
      <c r="Y163">
        <v>0</v>
      </c>
      <c r="Z163">
        <v>1</v>
      </c>
      <c r="AA163">
        <v>0</v>
      </c>
      <c r="AB163">
        <v>232</v>
      </c>
      <c r="AC163" t="s">
        <v>126</v>
      </c>
    </row>
    <row r="164" spans="1:29" ht="16" customHeight="1" x14ac:dyDescent="0.2">
      <c r="A164" s="1" t="s">
        <v>315</v>
      </c>
      <c r="B164" s="2" t="s">
        <v>161</v>
      </c>
      <c r="C164" s="2">
        <v>28</v>
      </c>
      <c r="D164" s="2" t="s">
        <v>125</v>
      </c>
      <c r="E164" s="2">
        <v>7903</v>
      </c>
      <c r="F164" s="2">
        <v>1</v>
      </c>
      <c r="G164" s="2">
        <v>1</v>
      </c>
      <c r="H164" s="2">
        <v>0</v>
      </c>
      <c r="I164" s="2">
        <v>1</v>
      </c>
      <c r="J164" s="2">
        <v>2</v>
      </c>
      <c r="K164" s="2">
        <v>1</v>
      </c>
      <c r="L164" s="2">
        <v>1</v>
      </c>
      <c r="M164" s="2">
        <v>4</v>
      </c>
      <c r="N164" s="2">
        <v>1</v>
      </c>
      <c r="O164" s="2">
        <v>0</v>
      </c>
      <c r="P164" s="2">
        <v>1</v>
      </c>
      <c r="Q164" s="2">
        <v>0</v>
      </c>
      <c r="R164" s="2">
        <v>1</v>
      </c>
      <c r="S164">
        <v>-1</v>
      </c>
      <c r="T164">
        <v>1</v>
      </c>
      <c r="U164">
        <v>0</v>
      </c>
      <c r="V164">
        <v>1</v>
      </c>
      <c r="W164">
        <v>4</v>
      </c>
      <c r="X164">
        <v>1</v>
      </c>
      <c r="Y164">
        <v>1</v>
      </c>
      <c r="Z164">
        <v>0</v>
      </c>
      <c r="AA164">
        <v>0</v>
      </c>
      <c r="AB164">
        <v>138</v>
      </c>
      <c r="AC164" t="s">
        <v>126</v>
      </c>
    </row>
    <row r="165" spans="1:29" ht="16" customHeight="1" x14ac:dyDescent="0.2">
      <c r="A165" s="1" t="s">
        <v>316</v>
      </c>
      <c r="B165" s="2" t="s">
        <v>166</v>
      </c>
      <c r="C165" s="2">
        <v>28</v>
      </c>
      <c r="D165" s="2" t="s">
        <v>129</v>
      </c>
      <c r="E165" s="2">
        <v>6947</v>
      </c>
      <c r="F165" s="2">
        <v>1</v>
      </c>
      <c r="G165" s="2">
        <v>1</v>
      </c>
      <c r="H165" s="2">
        <v>1</v>
      </c>
      <c r="I165" s="2">
        <v>0</v>
      </c>
      <c r="J165" s="2">
        <v>2</v>
      </c>
      <c r="K165" s="2">
        <v>3</v>
      </c>
      <c r="L165" s="2">
        <v>2</v>
      </c>
      <c r="M165" s="2">
        <v>2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>
        <v>3</v>
      </c>
      <c r="T165">
        <v>0</v>
      </c>
      <c r="U165">
        <v>1</v>
      </c>
      <c r="V165">
        <v>1</v>
      </c>
      <c r="W165">
        <v>4</v>
      </c>
      <c r="X165">
        <v>-1</v>
      </c>
      <c r="Y165">
        <v>1</v>
      </c>
      <c r="Z165">
        <v>0</v>
      </c>
      <c r="AA165">
        <v>1</v>
      </c>
      <c r="AB165">
        <v>89</v>
      </c>
      <c r="AC165" t="s">
        <v>126</v>
      </c>
    </row>
    <row r="166" spans="1:29" ht="16" customHeight="1" x14ac:dyDescent="0.2">
      <c r="A166" s="1" t="s">
        <v>317</v>
      </c>
      <c r="B166" s="2" t="s">
        <v>147</v>
      </c>
      <c r="C166" s="2">
        <v>28</v>
      </c>
      <c r="D166" s="2" t="s">
        <v>132</v>
      </c>
      <c r="E166" s="2">
        <v>6423</v>
      </c>
      <c r="F166" s="2">
        <v>1</v>
      </c>
      <c r="G166" s="2">
        <v>0</v>
      </c>
      <c r="H166" s="2">
        <v>0</v>
      </c>
      <c r="I166" s="2">
        <v>-1</v>
      </c>
      <c r="J166" s="2">
        <v>1</v>
      </c>
      <c r="K166" s="2">
        <v>2</v>
      </c>
      <c r="L166" s="2">
        <v>1</v>
      </c>
      <c r="M166" s="2">
        <v>2</v>
      </c>
      <c r="N166" s="2">
        <v>1</v>
      </c>
      <c r="O166" s="2">
        <v>0</v>
      </c>
      <c r="P166" s="2">
        <v>1</v>
      </c>
      <c r="Q166" s="2">
        <v>1</v>
      </c>
      <c r="R166" s="2">
        <v>1</v>
      </c>
      <c r="S166">
        <v>-1</v>
      </c>
      <c r="T166">
        <v>1</v>
      </c>
      <c r="U166">
        <v>0</v>
      </c>
      <c r="V166">
        <v>1</v>
      </c>
      <c r="W166">
        <v>4</v>
      </c>
      <c r="X166">
        <v>-1</v>
      </c>
      <c r="Y166">
        <v>0</v>
      </c>
      <c r="Z166">
        <v>0</v>
      </c>
      <c r="AA166">
        <v>0</v>
      </c>
      <c r="AB166">
        <v>290</v>
      </c>
      <c r="AC166" t="s">
        <v>126</v>
      </c>
    </row>
    <row r="167" spans="1:29" ht="16" customHeight="1" x14ac:dyDescent="0.2">
      <c r="A167" s="1" t="s">
        <v>318</v>
      </c>
      <c r="B167" s="2" t="s">
        <v>147</v>
      </c>
      <c r="C167" s="2">
        <v>28</v>
      </c>
      <c r="D167" s="2" t="s">
        <v>135</v>
      </c>
      <c r="E167" s="2">
        <v>5528</v>
      </c>
      <c r="F167" s="2">
        <v>0</v>
      </c>
      <c r="G167" s="2">
        <v>0</v>
      </c>
      <c r="H167" s="2">
        <v>0</v>
      </c>
      <c r="I167" s="2">
        <v>1</v>
      </c>
      <c r="J167" s="2">
        <v>4</v>
      </c>
      <c r="K167" s="2">
        <v>1</v>
      </c>
      <c r="L167" s="2">
        <v>3</v>
      </c>
      <c r="M167" s="2">
        <v>1</v>
      </c>
      <c r="N167" s="2">
        <v>1</v>
      </c>
      <c r="O167" s="2">
        <v>1</v>
      </c>
      <c r="P167" s="2">
        <v>1</v>
      </c>
      <c r="Q167" s="2">
        <v>0</v>
      </c>
      <c r="R167" s="2">
        <v>0</v>
      </c>
      <c r="S167">
        <v>1</v>
      </c>
      <c r="T167">
        <v>0</v>
      </c>
      <c r="U167">
        <v>1</v>
      </c>
      <c r="V167">
        <v>1</v>
      </c>
      <c r="W167">
        <v>3</v>
      </c>
      <c r="X167">
        <v>0</v>
      </c>
      <c r="Y167">
        <v>1</v>
      </c>
      <c r="Z167">
        <v>0</v>
      </c>
      <c r="AA167">
        <v>0</v>
      </c>
      <c r="AB167">
        <v>42</v>
      </c>
      <c r="AC167" t="s">
        <v>126</v>
      </c>
    </row>
    <row r="168" spans="1:29" ht="16" customHeight="1" x14ac:dyDescent="0.2">
      <c r="A168" s="1" t="s">
        <v>319</v>
      </c>
      <c r="B168" s="2" t="s">
        <v>159</v>
      </c>
      <c r="C168" s="2">
        <v>28</v>
      </c>
      <c r="D168" s="2" t="s">
        <v>138</v>
      </c>
      <c r="E168" s="2">
        <v>1468</v>
      </c>
      <c r="F168" s="2">
        <v>1</v>
      </c>
      <c r="G168" s="2">
        <v>1</v>
      </c>
      <c r="H168" s="2">
        <v>1</v>
      </c>
      <c r="I168" s="2">
        <v>-1</v>
      </c>
      <c r="J168" s="2">
        <v>5</v>
      </c>
      <c r="K168" s="2">
        <v>3</v>
      </c>
      <c r="L168" s="2">
        <v>1</v>
      </c>
      <c r="M168" s="2">
        <v>5</v>
      </c>
      <c r="N168" s="2">
        <v>0</v>
      </c>
      <c r="O168" s="2">
        <v>0</v>
      </c>
      <c r="P168" s="2">
        <v>1</v>
      </c>
      <c r="Q168" s="2">
        <v>0</v>
      </c>
      <c r="R168" s="2">
        <v>1</v>
      </c>
      <c r="S168">
        <v>3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1</v>
      </c>
      <c r="AB168">
        <v>131</v>
      </c>
      <c r="AC168" t="s">
        <v>126</v>
      </c>
    </row>
    <row r="169" spans="1:29" ht="16" customHeight="1" x14ac:dyDescent="0.2">
      <c r="A169" s="1" t="s">
        <v>320</v>
      </c>
      <c r="B169" s="2" t="s">
        <v>166</v>
      </c>
      <c r="C169" s="2">
        <v>28</v>
      </c>
      <c r="D169" s="2" t="s">
        <v>140</v>
      </c>
      <c r="E169" s="2">
        <v>144</v>
      </c>
      <c r="F169" s="2">
        <v>0</v>
      </c>
      <c r="G169" s="2">
        <v>1</v>
      </c>
      <c r="H169" s="2">
        <v>0</v>
      </c>
      <c r="I169" s="2">
        <v>0</v>
      </c>
      <c r="J169" s="2">
        <v>3</v>
      </c>
      <c r="K169" s="2">
        <v>1</v>
      </c>
      <c r="L169" s="2">
        <v>1</v>
      </c>
      <c r="M169" s="2">
        <v>5</v>
      </c>
      <c r="N169" s="2">
        <v>0</v>
      </c>
      <c r="O169" s="2">
        <v>1</v>
      </c>
      <c r="P169" s="2">
        <v>0</v>
      </c>
      <c r="Q169" s="2">
        <v>0</v>
      </c>
      <c r="R169" s="2">
        <v>0</v>
      </c>
      <c r="S169">
        <v>-1</v>
      </c>
      <c r="T169">
        <v>0</v>
      </c>
      <c r="U169">
        <v>1</v>
      </c>
      <c r="V169">
        <v>0</v>
      </c>
      <c r="W169">
        <v>3</v>
      </c>
      <c r="X169">
        <v>0</v>
      </c>
      <c r="Y169">
        <v>0</v>
      </c>
      <c r="Z169">
        <v>1</v>
      </c>
      <c r="AA169">
        <v>1</v>
      </c>
      <c r="AB169">
        <v>183</v>
      </c>
      <c r="AC169" t="s">
        <v>126</v>
      </c>
    </row>
    <row r="170" spans="1:29" ht="16" customHeight="1" x14ac:dyDescent="0.2">
      <c r="A170" s="1" t="s">
        <v>321</v>
      </c>
      <c r="B170" s="2" t="s">
        <v>185</v>
      </c>
      <c r="C170" s="2">
        <v>29</v>
      </c>
      <c r="D170" s="2" t="s">
        <v>125</v>
      </c>
      <c r="E170" s="2">
        <v>20</v>
      </c>
      <c r="F170" s="2">
        <v>0</v>
      </c>
      <c r="G170" s="2">
        <v>0</v>
      </c>
      <c r="H170" s="2">
        <v>0</v>
      </c>
      <c r="I170" s="2">
        <v>1</v>
      </c>
      <c r="J170" s="2">
        <v>5</v>
      </c>
      <c r="K170" s="2">
        <v>3</v>
      </c>
      <c r="L170" s="2">
        <v>2</v>
      </c>
      <c r="M170" s="2">
        <v>1</v>
      </c>
      <c r="N170" s="2">
        <v>1</v>
      </c>
      <c r="O170" s="2">
        <v>0</v>
      </c>
      <c r="P170" s="2">
        <v>1</v>
      </c>
      <c r="Q170" s="2">
        <v>1</v>
      </c>
      <c r="R170" s="2">
        <v>1</v>
      </c>
      <c r="S170">
        <v>3</v>
      </c>
      <c r="T170">
        <v>1</v>
      </c>
      <c r="U170">
        <v>1</v>
      </c>
      <c r="V170">
        <v>0</v>
      </c>
      <c r="W170">
        <v>5</v>
      </c>
      <c r="X170">
        <v>-1</v>
      </c>
      <c r="Y170">
        <v>1</v>
      </c>
      <c r="Z170">
        <v>0</v>
      </c>
      <c r="AA170">
        <v>1</v>
      </c>
      <c r="AB170">
        <v>140</v>
      </c>
      <c r="AC170" t="s">
        <v>126</v>
      </c>
    </row>
    <row r="171" spans="1:29" ht="16" customHeight="1" x14ac:dyDescent="0.2">
      <c r="A171" s="1" t="s">
        <v>322</v>
      </c>
      <c r="B171" s="2" t="s">
        <v>159</v>
      </c>
      <c r="C171" s="2">
        <v>29</v>
      </c>
      <c r="D171" s="2" t="s">
        <v>129</v>
      </c>
      <c r="E171" s="2">
        <v>1405</v>
      </c>
      <c r="F171" s="2">
        <v>1</v>
      </c>
      <c r="G171" s="2">
        <v>1</v>
      </c>
      <c r="H171" s="2">
        <v>1</v>
      </c>
      <c r="I171" s="2">
        <v>1</v>
      </c>
      <c r="J171" s="2">
        <v>5</v>
      </c>
      <c r="K171" s="2">
        <v>2</v>
      </c>
      <c r="L171" s="2">
        <v>3</v>
      </c>
      <c r="M171" s="2">
        <v>4</v>
      </c>
      <c r="N171" s="2">
        <v>1</v>
      </c>
      <c r="O171" s="2">
        <v>0</v>
      </c>
      <c r="P171" s="2">
        <v>0</v>
      </c>
      <c r="Q171" s="2">
        <v>0</v>
      </c>
      <c r="R171" s="2">
        <v>1</v>
      </c>
      <c r="S171">
        <v>-1</v>
      </c>
      <c r="T171">
        <v>0</v>
      </c>
      <c r="U171">
        <v>0</v>
      </c>
      <c r="V171">
        <v>0</v>
      </c>
      <c r="W171">
        <v>3</v>
      </c>
      <c r="X171">
        <v>1</v>
      </c>
      <c r="Y171">
        <v>0</v>
      </c>
      <c r="Z171">
        <v>0</v>
      </c>
      <c r="AA171">
        <v>1</v>
      </c>
      <c r="AB171">
        <v>283</v>
      </c>
      <c r="AC171" t="s">
        <v>126</v>
      </c>
    </row>
    <row r="172" spans="1:29" ht="16" customHeight="1" x14ac:dyDescent="0.2">
      <c r="A172" s="1" t="s">
        <v>323</v>
      </c>
      <c r="B172" s="2" t="s">
        <v>143</v>
      </c>
      <c r="C172" s="2">
        <v>29</v>
      </c>
      <c r="D172" s="2" t="s">
        <v>132</v>
      </c>
      <c r="E172" s="2">
        <v>4093</v>
      </c>
      <c r="F172" s="2">
        <v>1</v>
      </c>
      <c r="G172" s="2">
        <v>0</v>
      </c>
      <c r="H172" s="2">
        <v>0</v>
      </c>
      <c r="I172" s="2">
        <v>1</v>
      </c>
      <c r="J172" s="2">
        <v>2</v>
      </c>
      <c r="K172" s="2">
        <v>2</v>
      </c>
      <c r="L172" s="2">
        <v>1</v>
      </c>
      <c r="M172" s="2">
        <v>2</v>
      </c>
      <c r="N172" s="2">
        <v>0</v>
      </c>
      <c r="O172" s="2">
        <v>0</v>
      </c>
      <c r="P172" s="2">
        <v>1</v>
      </c>
      <c r="Q172" s="2">
        <v>1</v>
      </c>
      <c r="R172" s="2">
        <v>0</v>
      </c>
      <c r="S172">
        <v>2</v>
      </c>
      <c r="T172">
        <v>0</v>
      </c>
      <c r="U172">
        <v>0</v>
      </c>
      <c r="V172">
        <v>0</v>
      </c>
      <c r="W172">
        <v>4</v>
      </c>
      <c r="X172">
        <v>-1</v>
      </c>
      <c r="Y172">
        <v>0</v>
      </c>
      <c r="Z172">
        <v>0</v>
      </c>
      <c r="AA172">
        <v>0</v>
      </c>
      <c r="AB172">
        <v>51</v>
      </c>
      <c r="AC172" t="s">
        <v>126</v>
      </c>
    </row>
    <row r="173" spans="1:29" ht="16" customHeight="1" x14ac:dyDescent="0.2">
      <c r="A173" s="1" t="s">
        <v>324</v>
      </c>
      <c r="B173" s="2" t="s">
        <v>137</v>
      </c>
      <c r="C173" s="2">
        <v>29</v>
      </c>
      <c r="D173" s="2" t="s">
        <v>135</v>
      </c>
      <c r="E173" s="2">
        <v>3951</v>
      </c>
      <c r="F173" s="2">
        <v>1</v>
      </c>
      <c r="G173" s="2">
        <v>0</v>
      </c>
      <c r="H173" s="2">
        <v>0</v>
      </c>
      <c r="I173" s="2">
        <v>0</v>
      </c>
      <c r="J173" s="2">
        <v>1</v>
      </c>
      <c r="K173" s="2">
        <v>2</v>
      </c>
      <c r="L173" s="2">
        <v>2</v>
      </c>
      <c r="M173" s="2">
        <v>5</v>
      </c>
      <c r="N173" s="2">
        <v>1</v>
      </c>
      <c r="O173" s="2">
        <v>0</v>
      </c>
      <c r="P173" s="2">
        <v>1</v>
      </c>
      <c r="Q173" s="2">
        <v>0</v>
      </c>
      <c r="R173" s="2">
        <v>0</v>
      </c>
      <c r="S173">
        <v>2</v>
      </c>
      <c r="T173">
        <v>0</v>
      </c>
      <c r="U173">
        <v>1</v>
      </c>
      <c r="V173">
        <v>1</v>
      </c>
      <c r="W173">
        <v>2</v>
      </c>
      <c r="X173">
        <v>0</v>
      </c>
      <c r="Y173">
        <v>1</v>
      </c>
      <c r="Z173">
        <v>1</v>
      </c>
      <c r="AA173">
        <v>0</v>
      </c>
      <c r="AB173">
        <v>243</v>
      </c>
      <c r="AC173" t="s">
        <v>126</v>
      </c>
    </row>
    <row r="174" spans="1:29" ht="16" customHeight="1" x14ac:dyDescent="0.2">
      <c r="A174" s="1" t="s">
        <v>325</v>
      </c>
      <c r="B174" s="2" t="s">
        <v>176</v>
      </c>
      <c r="C174" s="2">
        <v>29</v>
      </c>
      <c r="D174" s="2" t="s">
        <v>138</v>
      </c>
      <c r="E174" s="2">
        <v>3015</v>
      </c>
      <c r="F174" s="2">
        <v>0</v>
      </c>
      <c r="G174" s="2">
        <v>0</v>
      </c>
      <c r="H174" s="2">
        <v>0</v>
      </c>
      <c r="I174" s="2">
        <v>-1</v>
      </c>
      <c r="J174" s="2">
        <v>4</v>
      </c>
      <c r="K174" s="2">
        <v>3</v>
      </c>
      <c r="L174" s="2">
        <v>1</v>
      </c>
      <c r="M174" s="2">
        <v>2</v>
      </c>
      <c r="N174" s="2">
        <v>1</v>
      </c>
      <c r="O174" s="2">
        <v>1</v>
      </c>
      <c r="P174" s="2">
        <v>1</v>
      </c>
      <c r="Q174" s="2">
        <v>1</v>
      </c>
      <c r="R174" s="2">
        <v>0</v>
      </c>
      <c r="S174">
        <v>0</v>
      </c>
      <c r="T174">
        <v>1</v>
      </c>
      <c r="U174">
        <v>1</v>
      </c>
      <c r="V174">
        <v>1</v>
      </c>
      <c r="W174">
        <v>3</v>
      </c>
      <c r="X174">
        <v>-1</v>
      </c>
      <c r="Y174">
        <v>1</v>
      </c>
      <c r="Z174">
        <v>0</v>
      </c>
      <c r="AA174">
        <v>1</v>
      </c>
      <c r="AB174">
        <v>74</v>
      </c>
      <c r="AC174" t="s">
        <v>126</v>
      </c>
    </row>
    <row r="175" spans="1:29" ht="16" customHeight="1" x14ac:dyDescent="0.2">
      <c r="A175" s="1" t="s">
        <v>326</v>
      </c>
      <c r="B175" s="2" t="s">
        <v>143</v>
      </c>
      <c r="C175" s="2">
        <v>29</v>
      </c>
      <c r="D175" s="2" t="s">
        <v>140</v>
      </c>
      <c r="E175" s="2">
        <v>2228</v>
      </c>
      <c r="F175" s="2">
        <v>0</v>
      </c>
      <c r="G175" s="2">
        <v>1</v>
      </c>
      <c r="H175" s="2">
        <v>1</v>
      </c>
      <c r="I175" s="2">
        <v>0</v>
      </c>
      <c r="J175" s="2">
        <v>5</v>
      </c>
      <c r="K175" s="2">
        <v>1</v>
      </c>
      <c r="L175" s="2">
        <v>1</v>
      </c>
      <c r="M175" s="2">
        <v>4</v>
      </c>
      <c r="N175" s="2">
        <v>0</v>
      </c>
      <c r="O175" s="2">
        <v>1</v>
      </c>
      <c r="P175" s="2">
        <v>1</v>
      </c>
      <c r="Q175" s="2">
        <v>0</v>
      </c>
      <c r="R175" s="2">
        <v>0</v>
      </c>
      <c r="S175">
        <v>2</v>
      </c>
      <c r="T175">
        <v>0</v>
      </c>
      <c r="U175">
        <v>1</v>
      </c>
      <c r="V175">
        <v>0</v>
      </c>
      <c r="W175">
        <v>5</v>
      </c>
      <c r="X175">
        <v>-1</v>
      </c>
      <c r="Y175">
        <v>0</v>
      </c>
      <c r="Z175">
        <v>0</v>
      </c>
      <c r="AA175">
        <v>1</v>
      </c>
      <c r="AB175">
        <v>299</v>
      </c>
      <c r="AC175" t="s">
        <v>126</v>
      </c>
    </row>
    <row r="176" spans="1:29" ht="16" customHeight="1" x14ac:dyDescent="0.2">
      <c r="A176" s="1" t="s">
        <v>327</v>
      </c>
      <c r="B176" s="2" t="s">
        <v>168</v>
      </c>
      <c r="C176" s="2">
        <v>30</v>
      </c>
      <c r="D176" s="2" t="s">
        <v>125</v>
      </c>
      <c r="E176" s="2">
        <v>1126</v>
      </c>
      <c r="F176" s="2">
        <v>0</v>
      </c>
      <c r="G176" s="2">
        <v>1</v>
      </c>
      <c r="H176" s="2">
        <v>0</v>
      </c>
      <c r="I176" s="2">
        <v>1</v>
      </c>
      <c r="J176" s="2">
        <v>3</v>
      </c>
      <c r="K176" s="2">
        <v>1</v>
      </c>
      <c r="L176" s="2">
        <v>1</v>
      </c>
      <c r="M176" s="2">
        <v>4</v>
      </c>
      <c r="N176" s="2">
        <v>0</v>
      </c>
      <c r="O176" s="2">
        <v>0</v>
      </c>
      <c r="P176" s="2">
        <v>0</v>
      </c>
      <c r="Q176" s="2">
        <v>0</v>
      </c>
      <c r="R176" s="2">
        <v>1</v>
      </c>
      <c r="S176">
        <v>1</v>
      </c>
      <c r="T176">
        <v>0</v>
      </c>
      <c r="U176">
        <v>1</v>
      </c>
      <c r="V176">
        <v>0</v>
      </c>
      <c r="W176">
        <v>3</v>
      </c>
      <c r="X176">
        <v>1</v>
      </c>
      <c r="Y176">
        <v>0</v>
      </c>
      <c r="Z176">
        <v>0</v>
      </c>
      <c r="AA176">
        <v>1</v>
      </c>
      <c r="AB176">
        <v>74</v>
      </c>
      <c r="AC176" t="s">
        <v>126</v>
      </c>
    </row>
    <row r="177" spans="1:29" ht="16" customHeight="1" x14ac:dyDescent="0.2">
      <c r="A177" s="1" t="s">
        <v>328</v>
      </c>
      <c r="B177" s="2" t="s">
        <v>208</v>
      </c>
      <c r="C177" s="2">
        <v>30</v>
      </c>
      <c r="D177" s="2" t="s">
        <v>129</v>
      </c>
      <c r="E177" s="2">
        <v>7030</v>
      </c>
      <c r="F177" s="2">
        <v>1</v>
      </c>
      <c r="G177" s="2">
        <v>0</v>
      </c>
      <c r="H177" s="2">
        <v>1</v>
      </c>
      <c r="I177" s="2">
        <v>-1</v>
      </c>
      <c r="J177" s="2">
        <v>1</v>
      </c>
      <c r="K177" s="2">
        <v>1</v>
      </c>
      <c r="L177" s="2">
        <v>3</v>
      </c>
      <c r="M177" s="2">
        <v>3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>
        <v>-1</v>
      </c>
      <c r="T177">
        <v>1</v>
      </c>
      <c r="U177">
        <v>0</v>
      </c>
      <c r="V177">
        <v>0</v>
      </c>
      <c r="W177">
        <v>3</v>
      </c>
      <c r="X177">
        <v>-1</v>
      </c>
      <c r="Y177">
        <v>0</v>
      </c>
      <c r="Z177">
        <v>1</v>
      </c>
      <c r="AA177">
        <v>1</v>
      </c>
      <c r="AB177">
        <v>192</v>
      </c>
      <c r="AC177" t="s">
        <v>126</v>
      </c>
    </row>
    <row r="178" spans="1:29" ht="16" customHeight="1" x14ac:dyDescent="0.2">
      <c r="A178" s="1" t="s">
        <v>329</v>
      </c>
      <c r="B178" s="2" t="s">
        <v>164</v>
      </c>
      <c r="C178" s="2">
        <v>30</v>
      </c>
      <c r="D178" s="2" t="s">
        <v>132</v>
      </c>
      <c r="E178" s="2">
        <v>1781</v>
      </c>
      <c r="F178" s="2">
        <v>0</v>
      </c>
      <c r="G178" s="2">
        <v>1</v>
      </c>
      <c r="H178" s="2">
        <v>0</v>
      </c>
      <c r="I178" s="2">
        <v>-1</v>
      </c>
      <c r="J178" s="2">
        <v>3</v>
      </c>
      <c r="K178" s="2">
        <v>3</v>
      </c>
      <c r="L178" s="2">
        <v>1</v>
      </c>
      <c r="M178" s="2">
        <v>1</v>
      </c>
      <c r="N178" s="2">
        <v>0</v>
      </c>
      <c r="O178" s="2">
        <v>1</v>
      </c>
      <c r="P178" s="2">
        <v>0</v>
      </c>
      <c r="Q178" s="2">
        <v>1</v>
      </c>
      <c r="R178" s="2">
        <v>0</v>
      </c>
      <c r="S178">
        <v>-1</v>
      </c>
      <c r="T178">
        <v>1</v>
      </c>
      <c r="U178">
        <v>1</v>
      </c>
      <c r="V178">
        <v>0</v>
      </c>
      <c r="W178">
        <v>4</v>
      </c>
      <c r="X178">
        <v>-1</v>
      </c>
      <c r="Y178">
        <v>0</v>
      </c>
      <c r="Z178">
        <v>0</v>
      </c>
      <c r="AA178">
        <v>1</v>
      </c>
      <c r="AB178">
        <v>151</v>
      </c>
      <c r="AC178" t="s">
        <v>126</v>
      </c>
    </row>
    <row r="179" spans="1:29" ht="16" customHeight="1" x14ac:dyDescent="0.2">
      <c r="A179" s="1" t="s">
        <v>330</v>
      </c>
      <c r="B179" s="2" t="s">
        <v>201</v>
      </c>
      <c r="C179" s="2">
        <v>30</v>
      </c>
      <c r="D179" s="2" t="s">
        <v>135</v>
      </c>
      <c r="E179" s="2">
        <v>1450</v>
      </c>
      <c r="F179" s="2">
        <v>0</v>
      </c>
      <c r="G179" s="2">
        <v>1</v>
      </c>
      <c r="H179" s="2">
        <v>1</v>
      </c>
      <c r="I179" s="2">
        <v>-1</v>
      </c>
      <c r="J179" s="2">
        <v>2</v>
      </c>
      <c r="K179" s="2">
        <v>2</v>
      </c>
      <c r="L179" s="2">
        <v>3</v>
      </c>
      <c r="M179" s="2">
        <v>5</v>
      </c>
      <c r="N179" s="2">
        <v>0</v>
      </c>
      <c r="O179" s="2">
        <v>1</v>
      </c>
      <c r="P179" s="2">
        <v>1</v>
      </c>
      <c r="Q179" s="2">
        <v>1</v>
      </c>
      <c r="R179" s="2">
        <v>0</v>
      </c>
      <c r="S179">
        <v>3</v>
      </c>
      <c r="T179">
        <v>1</v>
      </c>
      <c r="U179">
        <v>0</v>
      </c>
      <c r="V179">
        <v>0</v>
      </c>
      <c r="W179">
        <v>3</v>
      </c>
      <c r="X179">
        <v>1</v>
      </c>
      <c r="Y179">
        <v>0</v>
      </c>
      <c r="Z179">
        <v>1</v>
      </c>
      <c r="AA179">
        <v>0</v>
      </c>
      <c r="AB179">
        <v>197</v>
      </c>
      <c r="AC179" t="s">
        <v>126</v>
      </c>
    </row>
    <row r="180" spans="1:29" ht="16" customHeight="1" x14ac:dyDescent="0.2">
      <c r="A180" s="1" t="s">
        <v>331</v>
      </c>
      <c r="B180" s="2" t="s">
        <v>149</v>
      </c>
      <c r="C180" s="2">
        <v>30</v>
      </c>
      <c r="D180" s="2" t="s">
        <v>138</v>
      </c>
      <c r="E180" s="2">
        <v>578</v>
      </c>
      <c r="F180" s="2">
        <v>1</v>
      </c>
      <c r="G180" s="2">
        <v>1</v>
      </c>
      <c r="H180" s="2">
        <v>1</v>
      </c>
      <c r="I180" s="2">
        <v>0</v>
      </c>
      <c r="J180" s="2">
        <v>1</v>
      </c>
      <c r="K180" s="2">
        <v>3</v>
      </c>
      <c r="L180" s="2">
        <v>1</v>
      </c>
      <c r="M180" s="2">
        <v>4</v>
      </c>
      <c r="N180" s="2">
        <v>1</v>
      </c>
      <c r="O180" s="2">
        <v>0</v>
      </c>
      <c r="P180" s="2">
        <v>0</v>
      </c>
      <c r="Q180" s="2">
        <v>1</v>
      </c>
      <c r="R180" s="2">
        <v>0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-1</v>
      </c>
      <c r="Y180">
        <v>1</v>
      </c>
      <c r="Z180">
        <v>0</v>
      </c>
      <c r="AA180">
        <v>1</v>
      </c>
      <c r="AB180">
        <v>235</v>
      </c>
      <c r="AC180" t="s">
        <v>126</v>
      </c>
    </row>
    <row r="181" spans="1:29" ht="16" customHeight="1" x14ac:dyDescent="0.2">
      <c r="A181" s="1" t="s">
        <v>332</v>
      </c>
      <c r="B181" s="2" t="s">
        <v>185</v>
      </c>
      <c r="C181" s="2">
        <v>30</v>
      </c>
      <c r="D181" s="2" t="s">
        <v>140</v>
      </c>
      <c r="E181" s="2">
        <v>3003</v>
      </c>
      <c r="F181" s="2">
        <v>1</v>
      </c>
      <c r="G181" s="2">
        <v>1</v>
      </c>
      <c r="H181" s="2">
        <v>0</v>
      </c>
      <c r="I181" s="2">
        <v>-1</v>
      </c>
      <c r="J181" s="2">
        <v>2</v>
      </c>
      <c r="K181" s="2">
        <v>2</v>
      </c>
      <c r="L181" s="2">
        <v>1</v>
      </c>
      <c r="M181" s="2">
        <v>3</v>
      </c>
      <c r="N181" s="2">
        <v>0</v>
      </c>
      <c r="O181" s="2">
        <v>1</v>
      </c>
      <c r="P181" s="2">
        <v>0</v>
      </c>
      <c r="Q181" s="2">
        <v>0</v>
      </c>
      <c r="R181" s="2">
        <v>1</v>
      </c>
      <c r="S181">
        <v>-1</v>
      </c>
      <c r="T181">
        <v>1</v>
      </c>
      <c r="U181">
        <v>0</v>
      </c>
      <c r="V181">
        <v>1</v>
      </c>
      <c r="W181">
        <v>5</v>
      </c>
      <c r="X181">
        <v>-1</v>
      </c>
      <c r="Y181">
        <v>0</v>
      </c>
      <c r="Z181">
        <v>1</v>
      </c>
      <c r="AA181">
        <v>0</v>
      </c>
      <c r="AB181">
        <v>178</v>
      </c>
      <c r="AC181" t="s">
        <v>126</v>
      </c>
    </row>
    <row r="182" spans="1:29" ht="16" customHeight="1" x14ac:dyDescent="0.2">
      <c r="A182" s="1" t="s">
        <v>333</v>
      </c>
      <c r="B182" s="2" t="s">
        <v>128</v>
      </c>
      <c r="C182" s="2">
        <v>31</v>
      </c>
      <c r="D182" s="2" t="s">
        <v>125</v>
      </c>
      <c r="E182" s="2">
        <v>9767</v>
      </c>
      <c r="F182" s="2">
        <v>0</v>
      </c>
      <c r="G182" s="2">
        <v>1</v>
      </c>
      <c r="H182" s="2">
        <v>0</v>
      </c>
      <c r="I182" s="2">
        <v>0</v>
      </c>
      <c r="J182" s="2">
        <v>3</v>
      </c>
      <c r="K182" s="2">
        <v>2</v>
      </c>
      <c r="L182" s="2">
        <v>1</v>
      </c>
      <c r="M182" s="2">
        <v>5</v>
      </c>
      <c r="N182" s="2">
        <v>1</v>
      </c>
      <c r="O182" s="2">
        <v>1</v>
      </c>
      <c r="P182" s="2">
        <v>1</v>
      </c>
      <c r="Q182" s="2">
        <v>0</v>
      </c>
      <c r="R182" s="2">
        <v>0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284</v>
      </c>
      <c r="AC182" t="s">
        <v>126</v>
      </c>
    </row>
    <row r="183" spans="1:29" ht="16" customHeight="1" x14ac:dyDescent="0.2">
      <c r="A183" s="1" t="s">
        <v>334</v>
      </c>
      <c r="B183" s="2" t="s">
        <v>181</v>
      </c>
      <c r="C183" s="2">
        <v>31</v>
      </c>
      <c r="D183" s="2" t="s">
        <v>129</v>
      </c>
      <c r="E183" s="2">
        <v>1787</v>
      </c>
      <c r="F183" s="2">
        <v>1</v>
      </c>
      <c r="G183" s="2">
        <v>0</v>
      </c>
      <c r="H183" s="2">
        <v>0</v>
      </c>
      <c r="I183" s="2">
        <v>-1</v>
      </c>
      <c r="J183" s="2">
        <v>1</v>
      </c>
      <c r="K183" s="2">
        <v>1</v>
      </c>
      <c r="L183" s="2">
        <v>3</v>
      </c>
      <c r="M183" s="2">
        <v>5</v>
      </c>
      <c r="N183" s="2">
        <v>1</v>
      </c>
      <c r="O183" s="2">
        <v>0</v>
      </c>
      <c r="P183" s="2">
        <v>0</v>
      </c>
      <c r="Q183" s="2">
        <v>1</v>
      </c>
      <c r="R183" s="2">
        <v>0</v>
      </c>
      <c r="S183">
        <v>3</v>
      </c>
      <c r="T183">
        <v>0</v>
      </c>
      <c r="U183">
        <v>0</v>
      </c>
      <c r="V183">
        <v>1</v>
      </c>
      <c r="W183">
        <v>5</v>
      </c>
      <c r="X183">
        <v>0</v>
      </c>
      <c r="Y183">
        <v>0</v>
      </c>
      <c r="Z183">
        <v>0</v>
      </c>
      <c r="AA183">
        <v>1</v>
      </c>
      <c r="AB183">
        <v>186</v>
      </c>
      <c r="AC183" t="s">
        <v>126</v>
      </c>
    </row>
    <row r="184" spans="1:29" ht="16" customHeight="1" x14ac:dyDescent="0.2">
      <c r="A184" s="1" t="s">
        <v>335</v>
      </c>
      <c r="B184" s="2" t="s">
        <v>161</v>
      </c>
      <c r="C184" s="2">
        <v>31</v>
      </c>
      <c r="D184" s="2" t="s">
        <v>132</v>
      </c>
      <c r="E184" s="2">
        <v>564</v>
      </c>
      <c r="F184" s="2">
        <v>0</v>
      </c>
      <c r="G184" s="2">
        <v>1</v>
      </c>
      <c r="H184" s="2">
        <v>1</v>
      </c>
      <c r="I184" s="2">
        <v>0</v>
      </c>
      <c r="J184" s="2">
        <v>4</v>
      </c>
      <c r="K184" s="2">
        <v>2</v>
      </c>
      <c r="L184" s="2">
        <v>3</v>
      </c>
      <c r="M184" s="2">
        <v>3</v>
      </c>
      <c r="N184" s="2">
        <v>1</v>
      </c>
      <c r="O184" s="2">
        <v>1</v>
      </c>
      <c r="P184" s="2">
        <v>1</v>
      </c>
      <c r="Q184" s="2">
        <v>1</v>
      </c>
      <c r="R184" s="2">
        <v>0</v>
      </c>
      <c r="S184">
        <v>3</v>
      </c>
      <c r="T184">
        <v>1</v>
      </c>
      <c r="U184">
        <v>0</v>
      </c>
      <c r="V184">
        <v>0</v>
      </c>
      <c r="W184">
        <v>1</v>
      </c>
      <c r="X184">
        <v>-1</v>
      </c>
      <c r="Y184">
        <v>1</v>
      </c>
      <c r="Z184">
        <v>1</v>
      </c>
      <c r="AA184">
        <v>1</v>
      </c>
      <c r="AB184">
        <v>222</v>
      </c>
      <c r="AC184" t="s">
        <v>126</v>
      </c>
    </row>
    <row r="185" spans="1:29" ht="16" customHeight="1" x14ac:dyDescent="0.2">
      <c r="A185" s="1" t="s">
        <v>336</v>
      </c>
      <c r="B185" s="2" t="s">
        <v>176</v>
      </c>
      <c r="C185" s="2">
        <v>31</v>
      </c>
      <c r="D185" s="2" t="s">
        <v>135</v>
      </c>
      <c r="E185" s="2">
        <v>1559</v>
      </c>
      <c r="F185" s="2">
        <v>1</v>
      </c>
      <c r="G185" s="2">
        <v>0</v>
      </c>
      <c r="H185" s="2">
        <v>1</v>
      </c>
      <c r="I185" s="2">
        <v>1</v>
      </c>
      <c r="J185" s="2">
        <v>3</v>
      </c>
      <c r="K185" s="2">
        <v>1</v>
      </c>
      <c r="L185" s="2">
        <v>1</v>
      </c>
      <c r="M185" s="2">
        <v>5</v>
      </c>
      <c r="N185" s="2">
        <v>1</v>
      </c>
      <c r="O185" s="2">
        <v>0</v>
      </c>
      <c r="P185" s="2">
        <v>1</v>
      </c>
      <c r="Q185" s="2">
        <v>0</v>
      </c>
      <c r="R185" s="2">
        <v>1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-1</v>
      </c>
      <c r="Y185">
        <v>0</v>
      </c>
      <c r="Z185">
        <v>0</v>
      </c>
      <c r="AA185">
        <v>0</v>
      </c>
      <c r="AB185">
        <v>60</v>
      </c>
      <c r="AC185" t="s">
        <v>126</v>
      </c>
    </row>
    <row r="186" spans="1:29" ht="16" customHeight="1" x14ac:dyDescent="0.2">
      <c r="A186" s="1" t="s">
        <v>337</v>
      </c>
      <c r="B186" s="2" t="s">
        <v>131</v>
      </c>
      <c r="C186" s="2">
        <v>31</v>
      </c>
      <c r="D186" s="2" t="s">
        <v>138</v>
      </c>
      <c r="E186" s="2">
        <v>639</v>
      </c>
      <c r="F186" s="2">
        <v>0</v>
      </c>
      <c r="G186" s="2">
        <v>0</v>
      </c>
      <c r="H186" s="2">
        <v>1</v>
      </c>
      <c r="I186" s="2">
        <v>-1</v>
      </c>
      <c r="J186" s="2">
        <v>1</v>
      </c>
      <c r="K186" s="2">
        <v>2</v>
      </c>
      <c r="L186" s="2">
        <v>3</v>
      </c>
      <c r="M186" s="2">
        <v>2</v>
      </c>
      <c r="N186" s="2">
        <v>0</v>
      </c>
      <c r="O186" s="2">
        <v>0</v>
      </c>
      <c r="P186" s="2">
        <v>0</v>
      </c>
      <c r="Q186" s="2">
        <v>1</v>
      </c>
      <c r="R186" s="2">
        <v>0</v>
      </c>
      <c r="S186">
        <v>2</v>
      </c>
      <c r="T186">
        <v>1</v>
      </c>
      <c r="U186">
        <v>0</v>
      </c>
      <c r="V186">
        <v>0</v>
      </c>
      <c r="W186">
        <v>5</v>
      </c>
      <c r="X186">
        <v>-1</v>
      </c>
      <c r="Y186">
        <v>1</v>
      </c>
      <c r="Z186">
        <v>1</v>
      </c>
      <c r="AA186">
        <v>0</v>
      </c>
      <c r="AB186">
        <v>55</v>
      </c>
      <c r="AC186" t="s">
        <v>126</v>
      </c>
    </row>
    <row r="187" spans="1:29" ht="16" customHeight="1" x14ac:dyDescent="0.2">
      <c r="A187" s="1" t="s">
        <v>338</v>
      </c>
      <c r="B187" s="2" t="s">
        <v>208</v>
      </c>
      <c r="C187" s="2">
        <v>31</v>
      </c>
      <c r="D187" s="2" t="s">
        <v>140</v>
      </c>
      <c r="E187" s="2">
        <v>191</v>
      </c>
      <c r="F187" s="2">
        <v>1</v>
      </c>
      <c r="G187" s="2">
        <v>1</v>
      </c>
      <c r="H187" s="2">
        <v>0</v>
      </c>
      <c r="I187" s="2">
        <v>0</v>
      </c>
      <c r="J187" s="2">
        <v>1</v>
      </c>
      <c r="K187" s="2">
        <v>1</v>
      </c>
      <c r="L187" s="2">
        <v>3</v>
      </c>
      <c r="M187" s="2">
        <v>3</v>
      </c>
      <c r="N187" s="2">
        <v>1</v>
      </c>
      <c r="O187" s="2">
        <v>1</v>
      </c>
      <c r="P187" s="2">
        <v>0</v>
      </c>
      <c r="Q187" s="2">
        <v>1</v>
      </c>
      <c r="R187" s="2">
        <v>0</v>
      </c>
      <c r="S187">
        <v>1</v>
      </c>
      <c r="T187">
        <v>1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292</v>
      </c>
      <c r="AC187" t="s">
        <v>126</v>
      </c>
    </row>
    <row r="188" spans="1:29" ht="16" customHeight="1" x14ac:dyDescent="0.2">
      <c r="A188" s="1" t="s">
        <v>339</v>
      </c>
      <c r="B188" s="2" t="s">
        <v>159</v>
      </c>
      <c r="C188" s="2">
        <v>32</v>
      </c>
      <c r="D188" s="2" t="s">
        <v>125</v>
      </c>
      <c r="E188" s="2">
        <v>1518</v>
      </c>
      <c r="F188" s="2">
        <v>1</v>
      </c>
      <c r="G188" s="2">
        <v>0</v>
      </c>
      <c r="H188" s="2">
        <v>1</v>
      </c>
      <c r="I188" s="2">
        <v>-1</v>
      </c>
      <c r="J188" s="2">
        <v>4</v>
      </c>
      <c r="K188" s="2">
        <v>3</v>
      </c>
      <c r="L188" s="2">
        <v>1</v>
      </c>
      <c r="M188" s="2">
        <v>2</v>
      </c>
      <c r="N188" s="2">
        <v>1</v>
      </c>
      <c r="O188" s="2">
        <v>1</v>
      </c>
      <c r="P188" s="2">
        <v>0</v>
      </c>
      <c r="Q188" s="2">
        <v>0</v>
      </c>
      <c r="R188" s="2">
        <v>0</v>
      </c>
      <c r="S188">
        <v>3</v>
      </c>
      <c r="T188">
        <v>1</v>
      </c>
      <c r="U188">
        <v>0</v>
      </c>
      <c r="V188">
        <v>0</v>
      </c>
      <c r="W188">
        <v>2</v>
      </c>
      <c r="X188">
        <v>-1</v>
      </c>
      <c r="Y188">
        <v>1</v>
      </c>
      <c r="Z188">
        <v>0</v>
      </c>
      <c r="AA188">
        <v>1</v>
      </c>
      <c r="AB188">
        <v>218</v>
      </c>
      <c r="AC188" t="s">
        <v>126</v>
      </c>
    </row>
    <row r="189" spans="1:29" ht="16" customHeight="1" x14ac:dyDescent="0.2">
      <c r="A189" s="1" t="s">
        <v>340</v>
      </c>
      <c r="B189" s="2" t="s">
        <v>159</v>
      </c>
      <c r="C189" s="2">
        <v>32</v>
      </c>
      <c r="D189" s="2" t="s">
        <v>129</v>
      </c>
      <c r="E189" s="2">
        <v>4253</v>
      </c>
      <c r="F189" s="2">
        <v>0</v>
      </c>
      <c r="G189" s="2">
        <v>0</v>
      </c>
      <c r="H189" s="2">
        <v>0</v>
      </c>
      <c r="I189" s="2">
        <v>-1</v>
      </c>
      <c r="J189" s="2">
        <v>2</v>
      </c>
      <c r="K189" s="2">
        <v>2</v>
      </c>
      <c r="L189" s="2">
        <v>3</v>
      </c>
      <c r="M189" s="2">
        <v>5</v>
      </c>
      <c r="N189" s="2">
        <v>0</v>
      </c>
      <c r="O189" s="2">
        <v>1</v>
      </c>
      <c r="P189" s="2">
        <v>1</v>
      </c>
      <c r="Q189" s="2">
        <v>1</v>
      </c>
      <c r="R189" s="2">
        <v>0</v>
      </c>
      <c r="S189">
        <v>2</v>
      </c>
      <c r="T189">
        <v>0</v>
      </c>
      <c r="U189">
        <v>0</v>
      </c>
      <c r="V189">
        <v>0</v>
      </c>
      <c r="W189">
        <v>4</v>
      </c>
      <c r="X189">
        <v>1</v>
      </c>
      <c r="Y189">
        <v>1</v>
      </c>
      <c r="Z189">
        <v>1</v>
      </c>
      <c r="AA189">
        <v>1</v>
      </c>
      <c r="AB189">
        <v>68</v>
      </c>
      <c r="AC189" t="s">
        <v>126</v>
      </c>
    </row>
    <row r="190" spans="1:29" ht="16" customHeight="1" x14ac:dyDescent="0.2">
      <c r="A190" s="1" t="s">
        <v>341</v>
      </c>
      <c r="B190" s="2" t="s">
        <v>143</v>
      </c>
      <c r="C190" s="2">
        <v>32</v>
      </c>
      <c r="D190" s="2" t="s">
        <v>132</v>
      </c>
      <c r="E190" s="2">
        <v>1585</v>
      </c>
      <c r="F190" s="2">
        <v>1</v>
      </c>
      <c r="G190" s="2">
        <v>1</v>
      </c>
      <c r="H190" s="2">
        <v>1</v>
      </c>
      <c r="I190" s="2">
        <v>0</v>
      </c>
      <c r="J190" s="2">
        <v>3</v>
      </c>
      <c r="K190" s="2">
        <v>1</v>
      </c>
      <c r="L190" s="2">
        <v>1</v>
      </c>
      <c r="M190" s="2">
        <v>2</v>
      </c>
      <c r="N190" s="2">
        <v>0</v>
      </c>
      <c r="O190" s="2">
        <v>1</v>
      </c>
      <c r="P190" s="2">
        <v>1</v>
      </c>
      <c r="Q190" s="2">
        <v>0</v>
      </c>
      <c r="R190" s="2">
        <v>1</v>
      </c>
      <c r="S190">
        <v>3</v>
      </c>
      <c r="T190">
        <v>0</v>
      </c>
      <c r="U190">
        <v>0</v>
      </c>
      <c r="V190">
        <v>0</v>
      </c>
      <c r="W190">
        <v>5</v>
      </c>
      <c r="X190">
        <v>0</v>
      </c>
      <c r="Y190">
        <v>0</v>
      </c>
      <c r="Z190">
        <v>0</v>
      </c>
      <c r="AA190">
        <v>1</v>
      </c>
      <c r="AB190">
        <v>17</v>
      </c>
      <c r="AC190" t="s">
        <v>126</v>
      </c>
    </row>
    <row r="191" spans="1:29" ht="16" customHeight="1" x14ac:dyDescent="0.2">
      <c r="A191" s="1" t="s">
        <v>342</v>
      </c>
      <c r="B191" s="2" t="s">
        <v>145</v>
      </c>
      <c r="C191" s="2">
        <v>32</v>
      </c>
      <c r="D191" s="2" t="s">
        <v>135</v>
      </c>
      <c r="E191" s="2">
        <v>271</v>
      </c>
      <c r="F191" s="2">
        <v>0</v>
      </c>
      <c r="G191" s="2">
        <v>0</v>
      </c>
      <c r="H191" s="2">
        <v>1</v>
      </c>
      <c r="I191" s="2">
        <v>1</v>
      </c>
      <c r="J191" s="2">
        <v>1</v>
      </c>
      <c r="K191" s="2">
        <v>2</v>
      </c>
      <c r="L191" s="2">
        <v>3</v>
      </c>
      <c r="M191" s="2">
        <v>3</v>
      </c>
      <c r="N191" s="2">
        <v>1</v>
      </c>
      <c r="O191" s="2">
        <v>0</v>
      </c>
      <c r="P191" s="2">
        <v>0</v>
      </c>
      <c r="Q191" s="2">
        <v>1</v>
      </c>
      <c r="R191" s="2">
        <v>0</v>
      </c>
      <c r="S191">
        <v>3</v>
      </c>
      <c r="T191">
        <v>0</v>
      </c>
      <c r="U191">
        <v>0</v>
      </c>
      <c r="V191">
        <v>0</v>
      </c>
      <c r="W191">
        <v>2</v>
      </c>
      <c r="X191">
        <v>1</v>
      </c>
      <c r="Y191">
        <v>1</v>
      </c>
      <c r="Z191">
        <v>1</v>
      </c>
      <c r="AA191">
        <v>0</v>
      </c>
      <c r="AB191">
        <v>65</v>
      </c>
      <c r="AC191" t="s">
        <v>126</v>
      </c>
    </row>
    <row r="192" spans="1:29" ht="16" customHeight="1" x14ac:dyDescent="0.2">
      <c r="A192" s="1" t="s">
        <v>343</v>
      </c>
      <c r="B192" s="2" t="s">
        <v>149</v>
      </c>
      <c r="C192" s="2">
        <v>32</v>
      </c>
      <c r="D192" s="2" t="s">
        <v>138</v>
      </c>
      <c r="E192" s="2">
        <v>5590</v>
      </c>
      <c r="F192" s="2">
        <v>0</v>
      </c>
      <c r="G192" s="2">
        <v>0</v>
      </c>
      <c r="H192" s="2">
        <v>1</v>
      </c>
      <c r="I192" s="2">
        <v>-1</v>
      </c>
      <c r="J192" s="2">
        <v>1</v>
      </c>
      <c r="K192" s="2">
        <v>3</v>
      </c>
      <c r="L192" s="2">
        <v>3</v>
      </c>
      <c r="M192" s="2">
        <v>4</v>
      </c>
      <c r="N192" s="2">
        <v>0</v>
      </c>
      <c r="O192" s="2">
        <v>1</v>
      </c>
      <c r="P192" s="2">
        <v>0</v>
      </c>
      <c r="Q192" s="2">
        <v>1</v>
      </c>
      <c r="R192" s="2">
        <v>1</v>
      </c>
      <c r="S192">
        <v>3</v>
      </c>
      <c r="T192">
        <v>1</v>
      </c>
      <c r="U192">
        <v>1</v>
      </c>
      <c r="V192">
        <v>0</v>
      </c>
      <c r="W192">
        <v>4</v>
      </c>
      <c r="X192">
        <v>0</v>
      </c>
      <c r="Y192">
        <v>1</v>
      </c>
      <c r="Z192">
        <v>0</v>
      </c>
      <c r="AA192">
        <v>1</v>
      </c>
      <c r="AB192">
        <v>34</v>
      </c>
      <c r="AC192" t="s">
        <v>126</v>
      </c>
    </row>
    <row r="193" spans="1:29" ht="16" customHeight="1" x14ac:dyDescent="0.2">
      <c r="A193" s="1" t="s">
        <v>344</v>
      </c>
      <c r="B193" s="2" t="s">
        <v>134</v>
      </c>
      <c r="C193" s="2">
        <v>32</v>
      </c>
      <c r="D193" s="2" t="s">
        <v>140</v>
      </c>
      <c r="E193" s="2">
        <v>10922</v>
      </c>
      <c r="F193" s="2">
        <v>0</v>
      </c>
      <c r="G193" s="2">
        <v>0</v>
      </c>
      <c r="H193" s="2">
        <v>0</v>
      </c>
      <c r="I193" s="2">
        <v>1</v>
      </c>
      <c r="J193" s="2">
        <v>4</v>
      </c>
      <c r="K193" s="2">
        <v>3</v>
      </c>
      <c r="L193" s="2">
        <v>2</v>
      </c>
      <c r="M193" s="2">
        <v>4</v>
      </c>
      <c r="N193" s="2">
        <v>0</v>
      </c>
      <c r="O193" s="2">
        <v>1</v>
      </c>
      <c r="P193" s="2">
        <v>0</v>
      </c>
      <c r="Q193" s="2">
        <v>1</v>
      </c>
      <c r="R193" s="2">
        <v>0</v>
      </c>
      <c r="S193">
        <v>1</v>
      </c>
      <c r="T193">
        <v>0</v>
      </c>
      <c r="U193">
        <v>1</v>
      </c>
      <c r="V193">
        <v>1</v>
      </c>
      <c r="W193">
        <v>2</v>
      </c>
      <c r="X193">
        <v>-1</v>
      </c>
      <c r="Y193">
        <v>1</v>
      </c>
      <c r="Z193">
        <v>1</v>
      </c>
      <c r="AA193">
        <v>0</v>
      </c>
      <c r="AB193">
        <v>85</v>
      </c>
      <c r="AC193" t="s">
        <v>126</v>
      </c>
    </row>
    <row r="194" spans="1:29" ht="16" customHeight="1" x14ac:dyDescent="0.2">
      <c r="A194" s="1" t="s">
        <v>345</v>
      </c>
      <c r="B194" s="2" t="s">
        <v>124</v>
      </c>
      <c r="C194" s="2">
        <v>33</v>
      </c>
      <c r="D194" s="2" t="s">
        <v>125</v>
      </c>
      <c r="E194" s="2">
        <v>3181</v>
      </c>
      <c r="F194" s="2">
        <v>0</v>
      </c>
      <c r="G194" s="2">
        <v>0</v>
      </c>
      <c r="H194" s="2">
        <v>1</v>
      </c>
      <c r="I194" s="2">
        <v>-1</v>
      </c>
      <c r="J194" s="2">
        <v>2</v>
      </c>
      <c r="K194" s="2">
        <v>3</v>
      </c>
      <c r="L194" s="2">
        <v>2</v>
      </c>
      <c r="M194" s="2">
        <v>1</v>
      </c>
      <c r="N194" s="2">
        <v>0</v>
      </c>
      <c r="O194" s="2">
        <v>1</v>
      </c>
      <c r="P194" s="2">
        <v>0</v>
      </c>
      <c r="Q194" s="2">
        <v>1</v>
      </c>
      <c r="R194" s="2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115</v>
      </c>
      <c r="AC194" t="s">
        <v>126</v>
      </c>
    </row>
    <row r="195" spans="1:29" ht="16" customHeight="1" x14ac:dyDescent="0.2">
      <c r="A195" s="1" t="s">
        <v>346</v>
      </c>
      <c r="B195" s="2" t="s">
        <v>147</v>
      </c>
      <c r="C195" s="2">
        <v>33</v>
      </c>
      <c r="D195" s="2" t="s">
        <v>129</v>
      </c>
      <c r="E195" s="2">
        <v>3838</v>
      </c>
      <c r="F195" s="2">
        <v>0</v>
      </c>
      <c r="G195" s="2">
        <v>0</v>
      </c>
      <c r="H195" s="2">
        <v>0</v>
      </c>
      <c r="I195" s="2">
        <v>0</v>
      </c>
      <c r="J195" s="2">
        <v>5</v>
      </c>
      <c r="K195" s="2">
        <v>1</v>
      </c>
      <c r="L195" s="2">
        <v>2</v>
      </c>
      <c r="M195" s="2">
        <v>5</v>
      </c>
      <c r="N195" s="2">
        <v>1</v>
      </c>
      <c r="O195" s="2">
        <v>0</v>
      </c>
      <c r="P195" s="2">
        <v>1</v>
      </c>
      <c r="Q195" s="2">
        <v>1</v>
      </c>
      <c r="R195" s="2">
        <v>0</v>
      </c>
      <c r="S195">
        <v>0</v>
      </c>
      <c r="T195">
        <v>0</v>
      </c>
      <c r="U195">
        <v>0</v>
      </c>
      <c r="V195">
        <v>1</v>
      </c>
      <c r="W195">
        <v>5</v>
      </c>
      <c r="X195">
        <v>0</v>
      </c>
      <c r="Y195">
        <v>1</v>
      </c>
      <c r="Z195">
        <v>0</v>
      </c>
      <c r="AA195">
        <v>1</v>
      </c>
      <c r="AB195">
        <v>269</v>
      </c>
      <c r="AC195" t="s">
        <v>126</v>
      </c>
    </row>
    <row r="196" spans="1:29" ht="16" customHeight="1" x14ac:dyDescent="0.2">
      <c r="A196" s="1" t="s">
        <v>347</v>
      </c>
      <c r="B196" s="2" t="s">
        <v>166</v>
      </c>
      <c r="C196" s="2">
        <v>33</v>
      </c>
      <c r="D196" s="2" t="s">
        <v>132</v>
      </c>
      <c r="E196" s="2">
        <v>810</v>
      </c>
      <c r="F196" s="2">
        <v>1</v>
      </c>
      <c r="G196" s="2">
        <v>1</v>
      </c>
      <c r="H196" s="2">
        <v>1</v>
      </c>
      <c r="I196" s="2">
        <v>-1</v>
      </c>
      <c r="J196" s="2">
        <v>3</v>
      </c>
      <c r="K196" s="2">
        <v>3</v>
      </c>
      <c r="L196" s="2">
        <v>3</v>
      </c>
      <c r="M196" s="2">
        <v>3</v>
      </c>
      <c r="N196" s="2">
        <v>1</v>
      </c>
      <c r="O196" s="2">
        <v>0</v>
      </c>
      <c r="P196" s="2">
        <v>1</v>
      </c>
      <c r="Q196" s="2">
        <v>0</v>
      </c>
      <c r="R196" s="2">
        <v>1</v>
      </c>
      <c r="S196">
        <v>1</v>
      </c>
      <c r="T196">
        <v>1</v>
      </c>
      <c r="U196">
        <v>0</v>
      </c>
      <c r="V196">
        <v>0</v>
      </c>
      <c r="W196">
        <v>3</v>
      </c>
      <c r="X196">
        <v>1</v>
      </c>
      <c r="Y196">
        <v>1</v>
      </c>
      <c r="Z196">
        <v>1</v>
      </c>
      <c r="AA196">
        <v>1</v>
      </c>
      <c r="AB196">
        <v>158</v>
      </c>
      <c r="AC196" t="s">
        <v>126</v>
      </c>
    </row>
    <row r="197" spans="1:29" ht="16" customHeight="1" x14ac:dyDescent="0.2">
      <c r="A197" s="1" t="s">
        <v>348</v>
      </c>
      <c r="B197" s="2" t="s">
        <v>137</v>
      </c>
      <c r="C197" s="2">
        <v>33</v>
      </c>
      <c r="D197" s="2" t="s">
        <v>135</v>
      </c>
      <c r="E197" s="2">
        <v>3044</v>
      </c>
      <c r="F197" s="2">
        <v>1</v>
      </c>
      <c r="G197" s="2">
        <v>0</v>
      </c>
      <c r="H197" s="2">
        <v>0</v>
      </c>
      <c r="I197" s="2">
        <v>-1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0</v>
      </c>
      <c r="Q197" s="2">
        <v>1</v>
      </c>
      <c r="R197" s="2">
        <v>1</v>
      </c>
      <c r="S197">
        <v>0</v>
      </c>
      <c r="T197">
        <v>0</v>
      </c>
      <c r="U197">
        <v>1</v>
      </c>
      <c r="V197">
        <v>1</v>
      </c>
      <c r="W197">
        <v>4</v>
      </c>
      <c r="X197">
        <v>-1</v>
      </c>
      <c r="Y197">
        <v>1</v>
      </c>
      <c r="Z197">
        <v>0</v>
      </c>
      <c r="AA197">
        <v>1</v>
      </c>
      <c r="AB197">
        <v>85</v>
      </c>
      <c r="AC197" t="s">
        <v>126</v>
      </c>
    </row>
    <row r="198" spans="1:29" ht="16" customHeight="1" x14ac:dyDescent="0.2">
      <c r="A198" s="1" t="s">
        <v>349</v>
      </c>
      <c r="B198" s="2" t="s">
        <v>168</v>
      </c>
      <c r="C198" s="2">
        <v>33</v>
      </c>
      <c r="D198" s="2" t="s">
        <v>138</v>
      </c>
      <c r="E198" s="2">
        <v>424</v>
      </c>
      <c r="F198" s="2">
        <v>0</v>
      </c>
      <c r="G198" s="2">
        <v>0</v>
      </c>
      <c r="H198" s="2">
        <v>0</v>
      </c>
      <c r="I198" s="2">
        <v>1</v>
      </c>
      <c r="J198" s="2">
        <v>4</v>
      </c>
      <c r="K198" s="2">
        <v>1</v>
      </c>
      <c r="L198" s="2">
        <v>1</v>
      </c>
      <c r="M198" s="2">
        <v>2</v>
      </c>
      <c r="N198" s="2">
        <v>1</v>
      </c>
      <c r="O198" s="2">
        <v>1</v>
      </c>
      <c r="P198" s="2">
        <v>1</v>
      </c>
      <c r="Q198" s="2">
        <v>0</v>
      </c>
      <c r="R198" s="2">
        <v>0</v>
      </c>
      <c r="S198">
        <v>1</v>
      </c>
      <c r="T198">
        <v>0</v>
      </c>
      <c r="U198">
        <v>0</v>
      </c>
      <c r="V198">
        <v>1</v>
      </c>
      <c r="W198">
        <v>5</v>
      </c>
      <c r="X198">
        <v>1</v>
      </c>
      <c r="Y198">
        <v>1</v>
      </c>
      <c r="Z198">
        <v>1</v>
      </c>
      <c r="AA198">
        <v>1</v>
      </c>
      <c r="AB198">
        <v>115</v>
      </c>
      <c r="AC198" t="s">
        <v>126</v>
      </c>
    </row>
    <row r="199" spans="1:29" ht="16" customHeight="1" x14ac:dyDescent="0.2">
      <c r="A199" s="1" t="s">
        <v>350</v>
      </c>
      <c r="B199" s="2" t="s">
        <v>181</v>
      </c>
      <c r="C199" s="2">
        <v>33</v>
      </c>
      <c r="D199" s="2" t="s">
        <v>140</v>
      </c>
      <c r="E199" s="2">
        <v>1511</v>
      </c>
      <c r="F199" s="2">
        <v>0</v>
      </c>
      <c r="G199" s="2">
        <v>0</v>
      </c>
      <c r="H199" s="2">
        <v>0</v>
      </c>
      <c r="I199" s="2">
        <v>0</v>
      </c>
      <c r="J199" s="2">
        <v>4</v>
      </c>
      <c r="K199" s="2">
        <v>3</v>
      </c>
      <c r="L199" s="2">
        <v>1</v>
      </c>
      <c r="M199" s="2">
        <v>5</v>
      </c>
      <c r="N199" s="2">
        <v>0</v>
      </c>
      <c r="O199" s="2">
        <v>1</v>
      </c>
      <c r="P199" s="2">
        <v>1</v>
      </c>
      <c r="Q199" s="2">
        <v>0</v>
      </c>
      <c r="R199" s="2">
        <v>0</v>
      </c>
      <c r="S199">
        <v>3</v>
      </c>
      <c r="T199">
        <v>0</v>
      </c>
      <c r="U199">
        <v>1</v>
      </c>
      <c r="V199">
        <v>0</v>
      </c>
      <c r="W199">
        <v>5</v>
      </c>
      <c r="X199">
        <v>1</v>
      </c>
      <c r="Y199">
        <v>1</v>
      </c>
      <c r="Z199">
        <v>1</v>
      </c>
      <c r="AA199">
        <v>1</v>
      </c>
      <c r="AB199">
        <v>99</v>
      </c>
      <c r="AC199" t="s">
        <v>126</v>
      </c>
    </row>
    <row r="200" spans="1:29" ht="16" customHeight="1" x14ac:dyDescent="0.2">
      <c r="A200" s="1" t="s">
        <v>351</v>
      </c>
      <c r="B200" s="2" t="s">
        <v>145</v>
      </c>
      <c r="C200" s="2">
        <v>34</v>
      </c>
      <c r="D200" s="2" t="s">
        <v>125</v>
      </c>
      <c r="E200" s="2">
        <v>1468</v>
      </c>
      <c r="F200" s="2">
        <v>1</v>
      </c>
      <c r="G200" s="2">
        <v>1</v>
      </c>
      <c r="H200" s="2">
        <v>0</v>
      </c>
      <c r="I200" s="2">
        <v>-1</v>
      </c>
      <c r="J200" s="2">
        <v>4</v>
      </c>
      <c r="K200" s="2">
        <v>2</v>
      </c>
      <c r="L200" s="2">
        <v>1</v>
      </c>
      <c r="M200" s="2">
        <v>1</v>
      </c>
      <c r="N200" s="2">
        <v>1</v>
      </c>
      <c r="O200" s="2">
        <v>0</v>
      </c>
      <c r="P200" s="2">
        <v>0</v>
      </c>
      <c r="Q200" s="2">
        <v>1</v>
      </c>
      <c r="R200" s="2">
        <v>1</v>
      </c>
      <c r="S200">
        <v>2</v>
      </c>
      <c r="T200">
        <v>0</v>
      </c>
      <c r="U200">
        <v>0</v>
      </c>
      <c r="V200">
        <v>0</v>
      </c>
      <c r="W200">
        <v>3</v>
      </c>
      <c r="X200">
        <v>-1</v>
      </c>
      <c r="Y200">
        <v>0</v>
      </c>
      <c r="Z200">
        <v>0</v>
      </c>
      <c r="AA200">
        <v>0</v>
      </c>
      <c r="AB200">
        <v>15</v>
      </c>
      <c r="AC200" t="s">
        <v>126</v>
      </c>
    </row>
    <row r="201" spans="1:29" ht="16" customHeight="1" x14ac:dyDescent="0.2">
      <c r="A201" s="1" t="s">
        <v>352</v>
      </c>
      <c r="B201" s="2" t="s">
        <v>159</v>
      </c>
      <c r="C201" s="2">
        <v>34</v>
      </c>
      <c r="D201" s="2" t="s">
        <v>129</v>
      </c>
      <c r="E201" s="2">
        <v>4458</v>
      </c>
      <c r="F201" s="2">
        <v>0</v>
      </c>
      <c r="G201" s="2">
        <v>1</v>
      </c>
      <c r="H201" s="2">
        <v>1</v>
      </c>
      <c r="I201" s="2">
        <v>-1</v>
      </c>
      <c r="J201" s="2">
        <v>2</v>
      </c>
      <c r="K201" s="2">
        <v>1</v>
      </c>
      <c r="L201" s="2">
        <v>2</v>
      </c>
      <c r="M201" s="2">
        <v>2</v>
      </c>
      <c r="N201" s="2">
        <v>0</v>
      </c>
      <c r="O201" s="2">
        <v>1</v>
      </c>
      <c r="P201" s="2">
        <v>1</v>
      </c>
      <c r="Q201" s="2">
        <v>0</v>
      </c>
      <c r="R201" s="2">
        <v>1</v>
      </c>
      <c r="S201">
        <v>2</v>
      </c>
      <c r="T201">
        <v>0</v>
      </c>
      <c r="U201">
        <v>0</v>
      </c>
      <c r="V201">
        <v>1</v>
      </c>
      <c r="W201">
        <v>1</v>
      </c>
      <c r="X201">
        <v>-1</v>
      </c>
      <c r="Y201">
        <v>0</v>
      </c>
      <c r="Z201">
        <v>0</v>
      </c>
      <c r="AA201">
        <v>1</v>
      </c>
      <c r="AB201">
        <v>240</v>
      </c>
      <c r="AC201" t="s">
        <v>126</v>
      </c>
    </row>
    <row r="202" spans="1:29" ht="16" customHeight="1" x14ac:dyDescent="0.2">
      <c r="A202" s="1" t="s">
        <v>353</v>
      </c>
      <c r="B202" s="2" t="s">
        <v>176</v>
      </c>
      <c r="C202" s="2">
        <v>34</v>
      </c>
      <c r="D202" s="2" t="s">
        <v>132</v>
      </c>
      <c r="E202" s="2">
        <v>8503</v>
      </c>
      <c r="F202" s="2">
        <v>0</v>
      </c>
      <c r="G202" s="2">
        <v>0</v>
      </c>
      <c r="H202" s="2">
        <v>0</v>
      </c>
      <c r="I202" s="2">
        <v>1</v>
      </c>
      <c r="J202" s="2">
        <v>2</v>
      </c>
      <c r="K202" s="2">
        <v>3</v>
      </c>
      <c r="L202" s="2">
        <v>1</v>
      </c>
      <c r="M202" s="2">
        <v>2</v>
      </c>
      <c r="N202" s="2">
        <v>0</v>
      </c>
      <c r="O202" s="2">
        <v>1</v>
      </c>
      <c r="P202" s="2">
        <v>1</v>
      </c>
      <c r="Q202" s="2">
        <v>0</v>
      </c>
      <c r="R202" s="2">
        <v>1</v>
      </c>
      <c r="S202">
        <v>3</v>
      </c>
      <c r="T202">
        <v>1</v>
      </c>
      <c r="U202">
        <v>0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1</v>
      </c>
      <c r="AB202">
        <v>144</v>
      </c>
      <c r="AC202" t="s">
        <v>126</v>
      </c>
    </row>
    <row r="203" spans="1:29" ht="16" customHeight="1" x14ac:dyDescent="0.2">
      <c r="A203" s="1" t="s">
        <v>354</v>
      </c>
      <c r="B203" s="2" t="s">
        <v>137</v>
      </c>
      <c r="C203" s="2">
        <v>34</v>
      </c>
      <c r="D203" s="2" t="s">
        <v>135</v>
      </c>
      <c r="E203" s="2">
        <v>2340</v>
      </c>
      <c r="F203" s="2">
        <v>0</v>
      </c>
      <c r="G203" s="2">
        <v>0</v>
      </c>
      <c r="H203" s="2">
        <v>1</v>
      </c>
      <c r="I203" s="2">
        <v>1</v>
      </c>
      <c r="J203" s="2">
        <v>5</v>
      </c>
      <c r="K203" s="2">
        <v>1</v>
      </c>
      <c r="L203" s="2">
        <v>2</v>
      </c>
      <c r="M203" s="2">
        <v>1</v>
      </c>
      <c r="N203" s="2">
        <v>0</v>
      </c>
      <c r="O203" s="2">
        <v>1</v>
      </c>
      <c r="P203" s="2">
        <v>0</v>
      </c>
      <c r="Q203" s="2">
        <v>0</v>
      </c>
      <c r="R203" s="2">
        <v>0</v>
      </c>
      <c r="S203">
        <v>0</v>
      </c>
      <c r="T203">
        <v>0</v>
      </c>
      <c r="U203">
        <v>1</v>
      </c>
      <c r="V203">
        <v>0</v>
      </c>
      <c r="W203">
        <v>3</v>
      </c>
      <c r="X203">
        <v>-1</v>
      </c>
      <c r="Y203">
        <v>0</v>
      </c>
      <c r="Z203">
        <v>0</v>
      </c>
      <c r="AA203">
        <v>0</v>
      </c>
      <c r="AB203">
        <v>230</v>
      </c>
      <c r="AC203" t="s">
        <v>126</v>
      </c>
    </row>
    <row r="204" spans="1:29" ht="16" customHeight="1" x14ac:dyDescent="0.2">
      <c r="A204" s="1" t="s">
        <v>355</v>
      </c>
      <c r="B204" s="2" t="s">
        <v>157</v>
      </c>
      <c r="C204" s="2">
        <v>34</v>
      </c>
      <c r="D204" s="2" t="s">
        <v>138</v>
      </c>
      <c r="E204" s="2">
        <v>10223</v>
      </c>
      <c r="F204" s="2">
        <v>1</v>
      </c>
      <c r="G204" s="2">
        <v>0</v>
      </c>
      <c r="H204" s="2">
        <v>1</v>
      </c>
      <c r="I204" s="2">
        <v>1</v>
      </c>
      <c r="J204" s="2">
        <v>1</v>
      </c>
      <c r="K204" s="2">
        <v>2</v>
      </c>
      <c r="L204" s="2">
        <v>2</v>
      </c>
      <c r="M204" s="2">
        <v>3</v>
      </c>
      <c r="N204" s="2">
        <v>1</v>
      </c>
      <c r="O204" s="2">
        <v>0</v>
      </c>
      <c r="P204" s="2">
        <v>1</v>
      </c>
      <c r="Q204" s="2">
        <v>1</v>
      </c>
      <c r="R204" s="2">
        <v>1</v>
      </c>
      <c r="S204">
        <v>3</v>
      </c>
      <c r="T204">
        <v>0</v>
      </c>
      <c r="U204">
        <v>1</v>
      </c>
      <c r="V204">
        <v>1</v>
      </c>
      <c r="W204">
        <v>3</v>
      </c>
      <c r="X204">
        <v>-1</v>
      </c>
      <c r="Y204">
        <v>0</v>
      </c>
      <c r="Z204">
        <v>0</v>
      </c>
      <c r="AA204">
        <v>0</v>
      </c>
      <c r="AB204">
        <v>40</v>
      </c>
      <c r="AC204" t="s">
        <v>126</v>
      </c>
    </row>
    <row r="205" spans="1:29" ht="16" customHeight="1" x14ac:dyDescent="0.2">
      <c r="A205" s="1" t="s">
        <v>356</v>
      </c>
      <c r="B205" s="2" t="s">
        <v>143</v>
      </c>
      <c r="C205" s="2">
        <v>34</v>
      </c>
      <c r="D205" s="2" t="s">
        <v>140</v>
      </c>
      <c r="E205" s="2">
        <v>9016</v>
      </c>
      <c r="F205" s="2">
        <v>0</v>
      </c>
      <c r="G205" s="2">
        <v>0</v>
      </c>
      <c r="H205" s="2">
        <v>0</v>
      </c>
      <c r="I205" s="2">
        <v>0</v>
      </c>
      <c r="J205" s="2">
        <v>3</v>
      </c>
      <c r="K205" s="2">
        <v>3</v>
      </c>
      <c r="L205" s="2">
        <v>1</v>
      </c>
      <c r="M205" s="2">
        <v>4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>
        <v>-1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169</v>
      </c>
      <c r="AC205" t="s">
        <v>126</v>
      </c>
    </row>
    <row r="206" spans="1:29" ht="16" customHeight="1" x14ac:dyDescent="0.2">
      <c r="A206" s="1" t="s">
        <v>357</v>
      </c>
      <c r="B206" s="2" t="s">
        <v>124</v>
      </c>
      <c r="C206" s="2">
        <v>35</v>
      </c>
      <c r="D206" s="2" t="s">
        <v>125</v>
      </c>
      <c r="E206" s="2">
        <v>694</v>
      </c>
      <c r="F206" s="2">
        <v>0</v>
      </c>
      <c r="G206" s="2">
        <v>0</v>
      </c>
      <c r="H206" s="2">
        <v>1</v>
      </c>
      <c r="I206" s="2">
        <v>0</v>
      </c>
      <c r="J206" s="2">
        <v>2</v>
      </c>
      <c r="K206" s="2">
        <v>1</v>
      </c>
      <c r="L206" s="2">
        <v>3</v>
      </c>
      <c r="M206" s="2">
        <v>2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1</v>
      </c>
      <c r="Z206">
        <v>1</v>
      </c>
      <c r="AA206">
        <v>1</v>
      </c>
      <c r="AB206">
        <v>93</v>
      </c>
      <c r="AC206" t="s">
        <v>126</v>
      </c>
    </row>
    <row r="207" spans="1:29" ht="16" customHeight="1" x14ac:dyDescent="0.2">
      <c r="A207" s="1" t="s">
        <v>358</v>
      </c>
      <c r="B207" s="2" t="s">
        <v>181</v>
      </c>
      <c r="C207" s="2">
        <v>35</v>
      </c>
      <c r="D207" s="2" t="s">
        <v>129</v>
      </c>
      <c r="E207" s="2">
        <v>6423</v>
      </c>
      <c r="F207" s="2">
        <v>1</v>
      </c>
      <c r="G207" s="2">
        <v>1</v>
      </c>
      <c r="H207" s="2">
        <v>0</v>
      </c>
      <c r="I207" s="2">
        <v>1</v>
      </c>
      <c r="J207" s="2">
        <v>3</v>
      </c>
      <c r="K207" s="2">
        <v>2</v>
      </c>
      <c r="L207" s="2">
        <v>3</v>
      </c>
      <c r="M207" s="2">
        <v>4</v>
      </c>
      <c r="N207" s="2">
        <v>0</v>
      </c>
      <c r="O207" s="2">
        <v>1</v>
      </c>
      <c r="P207" s="2">
        <v>0</v>
      </c>
      <c r="Q207" s="2">
        <v>0</v>
      </c>
      <c r="R207" s="2">
        <v>1</v>
      </c>
      <c r="S207">
        <v>2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1</v>
      </c>
      <c r="AB207">
        <v>192</v>
      </c>
      <c r="AC207" t="s">
        <v>126</v>
      </c>
    </row>
    <row r="208" spans="1:29" ht="16" customHeight="1" x14ac:dyDescent="0.2">
      <c r="A208" s="1" t="s">
        <v>359</v>
      </c>
      <c r="B208" s="2" t="s">
        <v>199</v>
      </c>
      <c r="C208" s="2">
        <v>35</v>
      </c>
      <c r="D208" s="2" t="s">
        <v>132</v>
      </c>
      <c r="E208" s="2">
        <v>1056</v>
      </c>
      <c r="F208" s="2">
        <v>0</v>
      </c>
      <c r="G208" s="2">
        <v>1</v>
      </c>
      <c r="H208" s="2">
        <v>1</v>
      </c>
      <c r="I208" s="2">
        <v>0</v>
      </c>
      <c r="J208" s="2">
        <v>4</v>
      </c>
      <c r="K208" s="2">
        <v>2</v>
      </c>
      <c r="L208" s="2">
        <v>1</v>
      </c>
      <c r="M208" s="2">
        <v>2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>
        <v>2</v>
      </c>
      <c r="T208">
        <v>0</v>
      </c>
      <c r="U208">
        <v>1</v>
      </c>
      <c r="V208">
        <v>0</v>
      </c>
      <c r="W208">
        <v>2</v>
      </c>
      <c r="X208">
        <v>-1</v>
      </c>
      <c r="Y208">
        <v>1</v>
      </c>
      <c r="Z208">
        <v>0</v>
      </c>
      <c r="AA208">
        <v>0</v>
      </c>
      <c r="AB208">
        <v>276</v>
      </c>
      <c r="AC208" t="s">
        <v>126</v>
      </c>
    </row>
    <row r="209" spans="1:29" ht="16" customHeight="1" x14ac:dyDescent="0.2">
      <c r="A209" s="1" t="s">
        <v>360</v>
      </c>
      <c r="B209" s="2" t="s">
        <v>149</v>
      </c>
      <c r="C209" s="2">
        <v>35</v>
      </c>
      <c r="D209" s="2" t="s">
        <v>135</v>
      </c>
      <c r="E209" s="2">
        <v>48</v>
      </c>
      <c r="F209" s="2">
        <v>1</v>
      </c>
      <c r="G209" s="2">
        <v>1</v>
      </c>
      <c r="H209" s="2">
        <v>1</v>
      </c>
      <c r="I209" s="2">
        <v>-1</v>
      </c>
      <c r="J209" s="2">
        <v>5</v>
      </c>
      <c r="K209" s="2">
        <v>3</v>
      </c>
      <c r="L209" s="2">
        <v>3</v>
      </c>
      <c r="M209" s="2">
        <v>2</v>
      </c>
      <c r="N209" s="2">
        <v>1</v>
      </c>
      <c r="O209" s="2">
        <v>0</v>
      </c>
      <c r="P209" s="2">
        <v>0</v>
      </c>
      <c r="Q209" s="2">
        <v>1</v>
      </c>
      <c r="R209" s="2">
        <v>1</v>
      </c>
      <c r="S209">
        <v>2</v>
      </c>
      <c r="T209">
        <v>0</v>
      </c>
      <c r="U209">
        <v>0</v>
      </c>
      <c r="V209">
        <v>1</v>
      </c>
      <c r="W209">
        <v>3</v>
      </c>
      <c r="X209">
        <v>1</v>
      </c>
      <c r="Y209">
        <v>1</v>
      </c>
      <c r="Z209">
        <v>0</v>
      </c>
      <c r="AA209">
        <v>1</v>
      </c>
      <c r="AB209">
        <v>120</v>
      </c>
      <c r="AC209" t="s">
        <v>126</v>
      </c>
    </row>
    <row r="210" spans="1:29" ht="16" customHeight="1" x14ac:dyDescent="0.2">
      <c r="A210" s="1" t="s">
        <v>361</v>
      </c>
      <c r="B210" s="2" t="s">
        <v>134</v>
      </c>
      <c r="C210" s="2">
        <v>35</v>
      </c>
      <c r="D210" s="2" t="s">
        <v>138</v>
      </c>
      <c r="E210" s="2">
        <v>378</v>
      </c>
      <c r="F210" s="2">
        <v>0</v>
      </c>
      <c r="G210" s="2">
        <v>1</v>
      </c>
      <c r="H210" s="2">
        <v>0</v>
      </c>
      <c r="I210" s="2">
        <v>-1</v>
      </c>
      <c r="J210" s="2">
        <v>2</v>
      </c>
      <c r="K210" s="2">
        <v>2</v>
      </c>
      <c r="L210" s="2">
        <v>1</v>
      </c>
      <c r="M210" s="2">
        <v>2</v>
      </c>
      <c r="N210" s="2">
        <v>0</v>
      </c>
      <c r="O210" s="2">
        <v>1</v>
      </c>
      <c r="P210" s="2">
        <v>1</v>
      </c>
      <c r="Q210" s="2">
        <v>0</v>
      </c>
      <c r="R210" s="2">
        <v>0</v>
      </c>
      <c r="S210">
        <v>1</v>
      </c>
      <c r="T210">
        <v>0</v>
      </c>
      <c r="U210">
        <v>1</v>
      </c>
      <c r="V210">
        <v>1</v>
      </c>
      <c r="W210">
        <v>5</v>
      </c>
      <c r="X210">
        <v>-1</v>
      </c>
      <c r="Y210">
        <v>1</v>
      </c>
      <c r="Z210">
        <v>0</v>
      </c>
      <c r="AA210">
        <v>1</v>
      </c>
      <c r="AB210">
        <v>112</v>
      </c>
      <c r="AC210" t="s">
        <v>126</v>
      </c>
    </row>
    <row r="211" spans="1:29" ht="16" customHeight="1" x14ac:dyDescent="0.2">
      <c r="A211" s="1" t="s">
        <v>362</v>
      </c>
      <c r="B211" s="2" t="s">
        <v>168</v>
      </c>
      <c r="C211" s="2">
        <v>35</v>
      </c>
      <c r="D211" s="2" t="s">
        <v>140</v>
      </c>
      <c r="E211" s="2">
        <v>1591</v>
      </c>
      <c r="F211" s="2">
        <v>1</v>
      </c>
      <c r="G211" s="2">
        <v>1</v>
      </c>
      <c r="H211" s="2">
        <v>1</v>
      </c>
      <c r="I211" s="2">
        <v>1</v>
      </c>
      <c r="J211" s="2">
        <v>2</v>
      </c>
      <c r="K211" s="2">
        <v>3</v>
      </c>
      <c r="L211" s="2">
        <v>3</v>
      </c>
      <c r="M211" s="2">
        <v>4</v>
      </c>
      <c r="N211" s="2">
        <v>0</v>
      </c>
      <c r="O211" s="2">
        <v>0</v>
      </c>
      <c r="P211" s="2">
        <v>1</v>
      </c>
      <c r="Q211" s="2">
        <v>1</v>
      </c>
      <c r="R211" s="2">
        <v>1</v>
      </c>
      <c r="S211">
        <v>3</v>
      </c>
      <c r="T211">
        <v>0</v>
      </c>
      <c r="U211">
        <v>1</v>
      </c>
      <c r="V211">
        <v>1</v>
      </c>
      <c r="W211">
        <v>3</v>
      </c>
      <c r="X211">
        <v>0</v>
      </c>
      <c r="Y211">
        <v>1</v>
      </c>
      <c r="Z211">
        <v>0</v>
      </c>
      <c r="AA211">
        <v>1</v>
      </c>
      <c r="AB211">
        <v>135</v>
      </c>
      <c r="AC211" t="s">
        <v>126</v>
      </c>
    </row>
    <row r="212" spans="1:29" ht="16" customHeight="1" x14ac:dyDescent="0.2">
      <c r="A212" s="1" t="s">
        <v>363</v>
      </c>
      <c r="B212" s="2" t="s">
        <v>201</v>
      </c>
      <c r="C212" s="2">
        <v>36</v>
      </c>
      <c r="D212" s="2" t="s">
        <v>125</v>
      </c>
      <c r="E212" s="2">
        <v>340</v>
      </c>
      <c r="F212" s="2">
        <v>0</v>
      </c>
      <c r="G212" s="2">
        <v>0</v>
      </c>
      <c r="H212" s="2">
        <v>0</v>
      </c>
      <c r="I212" s="2">
        <v>1</v>
      </c>
      <c r="J212" s="2">
        <v>2</v>
      </c>
      <c r="K212" s="2">
        <v>1</v>
      </c>
      <c r="L212" s="2">
        <v>1</v>
      </c>
      <c r="M212" s="2">
        <v>4</v>
      </c>
      <c r="N212" s="2">
        <v>1</v>
      </c>
      <c r="O212" s="2">
        <v>0</v>
      </c>
      <c r="P212" s="2">
        <v>1</v>
      </c>
      <c r="Q212" s="2">
        <v>1</v>
      </c>
      <c r="R212" s="2">
        <v>1</v>
      </c>
      <c r="S212">
        <v>2</v>
      </c>
      <c r="T212">
        <v>1</v>
      </c>
      <c r="U212">
        <v>0</v>
      </c>
      <c r="V212">
        <v>0</v>
      </c>
      <c r="W212">
        <v>5</v>
      </c>
      <c r="X212">
        <v>-1</v>
      </c>
      <c r="Y212">
        <v>1</v>
      </c>
      <c r="Z212">
        <v>1</v>
      </c>
      <c r="AA212">
        <v>0</v>
      </c>
      <c r="AB212">
        <v>295</v>
      </c>
      <c r="AC212" t="s">
        <v>126</v>
      </c>
    </row>
    <row r="213" spans="1:29" ht="16" customHeight="1" x14ac:dyDescent="0.2">
      <c r="A213" s="1" t="s">
        <v>364</v>
      </c>
      <c r="B213" s="2" t="s">
        <v>164</v>
      </c>
      <c r="C213" s="2">
        <v>36</v>
      </c>
      <c r="D213" s="2" t="s">
        <v>129</v>
      </c>
      <c r="E213" s="2">
        <v>3173</v>
      </c>
      <c r="F213" s="2">
        <v>0</v>
      </c>
      <c r="G213" s="2">
        <v>0</v>
      </c>
      <c r="H213" s="2">
        <v>1</v>
      </c>
      <c r="I213" s="2">
        <v>-1</v>
      </c>
      <c r="J213" s="2">
        <v>1</v>
      </c>
      <c r="K213" s="2">
        <v>1</v>
      </c>
      <c r="L213" s="2">
        <v>1</v>
      </c>
      <c r="M213" s="2">
        <v>2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  <c r="S213">
        <v>1</v>
      </c>
      <c r="T213">
        <v>1</v>
      </c>
      <c r="U213">
        <v>1</v>
      </c>
      <c r="V213">
        <v>1</v>
      </c>
      <c r="W213">
        <v>3</v>
      </c>
      <c r="X213">
        <v>0</v>
      </c>
      <c r="Y213">
        <v>0</v>
      </c>
      <c r="Z213">
        <v>1</v>
      </c>
      <c r="AA213">
        <v>1</v>
      </c>
      <c r="AB213">
        <v>168</v>
      </c>
      <c r="AC213" t="s">
        <v>126</v>
      </c>
    </row>
    <row r="214" spans="1:29" ht="16" customHeight="1" x14ac:dyDescent="0.2">
      <c r="A214" s="1" t="s">
        <v>365</v>
      </c>
      <c r="B214" s="2" t="s">
        <v>164</v>
      </c>
      <c r="C214" s="2">
        <v>36</v>
      </c>
      <c r="D214" s="2" t="s">
        <v>132</v>
      </c>
      <c r="E214" s="2">
        <v>3799</v>
      </c>
      <c r="F214" s="2">
        <v>1</v>
      </c>
      <c r="G214" s="2">
        <v>1</v>
      </c>
      <c r="H214" s="2">
        <v>0</v>
      </c>
      <c r="I214" s="2">
        <v>1</v>
      </c>
      <c r="J214" s="2">
        <v>5</v>
      </c>
      <c r="K214" s="2">
        <v>2</v>
      </c>
      <c r="L214" s="2">
        <v>2</v>
      </c>
      <c r="M214" s="2">
        <v>2</v>
      </c>
      <c r="N214" s="2">
        <v>1</v>
      </c>
      <c r="O214" s="2">
        <v>0</v>
      </c>
      <c r="P214" s="2">
        <v>0</v>
      </c>
      <c r="Q214" s="2">
        <v>1</v>
      </c>
      <c r="R214" s="2">
        <v>0</v>
      </c>
      <c r="S214">
        <v>3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0</v>
      </c>
      <c r="AA214">
        <v>1</v>
      </c>
      <c r="AB214">
        <v>226</v>
      </c>
      <c r="AC214" t="s">
        <v>126</v>
      </c>
    </row>
    <row r="215" spans="1:29" ht="16" customHeight="1" x14ac:dyDescent="0.2">
      <c r="A215" s="1" t="s">
        <v>366</v>
      </c>
      <c r="B215" s="2" t="s">
        <v>149</v>
      </c>
      <c r="C215" s="2">
        <v>36</v>
      </c>
      <c r="D215" s="2" t="s">
        <v>135</v>
      </c>
      <c r="E215" s="2">
        <v>1507</v>
      </c>
      <c r="F215" s="2">
        <v>1</v>
      </c>
      <c r="G215" s="2">
        <v>1</v>
      </c>
      <c r="H215" s="2">
        <v>0</v>
      </c>
      <c r="I215" s="2">
        <v>0</v>
      </c>
      <c r="J215" s="2">
        <v>2</v>
      </c>
      <c r="K215" s="2">
        <v>1</v>
      </c>
      <c r="L215" s="2">
        <v>2</v>
      </c>
      <c r="M215" s="2">
        <v>3</v>
      </c>
      <c r="N215" s="2">
        <v>1</v>
      </c>
      <c r="O215" s="2">
        <v>1</v>
      </c>
      <c r="P215" s="2">
        <v>0</v>
      </c>
      <c r="Q215" s="2">
        <v>1</v>
      </c>
      <c r="R215" s="2">
        <v>0</v>
      </c>
      <c r="S215">
        <v>3</v>
      </c>
      <c r="T215">
        <v>0</v>
      </c>
      <c r="U215">
        <v>1</v>
      </c>
      <c r="V215">
        <v>0</v>
      </c>
      <c r="W215">
        <v>4</v>
      </c>
      <c r="X215">
        <v>1</v>
      </c>
      <c r="Y215">
        <v>0</v>
      </c>
      <c r="Z215">
        <v>0</v>
      </c>
      <c r="AA215">
        <v>0</v>
      </c>
      <c r="AB215">
        <v>56</v>
      </c>
      <c r="AC215" t="s">
        <v>126</v>
      </c>
    </row>
    <row r="216" spans="1:29" ht="16" customHeight="1" x14ac:dyDescent="0.2">
      <c r="A216" s="1" t="s">
        <v>367</v>
      </c>
      <c r="B216" s="2" t="s">
        <v>164</v>
      </c>
      <c r="C216" s="2">
        <v>36</v>
      </c>
      <c r="D216" s="2" t="s">
        <v>138</v>
      </c>
      <c r="E216" s="2">
        <v>353</v>
      </c>
      <c r="F216" s="2">
        <v>1</v>
      </c>
      <c r="G216" s="2">
        <v>0</v>
      </c>
      <c r="H216" s="2">
        <v>0</v>
      </c>
      <c r="I216" s="2">
        <v>0</v>
      </c>
      <c r="J216" s="2">
        <v>5</v>
      </c>
      <c r="K216" s="2">
        <v>1</v>
      </c>
      <c r="L216" s="2">
        <v>2</v>
      </c>
      <c r="M216" s="2">
        <v>1</v>
      </c>
      <c r="N216" s="2">
        <v>0</v>
      </c>
      <c r="O216" s="2">
        <v>1</v>
      </c>
      <c r="P216" s="2">
        <v>0</v>
      </c>
      <c r="Q216" s="2">
        <v>1</v>
      </c>
      <c r="R216" s="2">
        <v>0</v>
      </c>
      <c r="S216">
        <v>3</v>
      </c>
      <c r="T216">
        <v>0</v>
      </c>
      <c r="U216">
        <v>1</v>
      </c>
      <c r="V216">
        <v>0</v>
      </c>
      <c r="W216">
        <v>3</v>
      </c>
      <c r="X216">
        <v>1</v>
      </c>
      <c r="Y216">
        <v>1</v>
      </c>
      <c r="Z216">
        <v>1</v>
      </c>
      <c r="AA216">
        <v>1</v>
      </c>
      <c r="AB216">
        <v>22</v>
      </c>
      <c r="AC216" t="s">
        <v>126</v>
      </c>
    </row>
    <row r="217" spans="1:29" ht="16" customHeight="1" x14ac:dyDescent="0.2">
      <c r="A217" s="1" t="s">
        <v>368</v>
      </c>
      <c r="B217" s="2" t="s">
        <v>149</v>
      </c>
      <c r="C217" s="2">
        <v>36</v>
      </c>
      <c r="D217" s="2" t="s">
        <v>140</v>
      </c>
      <c r="E217" s="2">
        <v>5528</v>
      </c>
      <c r="F217" s="2">
        <v>1</v>
      </c>
      <c r="G217" s="2">
        <v>0</v>
      </c>
      <c r="H217" s="2">
        <v>0</v>
      </c>
      <c r="I217" s="2">
        <v>0</v>
      </c>
      <c r="J217" s="2">
        <v>3</v>
      </c>
      <c r="K217" s="2">
        <v>3</v>
      </c>
      <c r="L217" s="2">
        <v>2</v>
      </c>
      <c r="M217" s="2">
        <v>5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  <c r="S217">
        <v>3</v>
      </c>
      <c r="T217">
        <v>1</v>
      </c>
      <c r="U217">
        <v>1</v>
      </c>
      <c r="V217">
        <v>1</v>
      </c>
      <c r="W217">
        <v>2</v>
      </c>
      <c r="X217">
        <v>-1</v>
      </c>
      <c r="Y217">
        <v>0</v>
      </c>
      <c r="Z217">
        <v>0</v>
      </c>
      <c r="AA217">
        <v>0</v>
      </c>
      <c r="AB217">
        <v>93</v>
      </c>
      <c r="AC217" t="s">
        <v>126</v>
      </c>
    </row>
    <row r="218" spans="1:29" ht="16" customHeight="1" x14ac:dyDescent="0.2">
      <c r="A218" s="1" t="s">
        <v>369</v>
      </c>
      <c r="B218" s="2" t="s">
        <v>143</v>
      </c>
      <c r="C218" s="2">
        <v>37</v>
      </c>
      <c r="D218" s="2" t="s">
        <v>125</v>
      </c>
      <c r="E218" s="2">
        <v>6868</v>
      </c>
      <c r="F218" s="2">
        <v>0</v>
      </c>
      <c r="G218" s="2">
        <v>0</v>
      </c>
      <c r="H218" s="2">
        <v>0</v>
      </c>
      <c r="I218" s="2">
        <v>-1</v>
      </c>
      <c r="J218" s="2">
        <v>2</v>
      </c>
      <c r="K218" s="2">
        <v>3</v>
      </c>
      <c r="L218" s="2">
        <v>1</v>
      </c>
      <c r="M218" s="2">
        <v>1</v>
      </c>
      <c r="N218" s="2">
        <v>0</v>
      </c>
      <c r="O218" s="2">
        <v>1</v>
      </c>
      <c r="P218" s="2">
        <v>0</v>
      </c>
      <c r="Q218" s="2">
        <v>1</v>
      </c>
      <c r="R218" s="2">
        <v>0</v>
      </c>
      <c r="S218">
        <v>-1</v>
      </c>
      <c r="T218">
        <v>0</v>
      </c>
      <c r="U218">
        <v>0</v>
      </c>
      <c r="V218">
        <v>0</v>
      </c>
      <c r="W218">
        <v>3</v>
      </c>
      <c r="X218">
        <v>1</v>
      </c>
      <c r="Y218">
        <v>1</v>
      </c>
      <c r="Z218">
        <v>0</v>
      </c>
      <c r="AA218">
        <v>1</v>
      </c>
      <c r="AB218">
        <v>11</v>
      </c>
      <c r="AC218" t="s">
        <v>126</v>
      </c>
    </row>
    <row r="219" spans="1:29" ht="16" customHeight="1" x14ac:dyDescent="0.2">
      <c r="A219" s="1" t="s">
        <v>370</v>
      </c>
      <c r="B219" s="2" t="s">
        <v>137</v>
      </c>
      <c r="C219" s="2">
        <v>37</v>
      </c>
      <c r="D219" s="2" t="s">
        <v>129</v>
      </c>
      <c r="E219" s="2">
        <v>4930</v>
      </c>
      <c r="F219" s="2">
        <v>0</v>
      </c>
      <c r="G219" s="2">
        <v>1</v>
      </c>
      <c r="H219" s="2">
        <v>1</v>
      </c>
      <c r="I219" s="2">
        <v>-1</v>
      </c>
      <c r="J219" s="2">
        <v>3</v>
      </c>
      <c r="K219" s="2">
        <v>3</v>
      </c>
      <c r="L219" s="2">
        <v>1</v>
      </c>
      <c r="M219" s="2">
        <v>1</v>
      </c>
      <c r="N219" s="2">
        <v>0</v>
      </c>
      <c r="O219" s="2">
        <v>1</v>
      </c>
      <c r="P219" s="2">
        <v>1</v>
      </c>
      <c r="Q219" s="2">
        <v>1</v>
      </c>
      <c r="R219" s="2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14</v>
      </c>
      <c r="AC219" t="s">
        <v>126</v>
      </c>
    </row>
    <row r="220" spans="1:29" ht="16" customHeight="1" x14ac:dyDescent="0.2">
      <c r="A220" s="1" t="s">
        <v>371</v>
      </c>
      <c r="B220" s="2" t="s">
        <v>143</v>
      </c>
      <c r="C220" s="2">
        <v>37</v>
      </c>
      <c r="D220" s="2" t="s">
        <v>132</v>
      </c>
      <c r="E220" s="2">
        <v>4093</v>
      </c>
      <c r="F220" s="2">
        <v>1</v>
      </c>
      <c r="G220" s="2">
        <v>0</v>
      </c>
      <c r="H220" s="2">
        <v>1</v>
      </c>
      <c r="I220" s="2">
        <v>-1</v>
      </c>
      <c r="J220" s="2">
        <v>3</v>
      </c>
      <c r="K220" s="2">
        <v>3</v>
      </c>
      <c r="L220" s="2">
        <v>1</v>
      </c>
      <c r="M220" s="2">
        <v>1</v>
      </c>
      <c r="N220" s="2">
        <v>0</v>
      </c>
      <c r="O220" s="2">
        <v>0</v>
      </c>
      <c r="P220" s="2">
        <v>1</v>
      </c>
      <c r="Q220" s="2">
        <v>1</v>
      </c>
      <c r="R220" s="2">
        <v>1</v>
      </c>
      <c r="S220">
        <v>2</v>
      </c>
      <c r="T220">
        <v>0</v>
      </c>
      <c r="U220">
        <v>1</v>
      </c>
      <c r="V220">
        <v>0</v>
      </c>
      <c r="W220">
        <v>2</v>
      </c>
      <c r="X220">
        <v>1</v>
      </c>
      <c r="Y220">
        <v>0</v>
      </c>
      <c r="Z220">
        <v>0</v>
      </c>
      <c r="AA220">
        <v>1</v>
      </c>
      <c r="AB220">
        <v>156</v>
      </c>
      <c r="AC220" t="s">
        <v>126</v>
      </c>
    </row>
    <row r="221" spans="1:29" ht="16" customHeight="1" x14ac:dyDescent="0.2">
      <c r="A221" s="1" t="s">
        <v>372</v>
      </c>
      <c r="B221" s="2" t="s">
        <v>193</v>
      </c>
      <c r="C221" s="2">
        <v>37</v>
      </c>
      <c r="D221" s="2" t="s">
        <v>135</v>
      </c>
      <c r="E221" s="2">
        <v>432</v>
      </c>
      <c r="F221" s="2">
        <v>0</v>
      </c>
      <c r="G221" s="2">
        <v>1</v>
      </c>
      <c r="H221" s="2">
        <v>0</v>
      </c>
      <c r="I221" s="2">
        <v>0</v>
      </c>
      <c r="J221" s="2">
        <v>5</v>
      </c>
      <c r="K221" s="2">
        <v>1</v>
      </c>
      <c r="L221" s="2">
        <v>1</v>
      </c>
      <c r="M221" s="2">
        <v>2</v>
      </c>
      <c r="N221" s="2">
        <v>0</v>
      </c>
      <c r="O221" s="2">
        <v>1</v>
      </c>
      <c r="P221" s="2">
        <v>0</v>
      </c>
      <c r="Q221" s="2">
        <v>1</v>
      </c>
      <c r="R221" s="2">
        <v>1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-1</v>
      </c>
      <c r="Y221">
        <v>0</v>
      </c>
      <c r="Z221">
        <v>0</v>
      </c>
      <c r="AA221">
        <v>0</v>
      </c>
      <c r="AB221">
        <v>4</v>
      </c>
      <c r="AC221" t="s">
        <v>126</v>
      </c>
    </row>
    <row r="222" spans="1:29" ht="16" customHeight="1" x14ac:dyDescent="0.2">
      <c r="A222" s="1" t="s">
        <v>373</v>
      </c>
      <c r="B222" s="2" t="s">
        <v>181</v>
      </c>
      <c r="C222" s="2">
        <v>37</v>
      </c>
      <c r="D222" s="2" t="s">
        <v>138</v>
      </c>
      <c r="E222" s="2">
        <v>7030</v>
      </c>
      <c r="F222" s="2">
        <v>1</v>
      </c>
      <c r="G222" s="2">
        <v>1</v>
      </c>
      <c r="H222" s="2">
        <v>1</v>
      </c>
      <c r="I222" s="2">
        <v>0</v>
      </c>
      <c r="J222" s="2">
        <v>4</v>
      </c>
      <c r="K222" s="2">
        <v>2</v>
      </c>
      <c r="L222" s="2">
        <v>2</v>
      </c>
      <c r="M222" s="2">
        <v>3</v>
      </c>
      <c r="N222" s="2">
        <v>1</v>
      </c>
      <c r="O222" s="2">
        <v>0</v>
      </c>
      <c r="P222" s="2">
        <v>1</v>
      </c>
      <c r="Q222" s="2">
        <v>1</v>
      </c>
      <c r="R222" s="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187</v>
      </c>
      <c r="AC222" t="s">
        <v>126</v>
      </c>
    </row>
    <row r="223" spans="1:29" ht="16" customHeight="1" x14ac:dyDescent="0.2">
      <c r="A223" s="1" t="s">
        <v>374</v>
      </c>
      <c r="B223" s="2" t="s">
        <v>166</v>
      </c>
      <c r="C223" s="2">
        <v>37</v>
      </c>
      <c r="D223" s="2" t="s">
        <v>140</v>
      </c>
      <c r="E223" s="2">
        <v>325</v>
      </c>
      <c r="F223" s="2">
        <v>0</v>
      </c>
      <c r="G223" s="2">
        <v>0</v>
      </c>
      <c r="H223" s="2">
        <v>1</v>
      </c>
      <c r="I223" s="2">
        <v>1</v>
      </c>
      <c r="J223" s="2">
        <v>3</v>
      </c>
      <c r="K223" s="2">
        <v>3</v>
      </c>
      <c r="L223" s="2">
        <v>3</v>
      </c>
      <c r="M223" s="2">
        <v>4</v>
      </c>
      <c r="N223" s="2">
        <v>1</v>
      </c>
      <c r="O223" s="2">
        <v>0</v>
      </c>
      <c r="P223" s="2">
        <v>0</v>
      </c>
      <c r="Q223" s="2">
        <v>0</v>
      </c>
      <c r="R223" s="2">
        <v>0</v>
      </c>
      <c r="S223">
        <v>0</v>
      </c>
      <c r="T223">
        <v>1</v>
      </c>
      <c r="U223">
        <v>1</v>
      </c>
      <c r="V223">
        <v>1</v>
      </c>
      <c r="W223">
        <v>2</v>
      </c>
      <c r="X223">
        <v>0</v>
      </c>
      <c r="Y223">
        <v>1</v>
      </c>
      <c r="Z223">
        <v>0</v>
      </c>
      <c r="AA223">
        <v>0</v>
      </c>
      <c r="AB223">
        <v>214</v>
      </c>
      <c r="AC223" t="s">
        <v>126</v>
      </c>
    </row>
    <row r="224" spans="1:29" ht="16" customHeight="1" x14ac:dyDescent="0.2">
      <c r="A224" s="1" t="s">
        <v>375</v>
      </c>
      <c r="B224" s="2" t="s">
        <v>161</v>
      </c>
      <c r="C224" s="2">
        <v>38</v>
      </c>
      <c r="D224" s="2" t="s">
        <v>125</v>
      </c>
      <c r="E224" s="2">
        <v>3015</v>
      </c>
      <c r="F224" s="2">
        <v>0</v>
      </c>
      <c r="G224" s="2">
        <v>1</v>
      </c>
      <c r="H224" s="2">
        <v>1</v>
      </c>
      <c r="I224" s="2">
        <v>-1</v>
      </c>
      <c r="J224" s="2">
        <v>2</v>
      </c>
      <c r="K224" s="2">
        <v>2</v>
      </c>
      <c r="L224" s="2">
        <v>3</v>
      </c>
      <c r="M224" s="2">
        <v>2</v>
      </c>
      <c r="N224" s="2">
        <v>0</v>
      </c>
      <c r="O224" s="2">
        <v>0</v>
      </c>
      <c r="P224" s="2">
        <v>0</v>
      </c>
      <c r="Q224" s="2">
        <v>1</v>
      </c>
      <c r="R224" s="2">
        <v>0</v>
      </c>
      <c r="S224">
        <v>-1</v>
      </c>
      <c r="T224">
        <v>0</v>
      </c>
      <c r="U224">
        <v>0</v>
      </c>
      <c r="V224">
        <v>0</v>
      </c>
      <c r="W224">
        <v>5</v>
      </c>
      <c r="X224">
        <v>1</v>
      </c>
      <c r="Y224">
        <v>1</v>
      </c>
      <c r="Z224">
        <v>0</v>
      </c>
      <c r="AA224">
        <v>0</v>
      </c>
      <c r="AB224">
        <v>258</v>
      </c>
      <c r="AC224" t="s">
        <v>126</v>
      </c>
    </row>
    <row r="225" spans="1:29" ht="16" customHeight="1" x14ac:dyDescent="0.2">
      <c r="A225" s="1" t="s">
        <v>376</v>
      </c>
      <c r="B225" s="2" t="s">
        <v>157</v>
      </c>
      <c r="C225" s="2">
        <v>38</v>
      </c>
      <c r="D225" s="2" t="s">
        <v>129</v>
      </c>
      <c r="E225" s="2">
        <v>1559</v>
      </c>
      <c r="F225" s="2">
        <v>1</v>
      </c>
      <c r="G225" s="2">
        <v>0</v>
      </c>
      <c r="H225" s="2">
        <v>1</v>
      </c>
      <c r="I225" s="2">
        <v>-1</v>
      </c>
      <c r="J225" s="2">
        <v>5</v>
      </c>
      <c r="K225" s="2">
        <v>1</v>
      </c>
      <c r="L225" s="2">
        <v>1</v>
      </c>
      <c r="M225" s="2">
        <v>3</v>
      </c>
      <c r="N225" s="2">
        <v>1</v>
      </c>
      <c r="O225" s="2">
        <v>0</v>
      </c>
      <c r="P225" s="2">
        <v>0</v>
      </c>
      <c r="Q225" s="2">
        <v>0</v>
      </c>
      <c r="R225" s="2">
        <v>1</v>
      </c>
      <c r="S225">
        <v>3</v>
      </c>
      <c r="T225">
        <v>0</v>
      </c>
      <c r="U225">
        <v>1</v>
      </c>
      <c r="V225">
        <v>0</v>
      </c>
      <c r="W225">
        <v>3</v>
      </c>
      <c r="X225">
        <v>0</v>
      </c>
      <c r="Y225">
        <v>1</v>
      </c>
      <c r="Z225">
        <v>0</v>
      </c>
      <c r="AA225">
        <v>0</v>
      </c>
      <c r="AB225">
        <v>209</v>
      </c>
      <c r="AC225" t="s">
        <v>126</v>
      </c>
    </row>
    <row r="226" spans="1:29" ht="16" customHeight="1" x14ac:dyDescent="0.2">
      <c r="A226" s="1" t="s">
        <v>377</v>
      </c>
      <c r="B226" s="2" t="s">
        <v>159</v>
      </c>
      <c r="C226" s="2">
        <v>38</v>
      </c>
      <c r="D226" s="2" t="s">
        <v>132</v>
      </c>
      <c r="E226" s="2">
        <v>1787</v>
      </c>
      <c r="F226" s="2">
        <v>0</v>
      </c>
      <c r="G226" s="2">
        <v>0</v>
      </c>
      <c r="H226" s="2">
        <v>1</v>
      </c>
      <c r="I226" s="2">
        <v>-1</v>
      </c>
      <c r="J226" s="2">
        <v>4</v>
      </c>
      <c r="K226" s="2">
        <v>3</v>
      </c>
      <c r="L226" s="2">
        <v>2</v>
      </c>
      <c r="M226" s="2">
        <v>4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>
        <v>-1</v>
      </c>
      <c r="T226">
        <v>1</v>
      </c>
      <c r="U226">
        <v>1</v>
      </c>
      <c r="V226">
        <v>0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10</v>
      </c>
      <c r="AC226" t="s">
        <v>126</v>
      </c>
    </row>
    <row r="227" spans="1:29" ht="16" customHeight="1" x14ac:dyDescent="0.2">
      <c r="A227" s="1" t="s">
        <v>378</v>
      </c>
      <c r="B227" s="2" t="s">
        <v>193</v>
      </c>
      <c r="C227" s="2">
        <v>38</v>
      </c>
      <c r="D227" s="2" t="s">
        <v>135</v>
      </c>
      <c r="E227" s="2">
        <v>10922</v>
      </c>
      <c r="F227" s="2">
        <v>0</v>
      </c>
      <c r="G227" s="2">
        <v>1</v>
      </c>
      <c r="H227" s="2">
        <v>1</v>
      </c>
      <c r="I227" s="2">
        <v>0</v>
      </c>
      <c r="J227" s="2">
        <v>1</v>
      </c>
      <c r="K227" s="2">
        <v>1</v>
      </c>
      <c r="L227" s="2">
        <v>3</v>
      </c>
      <c r="M227" s="2">
        <v>3</v>
      </c>
      <c r="N227" s="2">
        <v>1</v>
      </c>
      <c r="O227" s="2">
        <v>0</v>
      </c>
      <c r="P227" s="2">
        <v>1</v>
      </c>
      <c r="Q227" s="2">
        <v>1</v>
      </c>
      <c r="R227" s="2">
        <v>1</v>
      </c>
      <c r="S227">
        <v>0</v>
      </c>
      <c r="T227">
        <v>0</v>
      </c>
      <c r="U227">
        <v>0</v>
      </c>
      <c r="V227">
        <v>0</v>
      </c>
      <c r="W227">
        <v>5</v>
      </c>
      <c r="X227">
        <v>-1</v>
      </c>
      <c r="Y227">
        <v>0</v>
      </c>
      <c r="Z227">
        <v>0</v>
      </c>
      <c r="AA227">
        <v>1</v>
      </c>
      <c r="AB227">
        <v>50</v>
      </c>
      <c r="AC227" t="s">
        <v>126</v>
      </c>
    </row>
    <row r="228" spans="1:29" ht="16" customHeight="1" x14ac:dyDescent="0.2">
      <c r="A228" s="1" t="s">
        <v>379</v>
      </c>
      <c r="B228" s="2" t="s">
        <v>157</v>
      </c>
      <c r="C228" s="2">
        <v>38</v>
      </c>
      <c r="D228" s="2" t="s">
        <v>138</v>
      </c>
      <c r="E228" s="2">
        <v>3951</v>
      </c>
      <c r="F228" s="2">
        <v>1</v>
      </c>
      <c r="G228" s="2">
        <v>1</v>
      </c>
      <c r="H228" s="2">
        <v>1</v>
      </c>
      <c r="I228" s="2">
        <v>-1</v>
      </c>
      <c r="J228" s="2">
        <v>3</v>
      </c>
      <c r="K228" s="2">
        <v>2</v>
      </c>
      <c r="L228" s="2">
        <v>2</v>
      </c>
      <c r="M228" s="2">
        <v>3</v>
      </c>
      <c r="N228" s="2">
        <v>0</v>
      </c>
      <c r="O228" s="2">
        <v>1</v>
      </c>
      <c r="P228" s="2">
        <v>1</v>
      </c>
      <c r="Q228" s="2">
        <v>1</v>
      </c>
      <c r="R228" s="2">
        <v>1</v>
      </c>
      <c r="S228">
        <v>1</v>
      </c>
      <c r="T228">
        <v>0</v>
      </c>
      <c r="U228">
        <v>0</v>
      </c>
      <c r="V228">
        <v>0</v>
      </c>
      <c r="W228">
        <v>2</v>
      </c>
      <c r="X228">
        <v>1</v>
      </c>
      <c r="Y228">
        <v>1</v>
      </c>
      <c r="Z228">
        <v>1</v>
      </c>
      <c r="AA228">
        <v>1</v>
      </c>
      <c r="AB228">
        <v>230</v>
      </c>
      <c r="AC228" t="s">
        <v>126</v>
      </c>
    </row>
    <row r="229" spans="1:29" ht="16" customHeight="1" x14ac:dyDescent="0.2">
      <c r="A229" s="1" t="s">
        <v>380</v>
      </c>
      <c r="B229" s="2" t="s">
        <v>185</v>
      </c>
      <c r="C229" s="2">
        <v>38</v>
      </c>
      <c r="D229" s="2" t="s">
        <v>140</v>
      </c>
      <c r="E229" s="2">
        <v>1585</v>
      </c>
      <c r="F229" s="2">
        <v>0</v>
      </c>
      <c r="G229" s="2">
        <v>1</v>
      </c>
      <c r="H229" s="2">
        <v>1</v>
      </c>
      <c r="I229" s="2">
        <v>-1</v>
      </c>
      <c r="J229" s="2">
        <v>1</v>
      </c>
      <c r="K229" s="2">
        <v>1</v>
      </c>
      <c r="L229" s="2">
        <v>2</v>
      </c>
      <c r="M229" s="2">
        <v>4</v>
      </c>
      <c r="N229" s="2">
        <v>1</v>
      </c>
      <c r="O229" s="2">
        <v>1</v>
      </c>
      <c r="P229" s="2">
        <v>1</v>
      </c>
      <c r="Q229" s="2">
        <v>0</v>
      </c>
      <c r="R229" s="2">
        <v>0</v>
      </c>
      <c r="S229">
        <v>3</v>
      </c>
      <c r="T229">
        <v>1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1</v>
      </c>
      <c r="AA229">
        <v>1</v>
      </c>
      <c r="AB229">
        <v>10</v>
      </c>
      <c r="AC229" t="s">
        <v>126</v>
      </c>
    </row>
    <row r="230" spans="1:29" ht="16" customHeight="1" x14ac:dyDescent="0.2">
      <c r="A230" s="1" t="s">
        <v>381</v>
      </c>
      <c r="B230" s="2" t="s">
        <v>166</v>
      </c>
      <c r="C230" s="2">
        <v>39</v>
      </c>
      <c r="D230" s="2" t="s">
        <v>125</v>
      </c>
      <c r="E230" s="2">
        <v>578</v>
      </c>
      <c r="F230" s="2">
        <v>0</v>
      </c>
      <c r="G230" s="2">
        <v>1</v>
      </c>
      <c r="H230" s="2">
        <v>0</v>
      </c>
      <c r="I230" s="2">
        <v>0</v>
      </c>
      <c r="J230" s="2">
        <v>3</v>
      </c>
      <c r="K230" s="2">
        <v>3</v>
      </c>
      <c r="L230" s="2">
        <v>1</v>
      </c>
      <c r="M230" s="2">
        <v>5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>
        <v>2</v>
      </c>
      <c r="T230">
        <v>1</v>
      </c>
      <c r="U230">
        <v>0</v>
      </c>
      <c r="V230">
        <v>1</v>
      </c>
      <c r="W230">
        <v>4</v>
      </c>
      <c r="X230">
        <v>1</v>
      </c>
      <c r="Y230">
        <v>0</v>
      </c>
      <c r="Z230">
        <v>0</v>
      </c>
      <c r="AA230">
        <v>0</v>
      </c>
      <c r="AB230">
        <v>297</v>
      </c>
      <c r="AC230" t="s">
        <v>126</v>
      </c>
    </row>
    <row r="231" spans="1:29" ht="16" customHeight="1" x14ac:dyDescent="0.2">
      <c r="A231" s="1" t="s">
        <v>382</v>
      </c>
      <c r="B231" s="2" t="s">
        <v>176</v>
      </c>
      <c r="C231" s="2">
        <v>39</v>
      </c>
      <c r="D231" s="2" t="s">
        <v>129</v>
      </c>
      <c r="E231" s="2">
        <v>1781</v>
      </c>
      <c r="F231" s="2">
        <v>1</v>
      </c>
      <c r="G231" s="2">
        <v>0</v>
      </c>
      <c r="H231" s="2">
        <v>0</v>
      </c>
      <c r="I231" s="2">
        <v>1</v>
      </c>
      <c r="J231" s="2">
        <v>5</v>
      </c>
      <c r="K231" s="2">
        <v>3</v>
      </c>
      <c r="L231" s="2">
        <v>2</v>
      </c>
      <c r="M231" s="2">
        <v>3</v>
      </c>
      <c r="N231" s="2">
        <v>0</v>
      </c>
      <c r="O231" s="2">
        <v>1</v>
      </c>
      <c r="P231" s="2">
        <v>1</v>
      </c>
      <c r="Q231" s="2">
        <v>1</v>
      </c>
      <c r="R231" s="2">
        <v>1</v>
      </c>
      <c r="S231">
        <v>-1</v>
      </c>
      <c r="T231">
        <v>1</v>
      </c>
      <c r="U231">
        <v>1</v>
      </c>
      <c r="V231">
        <v>1</v>
      </c>
      <c r="W231">
        <v>2</v>
      </c>
      <c r="X231">
        <v>1</v>
      </c>
      <c r="Y231">
        <v>0</v>
      </c>
      <c r="Z231">
        <v>1</v>
      </c>
      <c r="AA231">
        <v>0</v>
      </c>
      <c r="AB231">
        <v>211</v>
      </c>
      <c r="AC231" t="s">
        <v>126</v>
      </c>
    </row>
    <row r="232" spans="1:29" ht="16" customHeight="1" x14ac:dyDescent="0.2">
      <c r="A232" s="1" t="s">
        <v>383</v>
      </c>
      <c r="B232" s="2" t="s">
        <v>176</v>
      </c>
      <c r="C232" s="2">
        <v>39</v>
      </c>
      <c r="D232" s="2" t="s">
        <v>132</v>
      </c>
      <c r="E232" s="2">
        <v>144</v>
      </c>
      <c r="F232" s="2">
        <v>1</v>
      </c>
      <c r="G232" s="2">
        <v>1</v>
      </c>
      <c r="H232" s="2">
        <v>1</v>
      </c>
      <c r="I232" s="2">
        <v>-1</v>
      </c>
      <c r="J232" s="2">
        <v>1</v>
      </c>
      <c r="K232" s="2">
        <v>3</v>
      </c>
      <c r="L232" s="2">
        <v>2</v>
      </c>
      <c r="M232" s="2">
        <v>1</v>
      </c>
      <c r="N232" s="2">
        <v>1</v>
      </c>
      <c r="O232" s="2">
        <v>0</v>
      </c>
      <c r="P232" s="2">
        <v>1</v>
      </c>
      <c r="Q232" s="2">
        <v>1</v>
      </c>
      <c r="R232" s="2">
        <v>1</v>
      </c>
      <c r="S232">
        <v>-1</v>
      </c>
      <c r="T232">
        <v>0</v>
      </c>
      <c r="U232">
        <v>1</v>
      </c>
      <c r="V232">
        <v>1</v>
      </c>
      <c r="W232">
        <v>4</v>
      </c>
      <c r="X232">
        <v>1</v>
      </c>
      <c r="Y232">
        <v>0</v>
      </c>
      <c r="Z232">
        <v>1</v>
      </c>
      <c r="AA232">
        <v>0</v>
      </c>
      <c r="AB232">
        <v>85</v>
      </c>
      <c r="AC232" t="s">
        <v>126</v>
      </c>
    </row>
    <row r="233" spans="1:29" ht="16" customHeight="1" x14ac:dyDescent="0.2">
      <c r="A233" s="1" t="s">
        <v>384</v>
      </c>
      <c r="B233" s="2" t="s">
        <v>176</v>
      </c>
      <c r="C233" s="2">
        <v>39</v>
      </c>
      <c r="D233" s="2" t="s">
        <v>135</v>
      </c>
      <c r="E233" s="2">
        <v>191</v>
      </c>
      <c r="F233" s="2">
        <v>0</v>
      </c>
      <c r="G233" s="2">
        <v>0</v>
      </c>
      <c r="H233" s="2">
        <v>1</v>
      </c>
      <c r="I233" s="2">
        <v>0</v>
      </c>
      <c r="J233" s="2">
        <v>4</v>
      </c>
      <c r="K233" s="2">
        <v>2</v>
      </c>
      <c r="L233" s="2">
        <v>1</v>
      </c>
      <c r="M233" s="2">
        <v>3</v>
      </c>
      <c r="N233" s="2">
        <v>0</v>
      </c>
      <c r="O233" s="2">
        <v>1</v>
      </c>
      <c r="P233" s="2">
        <v>0</v>
      </c>
      <c r="Q233" s="2">
        <v>0</v>
      </c>
      <c r="R233" s="2">
        <v>1</v>
      </c>
      <c r="S233">
        <v>3</v>
      </c>
      <c r="T233">
        <v>1</v>
      </c>
      <c r="U233">
        <v>0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173</v>
      </c>
      <c r="AC233" t="s">
        <v>126</v>
      </c>
    </row>
    <row r="234" spans="1:29" ht="16" customHeight="1" x14ac:dyDescent="0.2">
      <c r="A234" s="1" t="s">
        <v>385</v>
      </c>
      <c r="B234" s="2" t="s">
        <v>124</v>
      </c>
      <c r="C234" s="2">
        <v>39</v>
      </c>
      <c r="D234" s="2" t="s">
        <v>138</v>
      </c>
      <c r="E234" s="2">
        <v>1511</v>
      </c>
      <c r="F234" s="2">
        <v>0</v>
      </c>
      <c r="G234" s="2">
        <v>0</v>
      </c>
      <c r="H234" s="2">
        <v>0</v>
      </c>
      <c r="I234" s="2">
        <v>-1</v>
      </c>
      <c r="J234" s="2">
        <v>4</v>
      </c>
      <c r="K234" s="2">
        <v>1</v>
      </c>
      <c r="L234" s="2">
        <v>2</v>
      </c>
      <c r="M234" s="2">
        <v>2</v>
      </c>
      <c r="N234" s="2">
        <v>1</v>
      </c>
      <c r="O234" s="2">
        <v>0</v>
      </c>
      <c r="P234" s="2">
        <v>0</v>
      </c>
      <c r="Q234" s="2">
        <v>1</v>
      </c>
      <c r="R234" s="2">
        <v>0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-1</v>
      </c>
      <c r="Y234">
        <v>1</v>
      </c>
      <c r="Z234">
        <v>1</v>
      </c>
      <c r="AA234">
        <v>0</v>
      </c>
      <c r="AB234">
        <v>246</v>
      </c>
      <c r="AC234" t="s">
        <v>126</v>
      </c>
    </row>
    <row r="235" spans="1:29" ht="16" customHeight="1" x14ac:dyDescent="0.2">
      <c r="A235" s="1" t="s">
        <v>386</v>
      </c>
      <c r="B235" s="2" t="s">
        <v>193</v>
      </c>
      <c r="C235" s="2">
        <v>39</v>
      </c>
      <c r="D235" s="2" t="s">
        <v>140</v>
      </c>
      <c r="E235" s="2">
        <v>271</v>
      </c>
      <c r="F235" s="2">
        <v>0</v>
      </c>
      <c r="G235" s="2">
        <v>0</v>
      </c>
      <c r="H235" s="2">
        <v>0</v>
      </c>
      <c r="I235" s="2">
        <v>1</v>
      </c>
      <c r="J235" s="2">
        <v>2</v>
      </c>
      <c r="K235" s="2">
        <v>3</v>
      </c>
      <c r="L235" s="2">
        <v>1</v>
      </c>
      <c r="M235" s="2">
        <v>1</v>
      </c>
      <c r="N235" s="2">
        <v>0</v>
      </c>
      <c r="O235" s="2">
        <v>1</v>
      </c>
      <c r="P235" s="2">
        <v>0</v>
      </c>
      <c r="Q235" s="2">
        <v>1</v>
      </c>
      <c r="R235" s="2">
        <v>0</v>
      </c>
      <c r="S235">
        <v>0</v>
      </c>
      <c r="T235">
        <v>0</v>
      </c>
      <c r="U235">
        <v>1</v>
      </c>
      <c r="V235">
        <v>1</v>
      </c>
      <c r="W235">
        <v>5</v>
      </c>
      <c r="X235">
        <v>1</v>
      </c>
      <c r="Y235">
        <v>1</v>
      </c>
      <c r="Z235">
        <v>1</v>
      </c>
      <c r="AA235">
        <v>1</v>
      </c>
      <c r="AB235">
        <v>160</v>
      </c>
      <c r="AC235" t="s">
        <v>126</v>
      </c>
    </row>
    <row r="236" spans="1:29" ht="16" customHeight="1" x14ac:dyDescent="0.2">
      <c r="A236" s="1" t="s">
        <v>387</v>
      </c>
      <c r="B236" s="2" t="s">
        <v>124</v>
      </c>
      <c r="C236" s="2">
        <v>40</v>
      </c>
      <c r="D236" s="2" t="s">
        <v>125</v>
      </c>
      <c r="E236" s="2">
        <v>4253</v>
      </c>
      <c r="F236" s="2">
        <v>0</v>
      </c>
      <c r="G236" s="2">
        <v>0</v>
      </c>
      <c r="H236" s="2">
        <v>0</v>
      </c>
      <c r="I236" s="2">
        <v>0</v>
      </c>
      <c r="J236" s="2">
        <v>4</v>
      </c>
      <c r="K236" s="2">
        <v>1</v>
      </c>
      <c r="L236" s="2">
        <v>2</v>
      </c>
      <c r="M236" s="2">
        <v>1</v>
      </c>
      <c r="N236" s="2">
        <v>0</v>
      </c>
      <c r="O236" s="2">
        <v>1</v>
      </c>
      <c r="P236" s="2">
        <v>1</v>
      </c>
      <c r="Q236" s="2">
        <v>1</v>
      </c>
      <c r="R236" s="2">
        <v>1</v>
      </c>
      <c r="S236">
        <v>2</v>
      </c>
      <c r="T236">
        <v>0</v>
      </c>
      <c r="U236">
        <v>1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214</v>
      </c>
      <c r="AC236" t="s">
        <v>126</v>
      </c>
    </row>
    <row r="237" spans="1:29" ht="16" customHeight="1" x14ac:dyDescent="0.2">
      <c r="A237" s="1" t="s">
        <v>388</v>
      </c>
      <c r="B237" s="2" t="s">
        <v>201</v>
      </c>
      <c r="C237" s="2">
        <v>40</v>
      </c>
      <c r="D237" s="2" t="s">
        <v>129</v>
      </c>
      <c r="E237" s="2">
        <v>3044</v>
      </c>
      <c r="F237" s="2">
        <v>1</v>
      </c>
      <c r="G237" s="2">
        <v>1</v>
      </c>
      <c r="H237" s="2">
        <v>0</v>
      </c>
      <c r="I237" s="2">
        <v>-1</v>
      </c>
      <c r="J237" s="2">
        <v>4</v>
      </c>
      <c r="K237" s="2">
        <v>1</v>
      </c>
      <c r="L237" s="2">
        <v>3</v>
      </c>
      <c r="M237" s="2">
        <v>1</v>
      </c>
      <c r="N237" s="2">
        <v>1</v>
      </c>
      <c r="O237" s="2">
        <v>1</v>
      </c>
      <c r="P237" s="2">
        <v>1</v>
      </c>
      <c r="Q237" s="2">
        <v>0</v>
      </c>
      <c r="R237" s="2">
        <v>1</v>
      </c>
      <c r="S237">
        <v>-1</v>
      </c>
      <c r="T237">
        <v>1</v>
      </c>
      <c r="U237">
        <v>0</v>
      </c>
      <c r="V237">
        <v>0</v>
      </c>
      <c r="W237">
        <v>5</v>
      </c>
      <c r="X237">
        <v>1</v>
      </c>
      <c r="Y237">
        <v>0</v>
      </c>
      <c r="Z237">
        <v>1</v>
      </c>
      <c r="AA237">
        <v>1</v>
      </c>
      <c r="AB237">
        <v>68</v>
      </c>
      <c r="AC237" t="s">
        <v>126</v>
      </c>
    </row>
    <row r="238" spans="1:29" ht="16" customHeight="1" x14ac:dyDescent="0.2">
      <c r="A238" s="1" t="s">
        <v>389</v>
      </c>
      <c r="B238" s="2" t="s">
        <v>137</v>
      </c>
      <c r="C238" s="2">
        <v>40</v>
      </c>
      <c r="D238" s="2" t="s">
        <v>132</v>
      </c>
      <c r="E238" s="2">
        <v>2340</v>
      </c>
      <c r="F238" s="2">
        <v>1</v>
      </c>
      <c r="G238" s="2">
        <v>1</v>
      </c>
      <c r="H238" s="2">
        <v>1</v>
      </c>
      <c r="I238" s="2">
        <v>1</v>
      </c>
      <c r="J238" s="2">
        <v>2</v>
      </c>
      <c r="K238" s="2">
        <v>3</v>
      </c>
      <c r="L238" s="2">
        <v>3</v>
      </c>
      <c r="M238" s="2">
        <v>5</v>
      </c>
      <c r="N238" s="2">
        <v>1</v>
      </c>
      <c r="O238" s="2">
        <v>1</v>
      </c>
      <c r="P238" s="2">
        <v>0</v>
      </c>
      <c r="Q238" s="2">
        <v>0</v>
      </c>
      <c r="R238" s="2">
        <v>0</v>
      </c>
      <c r="S238">
        <v>3</v>
      </c>
      <c r="T238">
        <v>0</v>
      </c>
      <c r="U238">
        <v>1</v>
      </c>
      <c r="V238">
        <v>0</v>
      </c>
      <c r="W238">
        <v>5</v>
      </c>
      <c r="X238">
        <v>1</v>
      </c>
      <c r="Y238">
        <v>0</v>
      </c>
      <c r="Z238">
        <v>1</v>
      </c>
      <c r="AA238">
        <v>0</v>
      </c>
      <c r="AB238">
        <v>93</v>
      </c>
      <c r="AC238" t="s">
        <v>126</v>
      </c>
    </row>
    <row r="239" spans="1:29" ht="16" customHeight="1" x14ac:dyDescent="0.2">
      <c r="A239" s="1" t="s">
        <v>390</v>
      </c>
      <c r="B239" s="2" t="s">
        <v>193</v>
      </c>
      <c r="C239" s="2">
        <v>40</v>
      </c>
      <c r="D239" s="2" t="s">
        <v>135</v>
      </c>
      <c r="E239" s="2">
        <v>3003</v>
      </c>
      <c r="F239" s="2">
        <v>0</v>
      </c>
      <c r="G239" s="2">
        <v>1</v>
      </c>
      <c r="H239" s="2">
        <v>0</v>
      </c>
      <c r="I239" s="2">
        <v>-1</v>
      </c>
      <c r="J239" s="2">
        <v>4</v>
      </c>
      <c r="K239" s="2">
        <v>1</v>
      </c>
      <c r="L239" s="2">
        <v>3</v>
      </c>
      <c r="M239" s="2">
        <v>4</v>
      </c>
      <c r="N239" s="2">
        <v>1</v>
      </c>
      <c r="O239" s="2">
        <v>0</v>
      </c>
      <c r="P239" s="2">
        <v>1</v>
      </c>
      <c r="Q239" s="2">
        <v>1</v>
      </c>
      <c r="R239" s="2">
        <v>1</v>
      </c>
      <c r="S239">
        <v>-1</v>
      </c>
      <c r="T239">
        <v>1</v>
      </c>
      <c r="U239">
        <v>0</v>
      </c>
      <c r="V239">
        <v>1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202</v>
      </c>
      <c r="AC239" t="s">
        <v>126</v>
      </c>
    </row>
    <row r="240" spans="1:29" ht="16" customHeight="1" x14ac:dyDescent="0.2">
      <c r="A240" s="1" t="s">
        <v>391</v>
      </c>
      <c r="B240" s="2" t="s">
        <v>208</v>
      </c>
      <c r="C240" s="2">
        <v>40</v>
      </c>
      <c r="D240" s="2" t="s">
        <v>138</v>
      </c>
      <c r="E240" s="2">
        <v>20</v>
      </c>
      <c r="F240" s="2">
        <v>0</v>
      </c>
      <c r="G240" s="2">
        <v>0</v>
      </c>
      <c r="H240" s="2">
        <v>1</v>
      </c>
      <c r="I240" s="2">
        <v>-1</v>
      </c>
      <c r="J240" s="2">
        <v>2</v>
      </c>
      <c r="K240" s="2">
        <v>1</v>
      </c>
      <c r="L240" s="2">
        <v>3</v>
      </c>
      <c r="M240" s="2">
        <v>2</v>
      </c>
      <c r="N240" s="2">
        <v>1</v>
      </c>
      <c r="O240" s="2">
        <v>0</v>
      </c>
      <c r="P240" s="2">
        <v>0</v>
      </c>
      <c r="Q240" s="2">
        <v>1</v>
      </c>
      <c r="R240" s="2">
        <v>0</v>
      </c>
      <c r="S240">
        <v>2</v>
      </c>
      <c r="T240">
        <v>0</v>
      </c>
      <c r="U240">
        <v>1</v>
      </c>
      <c r="V240">
        <v>1</v>
      </c>
      <c r="W240">
        <v>4</v>
      </c>
      <c r="X240">
        <v>0</v>
      </c>
      <c r="Y240">
        <v>1</v>
      </c>
      <c r="Z240">
        <v>0</v>
      </c>
      <c r="AA240">
        <v>1</v>
      </c>
      <c r="AB240">
        <v>70</v>
      </c>
      <c r="AC240" t="s">
        <v>126</v>
      </c>
    </row>
    <row r="241" spans="1:29" ht="16" customHeight="1" x14ac:dyDescent="0.2">
      <c r="A241" s="1" t="s">
        <v>392</v>
      </c>
      <c r="B241" s="2" t="s">
        <v>208</v>
      </c>
      <c r="C241" s="2">
        <v>40</v>
      </c>
      <c r="D241" s="2" t="s">
        <v>140</v>
      </c>
      <c r="E241" s="2">
        <v>9016</v>
      </c>
      <c r="F241" s="2">
        <v>0</v>
      </c>
      <c r="G241" s="2">
        <v>1</v>
      </c>
      <c r="H241" s="2">
        <v>1</v>
      </c>
      <c r="I241" s="2">
        <v>0</v>
      </c>
      <c r="J241" s="2">
        <v>2</v>
      </c>
      <c r="K241" s="2">
        <v>3</v>
      </c>
      <c r="L241" s="2">
        <v>2</v>
      </c>
      <c r="M241" s="2">
        <v>4</v>
      </c>
      <c r="N241" s="2">
        <v>1</v>
      </c>
      <c r="O241" s="2">
        <v>0</v>
      </c>
      <c r="P241" s="2">
        <v>0</v>
      </c>
      <c r="Q241" s="2">
        <v>0</v>
      </c>
      <c r="R241" s="2">
        <v>1</v>
      </c>
      <c r="S241">
        <v>-1</v>
      </c>
      <c r="T241">
        <v>1</v>
      </c>
      <c r="U241">
        <v>1</v>
      </c>
      <c r="V241">
        <v>0</v>
      </c>
      <c r="W241">
        <v>1</v>
      </c>
      <c r="X241">
        <v>1</v>
      </c>
      <c r="Y241">
        <v>1</v>
      </c>
      <c r="Z241">
        <v>0</v>
      </c>
      <c r="AA241">
        <v>1</v>
      </c>
      <c r="AB241">
        <v>243</v>
      </c>
      <c r="AC241" t="s">
        <v>126</v>
      </c>
    </row>
    <row r="242" spans="1:29" ht="16" customHeight="1" x14ac:dyDescent="0.2">
      <c r="A242" s="1" t="s">
        <v>393</v>
      </c>
      <c r="B242" s="2" t="s">
        <v>176</v>
      </c>
      <c r="C242" s="2">
        <v>41</v>
      </c>
      <c r="D242" s="2" t="s">
        <v>125</v>
      </c>
      <c r="E242" s="2">
        <v>2228</v>
      </c>
      <c r="F242" s="2">
        <v>1</v>
      </c>
      <c r="G242" s="2">
        <v>1</v>
      </c>
      <c r="H242" s="2">
        <v>1</v>
      </c>
      <c r="I242" s="2">
        <v>-1</v>
      </c>
      <c r="J242" s="2">
        <v>5</v>
      </c>
      <c r="K242" s="2">
        <v>1</v>
      </c>
      <c r="L242" s="2">
        <v>2</v>
      </c>
      <c r="M242" s="2">
        <v>4</v>
      </c>
      <c r="N242" s="2">
        <v>1</v>
      </c>
      <c r="O242" s="2">
        <v>0</v>
      </c>
      <c r="P242" s="2">
        <v>0</v>
      </c>
      <c r="Q242" s="2">
        <v>0</v>
      </c>
      <c r="R242" s="2">
        <v>0</v>
      </c>
      <c r="S242">
        <v>1</v>
      </c>
      <c r="T242">
        <v>1</v>
      </c>
      <c r="U242">
        <v>0</v>
      </c>
      <c r="V242">
        <v>0</v>
      </c>
      <c r="W242">
        <v>2</v>
      </c>
      <c r="X242">
        <v>-1</v>
      </c>
      <c r="Y242">
        <v>0</v>
      </c>
      <c r="Z242">
        <v>0</v>
      </c>
      <c r="AA242">
        <v>0</v>
      </c>
      <c r="AB242">
        <v>283</v>
      </c>
      <c r="AC242" t="s">
        <v>126</v>
      </c>
    </row>
    <row r="243" spans="1:29" ht="16" customHeight="1" x14ac:dyDescent="0.2">
      <c r="A243" s="1" t="s">
        <v>394</v>
      </c>
      <c r="B243" s="2" t="s">
        <v>137</v>
      </c>
      <c r="C243" s="2">
        <v>41</v>
      </c>
      <c r="D243" s="2" t="s">
        <v>129</v>
      </c>
      <c r="E243" s="2">
        <v>9767</v>
      </c>
      <c r="F243" s="2">
        <v>0</v>
      </c>
      <c r="G243" s="2">
        <v>0</v>
      </c>
      <c r="H243" s="2">
        <v>1</v>
      </c>
      <c r="I243" s="2">
        <v>-1</v>
      </c>
      <c r="J243" s="2">
        <v>3</v>
      </c>
      <c r="K243" s="2">
        <v>3</v>
      </c>
      <c r="L243" s="2">
        <v>3</v>
      </c>
      <c r="M243" s="2">
        <v>5</v>
      </c>
      <c r="N243" s="2">
        <v>0</v>
      </c>
      <c r="O243" s="2">
        <v>1</v>
      </c>
      <c r="P243" s="2">
        <v>1</v>
      </c>
      <c r="Q243" s="2">
        <v>0</v>
      </c>
      <c r="R243" s="2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-1</v>
      </c>
      <c r="Y243">
        <v>0</v>
      </c>
      <c r="Z243">
        <v>0</v>
      </c>
      <c r="AA243">
        <v>0</v>
      </c>
      <c r="AB243">
        <v>57</v>
      </c>
      <c r="AC243" t="s">
        <v>126</v>
      </c>
    </row>
    <row r="244" spans="1:29" ht="16" customHeight="1" x14ac:dyDescent="0.2">
      <c r="A244" s="1" t="s">
        <v>395</v>
      </c>
      <c r="B244" s="2" t="s">
        <v>176</v>
      </c>
      <c r="C244" s="2">
        <v>41</v>
      </c>
      <c r="D244" s="2" t="s">
        <v>132</v>
      </c>
      <c r="E244" s="2">
        <v>48</v>
      </c>
      <c r="F244" s="2">
        <v>0</v>
      </c>
      <c r="G244" s="2">
        <v>1</v>
      </c>
      <c r="H244" s="2">
        <v>1</v>
      </c>
      <c r="I244" s="2">
        <v>-1</v>
      </c>
      <c r="J244" s="2">
        <v>3</v>
      </c>
      <c r="K244" s="2">
        <v>3</v>
      </c>
      <c r="L244" s="2">
        <v>1</v>
      </c>
      <c r="M244" s="2">
        <v>1</v>
      </c>
      <c r="N244" s="2">
        <v>1</v>
      </c>
      <c r="O244" s="2">
        <v>1</v>
      </c>
      <c r="P244" s="2">
        <v>0</v>
      </c>
      <c r="Q244" s="2">
        <v>1</v>
      </c>
      <c r="R244" s="2">
        <v>0</v>
      </c>
      <c r="S244">
        <v>2</v>
      </c>
      <c r="T244">
        <v>1</v>
      </c>
      <c r="U244">
        <v>0</v>
      </c>
      <c r="V244">
        <v>1</v>
      </c>
      <c r="W244">
        <v>5</v>
      </c>
      <c r="X244">
        <v>-1</v>
      </c>
      <c r="Y244">
        <v>0</v>
      </c>
      <c r="Z244">
        <v>1</v>
      </c>
      <c r="AA244">
        <v>0</v>
      </c>
      <c r="AB244">
        <v>28</v>
      </c>
      <c r="AC244" t="s">
        <v>126</v>
      </c>
    </row>
    <row r="245" spans="1:29" ht="16" customHeight="1" x14ac:dyDescent="0.2">
      <c r="A245" s="1" t="s">
        <v>396</v>
      </c>
      <c r="B245" s="2" t="s">
        <v>134</v>
      </c>
      <c r="C245" s="2">
        <v>41</v>
      </c>
      <c r="D245" s="2" t="s">
        <v>135</v>
      </c>
      <c r="E245" s="2">
        <v>3838</v>
      </c>
      <c r="F245" s="2">
        <v>1</v>
      </c>
      <c r="G245" s="2">
        <v>1</v>
      </c>
      <c r="H245" s="2">
        <v>0</v>
      </c>
      <c r="I245" s="2">
        <v>-1</v>
      </c>
      <c r="J245" s="2">
        <v>1</v>
      </c>
      <c r="K245" s="2">
        <v>2</v>
      </c>
      <c r="L245" s="2">
        <v>1</v>
      </c>
      <c r="M245" s="2">
        <v>1</v>
      </c>
      <c r="N245" s="2">
        <v>0</v>
      </c>
      <c r="O245" s="2">
        <v>1</v>
      </c>
      <c r="P245" s="2">
        <v>1</v>
      </c>
      <c r="Q245" s="2">
        <v>1</v>
      </c>
      <c r="R245" s="2">
        <v>0</v>
      </c>
      <c r="S245">
        <v>3</v>
      </c>
      <c r="T245">
        <v>1</v>
      </c>
      <c r="U245">
        <v>0</v>
      </c>
      <c r="V245">
        <v>1</v>
      </c>
      <c r="W245">
        <v>5</v>
      </c>
      <c r="X245">
        <v>1</v>
      </c>
      <c r="Y245">
        <v>0</v>
      </c>
      <c r="Z245">
        <v>1</v>
      </c>
      <c r="AA245">
        <v>1</v>
      </c>
      <c r="AB245">
        <v>272</v>
      </c>
      <c r="AC245" t="s">
        <v>126</v>
      </c>
    </row>
    <row r="246" spans="1:29" ht="16" customHeight="1" x14ac:dyDescent="0.2">
      <c r="A246" s="1" t="s">
        <v>397</v>
      </c>
      <c r="B246" s="2" t="s">
        <v>199</v>
      </c>
      <c r="C246" s="2">
        <v>41</v>
      </c>
      <c r="D246" s="2" t="s">
        <v>138</v>
      </c>
      <c r="E246" s="2">
        <v>1468</v>
      </c>
      <c r="F246" s="2">
        <v>1</v>
      </c>
      <c r="G246" s="2">
        <v>1</v>
      </c>
      <c r="H246" s="2">
        <v>1</v>
      </c>
      <c r="I246" s="2">
        <v>0</v>
      </c>
      <c r="J246" s="2">
        <v>4</v>
      </c>
      <c r="K246" s="2">
        <v>3</v>
      </c>
      <c r="L246" s="2">
        <v>2</v>
      </c>
      <c r="M246" s="2">
        <v>3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>
        <v>3</v>
      </c>
      <c r="T246">
        <v>0</v>
      </c>
      <c r="U246">
        <v>0</v>
      </c>
      <c r="V246">
        <v>0</v>
      </c>
      <c r="W246">
        <v>5</v>
      </c>
      <c r="X246">
        <v>0</v>
      </c>
      <c r="Y246">
        <v>1</v>
      </c>
      <c r="Z246">
        <v>1</v>
      </c>
      <c r="AA246">
        <v>1</v>
      </c>
      <c r="AB246">
        <v>42</v>
      </c>
      <c r="AC246" t="s">
        <v>126</v>
      </c>
    </row>
    <row r="247" spans="1:29" ht="16" customHeight="1" x14ac:dyDescent="0.2">
      <c r="A247" s="1" t="s">
        <v>398</v>
      </c>
      <c r="B247" s="2" t="s">
        <v>201</v>
      </c>
      <c r="C247" s="2">
        <v>41</v>
      </c>
      <c r="D247" s="2" t="s">
        <v>140</v>
      </c>
      <c r="E247" s="2">
        <v>5590</v>
      </c>
      <c r="F247" s="2">
        <v>1</v>
      </c>
      <c r="G247" s="2">
        <v>1</v>
      </c>
      <c r="H247" s="2">
        <v>1</v>
      </c>
      <c r="I247" s="2">
        <v>-1</v>
      </c>
      <c r="J247" s="2">
        <v>1</v>
      </c>
      <c r="K247" s="2">
        <v>1</v>
      </c>
      <c r="L247" s="2">
        <v>3</v>
      </c>
      <c r="M247" s="2">
        <v>5</v>
      </c>
      <c r="N247" s="2">
        <v>0</v>
      </c>
      <c r="O247" s="2">
        <v>1</v>
      </c>
      <c r="P247" s="2">
        <v>1</v>
      </c>
      <c r="Q247" s="2">
        <v>0</v>
      </c>
      <c r="R247" s="2">
        <v>0</v>
      </c>
      <c r="S247">
        <v>-1</v>
      </c>
      <c r="T247">
        <v>0</v>
      </c>
      <c r="U247">
        <v>0</v>
      </c>
      <c r="V247">
        <v>0</v>
      </c>
      <c r="W247">
        <v>3</v>
      </c>
      <c r="X247">
        <v>-1</v>
      </c>
      <c r="Y247">
        <v>1</v>
      </c>
      <c r="Z247">
        <v>0</v>
      </c>
      <c r="AA247">
        <v>1</v>
      </c>
      <c r="AB247">
        <v>149</v>
      </c>
      <c r="AC247" t="s">
        <v>126</v>
      </c>
    </row>
    <row r="248" spans="1:29" ht="16" customHeight="1" x14ac:dyDescent="0.2">
      <c r="A248" s="1" t="s">
        <v>399</v>
      </c>
      <c r="B248" s="2" t="s">
        <v>195</v>
      </c>
      <c r="C248" s="2">
        <v>42</v>
      </c>
      <c r="D248" s="2" t="s">
        <v>125</v>
      </c>
      <c r="E248" s="2">
        <v>424</v>
      </c>
      <c r="F248" s="2">
        <v>0</v>
      </c>
      <c r="G248" s="2">
        <v>1</v>
      </c>
      <c r="H248" s="2">
        <v>0</v>
      </c>
      <c r="I248" s="2">
        <v>0</v>
      </c>
      <c r="J248" s="2">
        <v>1</v>
      </c>
      <c r="K248" s="2">
        <v>1</v>
      </c>
      <c r="L248" s="2">
        <v>3</v>
      </c>
      <c r="M248" s="2">
        <v>4</v>
      </c>
      <c r="N248" s="2">
        <v>1</v>
      </c>
      <c r="O248" s="2">
        <v>1</v>
      </c>
      <c r="P248" s="2">
        <v>0</v>
      </c>
      <c r="Q248" s="2">
        <v>1</v>
      </c>
      <c r="R248" s="2">
        <v>1</v>
      </c>
      <c r="S248">
        <v>2</v>
      </c>
      <c r="T248">
        <v>1</v>
      </c>
      <c r="U248">
        <v>0</v>
      </c>
      <c r="V248">
        <v>1</v>
      </c>
      <c r="W248">
        <v>2</v>
      </c>
      <c r="X248">
        <v>1</v>
      </c>
      <c r="Y248">
        <v>1</v>
      </c>
      <c r="Z248">
        <v>1</v>
      </c>
      <c r="AA248">
        <v>0</v>
      </c>
      <c r="AB248">
        <v>127</v>
      </c>
      <c r="AC248" t="s">
        <v>126</v>
      </c>
    </row>
    <row r="249" spans="1:29" ht="16" customHeight="1" x14ac:dyDescent="0.2">
      <c r="A249" s="1" t="s">
        <v>400</v>
      </c>
      <c r="B249" s="2" t="s">
        <v>168</v>
      </c>
      <c r="C249" s="2">
        <v>42</v>
      </c>
      <c r="D249" s="2" t="s">
        <v>129</v>
      </c>
      <c r="E249" s="2">
        <v>340</v>
      </c>
      <c r="F249" s="2">
        <v>1</v>
      </c>
      <c r="G249" s="2">
        <v>0</v>
      </c>
      <c r="H249" s="2">
        <v>0</v>
      </c>
      <c r="I249" s="2">
        <v>0</v>
      </c>
      <c r="J249" s="2">
        <v>1</v>
      </c>
      <c r="K249" s="2">
        <v>2</v>
      </c>
      <c r="L249" s="2">
        <v>1</v>
      </c>
      <c r="M249" s="2">
        <v>3</v>
      </c>
      <c r="N249" s="2">
        <v>0</v>
      </c>
      <c r="O249" s="2">
        <v>1</v>
      </c>
      <c r="P249" s="2">
        <v>1</v>
      </c>
      <c r="Q249" s="2">
        <v>1</v>
      </c>
      <c r="R249" s="2">
        <v>0</v>
      </c>
      <c r="S249">
        <v>2</v>
      </c>
      <c r="T249">
        <v>1</v>
      </c>
      <c r="U249">
        <v>0</v>
      </c>
      <c r="V249">
        <v>0</v>
      </c>
      <c r="W249">
        <v>4</v>
      </c>
      <c r="X249">
        <v>0</v>
      </c>
      <c r="Y249">
        <v>0</v>
      </c>
      <c r="Z249">
        <v>0</v>
      </c>
      <c r="AA249">
        <v>1</v>
      </c>
      <c r="AB249">
        <v>126</v>
      </c>
      <c r="AC249" t="s">
        <v>126</v>
      </c>
    </row>
    <row r="250" spans="1:29" ht="16" customHeight="1" x14ac:dyDescent="0.2">
      <c r="A250" s="1" t="s">
        <v>401</v>
      </c>
      <c r="B250" s="2" t="s">
        <v>195</v>
      </c>
      <c r="C250" s="2">
        <v>42</v>
      </c>
      <c r="D250" s="2" t="s">
        <v>132</v>
      </c>
      <c r="E250" s="2">
        <v>4458</v>
      </c>
      <c r="F250" s="2">
        <v>1</v>
      </c>
      <c r="G250" s="2">
        <v>0</v>
      </c>
      <c r="H250" s="2">
        <v>0</v>
      </c>
      <c r="I250" s="2">
        <v>1</v>
      </c>
      <c r="J250" s="2">
        <v>2</v>
      </c>
      <c r="K250" s="2">
        <v>3</v>
      </c>
      <c r="L250" s="2">
        <v>2</v>
      </c>
      <c r="M250" s="2">
        <v>2</v>
      </c>
      <c r="N250" s="2">
        <v>1</v>
      </c>
      <c r="O250" s="2">
        <v>0</v>
      </c>
      <c r="P250" s="2">
        <v>0</v>
      </c>
      <c r="Q250" s="2">
        <v>1</v>
      </c>
      <c r="R250" s="2">
        <v>1</v>
      </c>
      <c r="S250">
        <v>2</v>
      </c>
      <c r="T250">
        <v>1</v>
      </c>
      <c r="U250">
        <v>1</v>
      </c>
      <c r="V250">
        <v>1</v>
      </c>
      <c r="W250">
        <v>1</v>
      </c>
      <c r="X250">
        <v>-1</v>
      </c>
      <c r="Y250">
        <v>1</v>
      </c>
      <c r="Z250">
        <v>1</v>
      </c>
      <c r="AA250">
        <v>0</v>
      </c>
      <c r="AB250">
        <v>77</v>
      </c>
      <c r="AC250" t="s">
        <v>126</v>
      </c>
    </row>
    <row r="251" spans="1:29" ht="16" customHeight="1" x14ac:dyDescent="0.2">
      <c r="A251" s="1" t="s">
        <v>402</v>
      </c>
      <c r="B251" s="2" t="s">
        <v>208</v>
      </c>
      <c r="C251" s="2">
        <v>42</v>
      </c>
      <c r="D251" s="2" t="s">
        <v>135</v>
      </c>
      <c r="E251" s="2">
        <v>1450</v>
      </c>
      <c r="F251" s="2">
        <v>1</v>
      </c>
      <c r="G251" s="2">
        <v>0</v>
      </c>
      <c r="H251" s="2">
        <v>0</v>
      </c>
      <c r="I251" s="2">
        <v>-1</v>
      </c>
      <c r="J251" s="2">
        <v>1</v>
      </c>
      <c r="K251" s="2">
        <v>1</v>
      </c>
      <c r="L251" s="2">
        <v>1</v>
      </c>
      <c r="M251" s="2">
        <v>4</v>
      </c>
      <c r="N251" s="2">
        <v>1</v>
      </c>
      <c r="O251" s="2">
        <v>0</v>
      </c>
      <c r="P251" s="2">
        <v>1</v>
      </c>
      <c r="Q251" s="2">
        <v>0</v>
      </c>
      <c r="R251" s="2">
        <v>1</v>
      </c>
      <c r="S251">
        <v>0</v>
      </c>
      <c r="T251">
        <v>1</v>
      </c>
      <c r="U251">
        <v>0</v>
      </c>
      <c r="V251">
        <v>0</v>
      </c>
      <c r="W251">
        <v>4</v>
      </c>
      <c r="X251">
        <v>1</v>
      </c>
      <c r="Y251">
        <v>1</v>
      </c>
      <c r="Z251">
        <v>0</v>
      </c>
      <c r="AA251">
        <v>1</v>
      </c>
      <c r="AB251">
        <v>212</v>
      </c>
      <c r="AC251" t="s">
        <v>126</v>
      </c>
    </row>
    <row r="252" spans="1:29" ht="16" customHeight="1" x14ac:dyDescent="0.2">
      <c r="A252" s="1" t="s">
        <v>403</v>
      </c>
      <c r="B252" s="2" t="s">
        <v>176</v>
      </c>
      <c r="C252" s="2">
        <v>42</v>
      </c>
      <c r="D252" s="2" t="s">
        <v>138</v>
      </c>
      <c r="E252" s="2">
        <v>564</v>
      </c>
      <c r="F252" s="2">
        <v>0</v>
      </c>
      <c r="G252" s="2">
        <v>1</v>
      </c>
      <c r="H252" s="2">
        <v>1</v>
      </c>
      <c r="I252" s="2">
        <v>0</v>
      </c>
      <c r="J252" s="2">
        <v>5</v>
      </c>
      <c r="K252" s="2">
        <v>3</v>
      </c>
      <c r="L252" s="2">
        <v>2</v>
      </c>
      <c r="M252" s="2">
        <v>1</v>
      </c>
      <c r="N252" s="2">
        <v>1</v>
      </c>
      <c r="O252" s="2">
        <v>0</v>
      </c>
      <c r="P252" s="2">
        <v>0</v>
      </c>
      <c r="Q252" s="2">
        <v>1</v>
      </c>
      <c r="R252" s="2">
        <v>1</v>
      </c>
      <c r="S252">
        <v>-1</v>
      </c>
      <c r="T252">
        <v>1</v>
      </c>
      <c r="U252">
        <v>1</v>
      </c>
      <c r="V252">
        <v>0</v>
      </c>
      <c r="W252">
        <v>1</v>
      </c>
      <c r="X252">
        <v>-1</v>
      </c>
      <c r="Y252">
        <v>1</v>
      </c>
      <c r="Z252">
        <v>1</v>
      </c>
      <c r="AA252">
        <v>0</v>
      </c>
      <c r="AB252">
        <v>67</v>
      </c>
      <c r="AC252" t="s">
        <v>126</v>
      </c>
    </row>
    <row r="253" spans="1:29" ht="16" customHeight="1" x14ac:dyDescent="0.2">
      <c r="A253" s="1" t="s">
        <v>404</v>
      </c>
      <c r="B253" s="2" t="s">
        <v>134</v>
      </c>
      <c r="C253" s="2">
        <v>42</v>
      </c>
      <c r="D253" s="2" t="s">
        <v>140</v>
      </c>
      <c r="E253" s="2">
        <v>1056</v>
      </c>
      <c r="F253" s="2">
        <v>1</v>
      </c>
      <c r="G253" s="2">
        <v>1</v>
      </c>
      <c r="H253" s="2">
        <v>1</v>
      </c>
      <c r="I253" s="2">
        <v>-1</v>
      </c>
      <c r="J253" s="2">
        <v>4</v>
      </c>
      <c r="K253" s="2">
        <v>3</v>
      </c>
      <c r="L253" s="2">
        <v>2</v>
      </c>
      <c r="M253" s="2">
        <v>5</v>
      </c>
      <c r="N253" s="2">
        <v>1</v>
      </c>
      <c r="O253" s="2">
        <v>0</v>
      </c>
      <c r="P253" s="2">
        <v>1</v>
      </c>
      <c r="Q253" s="2">
        <v>0</v>
      </c>
      <c r="R253" s="2">
        <v>1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-1</v>
      </c>
      <c r="Y253">
        <v>0</v>
      </c>
      <c r="Z253">
        <v>1</v>
      </c>
      <c r="AA253">
        <v>0</v>
      </c>
      <c r="AB253">
        <v>36</v>
      </c>
      <c r="AC253" t="s">
        <v>126</v>
      </c>
    </row>
    <row r="254" spans="1:29" ht="16" customHeight="1" x14ac:dyDescent="0.2">
      <c r="A254" s="1" t="s">
        <v>405</v>
      </c>
      <c r="B254" s="2" t="s">
        <v>131</v>
      </c>
      <c r="C254" s="2">
        <v>43</v>
      </c>
      <c r="D254" s="2" t="s">
        <v>125</v>
      </c>
      <c r="E254" s="2">
        <v>378</v>
      </c>
      <c r="F254" s="2">
        <v>0</v>
      </c>
      <c r="G254" s="2">
        <v>0</v>
      </c>
      <c r="H254" s="2">
        <v>1</v>
      </c>
      <c r="I254" s="2">
        <v>-1</v>
      </c>
      <c r="J254" s="2">
        <v>3</v>
      </c>
      <c r="K254" s="2">
        <v>3</v>
      </c>
      <c r="L254" s="2">
        <v>1</v>
      </c>
      <c r="M254" s="2">
        <v>5</v>
      </c>
      <c r="N254" s="2">
        <v>0</v>
      </c>
      <c r="O254" s="2">
        <v>0</v>
      </c>
      <c r="P254" s="2">
        <v>1</v>
      </c>
      <c r="Q254" s="2">
        <v>0</v>
      </c>
      <c r="R254" s="2">
        <v>1</v>
      </c>
      <c r="S254">
        <v>1</v>
      </c>
      <c r="T254">
        <v>1</v>
      </c>
      <c r="U254">
        <v>1</v>
      </c>
      <c r="V254">
        <v>1</v>
      </c>
      <c r="W254">
        <v>4</v>
      </c>
      <c r="X254">
        <v>-1</v>
      </c>
      <c r="Y254">
        <v>1</v>
      </c>
      <c r="Z254">
        <v>1</v>
      </c>
      <c r="AA254">
        <v>1</v>
      </c>
      <c r="AB254">
        <v>124</v>
      </c>
      <c r="AC254" t="s">
        <v>126</v>
      </c>
    </row>
    <row r="255" spans="1:29" ht="16" customHeight="1" x14ac:dyDescent="0.2">
      <c r="A255" s="1" t="s">
        <v>406</v>
      </c>
      <c r="B255" s="2" t="s">
        <v>143</v>
      </c>
      <c r="C255" s="2">
        <v>43</v>
      </c>
      <c r="D255" s="2" t="s">
        <v>129</v>
      </c>
      <c r="E255" s="2">
        <v>1507</v>
      </c>
      <c r="F255" s="2">
        <v>0</v>
      </c>
      <c r="G255" s="2">
        <v>1</v>
      </c>
      <c r="H255" s="2">
        <v>0</v>
      </c>
      <c r="I255" s="2">
        <v>0</v>
      </c>
      <c r="J255" s="2">
        <v>4</v>
      </c>
      <c r="K255" s="2">
        <v>1</v>
      </c>
      <c r="L255" s="2">
        <v>3</v>
      </c>
      <c r="M255" s="2">
        <v>2</v>
      </c>
      <c r="N255" s="2">
        <v>1</v>
      </c>
      <c r="O255" s="2">
        <v>0</v>
      </c>
      <c r="P255" s="2">
        <v>1</v>
      </c>
      <c r="Q255" s="2">
        <v>1</v>
      </c>
      <c r="R255" s="2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-1</v>
      </c>
      <c r="Y255">
        <v>0</v>
      </c>
      <c r="Z255">
        <v>1</v>
      </c>
      <c r="AA255">
        <v>1</v>
      </c>
      <c r="AB255">
        <v>195</v>
      </c>
      <c r="AC255" t="s">
        <v>126</v>
      </c>
    </row>
    <row r="256" spans="1:29" ht="16" customHeight="1" x14ac:dyDescent="0.2">
      <c r="A256" s="1" t="s">
        <v>407</v>
      </c>
      <c r="B256" s="2" t="s">
        <v>124</v>
      </c>
      <c r="C256" s="2">
        <v>43</v>
      </c>
      <c r="D256" s="2" t="s">
        <v>132</v>
      </c>
      <c r="E256" s="2">
        <v>10223</v>
      </c>
      <c r="F256" s="2">
        <v>0</v>
      </c>
      <c r="G256" s="2">
        <v>1</v>
      </c>
      <c r="H256" s="2">
        <v>0</v>
      </c>
      <c r="I256" s="2">
        <v>-1</v>
      </c>
      <c r="J256" s="2">
        <v>5</v>
      </c>
      <c r="K256" s="2">
        <v>2</v>
      </c>
      <c r="L256" s="2">
        <v>1</v>
      </c>
      <c r="M256" s="2">
        <v>2</v>
      </c>
      <c r="N256" s="2">
        <v>0</v>
      </c>
      <c r="O256" s="2">
        <v>1</v>
      </c>
      <c r="P256" s="2">
        <v>0</v>
      </c>
      <c r="Q256" s="2">
        <v>1</v>
      </c>
      <c r="R256" s="2">
        <v>0</v>
      </c>
      <c r="S256">
        <v>1</v>
      </c>
      <c r="T256">
        <v>1</v>
      </c>
      <c r="U256">
        <v>1</v>
      </c>
      <c r="V256">
        <v>1</v>
      </c>
      <c r="W256">
        <v>5</v>
      </c>
      <c r="X256">
        <v>-1</v>
      </c>
      <c r="Y256">
        <v>1</v>
      </c>
      <c r="Z256">
        <v>1</v>
      </c>
      <c r="AA256">
        <v>1</v>
      </c>
      <c r="AB256">
        <v>215</v>
      </c>
      <c r="AC256" t="s">
        <v>126</v>
      </c>
    </row>
    <row r="257" spans="1:29" ht="16" customHeight="1" x14ac:dyDescent="0.2">
      <c r="A257" s="1" t="s">
        <v>408</v>
      </c>
      <c r="B257" s="2" t="s">
        <v>149</v>
      </c>
      <c r="C257" s="2">
        <v>43</v>
      </c>
      <c r="D257" s="2" t="s">
        <v>135</v>
      </c>
      <c r="E257" s="2">
        <v>6868</v>
      </c>
      <c r="F257" s="2">
        <v>1</v>
      </c>
      <c r="G257" s="2">
        <v>1</v>
      </c>
      <c r="H257" s="2">
        <v>0</v>
      </c>
      <c r="I257" s="2">
        <v>-1</v>
      </c>
      <c r="J257" s="2">
        <v>4</v>
      </c>
      <c r="K257" s="2">
        <v>1</v>
      </c>
      <c r="L257" s="2">
        <v>2</v>
      </c>
      <c r="M257" s="2">
        <v>2</v>
      </c>
      <c r="N257" s="2">
        <v>0</v>
      </c>
      <c r="O257" s="2">
        <v>1</v>
      </c>
      <c r="P257" s="2">
        <v>1</v>
      </c>
      <c r="Q257" s="2">
        <v>1</v>
      </c>
      <c r="R257" s="2">
        <v>0</v>
      </c>
      <c r="S257">
        <v>-1</v>
      </c>
      <c r="T257">
        <v>0</v>
      </c>
      <c r="U257">
        <v>0</v>
      </c>
      <c r="V257">
        <v>1</v>
      </c>
      <c r="W257">
        <v>5</v>
      </c>
      <c r="X257">
        <v>0</v>
      </c>
      <c r="Y257">
        <v>1</v>
      </c>
      <c r="Z257">
        <v>0</v>
      </c>
      <c r="AA257">
        <v>1</v>
      </c>
      <c r="AB257">
        <v>62</v>
      </c>
      <c r="AC257" t="s">
        <v>126</v>
      </c>
    </row>
    <row r="258" spans="1:29" ht="16" customHeight="1" x14ac:dyDescent="0.2">
      <c r="A258" s="1" t="s">
        <v>409</v>
      </c>
      <c r="B258" s="2" t="s">
        <v>195</v>
      </c>
      <c r="C258" s="2">
        <v>43</v>
      </c>
      <c r="D258" s="2" t="s">
        <v>138</v>
      </c>
      <c r="E258" s="2">
        <v>5528</v>
      </c>
      <c r="F258" s="2">
        <v>0</v>
      </c>
      <c r="G258" s="2">
        <v>1</v>
      </c>
      <c r="H258" s="2">
        <v>0</v>
      </c>
      <c r="I258" s="2">
        <v>1</v>
      </c>
      <c r="J258" s="2">
        <v>3</v>
      </c>
      <c r="K258" s="2">
        <v>3</v>
      </c>
      <c r="L258" s="2">
        <v>3</v>
      </c>
      <c r="M258" s="2">
        <v>1</v>
      </c>
      <c r="N258" s="2">
        <v>1</v>
      </c>
      <c r="O258" s="2">
        <v>0</v>
      </c>
      <c r="P258" s="2">
        <v>0</v>
      </c>
      <c r="Q258" s="2">
        <v>1</v>
      </c>
      <c r="R258" s="2">
        <v>1</v>
      </c>
      <c r="S258">
        <v>1</v>
      </c>
      <c r="T258">
        <v>1</v>
      </c>
      <c r="U258">
        <v>0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0</v>
      </c>
      <c r="AB258">
        <v>61</v>
      </c>
      <c r="AC258" t="s">
        <v>126</v>
      </c>
    </row>
    <row r="259" spans="1:29" ht="16" customHeight="1" x14ac:dyDescent="0.2">
      <c r="A259" s="1" t="s">
        <v>410</v>
      </c>
      <c r="B259" s="2" t="s">
        <v>181</v>
      </c>
      <c r="C259" s="2">
        <v>43</v>
      </c>
      <c r="D259" s="2" t="s">
        <v>140</v>
      </c>
      <c r="E259" s="2">
        <v>432</v>
      </c>
      <c r="F259" s="2">
        <v>0</v>
      </c>
      <c r="G259" s="2">
        <v>1</v>
      </c>
      <c r="H259" s="2">
        <v>0</v>
      </c>
      <c r="I259" s="2">
        <v>0</v>
      </c>
      <c r="J259" s="2">
        <v>3</v>
      </c>
      <c r="K259" s="2">
        <v>3</v>
      </c>
      <c r="L259" s="2">
        <v>3</v>
      </c>
      <c r="M259" s="2">
        <v>2</v>
      </c>
      <c r="N259" s="2">
        <v>0</v>
      </c>
      <c r="O259" s="2">
        <v>1</v>
      </c>
      <c r="P259" s="2">
        <v>1</v>
      </c>
      <c r="Q259" s="2">
        <v>1</v>
      </c>
      <c r="R259" s="2">
        <v>1</v>
      </c>
      <c r="S259">
        <v>2</v>
      </c>
      <c r="T259">
        <v>0</v>
      </c>
      <c r="U259">
        <v>1</v>
      </c>
      <c r="V259">
        <v>1</v>
      </c>
      <c r="W259">
        <v>5</v>
      </c>
      <c r="X259">
        <v>1</v>
      </c>
      <c r="Y259">
        <v>0</v>
      </c>
      <c r="Z259">
        <v>0</v>
      </c>
      <c r="AA259">
        <v>1</v>
      </c>
      <c r="AB259">
        <v>186</v>
      </c>
      <c r="AC259" t="s">
        <v>126</v>
      </c>
    </row>
    <row r="260" spans="1:29" ht="16" customHeight="1" x14ac:dyDescent="0.2">
      <c r="A260" s="1" t="s">
        <v>411</v>
      </c>
      <c r="B260" s="2" t="s">
        <v>195</v>
      </c>
      <c r="C260" s="2">
        <v>44</v>
      </c>
      <c r="D260" s="2" t="s">
        <v>125</v>
      </c>
      <c r="E260" s="2">
        <v>3173</v>
      </c>
      <c r="F260" s="2">
        <v>0</v>
      </c>
      <c r="G260" s="2">
        <v>1</v>
      </c>
      <c r="H260" s="2">
        <v>1</v>
      </c>
      <c r="I260" s="2">
        <v>1</v>
      </c>
      <c r="J260" s="2">
        <v>4</v>
      </c>
      <c r="K260" s="2">
        <v>1</v>
      </c>
      <c r="L260" s="2">
        <v>2</v>
      </c>
      <c r="M260" s="2">
        <v>3</v>
      </c>
      <c r="N260" s="2">
        <v>1</v>
      </c>
      <c r="O260" s="2">
        <v>0</v>
      </c>
      <c r="P260" s="2">
        <v>0</v>
      </c>
      <c r="Q260" s="2">
        <v>0</v>
      </c>
      <c r="R260" s="2">
        <v>1</v>
      </c>
      <c r="S260">
        <v>2</v>
      </c>
      <c r="T260">
        <v>0</v>
      </c>
      <c r="U260">
        <v>1</v>
      </c>
      <c r="V260">
        <v>0</v>
      </c>
      <c r="W260">
        <v>5</v>
      </c>
      <c r="X260">
        <v>-1</v>
      </c>
      <c r="Y260">
        <v>0</v>
      </c>
      <c r="Z260">
        <v>1</v>
      </c>
      <c r="AA260">
        <v>0</v>
      </c>
      <c r="AB260">
        <v>280</v>
      </c>
      <c r="AC260" t="s">
        <v>126</v>
      </c>
    </row>
    <row r="261" spans="1:29" ht="16" customHeight="1" x14ac:dyDescent="0.2">
      <c r="A261" s="1" t="s">
        <v>412</v>
      </c>
      <c r="B261" s="2" t="s">
        <v>164</v>
      </c>
      <c r="C261" s="2">
        <v>44</v>
      </c>
      <c r="D261" s="2" t="s">
        <v>129</v>
      </c>
      <c r="E261" s="2">
        <v>3181</v>
      </c>
      <c r="F261" s="2">
        <v>0</v>
      </c>
      <c r="G261" s="2">
        <v>0</v>
      </c>
      <c r="H261" s="2">
        <v>0</v>
      </c>
      <c r="I261" s="2">
        <v>-1</v>
      </c>
      <c r="J261" s="2">
        <v>5</v>
      </c>
      <c r="K261" s="2">
        <v>3</v>
      </c>
      <c r="L261" s="2">
        <v>2</v>
      </c>
      <c r="M261" s="2">
        <v>4</v>
      </c>
      <c r="N261" s="2">
        <v>0</v>
      </c>
      <c r="O261" s="2">
        <v>1</v>
      </c>
      <c r="P261" s="2">
        <v>0</v>
      </c>
      <c r="Q261" s="2">
        <v>0</v>
      </c>
      <c r="R261" s="2">
        <v>1</v>
      </c>
      <c r="S261">
        <v>3</v>
      </c>
      <c r="T261">
        <v>1</v>
      </c>
      <c r="U261">
        <v>1</v>
      </c>
      <c r="V261">
        <v>1</v>
      </c>
      <c r="W261">
        <v>2</v>
      </c>
      <c r="X261">
        <v>0</v>
      </c>
      <c r="Y261">
        <v>0</v>
      </c>
      <c r="Z261">
        <v>0</v>
      </c>
      <c r="AA261">
        <v>1</v>
      </c>
      <c r="AB261">
        <v>108</v>
      </c>
      <c r="AC261" t="s">
        <v>126</v>
      </c>
    </row>
    <row r="262" spans="1:29" ht="16" customHeight="1" x14ac:dyDescent="0.2">
      <c r="A262" s="1" t="s">
        <v>413</v>
      </c>
      <c r="B262" s="2" t="s">
        <v>201</v>
      </c>
      <c r="C262" s="2">
        <v>44</v>
      </c>
      <c r="D262" s="2" t="s">
        <v>132</v>
      </c>
      <c r="E262" s="2">
        <v>325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2</v>
      </c>
      <c r="M262" s="2">
        <v>5</v>
      </c>
      <c r="N262" s="2">
        <v>1</v>
      </c>
      <c r="O262" s="2">
        <v>0</v>
      </c>
      <c r="P262" s="2">
        <v>1</v>
      </c>
      <c r="Q262" s="2">
        <v>1</v>
      </c>
      <c r="R262" s="2">
        <v>1</v>
      </c>
      <c r="S262">
        <v>2</v>
      </c>
      <c r="T262">
        <v>1</v>
      </c>
      <c r="U262">
        <v>0</v>
      </c>
      <c r="V262">
        <v>1</v>
      </c>
      <c r="W262">
        <v>4</v>
      </c>
      <c r="X262">
        <v>-1</v>
      </c>
      <c r="Y262">
        <v>0</v>
      </c>
      <c r="Z262">
        <v>0</v>
      </c>
      <c r="AA262">
        <v>0</v>
      </c>
      <c r="AB262">
        <v>102</v>
      </c>
      <c r="AC262" t="s">
        <v>126</v>
      </c>
    </row>
    <row r="263" spans="1:29" ht="16" customHeight="1" x14ac:dyDescent="0.2">
      <c r="A263" s="1" t="s">
        <v>414</v>
      </c>
      <c r="B263" s="2" t="s">
        <v>147</v>
      </c>
      <c r="C263" s="2">
        <v>44</v>
      </c>
      <c r="D263" s="2" t="s">
        <v>135</v>
      </c>
      <c r="E263" s="2">
        <v>1518</v>
      </c>
      <c r="F263" s="2">
        <v>1</v>
      </c>
      <c r="G263" s="2">
        <v>0</v>
      </c>
      <c r="H263" s="2">
        <v>0</v>
      </c>
      <c r="I263" s="2">
        <v>0</v>
      </c>
      <c r="J263" s="2">
        <v>1</v>
      </c>
      <c r="K263" s="2">
        <v>1</v>
      </c>
      <c r="L263" s="2">
        <v>1</v>
      </c>
      <c r="M263" s="2">
        <v>5</v>
      </c>
      <c r="N263" s="2">
        <v>1</v>
      </c>
      <c r="O263" s="2">
        <v>0</v>
      </c>
      <c r="P263" s="2">
        <v>1</v>
      </c>
      <c r="Q263" s="2">
        <v>1</v>
      </c>
      <c r="R263" s="2">
        <v>1</v>
      </c>
      <c r="S263">
        <v>3</v>
      </c>
      <c r="T263">
        <v>1</v>
      </c>
      <c r="U263">
        <v>0</v>
      </c>
      <c r="V263">
        <v>1</v>
      </c>
      <c r="W263">
        <v>5</v>
      </c>
      <c r="X263">
        <v>-1</v>
      </c>
      <c r="Y263">
        <v>1</v>
      </c>
      <c r="Z263">
        <v>0</v>
      </c>
      <c r="AA263">
        <v>1</v>
      </c>
      <c r="AB263">
        <v>52</v>
      </c>
      <c r="AC263" t="s">
        <v>126</v>
      </c>
    </row>
    <row r="264" spans="1:29" ht="16" customHeight="1" x14ac:dyDescent="0.2">
      <c r="A264" s="1" t="s">
        <v>415</v>
      </c>
      <c r="B264" s="2" t="s">
        <v>157</v>
      </c>
      <c r="C264" s="2">
        <v>44</v>
      </c>
      <c r="D264" s="2" t="s">
        <v>138</v>
      </c>
      <c r="E264" s="2">
        <v>6947</v>
      </c>
      <c r="F264" s="2">
        <v>0</v>
      </c>
      <c r="G264" s="2">
        <v>0</v>
      </c>
      <c r="H264" s="2">
        <v>1</v>
      </c>
      <c r="I264" s="2">
        <v>1</v>
      </c>
      <c r="J264" s="2">
        <v>4</v>
      </c>
      <c r="K264" s="2">
        <v>3</v>
      </c>
      <c r="L264" s="2">
        <v>3</v>
      </c>
      <c r="M264" s="2">
        <v>3</v>
      </c>
      <c r="N264" s="2">
        <v>0</v>
      </c>
      <c r="O264" s="2">
        <v>1</v>
      </c>
      <c r="P264" s="2">
        <v>1</v>
      </c>
      <c r="Q264" s="2">
        <v>0</v>
      </c>
      <c r="R264" s="2">
        <v>0</v>
      </c>
      <c r="S264">
        <v>3</v>
      </c>
      <c r="T264">
        <v>0</v>
      </c>
      <c r="U264">
        <v>1</v>
      </c>
      <c r="V264">
        <v>0</v>
      </c>
      <c r="W264">
        <v>4</v>
      </c>
      <c r="X264">
        <v>1</v>
      </c>
      <c r="Y264">
        <v>1</v>
      </c>
      <c r="Z264">
        <v>0</v>
      </c>
      <c r="AA264">
        <v>0</v>
      </c>
      <c r="AB264">
        <v>292</v>
      </c>
      <c r="AC264" t="s">
        <v>126</v>
      </c>
    </row>
    <row r="265" spans="1:29" ht="16" customHeight="1" x14ac:dyDescent="0.2">
      <c r="A265" s="1" t="s">
        <v>416</v>
      </c>
      <c r="B265" s="2" t="s">
        <v>168</v>
      </c>
      <c r="C265" s="2">
        <v>44</v>
      </c>
      <c r="D265" s="2" t="s">
        <v>140</v>
      </c>
      <c r="E265" s="2">
        <v>694</v>
      </c>
      <c r="F265" s="2">
        <v>0</v>
      </c>
      <c r="G265" s="2">
        <v>1</v>
      </c>
      <c r="H265" s="2">
        <v>0</v>
      </c>
      <c r="I265" s="2">
        <v>1</v>
      </c>
      <c r="J265" s="2">
        <v>4</v>
      </c>
      <c r="K265" s="2">
        <v>1</v>
      </c>
      <c r="L265" s="2">
        <v>2</v>
      </c>
      <c r="M265" s="2">
        <v>3</v>
      </c>
      <c r="N265" s="2">
        <v>1</v>
      </c>
      <c r="O265" s="2">
        <v>1</v>
      </c>
      <c r="P265" s="2">
        <v>1</v>
      </c>
      <c r="Q265" s="2">
        <v>0</v>
      </c>
      <c r="R265" s="2">
        <v>0</v>
      </c>
      <c r="S265">
        <v>2</v>
      </c>
      <c r="T265">
        <v>0</v>
      </c>
      <c r="U265">
        <v>0</v>
      </c>
      <c r="V265">
        <v>1</v>
      </c>
      <c r="W265">
        <v>3</v>
      </c>
      <c r="X265">
        <v>-1</v>
      </c>
      <c r="Y265">
        <v>0</v>
      </c>
      <c r="Z265">
        <v>1</v>
      </c>
      <c r="AA265">
        <v>0</v>
      </c>
      <c r="AB265">
        <v>115</v>
      </c>
      <c r="AC265" t="s">
        <v>126</v>
      </c>
    </row>
    <row r="266" spans="1:29" ht="16" customHeight="1" x14ac:dyDescent="0.2">
      <c r="A266" s="1" t="s">
        <v>417</v>
      </c>
      <c r="B266" s="2" t="s">
        <v>199</v>
      </c>
      <c r="C266" s="2">
        <v>45</v>
      </c>
      <c r="D266" s="2" t="s">
        <v>125</v>
      </c>
      <c r="E266" s="2">
        <v>4930</v>
      </c>
      <c r="F266" s="2">
        <v>0</v>
      </c>
      <c r="G266" s="2">
        <v>1</v>
      </c>
      <c r="H266" s="2">
        <v>1</v>
      </c>
      <c r="I266" s="2">
        <v>0</v>
      </c>
      <c r="J266" s="2">
        <v>3</v>
      </c>
      <c r="K266" s="2">
        <v>3</v>
      </c>
      <c r="L266" s="2">
        <v>2</v>
      </c>
      <c r="M266" s="2">
        <v>3</v>
      </c>
      <c r="N266" s="2">
        <v>1</v>
      </c>
      <c r="O266" s="2">
        <v>0</v>
      </c>
      <c r="P266" s="2">
        <v>1</v>
      </c>
      <c r="Q266" s="2">
        <v>0</v>
      </c>
      <c r="R266" s="2">
        <v>1</v>
      </c>
      <c r="S266">
        <v>3</v>
      </c>
      <c r="T266">
        <v>1</v>
      </c>
      <c r="U266">
        <v>0</v>
      </c>
      <c r="V266">
        <v>1</v>
      </c>
      <c r="W266">
        <v>5</v>
      </c>
      <c r="X266">
        <v>0</v>
      </c>
      <c r="Y266">
        <v>0</v>
      </c>
      <c r="Z266">
        <v>0</v>
      </c>
      <c r="AA266">
        <v>1</v>
      </c>
      <c r="AB266">
        <v>86</v>
      </c>
      <c r="AC266" t="s">
        <v>126</v>
      </c>
    </row>
    <row r="267" spans="1:29" ht="16" customHeight="1" x14ac:dyDescent="0.2">
      <c r="A267" s="1" t="s">
        <v>418</v>
      </c>
      <c r="B267" s="2" t="s">
        <v>147</v>
      </c>
      <c r="C267" s="2">
        <v>45</v>
      </c>
      <c r="D267" s="2" t="s">
        <v>129</v>
      </c>
      <c r="E267" s="2">
        <v>1591</v>
      </c>
      <c r="F267" s="2">
        <v>1</v>
      </c>
      <c r="G267" s="2">
        <v>1</v>
      </c>
      <c r="H267" s="2">
        <v>0</v>
      </c>
      <c r="I267" s="2">
        <v>-1</v>
      </c>
      <c r="J267" s="2">
        <v>3</v>
      </c>
      <c r="K267" s="2">
        <v>3</v>
      </c>
      <c r="L267" s="2">
        <v>3</v>
      </c>
      <c r="M267" s="2">
        <v>4</v>
      </c>
      <c r="N267" s="2">
        <v>1</v>
      </c>
      <c r="O267" s="2">
        <v>1</v>
      </c>
      <c r="P267" s="2">
        <v>0</v>
      </c>
      <c r="Q267" s="2">
        <v>0</v>
      </c>
      <c r="R267" s="2">
        <v>1</v>
      </c>
      <c r="S267">
        <v>3</v>
      </c>
      <c r="T267">
        <v>0</v>
      </c>
      <c r="U267">
        <v>0</v>
      </c>
      <c r="V267">
        <v>0</v>
      </c>
      <c r="W267">
        <v>2</v>
      </c>
      <c r="X267">
        <v>1</v>
      </c>
      <c r="Y267">
        <v>0</v>
      </c>
      <c r="Z267">
        <v>1</v>
      </c>
      <c r="AA267">
        <v>0</v>
      </c>
      <c r="AB267">
        <v>255</v>
      </c>
      <c r="AC267" t="s">
        <v>126</v>
      </c>
    </row>
    <row r="268" spans="1:29" ht="16" customHeight="1" x14ac:dyDescent="0.2">
      <c r="A268" s="1" t="s">
        <v>419</v>
      </c>
      <c r="B268" s="2" t="s">
        <v>145</v>
      </c>
      <c r="C268" s="2">
        <v>45</v>
      </c>
      <c r="D268" s="2" t="s">
        <v>132</v>
      </c>
      <c r="E268" s="2">
        <v>7903</v>
      </c>
      <c r="F268" s="2">
        <v>1</v>
      </c>
      <c r="G268" s="2">
        <v>0</v>
      </c>
      <c r="H268" s="2">
        <v>0</v>
      </c>
      <c r="I268" s="2">
        <v>-1</v>
      </c>
      <c r="J268" s="2">
        <v>4</v>
      </c>
      <c r="K268" s="2">
        <v>2</v>
      </c>
      <c r="L268" s="2">
        <v>3</v>
      </c>
      <c r="M268" s="2">
        <v>3</v>
      </c>
      <c r="N268" s="2">
        <v>1</v>
      </c>
      <c r="O268" s="2">
        <v>1</v>
      </c>
      <c r="P268" s="2">
        <v>0</v>
      </c>
      <c r="Q268" s="2">
        <v>0</v>
      </c>
      <c r="R268" s="2">
        <v>0</v>
      </c>
      <c r="S268">
        <v>3</v>
      </c>
      <c r="T268">
        <v>0</v>
      </c>
      <c r="U268">
        <v>1</v>
      </c>
      <c r="V268">
        <v>0</v>
      </c>
      <c r="W268">
        <v>2</v>
      </c>
      <c r="X268">
        <v>0</v>
      </c>
      <c r="Y268">
        <v>1</v>
      </c>
      <c r="Z268">
        <v>1</v>
      </c>
      <c r="AA268">
        <v>1</v>
      </c>
      <c r="AB268">
        <v>14</v>
      </c>
      <c r="AC268" t="s">
        <v>126</v>
      </c>
    </row>
    <row r="269" spans="1:29" ht="16" customHeight="1" x14ac:dyDescent="0.2">
      <c r="A269" s="1" t="s">
        <v>420</v>
      </c>
      <c r="B269" s="2" t="s">
        <v>195</v>
      </c>
      <c r="C269" s="2">
        <v>45</v>
      </c>
      <c r="D269" s="2" t="s">
        <v>135</v>
      </c>
      <c r="E269" s="2">
        <v>1126</v>
      </c>
      <c r="F269" s="2">
        <v>0</v>
      </c>
      <c r="G269" s="2">
        <v>0</v>
      </c>
      <c r="H269" s="2">
        <v>0</v>
      </c>
      <c r="I269" s="2">
        <v>-1</v>
      </c>
      <c r="J269" s="2">
        <v>4</v>
      </c>
      <c r="K269" s="2">
        <v>2</v>
      </c>
      <c r="L269" s="2">
        <v>1</v>
      </c>
      <c r="M269" s="2">
        <v>5</v>
      </c>
      <c r="N269" s="2">
        <v>0</v>
      </c>
      <c r="O269" s="2">
        <v>1</v>
      </c>
      <c r="P269" s="2">
        <v>1</v>
      </c>
      <c r="Q269" s="2">
        <v>1</v>
      </c>
      <c r="R269" s="2">
        <v>1</v>
      </c>
      <c r="S269">
        <v>3</v>
      </c>
      <c r="T269">
        <v>1</v>
      </c>
      <c r="U269">
        <v>1</v>
      </c>
      <c r="V269">
        <v>0</v>
      </c>
      <c r="W269">
        <v>5</v>
      </c>
      <c r="X269">
        <v>0</v>
      </c>
      <c r="Y269">
        <v>1</v>
      </c>
      <c r="Z269">
        <v>1</v>
      </c>
      <c r="AA269">
        <v>0</v>
      </c>
      <c r="AB269">
        <v>26</v>
      </c>
      <c r="AC269" t="s">
        <v>126</v>
      </c>
    </row>
    <row r="270" spans="1:29" ht="16" customHeight="1" x14ac:dyDescent="0.2">
      <c r="A270" s="1" t="s">
        <v>421</v>
      </c>
      <c r="B270" s="2" t="s">
        <v>131</v>
      </c>
      <c r="C270" s="2">
        <v>45</v>
      </c>
      <c r="D270" s="2" t="s">
        <v>138</v>
      </c>
      <c r="E270" s="2">
        <v>3799</v>
      </c>
      <c r="F270" s="2">
        <v>1</v>
      </c>
      <c r="G270" s="2">
        <v>0</v>
      </c>
      <c r="H270" s="2">
        <v>0</v>
      </c>
      <c r="I270" s="2">
        <v>0</v>
      </c>
      <c r="J270" s="2">
        <v>2</v>
      </c>
      <c r="K270" s="2">
        <v>1</v>
      </c>
      <c r="L270" s="2">
        <v>3</v>
      </c>
      <c r="M270" s="2">
        <v>3</v>
      </c>
      <c r="N270" s="2">
        <v>1</v>
      </c>
      <c r="O270" s="2">
        <v>0</v>
      </c>
      <c r="P270" s="2">
        <v>0</v>
      </c>
      <c r="Q270" s="2">
        <v>1</v>
      </c>
      <c r="R270" s="2">
        <v>0</v>
      </c>
      <c r="S270">
        <v>0</v>
      </c>
      <c r="T270">
        <v>1</v>
      </c>
      <c r="U270">
        <v>0</v>
      </c>
      <c r="V270">
        <v>1</v>
      </c>
      <c r="W270">
        <v>3</v>
      </c>
      <c r="X270">
        <v>1</v>
      </c>
      <c r="Y270">
        <v>1</v>
      </c>
      <c r="Z270">
        <v>1</v>
      </c>
      <c r="AA270">
        <v>0</v>
      </c>
      <c r="AB270">
        <v>213</v>
      </c>
      <c r="AC270" t="s">
        <v>126</v>
      </c>
    </row>
    <row r="271" spans="1:29" ht="16" customHeight="1" x14ac:dyDescent="0.2">
      <c r="A271" s="1" t="s">
        <v>422</v>
      </c>
      <c r="B271" s="2" t="s">
        <v>168</v>
      </c>
      <c r="C271" s="2">
        <v>45</v>
      </c>
      <c r="D271" s="2" t="s">
        <v>140</v>
      </c>
      <c r="E271" s="2">
        <v>810</v>
      </c>
      <c r="F271" s="2">
        <v>0</v>
      </c>
      <c r="G271" s="2">
        <v>0</v>
      </c>
      <c r="H271" s="2">
        <v>1</v>
      </c>
      <c r="I271" s="2">
        <v>1</v>
      </c>
      <c r="J271" s="2">
        <v>4</v>
      </c>
      <c r="K271" s="2">
        <v>1</v>
      </c>
      <c r="L271" s="2">
        <v>3</v>
      </c>
      <c r="M271" s="2">
        <v>4</v>
      </c>
      <c r="N271" s="2">
        <v>0</v>
      </c>
      <c r="O271" s="2">
        <v>0</v>
      </c>
      <c r="P271" s="2">
        <v>0</v>
      </c>
      <c r="Q271" s="2">
        <v>0</v>
      </c>
      <c r="R271" s="2">
        <v>1</v>
      </c>
      <c r="S271">
        <v>2</v>
      </c>
      <c r="T271">
        <v>0</v>
      </c>
      <c r="U271">
        <v>0</v>
      </c>
      <c r="V271">
        <v>1</v>
      </c>
      <c r="W271">
        <v>4</v>
      </c>
      <c r="X271">
        <v>-1</v>
      </c>
      <c r="Y271">
        <v>0</v>
      </c>
      <c r="Z271">
        <v>0</v>
      </c>
      <c r="AA271">
        <v>0</v>
      </c>
      <c r="AB271">
        <v>50</v>
      </c>
      <c r="AC271" t="s">
        <v>126</v>
      </c>
    </row>
    <row r="272" spans="1:29" ht="16" customHeight="1" x14ac:dyDescent="0.2">
      <c r="A272" s="1" t="s">
        <v>423</v>
      </c>
      <c r="B272" s="2" t="s">
        <v>131</v>
      </c>
      <c r="C272" s="2">
        <v>46</v>
      </c>
      <c r="D272" s="2" t="s">
        <v>125</v>
      </c>
      <c r="E272" s="2">
        <v>639</v>
      </c>
      <c r="F272" s="2">
        <v>1</v>
      </c>
      <c r="G272" s="2">
        <v>1</v>
      </c>
      <c r="H272" s="2">
        <v>0</v>
      </c>
      <c r="I272" s="2">
        <v>-1</v>
      </c>
      <c r="J272" s="2">
        <v>4</v>
      </c>
      <c r="K272" s="2">
        <v>3</v>
      </c>
      <c r="L272" s="2">
        <v>2</v>
      </c>
      <c r="M272" s="2">
        <v>1</v>
      </c>
      <c r="N272" s="2">
        <v>0</v>
      </c>
      <c r="O272" s="2">
        <v>1</v>
      </c>
      <c r="P272" s="2">
        <v>0</v>
      </c>
      <c r="Q272" s="2">
        <v>1</v>
      </c>
      <c r="R272" s="2">
        <v>0</v>
      </c>
      <c r="S272">
        <v>3</v>
      </c>
      <c r="T272">
        <v>0</v>
      </c>
      <c r="U272">
        <v>1</v>
      </c>
      <c r="V272">
        <v>1</v>
      </c>
      <c r="W272">
        <v>2</v>
      </c>
      <c r="X272">
        <v>0</v>
      </c>
      <c r="Y272">
        <v>1</v>
      </c>
      <c r="Z272">
        <v>0</v>
      </c>
      <c r="AA272">
        <v>0</v>
      </c>
      <c r="AB272">
        <v>145</v>
      </c>
      <c r="AC272" t="s">
        <v>126</v>
      </c>
    </row>
    <row r="273" spans="1:29" ht="16" customHeight="1" x14ac:dyDescent="0.2">
      <c r="A273" s="1" t="s">
        <v>424</v>
      </c>
      <c r="B273" s="2" t="s">
        <v>199</v>
      </c>
      <c r="C273" s="2">
        <v>46</v>
      </c>
      <c r="D273" s="2" t="s">
        <v>129</v>
      </c>
      <c r="E273" s="2">
        <v>353</v>
      </c>
      <c r="F273" s="2">
        <v>1</v>
      </c>
      <c r="G273" s="2">
        <v>0</v>
      </c>
      <c r="H273" s="2">
        <v>1</v>
      </c>
      <c r="I273" s="2">
        <v>0</v>
      </c>
      <c r="J273" s="2">
        <v>5</v>
      </c>
      <c r="K273" s="2">
        <v>3</v>
      </c>
      <c r="L273" s="2">
        <v>3</v>
      </c>
      <c r="M273" s="2">
        <v>2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>
        <v>0</v>
      </c>
      <c r="T273">
        <v>1</v>
      </c>
      <c r="U273">
        <v>1</v>
      </c>
      <c r="V273">
        <v>0</v>
      </c>
      <c r="W273">
        <v>3</v>
      </c>
      <c r="X273">
        <v>0</v>
      </c>
      <c r="Y273">
        <v>1</v>
      </c>
      <c r="Z273">
        <v>1</v>
      </c>
      <c r="AA273">
        <v>1</v>
      </c>
      <c r="AB273">
        <v>18</v>
      </c>
      <c r="AC273" t="s">
        <v>126</v>
      </c>
    </row>
    <row r="274" spans="1:29" ht="16" customHeight="1" x14ac:dyDescent="0.2">
      <c r="A274" s="1" t="s">
        <v>425</v>
      </c>
      <c r="B274" s="2" t="s">
        <v>208</v>
      </c>
      <c r="C274" s="2">
        <v>46</v>
      </c>
      <c r="D274" s="2" t="s">
        <v>132</v>
      </c>
      <c r="E274" s="2">
        <v>3003</v>
      </c>
      <c r="F274" s="2">
        <v>0</v>
      </c>
      <c r="G274" s="2">
        <v>0</v>
      </c>
      <c r="H274" s="2">
        <v>0</v>
      </c>
      <c r="I274" s="2">
        <v>-1</v>
      </c>
      <c r="J274" s="2">
        <v>1</v>
      </c>
      <c r="K274" s="2">
        <v>1</v>
      </c>
      <c r="L274" s="2">
        <v>3</v>
      </c>
      <c r="M274" s="2">
        <v>4</v>
      </c>
      <c r="N274" s="2">
        <v>1</v>
      </c>
      <c r="O274" s="2">
        <v>1</v>
      </c>
      <c r="P274" s="2">
        <v>1</v>
      </c>
      <c r="Q274" s="2">
        <v>1</v>
      </c>
      <c r="R274" s="2">
        <v>0</v>
      </c>
      <c r="S274">
        <v>3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0</v>
      </c>
      <c r="AB274">
        <v>252</v>
      </c>
      <c r="AC274" t="s">
        <v>126</v>
      </c>
    </row>
    <row r="275" spans="1:29" ht="16" customHeight="1" x14ac:dyDescent="0.2">
      <c r="A275" s="1" t="s">
        <v>426</v>
      </c>
      <c r="B275" s="2" t="s">
        <v>147</v>
      </c>
      <c r="C275" s="2">
        <v>46</v>
      </c>
      <c r="D275" s="2" t="s">
        <v>135</v>
      </c>
      <c r="E275" s="2">
        <v>1405</v>
      </c>
      <c r="F275" s="2">
        <v>0</v>
      </c>
      <c r="G275" s="2">
        <v>0</v>
      </c>
      <c r="H275" s="2">
        <v>1</v>
      </c>
      <c r="I275" s="2">
        <v>0</v>
      </c>
      <c r="J275" s="2">
        <v>4</v>
      </c>
      <c r="K275" s="2">
        <v>3</v>
      </c>
      <c r="L275" s="2">
        <v>3</v>
      </c>
      <c r="M275" s="2">
        <v>4</v>
      </c>
      <c r="N275" s="2">
        <v>1</v>
      </c>
      <c r="O275" s="2">
        <v>0</v>
      </c>
      <c r="P275" s="2">
        <v>1</v>
      </c>
      <c r="Q275" s="2">
        <v>1</v>
      </c>
      <c r="R275" s="2">
        <v>0</v>
      </c>
      <c r="S275">
        <v>2</v>
      </c>
      <c r="T275">
        <v>0</v>
      </c>
      <c r="U275">
        <v>1</v>
      </c>
      <c r="V275">
        <v>0</v>
      </c>
      <c r="W275">
        <v>2</v>
      </c>
      <c r="X275">
        <v>1</v>
      </c>
      <c r="Y275">
        <v>1</v>
      </c>
      <c r="Z275">
        <v>1</v>
      </c>
      <c r="AA275">
        <v>0</v>
      </c>
      <c r="AB275">
        <v>112</v>
      </c>
      <c r="AC275" t="s">
        <v>126</v>
      </c>
    </row>
    <row r="276" spans="1:29" ht="16" customHeight="1" x14ac:dyDescent="0.2">
      <c r="A276" s="1" t="s">
        <v>427</v>
      </c>
      <c r="B276" s="2" t="s">
        <v>124</v>
      </c>
      <c r="C276" s="2">
        <v>46</v>
      </c>
      <c r="D276" s="2" t="s">
        <v>138</v>
      </c>
      <c r="E276" s="2">
        <v>8503</v>
      </c>
      <c r="F276" s="2">
        <v>1</v>
      </c>
      <c r="G276" s="2">
        <v>1</v>
      </c>
      <c r="H276" s="2">
        <v>0</v>
      </c>
      <c r="I276" s="2">
        <v>0</v>
      </c>
      <c r="J276" s="2">
        <v>5</v>
      </c>
      <c r="K276" s="2">
        <v>1</v>
      </c>
      <c r="L276" s="2">
        <v>2</v>
      </c>
      <c r="M276" s="2">
        <v>3</v>
      </c>
      <c r="N276" s="2">
        <v>0</v>
      </c>
      <c r="O276" s="2">
        <v>1</v>
      </c>
      <c r="P276" s="2">
        <v>0</v>
      </c>
      <c r="Q276" s="2">
        <v>0</v>
      </c>
      <c r="R276" s="2">
        <v>1</v>
      </c>
      <c r="S276">
        <v>0</v>
      </c>
      <c r="T276">
        <v>1</v>
      </c>
      <c r="U276">
        <v>1</v>
      </c>
      <c r="V276">
        <v>1</v>
      </c>
      <c r="W276">
        <v>5</v>
      </c>
      <c r="X276">
        <v>-1</v>
      </c>
      <c r="Y276">
        <v>1</v>
      </c>
      <c r="Z276">
        <v>1</v>
      </c>
      <c r="AA276">
        <v>0</v>
      </c>
      <c r="AB276">
        <v>298</v>
      </c>
      <c r="AC276" t="s">
        <v>126</v>
      </c>
    </row>
    <row r="277" spans="1:29" ht="16" customHeight="1" x14ac:dyDescent="0.2">
      <c r="A277" s="1" t="s">
        <v>428</v>
      </c>
      <c r="B277" s="2" t="s">
        <v>176</v>
      </c>
      <c r="C277" s="2">
        <v>46</v>
      </c>
      <c r="D277" s="2" t="s">
        <v>140</v>
      </c>
      <c r="E277" s="2">
        <v>6423</v>
      </c>
      <c r="F277" s="2">
        <v>1</v>
      </c>
      <c r="G277" s="2">
        <v>1</v>
      </c>
      <c r="H277" s="2">
        <v>1</v>
      </c>
      <c r="I277" s="2">
        <v>0</v>
      </c>
      <c r="J277" s="2">
        <v>4</v>
      </c>
      <c r="K277" s="2">
        <v>2</v>
      </c>
      <c r="L277" s="2">
        <v>2</v>
      </c>
      <c r="M277" s="2">
        <v>5</v>
      </c>
      <c r="N277" s="2">
        <v>0</v>
      </c>
      <c r="O277" s="2">
        <v>1</v>
      </c>
      <c r="P277" s="2">
        <v>0</v>
      </c>
      <c r="Q277" s="2">
        <v>1</v>
      </c>
      <c r="R277" s="2">
        <v>1</v>
      </c>
      <c r="S277">
        <v>1</v>
      </c>
      <c r="T277">
        <v>1</v>
      </c>
      <c r="U277">
        <v>0</v>
      </c>
      <c r="V277">
        <v>1</v>
      </c>
      <c r="W277">
        <v>4</v>
      </c>
      <c r="X277">
        <v>1</v>
      </c>
      <c r="Y277">
        <v>1</v>
      </c>
      <c r="Z277">
        <v>1</v>
      </c>
      <c r="AA277">
        <v>1</v>
      </c>
      <c r="AB277">
        <v>69</v>
      </c>
      <c r="AC277" t="s">
        <v>126</v>
      </c>
    </row>
    <row r="278" spans="1:29" ht="16" customHeight="1" x14ac:dyDescent="0.2">
      <c r="A278" s="1" t="s">
        <v>429</v>
      </c>
      <c r="B278" s="2" t="s">
        <v>128</v>
      </c>
      <c r="C278" s="2">
        <v>47</v>
      </c>
      <c r="D278" s="2" t="s">
        <v>125</v>
      </c>
      <c r="E278" s="2">
        <v>191</v>
      </c>
      <c r="F278" s="2">
        <v>1</v>
      </c>
      <c r="G278" s="2">
        <v>0</v>
      </c>
      <c r="H278" s="2">
        <v>1</v>
      </c>
      <c r="I278" s="2">
        <v>-1</v>
      </c>
      <c r="J278" s="2">
        <v>2</v>
      </c>
      <c r="K278" s="2">
        <v>2</v>
      </c>
      <c r="L278" s="2">
        <v>1</v>
      </c>
      <c r="M278" s="2">
        <v>4</v>
      </c>
      <c r="N278" s="2">
        <v>1</v>
      </c>
      <c r="O278" s="2">
        <v>1</v>
      </c>
      <c r="P278" s="2">
        <v>0</v>
      </c>
      <c r="Q278" s="2">
        <v>0</v>
      </c>
      <c r="R278" s="2">
        <v>0</v>
      </c>
      <c r="S278">
        <v>3</v>
      </c>
      <c r="T278">
        <v>1</v>
      </c>
      <c r="U278">
        <v>1</v>
      </c>
      <c r="V278">
        <v>1</v>
      </c>
      <c r="W278">
        <v>3</v>
      </c>
      <c r="X278">
        <v>0</v>
      </c>
      <c r="Y278">
        <v>0</v>
      </c>
      <c r="Z278">
        <v>0</v>
      </c>
      <c r="AA278">
        <v>1</v>
      </c>
      <c r="AB278">
        <v>114</v>
      </c>
      <c r="AC278" t="s">
        <v>126</v>
      </c>
    </row>
    <row r="279" spans="1:29" ht="16" customHeight="1" x14ac:dyDescent="0.2">
      <c r="A279" s="1" t="s">
        <v>430</v>
      </c>
      <c r="B279" s="2" t="s">
        <v>164</v>
      </c>
      <c r="C279" s="2">
        <v>47</v>
      </c>
      <c r="D279" s="2" t="s">
        <v>129</v>
      </c>
      <c r="E279" s="2">
        <v>1585</v>
      </c>
      <c r="F279" s="2">
        <v>0</v>
      </c>
      <c r="G279" s="2">
        <v>1</v>
      </c>
      <c r="H279" s="2">
        <v>1</v>
      </c>
      <c r="I279" s="2">
        <v>-1</v>
      </c>
      <c r="J279" s="2">
        <v>1</v>
      </c>
      <c r="K279" s="2">
        <v>1</v>
      </c>
      <c r="L279" s="2">
        <v>1</v>
      </c>
      <c r="M279" s="2">
        <v>2</v>
      </c>
      <c r="N279" s="2">
        <v>0</v>
      </c>
      <c r="O279" s="2">
        <v>1</v>
      </c>
      <c r="P279" s="2">
        <v>1</v>
      </c>
      <c r="Q279" s="2">
        <v>0</v>
      </c>
      <c r="R279" s="2">
        <v>1</v>
      </c>
      <c r="S279">
        <v>2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1</v>
      </c>
      <c r="Z279">
        <v>0</v>
      </c>
      <c r="AA279">
        <v>1</v>
      </c>
      <c r="AB279">
        <v>111</v>
      </c>
      <c r="AC279" t="s">
        <v>126</v>
      </c>
    </row>
    <row r="280" spans="1:29" ht="16" customHeight="1" x14ac:dyDescent="0.2">
      <c r="A280" s="1" t="s">
        <v>431</v>
      </c>
      <c r="B280" s="2" t="s">
        <v>195</v>
      </c>
      <c r="C280" s="2">
        <v>47</v>
      </c>
      <c r="D280" s="2" t="s">
        <v>132</v>
      </c>
      <c r="E280" s="2">
        <v>3838</v>
      </c>
      <c r="F280" s="2">
        <v>0</v>
      </c>
      <c r="G280" s="2">
        <v>1</v>
      </c>
      <c r="H280" s="2">
        <v>1</v>
      </c>
      <c r="I280" s="2">
        <v>0</v>
      </c>
      <c r="J280" s="2">
        <v>1</v>
      </c>
      <c r="K280" s="2">
        <v>2</v>
      </c>
      <c r="L280" s="2">
        <v>3</v>
      </c>
      <c r="M280" s="2">
        <v>1</v>
      </c>
      <c r="N280" s="2">
        <v>1</v>
      </c>
      <c r="O280" s="2">
        <v>0</v>
      </c>
      <c r="P280" s="2">
        <v>1</v>
      </c>
      <c r="Q280" s="2">
        <v>1</v>
      </c>
      <c r="R280" s="2">
        <v>0</v>
      </c>
      <c r="S280">
        <v>0</v>
      </c>
      <c r="T280">
        <v>1</v>
      </c>
      <c r="U280">
        <v>1</v>
      </c>
      <c r="V280">
        <v>1</v>
      </c>
      <c r="W280">
        <v>5</v>
      </c>
      <c r="X280">
        <v>1</v>
      </c>
      <c r="Y280">
        <v>0</v>
      </c>
      <c r="Z280">
        <v>0</v>
      </c>
      <c r="AA280">
        <v>0</v>
      </c>
      <c r="AB280">
        <v>150</v>
      </c>
      <c r="AC280" t="s">
        <v>126</v>
      </c>
    </row>
    <row r="281" spans="1:29" ht="16" customHeight="1" x14ac:dyDescent="0.2">
      <c r="A281" s="1" t="s">
        <v>432</v>
      </c>
      <c r="B281" s="2" t="s">
        <v>137</v>
      </c>
      <c r="C281" s="2">
        <v>47</v>
      </c>
      <c r="D281" s="2" t="s">
        <v>135</v>
      </c>
      <c r="E281" s="2">
        <v>4253</v>
      </c>
      <c r="F281" s="2">
        <v>0</v>
      </c>
      <c r="G281" s="2">
        <v>0</v>
      </c>
      <c r="H281" s="2">
        <v>0</v>
      </c>
      <c r="I281" s="2">
        <v>-1</v>
      </c>
      <c r="J281" s="2">
        <v>1</v>
      </c>
      <c r="K281" s="2">
        <v>1</v>
      </c>
      <c r="L281" s="2">
        <v>3</v>
      </c>
      <c r="M281" s="2">
        <v>2</v>
      </c>
      <c r="N281" s="2">
        <v>0</v>
      </c>
      <c r="O281" s="2">
        <v>1</v>
      </c>
      <c r="P281" s="2">
        <v>0</v>
      </c>
      <c r="Q281" s="2">
        <v>0</v>
      </c>
      <c r="R281" s="2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219</v>
      </c>
      <c r="AC281" t="s">
        <v>126</v>
      </c>
    </row>
    <row r="282" spans="1:29" ht="16" customHeight="1" x14ac:dyDescent="0.2">
      <c r="A282" s="1" t="s">
        <v>433</v>
      </c>
      <c r="B282" s="2" t="s">
        <v>149</v>
      </c>
      <c r="C282" s="2">
        <v>47</v>
      </c>
      <c r="D282" s="2" t="s">
        <v>138</v>
      </c>
      <c r="E282" s="2">
        <v>4093</v>
      </c>
      <c r="F282" s="2">
        <v>1</v>
      </c>
      <c r="G282" s="2">
        <v>0</v>
      </c>
      <c r="H282" s="2">
        <v>0</v>
      </c>
      <c r="I282" s="2">
        <v>1</v>
      </c>
      <c r="J282" s="2">
        <v>5</v>
      </c>
      <c r="K282" s="2">
        <v>3</v>
      </c>
      <c r="L282" s="2">
        <v>2</v>
      </c>
      <c r="M282" s="2">
        <v>4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>
        <v>2</v>
      </c>
      <c r="T282">
        <v>0</v>
      </c>
      <c r="U282">
        <v>1</v>
      </c>
      <c r="V282">
        <v>0</v>
      </c>
      <c r="W282">
        <v>2</v>
      </c>
      <c r="X282">
        <v>1</v>
      </c>
      <c r="Y282">
        <v>1</v>
      </c>
      <c r="Z282">
        <v>1</v>
      </c>
      <c r="AA282">
        <v>1</v>
      </c>
      <c r="AB282">
        <v>206</v>
      </c>
      <c r="AC282" t="s">
        <v>126</v>
      </c>
    </row>
    <row r="283" spans="1:29" ht="16" customHeight="1" x14ac:dyDescent="0.2">
      <c r="A283" s="1" t="s">
        <v>434</v>
      </c>
      <c r="B283" s="2" t="s">
        <v>181</v>
      </c>
      <c r="C283" s="2">
        <v>47</v>
      </c>
      <c r="D283" s="2" t="s">
        <v>140</v>
      </c>
      <c r="E283" s="2">
        <v>7030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2</v>
      </c>
      <c r="L283" s="2">
        <v>1</v>
      </c>
      <c r="M283" s="2">
        <v>1</v>
      </c>
      <c r="N283" s="2">
        <v>0</v>
      </c>
      <c r="O283" s="2">
        <v>1</v>
      </c>
      <c r="P283" s="2">
        <v>1</v>
      </c>
      <c r="Q283" s="2">
        <v>1</v>
      </c>
      <c r="R283" s="2">
        <v>1</v>
      </c>
      <c r="S283">
        <v>2</v>
      </c>
      <c r="T283">
        <v>0</v>
      </c>
      <c r="U283">
        <v>1</v>
      </c>
      <c r="V283">
        <v>0</v>
      </c>
      <c r="W283">
        <v>1</v>
      </c>
      <c r="X283">
        <v>-1</v>
      </c>
      <c r="Y283">
        <v>1</v>
      </c>
      <c r="Z283">
        <v>1</v>
      </c>
      <c r="AA283">
        <v>1</v>
      </c>
      <c r="AB283">
        <v>134</v>
      </c>
      <c r="AC283" t="s">
        <v>126</v>
      </c>
    </row>
    <row r="284" spans="1:29" ht="16" customHeight="1" x14ac:dyDescent="0.2">
      <c r="A284" s="1" t="s">
        <v>435</v>
      </c>
      <c r="B284" s="2" t="s">
        <v>134</v>
      </c>
      <c r="C284" s="2">
        <v>48</v>
      </c>
      <c r="D284" s="2" t="s">
        <v>125</v>
      </c>
      <c r="E284" s="2">
        <v>1787</v>
      </c>
      <c r="F284" s="2">
        <v>1</v>
      </c>
      <c r="G284" s="2">
        <v>0</v>
      </c>
      <c r="H284" s="2">
        <v>0</v>
      </c>
      <c r="I284" s="2">
        <v>0</v>
      </c>
      <c r="J284" s="2">
        <v>5</v>
      </c>
      <c r="K284" s="2">
        <v>3</v>
      </c>
      <c r="L284" s="2">
        <v>3</v>
      </c>
      <c r="M284" s="2">
        <v>2</v>
      </c>
      <c r="N284" s="2">
        <v>0</v>
      </c>
      <c r="O284" s="2">
        <v>1</v>
      </c>
      <c r="P284" s="2">
        <v>0</v>
      </c>
      <c r="Q284" s="2">
        <v>0</v>
      </c>
      <c r="R284" s="2">
        <v>1</v>
      </c>
      <c r="S284">
        <v>1</v>
      </c>
      <c r="T284">
        <v>1</v>
      </c>
      <c r="U284">
        <v>1</v>
      </c>
      <c r="V284">
        <v>0</v>
      </c>
      <c r="W284">
        <v>5</v>
      </c>
      <c r="X284">
        <v>-1</v>
      </c>
      <c r="Y284">
        <v>1</v>
      </c>
      <c r="Z284">
        <v>1</v>
      </c>
      <c r="AA284">
        <v>1</v>
      </c>
      <c r="AB284">
        <v>263</v>
      </c>
      <c r="AC284" t="s">
        <v>126</v>
      </c>
    </row>
    <row r="285" spans="1:29" ht="16" customHeight="1" x14ac:dyDescent="0.2">
      <c r="A285" s="1" t="s">
        <v>436</v>
      </c>
      <c r="B285" s="2" t="s">
        <v>181</v>
      </c>
      <c r="C285" s="2">
        <v>48</v>
      </c>
      <c r="D285" s="2" t="s">
        <v>129</v>
      </c>
      <c r="E285" s="2">
        <v>10922</v>
      </c>
      <c r="F285" s="2">
        <v>1</v>
      </c>
      <c r="G285" s="2">
        <v>1</v>
      </c>
      <c r="H285" s="2">
        <v>0</v>
      </c>
      <c r="I285" s="2">
        <v>0</v>
      </c>
      <c r="J285" s="2">
        <v>1</v>
      </c>
      <c r="K285" s="2">
        <v>2</v>
      </c>
      <c r="L285" s="2">
        <v>1</v>
      </c>
      <c r="M285" s="2">
        <v>1</v>
      </c>
      <c r="N285" s="2">
        <v>0</v>
      </c>
      <c r="O285" s="2">
        <v>1</v>
      </c>
      <c r="P285" s="2">
        <v>1</v>
      </c>
      <c r="Q285" s="2">
        <v>1</v>
      </c>
      <c r="R285" s="2">
        <v>1</v>
      </c>
      <c r="S285">
        <v>-1</v>
      </c>
      <c r="T285">
        <v>1</v>
      </c>
      <c r="U285">
        <v>1</v>
      </c>
      <c r="V285">
        <v>1</v>
      </c>
      <c r="W285">
        <v>2</v>
      </c>
      <c r="X285">
        <v>1</v>
      </c>
      <c r="Y285">
        <v>0</v>
      </c>
      <c r="Z285">
        <v>1</v>
      </c>
      <c r="AA285">
        <v>1</v>
      </c>
      <c r="AB285">
        <v>210</v>
      </c>
      <c r="AC285" t="s">
        <v>126</v>
      </c>
    </row>
    <row r="286" spans="1:29" ht="16" customHeight="1" x14ac:dyDescent="0.2">
      <c r="A286" s="1" t="s">
        <v>437</v>
      </c>
      <c r="B286" s="2" t="s">
        <v>181</v>
      </c>
      <c r="C286" s="2">
        <v>48</v>
      </c>
      <c r="D286" s="2" t="s">
        <v>132</v>
      </c>
      <c r="E286" s="2">
        <v>48</v>
      </c>
      <c r="F286" s="2">
        <v>0</v>
      </c>
      <c r="G286" s="2">
        <v>1</v>
      </c>
      <c r="H286" s="2">
        <v>1</v>
      </c>
      <c r="I286" s="2">
        <v>1</v>
      </c>
      <c r="J286" s="2">
        <v>3</v>
      </c>
      <c r="K286" s="2">
        <v>2</v>
      </c>
      <c r="L286" s="2">
        <v>1</v>
      </c>
      <c r="M286" s="2">
        <v>3</v>
      </c>
      <c r="N286" s="2">
        <v>1</v>
      </c>
      <c r="O286" s="2">
        <v>0</v>
      </c>
      <c r="P286" s="2">
        <v>1</v>
      </c>
      <c r="Q286" s="2">
        <v>0</v>
      </c>
      <c r="R286" s="2">
        <v>1</v>
      </c>
      <c r="S286">
        <v>2</v>
      </c>
      <c r="T286">
        <v>1</v>
      </c>
      <c r="U286">
        <v>0</v>
      </c>
      <c r="V286">
        <v>1</v>
      </c>
      <c r="W286">
        <v>4</v>
      </c>
      <c r="X286">
        <v>1</v>
      </c>
      <c r="Y286">
        <v>1</v>
      </c>
      <c r="Z286">
        <v>0</v>
      </c>
      <c r="AA286">
        <v>0</v>
      </c>
      <c r="AB286">
        <v>273</v>
      </c>
      <c r="AC286" t="s">
        <v>126</v>
      </c>
    </row>
    <row r="287" spans="1:29" ht="16" customHeight="1" x14ac:dyDescent="0.2">
      <c r="A287" s="1" t="s">
        <v>438</v>
      </c>
      <c r="B287" s="2" t="s">
        <v>168</v>
      </c>
      <c r="C287" s="2">
        <v>48</v>
      </c>
      <c r="D287" s="2" t="s">
        <v>135</v>
      </c>
      <c r="E287" s="2">
        <v>144</v>
      </c>
      <c r="F287" s="2">
        <v>1</v>
      </c>
      <c r="G287" s="2">
        <v>1</v>
      </c>
      <c r="H287" s="2">
        <v>0</v>
      </c>
      <c r="I287" s="2">
        <v>-1</v>
      </c>
      <c r="J287" s="2">
        <v>3</v>
      </c>
      <c r="K287" s="2">
        <v>2</v>
      </c>
      <c r="L287" s="2">
        <v>2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1</v>
      </c>
      <c r="S287">
        <v>-1</v>
      </c>
      <c r="T287">
        <v>1</v>
      </c>
      <c r="U287">
        <v>1</v>
      </c>
      <c r="V287">
        <v>1</v>
      </c>
      <c r="W287">
        <v>5</v>
      </c>
      <c r="X287">
        <v>0</v>
      </c>
      <c r="Y287">
        <v>1</v>
      </c>
      <c r="Z287">
        <v>1</v>
      </c>
      <c r="AA287">
        <v>0</v>
      </c>
      <c r="AB287">
        <v>56</v>
      </c>
      <c r="AC287" t="s">
        <v>126</v>
      </c>
    </row>
    <row r="288" spans="1:29" ht="16" customHeight="1" x14ac:dyDescent="0.2">
      <c r="A288" s="1" t="s">
        <v>439</v>
      </c>
      <c r="B288" s="2" t="s">
        <v>164</v>
      </c>
      <c r="C288" s="2">
        <v>48</v>
      </c>
      <c r="D288" s="2" t="s">
        <v>138</v>
      </c>
      <c r="E288" s="2">
        <v>20</v>
      </c>
      <c r="F288" s="2">
        <v>0</v>
      </c>
      <c r="G288" s="2">
        <v>0</v>
      </c>
      <c r="H288" s="2">
        <v>1</v>
      </c>
      <c r="I288" s="2">
        <v>-1</v>
      </c>
      <c r="J288" s="2">
        <v>4</v>
      </c>
      <c r="K288" s="2">
        <v>3</v>
      </c>
      <c r="L288" s="2">
        <v>3</v>
      </c>
      <c r="M288" s="2">
        <v>4</v>
      </c>
      <c r="N288" s="2">
        <v>1</v>
      </c>
      <c r="O288" s="2">
        <v>0</v>
      </c>
      <c r="P288" s="2">
        <v>1</v>
      </c>
      <c r="Q288" s="2">
        <v>1</v>
      </c>
      <c r="R288" s="2">
        <v>1</v>
      </c>
      <c r="S288">
        <v>-1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54</v>
      </c>
      <c r="AC288" t="s">
        <v>126</v>
      </c>
    </row>
    <row r="289" spans="1:29" ht="16" customHeight="1" x14ac:dyDescent="0.2">
      <c r="A289" s="1" t="s">
        <v>440</v>
      </c>
      <c r="B289" s="2" t="s">
        <v>143</v>
      </c>
      <c r="C289" s="2">
        <v>48</v>
      </c>
      <c r="D289" s="2" t="s">
        <v>140</v>
      </c>
      <c r="E289" s="2">
        <v>3044</v>
      </c>
      <c r="F289" s="2">
        <v>0</v>
      </c>
      <c r="G289" s="2">
        <v>0</v>
      </c>
      <c r="H289" s="2">
        <v>1</v>
      </c>
      <c r="I289" s="2">
        <v>-1</v>
      </c>
      <c r="J289" s="2">
        <v>1</v>
      </c>
      <c r="K289" s="2">
        <v>2</v>
      </c>
      <c r="L289" s="2">
        <v>1</v>
      </c>
      <c r="M289" s="2">
        <v>2</v>
      </c>
      <c r="N289" s="2">
        <v>0</v>
      </c>
      <c r="O289" s="2">
        <v>0</v>
      </c>
      <c r="P289" s="2">
        <v>0</v>
      </c>
      <c r="Q289" s="2">
        <v>0</v>
      </c>
      <c r="R289" s="2">
        <v>1</v>
      </c>
      <c r="S289">
        <v>2</v>
      </c>
      <c r="T289">
        <v>0</v>
      </c>
      <c r="U289">
        <v>0</v>
      </c>
      <c r="V289">
        <v>0</v>
      </c>
      <c r="W289">
        <v>5</v>
      </c>
      <c r="X289">
        <v>1</v>
      </c>
      <c r="Y289">
        <v>0</v>
      </c>
      <c r="Z289">
        <v>1</v>
      </c>
      <c r="AA289">
        <v>1</v>
      </c>
      <c r="AB289">
        <v>212</v>
      </c>
      <c r="AC289" t="s">
        <v>126</v>
      </c>
    </row>
    <row r="290" spans="1:29" ht="16" customHeight="1" x14ac:dyDescent="0.2">
      <c r="A290" s="1" t="s">
        <v>441</v>
      </c>
      <c r="B290" s="2" t="s">
        <v>195</v>
      </c>
      <c r="C290" s="2">
        <v>49</v>
      </c>
      <c r="D290" s="2" t="s">
        <v>125</v>
      </c>
      <c r="E290" s="2">
        <v>4458</v>
      </c>
      <c r="F290" s="2">
        <v>1</v>
      </c>
      <c r="G290" s="2">
        <v>1</v>
      </c>
      <c r="H290" s="2">
        <v>0</v>
      </c>
      <c r="I290" s="2">
        <v>-1</v>
      </c>
      <c r="J290" s="2">
        <v>3</v>
      </c>
      <c r="K290" s="2">
        <v>2</v>
      </c>
      <c r="L290" s="2">
        <v>1</v>
      </c>
      <c r="M290" s="2">
        <v>1</v>
      </c>
      <c r="N290" s="2">
        <v>1</v>
      </c>
      <c r="O290" s="2">
        <v>1</v>
      </c>
      <c r="P290" s="2">
        <v>0</v>
      </c>
      <c r="Q290" s="2">
        <v>0</v>
      </c>
      <c r="R290" s="2">
        <v>1</v>
      </c>
      <c r="S290">
        <v>3</v>
      </c>
      <c r="T290">
        <v>0</v>
      </c>
      <c r="U290">
        <v>1</v>
      </c>
      <c r="V290">
        <v>1</v>
      </c>
      <c r="W290">
        <v>1</v>
      </c>
      <c r="X290">
        <v>-1</v>
      </c>
      <c r="Y290">
        <v>0</v>
      </c>
      <c r="Z290">
        <v>1</v>
      </c>
      <c r="AA290">
        <v>1</v>
      </c>
      <c r="AB290">
        <v>61</v>
      </c>
      <c r="AC290" t="s">
        <v>126</v>
      </c>
    </row>
    <row r="291" spans="1:29" ht="16" customHeight="1" x14ac:dyDescent="0.2">
      <c r="A291" s="1" t="s">
        <v>442</v>
      </c>
      <c r="B291" s="2" t="s">
        <v>208</v>
      </c>
      <c r="C291" s="2">
        <v>49</v>
      </c>
      <c r="D291" s="2" t="s">
        <v>129</v>
      </c>
      <c r="E291" s="2">
        <v>5528</v>
      </c>
      <c r="F291" s="2">
        <v>0</v>
      </c>
      <c r="G291" s="2">
        <v>0</v>
      </c>
      <c r="H291" s="2">
        <v>0</v>
      </c>
      <c r="I291" s="2">
        <v>-1</v>
      </c>
      <c r="J291" s="2">
        <v>1</v>
      </c>
      <c r="K291" s="2">
        <v>3</v>
      </c>
      <c r="L291" s="2">
        <v>1</v>
      </c>
      <c r="M291" s="2">
        <v>3</v>
      </c>
      <c r="N291" s="2">
        <v>1</v>
      </c>
      <c r="O291" s="2">
        <v>0</v>
      </c>
      <c r="P291" s="2">
        <v>0</v>
      </c>
      <c r="Q291" s="2">
        <v>1</v>
      </c>
      <c r="R291" s="2">
        <v>0</v>
      </c>
      <c r="S291">
        <v>2</v>
      </c>
      <c r="T291">
        <v>0</v>
      </c>
      <c r="U291">
        <v>0</v>
      </c>
      <c r="V291">
        <v>1</v>
      </c>
      <c r="W291">
        <v>3</v>
      </c>
      <c r="X291">
        <v>0</v>
      </c>
      <c r="Y291">
        <v>0</v>
      </c>
      <c r="Z291">
        <v>0</v>
      </c>
      <c r="AA291">
        <v>1</v>
      </c>
      <c r="AB291">
        <v>225</v>
      </c>
      <c r="AC291" t="s">
        <v>126</v>
      </c>
    </row>
    <row r="292" spans="1:29" ht="16" customHeight="1" x14ac:dyDescent="0.2">
      <c r="A292" s="1" t="s">
        <v>443</v>
      </c>
      <c r="B292" s="2" t="s">
        <v>164</v>
      </c>
      <c r="C292" s="2">
        <v>49</v>
      </c>
      <c r="D292" s="2" t="s">
        <v>132</v>
      </c>
      <c r="E292" s="2">
        <v>1781</v>
      </c>
      <c r="F292" s="2">
        <v>1</v>
      </c>
      <c r="G292" s="2">
        <v>1</v>
      </c>
      <c r="H292" s="2">
        <v>0</v>
      </c>
      <c r="I292" s="2">
        <v>0</v>
      </c>
      <c r="J292" s="2">
        <v>3</v>
      </c>
      <c r="K292" s="2">
        <v>3</v>
      </c>
      <c r="L292" s="2">
        <v>2</v>
      </c>
      <c r="M292" s="2">
        <v>1</v>
      </c>
      <c r="N292" s="2">
        <v>0</v>
      </c>
      <c r="O292" s="2">
        <v>0</v>
      </c>
      <c r="P292" s="2">
        <v>1</v>
      </c>
      <c r="Q292" s="2">
        <v>0</v>
      </c>
      <c r="R292" s="2">
        <v>0</v>
      </c>
      <c r="S292">
        <v>3</v>
      </c>
      <c r="T292">
        <v>0</v>
      </c>
      <c r="U292">
        <v>0</v>
      </c>
      <c r="V292">
        <v>0</v>
      </c>
      <c r="W292">
        <v>3</v>
      </c>
      <c r="X292">
        <v>-1</v>
      </c>
      <c r="Y292">
        <v>1</v>
      </c>
      <c r="Z292">
        <v>0</v>
      </c>
      <c r="AA292">
        <v>1</v>
      </c>
      <c r="AB292">
        <v>87</v>
      </c>
      <c r="AC292" t="s">
        <v>126</v>
      </c>
    </row>
    <row r="293" spans="1:29" ht="16" customHeight="1" x14ac:dyDescent="0.2">
      <c r="A293" s="1" t="s">
        <v>444</v>
      </c>
      <c r="B293" s="2" t="s">
        <v>208</v>
      </c>
      <c r="C293" s="2">
        <v>49</v>
      </c>
      <c r="D293" s="2" t="s">
        <v>135</v>
      </c>
      <c r="E293" s="2">
        <v>5590</v>
      </c>
      <c r="F293" s="2">
        <v>0</v>
      </c>
      <c r="G293" s="2">
        <v>0</v>
      </c>
      <c r="H293" s="2">
        <v>1</v>
      </c>
      <c r="I293" s="2">
        <v>-1</v>
      </c>
      <c r="J293" s="2">
        <v>2</v>
      </c>
      <c r="K293" s="2">
        <v>1</v>
      </c>
      <c r="L293" s="2">
        <v>3</v>
      </c>
      <c r="M293" s="2">
        <v>3</v>
      </c>
      <c r="N293" s="2">
        <v>0</v>
      </c>
      <c r="O293" s="2">
        <v>1</v>
      </c>
      <c r="P293" s="2">
        <v>0</v>
      </c>
      <c r="Q293" s="2">
        <v>0</v>
      </c>
      <c r="R293" s="2">
        <v>1</v>
      </c>
      <c r="S293">
        <v>2</v>
      </c>
      <c r="T293">
        <v>0</v>
      </c>
      <c r="U293">
        <v>0</v>
      </c>
      <c r="V293">
        <v>1</v>
      </c>
      <c r="W293">
        <v>3</v>
      </c>
      <c r="X293">
        <v>-1</v>
      </c>
      <c r="Y293">
        <v>1</v>
      </c>
      <c r="Z293">
        <v>1</v>
      </c>
      <c r="AA293">
        <v>1</v>
      </c>
      <c r="AB293">
        <v>60</v>
      </c>
      <c r="AC293" t="s">
        <v>126</v>
      </c>
    </row>
    <row r="294" spans="1:29" ht="16" customHeight="1" x14ac:dyDescent="0.2">
      <c r="A294" s="1" t="s">
        <v>445</v>
      </c>
      <c r="B294" s="2" t="s">
        <v>201</v>
      </c>
      <c r="C294" s="2">
        <v>49</v>
      </c>
      <c r="D294" s="2" t="s">
        <v>138</v>
      </c>
      <c r="E294" s="2">
        <v>6868</v>
      </c>
      <c r="F294" s="2">
        <v>0</v>
      </c>
      <c r="G294" s="2">
        <v>1</v>
      </c>
      <c r="H294" s="2">
        <v>1</v>
      </c>
      <c r="I294" s="2">
        <v>0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>
        <v>1</v>
      </c>
      <c r="R294" s="2">
        <v>0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-1</v>
      </c>
      <c r="Y294">
        <v>1</v>
      </c>
      <c r="Z294">
        <v>0</v>
      </c>
      <c r="AA294">
        <v>1</v>
      </c>
      <c r="AB294">
        <v>110</v>
      </c>
      <c r="AC294" t="s">
        <v>126</v>
      </c>
    </row>
    <row r="295" spans="1:29" ht="16" customHeight="1" x14ac:dyDescent="0.2">
      <c r="A295" s="1" t="s">
        <v>446</v>
      </c>
      <c r="B295" s="2" t="s">
        <v>131</v>
      </c>
      <c r="C295" s="2">
        <v>49</v>
      </c>
      <c r="D295" s="2" t="s">
        <v>140</v>
      </c>
      <c r="E295" s="2">
        <v>9767</v>
      </c>
      <c r="F295" s="2">
        <v>0</v>
      </c>
      <c r="G295" s="2">
        <v>1</v>
      </c>
      <c r="H295" s="2">
        <v>1</v>
      </c>
      <c r="I295" s="2">
        <v>-1</v>
      </c>
      <c r="J295" s="2">
        <v>4</v>
      </c>
      <c r="K295" s="2">
        <v>2</v>
      </c>
      <c r="L295" s="2">
        <v>3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>
        <v>3</v>
      </c>
      <c r="T295">
        <v>1</v>
      </c>
      <c r="U295">
        <v>1</v>
      </c>
      <c r="V295">
        <v>0</v>
      </c>
      <c r="W295">
        <v>2</v>
      </c>
      <c r="X295">
        <v>1</v>
      </c>
      <c r="Y295">
        <v>0</v>
      </c>
      <c r="Z295">
        <v>0</v>
      </c>
      <c r="AA295">
        <v>0</v>
      </c>
      <c r="AB295">
        <v>33</v>
      </c>
      <c r="AC295" t="s">
        <v>126</v>
      </c>
    </row>
    <row r="296" spans="1:29" ht="16" customHeight="1" x14ac:dyDescent="0.2">
      <c r="A296" s="1" t="s">
        <v>447</v>
      </c>
      <c r="B296" s="2" t="s">
        <v>195</v>
      </c>
      <c r="C296" s="2">
        <v>50</v>
      </c>
      <c r="D296" s="2" t="s">
        <v>125</v>
      </c>
      <c r="E296" s="2">
        <v>10223</v>
      </c>
      <c r="F296" s="2">
        <v>0</v>
      </c>
      <c r="G296" s="2">
        <v>0</v>
      </c>
      <c r="H296" s="2">
        <v>1</v>
      </c>
      <c r="I296" s="2">
        <v>-1</v>
      </c>
      <c r="J296" s="2">
        <v>5</v>
      </c>
      <c r="K296" s="2">
        <v>3</v>
      </c>
      <c r="L296" s="2">
        <v>2</v>
      </c>
      <c r="M296" s="2">
        <v>1</v>
      </c>
      <c r="N296" s="2">
        <v>0</v>
      </c>
      <c r="O296" s="2">
        <v>0</v>
      </c>
      <c r="P296" s="2">
        <v>0</v>
      </c>
      <c r="Q296" s="2">
        <v>1</v>
      </c>
      <c r="R296" s="2">
        <v>0</v>
      </c>
      <c r="S296">
        <v>2</v>
      </c>
      <c r="T296">
        <v>0</v>
      </c>
      <c r="U296">
        <v>1</v>
      </c>
      <c r="V296">
        <v>0</v>
      </c>
      <c r="W296">
        <v>1</v>
      </c>
      <c r="X296">
        <v>-1</v>
      </c>
      <c r="Y296">
        <v>0</v>
      </c>
      <c r="Z296">
        <v>0</v>
      </c>
      <c r="AA296">
        <v>1</v>
      </c>
      <c r="AB296">
        <v>228</v>
      </c>
      <c r="AC296" t="s">
        <v>126</v>
      </c>
    </row>
    <row r="297" spans="1:29" ht="16" customHeight="1" x14ac:dyDescent="0.2">
      <c r="A297" s="1" t="s">
        <v>448</v>
      </c>
      <c r="B297" s="2" t="s">
        <v>143</v>
      </c>
      <c r="C297" s="2">
        <v>50</v>
      </c>
      <c r="D297" s="2" t="s">
        <v>129</v>
      </c>
      <c r="E297" s="2">
        <v>1518</v>
      </c>
      <c r="F297" s="2">
        <v>0</v>
      </c>
      <c r="G297" s="2">
        <v>0</v>
      </c>
      <c r="H297" s="2">
        <v>1</v>
      </c>
      <c r="I297" s="2">
        <v>-1</v>
      </c>
      <c r="J297" s="2">
        <v>3</v>
      </c>
      <c r="K297" s="2">
        <v>3</v>
      </c>
      <c r="L297" s="2">
        <v>3</v>
      </c>
      <c r="M297" s="2">
        <v>5</v>
      </c>
      <c r="N297" s="2">
        <v>1</v>
      </c>
      <c r="O297" s="2">
        <v>1</v>
      </c>
      <c r="P297" s="2">
        <v>0</v>
      </c>
      <c r="Q297" s="2">
        <v>1</v>
      </c>
      <c r="R297" s="2">
        <v>0</v>
      </c>
      <c r="S297">
        <v>-1</v>
      </c>
      <c r="T297">
        <v>0</v>
      </c>
      <c r="U297">
        <v>1</v>
      </c>
      <c r="V297">
        <v>1</v>
      </c>
      <c r="W297">
        <v>5</v>
      </c>
      <c r="X297">
        <v>-1</v>
      </c>
      <c r="Y297">
        <v>1</v>
      </c>
      <c r="Z297">
        <v>0</v>
      </c>
      <c r="AA297">
        <v>1</v>
      </c>
      <c r="AB297">
        <v>89</v>
      </c>
      <c r="AC297" t="s">
        <v>126</v>
      </c>
    </row>
    <row r="298" spans="1:29" ht="16" customHeight="1" x14ac:dyDescent="0.2">
      <c r="A298" s="1" t="s">
        <v>449</v>
      </c>
      <c r="B298" s="2" t="s">
        <v>149</v>
      </c>
      <c r="C298" s="2">
        <v>50</v>
      </c>
      <c r="D298" s="2" t="s">
        <v>132</v>
      </c>
      <c r="E298" s="2">
        <v>1450</v>
      </c>
      <c r="F298" s="2">
        <v>0</v>
      </c>
      <c r="G298" s="2">
        <v>1</v>
      </c>
      <c r="H298" s="2">
        <v>1</v>
      </c>
      <c r="I298" s="2">
        <v>1</v>
      </c>
      <c r="J298" s="2">
        <v>2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0</v>
      </c>
      <c r="R298" s="2">
        <v>1</v>
      </c>
      <c r="S298">
        <v>-1</v>
      </c>
      <c r="T298">
        <v>1</v>
      </c>
      <c r="U298">
        <v>0</v>
      </c>
      <c r="V298">
        <v>1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66</v>
      </c>
      <c r="AC298" t="s">
        <v>126</v>
      </c>
    </row>
    <row r="299" spans="1:29" ht="16" customHeight="1" x14ac:dyDescent="0.2">
      <c r="A299" s="1" t="s">
        <v>450</v>
      </c>
      <c r="B299" s="2" t="s">
        <v>131</v>
      </c>
      <c r="C299" s="2">
        <v>50</v>
      </c>
      <c r="D299" s="2" t="s">
        <v>135</v>
      </c>
      <c r="E299" s="2">
        <v>6947</v>
      </c>
      <c r="F299" s="2">
        <v>0</v>
      </c>
      <c r="G299" s="2">
        <v>1</v>
      </c>
      <c r="H299" s="2">
        <v>0</v>
      </c>
      <c r="I299" s="2">
        <v>0</v>
      </c>
      <c r="J299" s="2">
        <v>2</v>
      </c>
      <c r="K299" s="2">
        <v>1</v>
      </c>
      <c r="L299" s="2">
        <v>2</v>
      </c>
      <c r="M299" s="2">
        <v>2</v>
      </c>
      <c r="N299" s="2">
        <v>0</v>
      </c>
      <c r="O299" s="2">
        <v>0</v>
      </c>
      <c r="P299" s="2">
        <v>1</v>
      </c>
      <c r="Q299" s="2">
        <v>0</v>
      </c>
      <c r="R299" s="2">
        <v>0</v>
      </c>
      <c r="S299">
        <v>1</v>
      </c>
      <c r="T299">
        <v>0</v>
      </c>
      <c r="U299">
        <v>1</v>
      </c>
      <c r="V299">
        <v>0</v>
      </c>
      <c r="W299">
        <v>2</v>
      </c>
      <c r="X299">
        <v>-1</v>
      </c>
      <c r="Y299">
        <v>0</v>
      </c>
      <c r="Z299">
        <v>1</v>
      </c>
      <c r="AA299">
        <v>1</v>
      </c>
      <c r="AB299">
        <v>28</v>
      </c>
      <c r="AC299" t="s">
        <v>126</v>
      </c>
    </row>
    <row r="300" spans="1:29" ht="16" customHeight="1" x14ac:dyDescent="0.2">
      <c r="A300" s="1" t="s">
        <v>451</v>
      </c>
      <c r="B300" s="2" t="s">
        <v>166</v>
      </c>
      <c r="C300" s="2">
        <v>50</v>
      </c>
      <c r="D300" s="2" t="s">
        <v>138</v>
      </c>
      <c r="E300" s="2">
        <v>2228</v>
      </c>
      <c r="F300" s="2">
        <v>0</v>
      </c>
      <c r="G300" s="2">
        <v>1</v>
      </c>
      <c r="H300" s="2">
        <v>0</v>
      </c>
      <c r="I300" s="2">
        <v>0</v>
      </c>
      <c r="J300" s="2">
        <v>2</v>
      </c>
      <c r="K300" s="2">
        <v>1</v>
      </c>
      <c r="L300" s="2">
        <v>2</v>
      </c>
      <c r="M300" s="2">
        <v>1</v>
      </c>
      <c r="N300" s="2">
        <v>1</v>
      </c>
      <c r="O300" s="2">
        <v>1</v>
      </c>
      <c r="P300" s="2">
        <v>0</v>
      </c>
      <c r="Q300" s="2">
        <v>1</v>
      </c>
      <c r="R300" s="2">
        <v>1</v>
      </c>
      <c r="S300">
        <v>1</v>
      </c>
      <c r="T300">
        <v>1</v>
      </c>
      <c r="U300">
        <v>0</v>
      </c>
      <c r="V300">
        <v>0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233</v>
      </c>
      <c r="AC300" t="s">
        <v>126</v>
      </c>
    </row>
    <row r="301" spans="1:29" ht="16" customHeight="1" x14ac:dyDescent="0.2">
      <c r="A301" s="1" t="s">
        <v>452</v>
      </c>
      <c r="B301" s="2" t="s">
        <v>168</v>
      </c>
      <c r="C301" s="2">
        <v>50</v>
      </c>
      <c r="D301" s="2" t="s">
        <v>140</v>
      </c>
      <c r="E301" s="2">
        <v>1559</v>
      </c>
      <c r="F301" s="2">
        <v>0</v>
      </c>
      <c r="G301" s="2">
        <v>1</v>
      </c>
      <c r="H301" s="2">
        <v>0</v>
      </c>
      <c r="I301" s="2">
        <v>1</v>
      </c>
      <c r="J301" s="2">
        <v>3</v>
      </c>
      <c r="K301" s="2">
        <v>1</v>
      </c>
      <c r="L301" s="2">
        <v>2</v>
      </c>
      <c r="M301" s="2">
        <v>5</v>
      </c>
      <c r="N301" s="2">
        <v>1</v>
      </c>
      <c r="O301" s="2">
        <v>0</v>
      </c>
      <c r="P301" s="2">
        <v>1</v>
      </c>
      <c r="Q301" s="2">
        <v>0</v>
      </c>
      <c r="R301" s="2">
        <v>0</v>
      </c>
      <c r="S301">
        <v>1</v>
      </c>
      <c r="T301">
        <v>1</v>
      </c>
      <c r="U301">
        <v>1</v>
      </c>
      <c r="V301">
        <v>0</v>
      </c>
      <c r="W301">
        <v>5</v>
      </c>
      <c r="X301">
        <v>-1</v>
      </c>
      <c r="Y301">
        <v>1</v>
      </c>
      <c r="Z301">
        <v>0</v>
      </c>
      <c r="AA301">
        <v>0</v>
      </c>
      <c r="AB301">
        <v>17</v>
      </c>
      <c r="AC301" t="s">
        <v>126</v>
      </c>
    </row>
    <row r="302" spans="1:29" ht="16" customHeight="1" x14ac:dyDescent="0.2">
      <c r="A302" s="1" t="s">
        <v>453</v>
      </c>
      <c r="B302" s="2" t="s">
        <v>134</v>
      </c>
      <c r="C302" s="2">
        <v>51</v>
      </c>
      <c r="D302" s="2" t="s">
        <v>125</v>
      </c>
      <c r="E302" s="2">
        <v>1126</v>
      </c>
      <c r="F302" s="2">
        <v>1</v>
      </c>
      <c r="G302" s="2">
        <v>0</v>
      </c>
      <c r="H302" s="2">
        <v>0</v>
      </c>
      <c r="I302" s="2">
        <v>0</v>
      </c>
      <c r="J302" s="2">
        <v>3</v>
      </c>
      <c r="K302" s="2">
        <v>3</v>
      </c>
      <c r="L302" s="2">
        <v>2</v>
      </c>
      <c r="M302" s="2">
        <v>4</v>
      </c>
      <c r="N302" s="2">
        <v>0</v>
      </c>
      <c r="O302" s="2">
        <v>1</v>
      </c>
      <c r="P302" s="2">
        <v>1</v>
      </c>
      <c r="Q302" s="2">
        <v>1</v>
      </c>
      <c r="R302" s="2">
        <v>1</v>
      </c>
      <c r="S302">
        <v>0</v>
      </c>
      <c r="T302">
        <v>1</v>
      </c>
      <c r="U302">
        <v>1</v>
      </c>
      <c r="V302">
        <v>1</v>
      </c>
      <c r="W302">
        <v>5</v>
      </c>
      <c r="X302">
        <v>1</v>
      </c>
      <c r="Y302">
        <v>1</v>
      </c>
      <c r="Z302">
        <v>1</v>
      </c>
      <c r="AA302">
        <v>0</v>
      </c>
      <c r="AB302">
        <v>211</v>
      </c>
      <c r="AC302" t="s">
        <v>126</v>
      </c>
    </row>
    <row r="303" spans="1:29" ht="16" customHeight="1" x14ac:dyDescent="0.2">
      <c r="A303" s="1" t="s">
        <v>454</v>
      </c>
      <c r="B303" s="2" t="s">
        <v>134</v>
      </c>
      <c r="C303" s="2">
        <v>51</v>
      </c>
      <c r="D303" s="2" t="s">
        <v>129</v>
      </c>
      <c r="E303" s="2">
        <v>1056</v>
      </c>
      <c r="F303" s="2">
        <v>1</v>
      </c>
      <c r="G303" s="2">
        <v>1</v>
      </c>
      <c r="H303" s="2">
        <v>0</v>
      </c>
      <c r="I303" s="2">
        <v>0</v>
      </c>
      <c r="J303" s="2">
        <v>4</v>
      </c>
      <c r="K303" s="2">
        <v>2</v>
      </c>
      <c r="L303" s="2">
        <v>2</v>
      </c>
      <c r="M303" s="2">
        <v>4</v>
      </c>
      <c r="N303" s="2">
        <v>1</v>
      </c>
      <c r="O303" s="2">
        <v>0</v>
      </c>
      <c r="P303" s="2">
        <v>1</v>
      </c>
      <c r="Q303" s="2">
        <v>0</v>
      </c>
      <c r="R303" s="2">
        <v>0</v>
      </c>
      <c r="S303">
        <v>0</v>
      </c>
      <c r="T303">
        <v>1</v>
      </c>
      <c r="U303">
        <v>0</v>
      </c>
      <c r="V303">
        <v>0</v>
      </c>
      <c r="W303">
        <v>3</v>
      </c>
      <c r="X303">
        <v>0</v>
      </c>
      <c r="Y303">
        <v>1</v>
      </c>
      <c r="Z303">
        <v>0</v>
      </c>
      <c r="AA303">
        <v>0</v>
      </c>
      <c r="AB303">
        <v>76</v>
      </c>
      <c r="AC303" t="s">
        <v>126</v>
      </c>
    </row>
    <row r="304" spans="1:29" ht="16" customHeight="1" x14ac:dyDescent="0.2">
      <c r="A304" s="1" t="s">
        <v>455</v>
      </c>
      <c r="B304" s="2" t="s">
        <v>149</v>
      </c>
      <c r="C304" s="2">
        <v>51</v>
      </c>
      <c r="D304" s="2" t="s">
        <v>132</v>
      </c>
      <c r="E304" s="2">
        <v>271</v>
      </c>
      <c r="F304" s="2">
        <v>0</v>
      </c>
      <c r="G304" s="2">
        <v>1</v>
      </c>
      <c r="H304" s="2">
        <v>1</v>
      </c>
      <c r="I304" s="2">
        <v>-1</v>
      </c>
      <c r="J304" s="2">
        <v>3</v>
      </c>
      <c r="K304" s="2">
        <v>1</v>
      </c>
      <c r="L304" s="2">
        <v>3</v>
      </c>
      <c r="M304" s="2">
        <v>4</v>
      </c>
      <c r="N304" s="2">
        <v>0</v>
      </c>
      <c r="O304" s="2">
        <v>1</v>
      </c>
      <c r="P304" s="2">
        <v>0</v>
      </c>
      <c r="Q304" s="2">
        <v>0</v>
      </c>
      <c r="R304" s="2">
        <v>0</v>
      </c>
      <c r="S304">
        <v>3</v>
      </c>
      <c r="T304">
        <v>1</v>
      </c>
      <c r="U304">
        <v>1</v>
      </c>
      <c r="V304">
        <v>1</v>
      </c>
      <c r="W304">
        <v>3</v>
      </c>
      <c r="X304">
        <v>-1</v>
      </c>
      <c r="Y304">
        <v>1</v>
      </c>
      <c r="Z304">
        <v>1</v>
      </c>
      <c r="AA304">
        <v>0</v>
      </c>
      <c r="AB304">
        <v>4</v>
      </c>
      <c r="AC304" t="s">
        <v>126</v>
      </c>
    </row>
    <row r="305" spans="1:29" ht="16" customHeight="1" x14ac:dyDescent="0.2">
      <c r="A305" s="1" t="s">
        <v>456</v>
      </c>
      <c r="B305" s="2" t="s">
        <v>193</v>
      </c>
      <c r="C305" s="2">
        <v>51</v>
      </c>
      <c r="D305" s="2" t="s">
        <v>135</v>
      </c>
      <c r="E305" s="2">
        <v>3015</v>
      </c>
      <c r="F305" s="2">
        <v>1</v>
      </c>
      <c r="G305" s="2">
        <v>0</v>
      </c>
      <c r="H305" s="2">
        <v>0</v>
      </c>
      <c r="I305" s="2">
        <v>0</v>
      </c>
      <c r="J305" s="2">
        <v>4</v>
      </c>
      <c r="K305" s="2">
        <v>3</v>
      </c>
      <c r="L305" s="2">
        <v>1</v>
      </c>
      <c r="M305" s="2">
        <v>4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>
        <v>3</v>
      </c>
      <c r="T305">
        <v>1</v>
      </c>
      <c r="U305">
        <v>1</v>
      </c>
      <c r="V305">
        <v>1</v>
      </c>
      <c r="W305">
        <v>4</v>
      </c>
      <c r="X305">
        <v>0</v>
      </c>
      <c r="Y305">
        <v>0</v>
      </c>
      <c r="Z305">
        <v>0</v>
      </c>
      <c r="AA305">
        <v>0</v>
      </c>
      <c r="AB305">
        <v>271</v>
      </c>
      <c r="AC305" t="s">
        <v>126</v>
      </c>
    </row>
    <row r="306" spans="1:29" ht="16" customHeight="1" x14ac:dyDescent="0.2">
      <c r="A306" s="1" t="s">
        <v>457</v>
      </c>
      <c r="B306" s="2" t="s">
        <v>137</v>
      </c>
      <c r="C306" s="2">
        <v>51</v>
      </c>
      <c r="D306" s="2" t="s">
        <v>138</v>
      </c>
      <c r="E306" s="2">
        <v>3181</v>
      </c>
      <c r="F306" s="2">
        <v>1</v>
      </c>
      <c r="G306" s="2">
        <v>1</v>
      </c>
      <c r="H306" s="2">
        <v>1</v>
      </c>
      <c r="I306" s="2">
        <v>0</v>
      </c>
      <c r="J306" s="2">
        <v>1</v>
      </c>
      <c r="K306" s="2">
        <v>1</v>
      </c>
      <c r="L306" s="2">
        <v>2</v>
      </c>
      <c r="M306" s="2">
        <v>3</v>
      </c>
      <c r="N306" s="2">
        <v>0</v>
      </c>
      <c r="O306" s="2">
        <v>0</v>
      </c>
      <c r="P306" s="2">
        <v>0</v>
      </c>
      <c r="Q306" s="2">
        <v>1</v>
      </c>
      <c r="R306" s="2">
        <v>0</v>
      </c>
      <c r="S306">
        <v>0</v>
      </c>
      <c r="T306">
        <v>1</v>
      </c>
      <c r="U306">
        <v>0</v>
      </c>
      <c r="V306">
        <v>1</v>
      </c>
      <c r="W306">
        <v>5</v>
      </c>
      <c r="X306">
        <v>1</v>
      </c>
      <c r="Y306">
        <v>1</v>
      </c>
      <c r="Z306">
        <v>0</v>
      </c>
      <c r="AA306">
        <v>0</v>
      </c>
      <c r="AB306">
        <v>299</v>
      </c>
      <c r="AC306" t="s">
        <v>126</v>
      </c>
    </row>
    <row r="307" spans="1:29" ht="16" customHeight="1" x14ac:dyDescent="0.2">
      <c r="A307" s="1" t="s">
        <v>458</v>
      </c>
      <c r="B307" s="2" t="s">
        <v>128</v>
      </c>
      <c r="C307" s="2">
        <v>51</v>
      </c>
      <c r="D307" s="2" t="s">
        <v>140</v>
      </c>
      <c r="E307" s="2">
        <v>1507</v>
      </c>
      <c r="F307" s="2">
        <v>1</v>
      </c>
      <c r="G307" s="2">
        <v>1</v>
      </c>
      <c r="H307" s="2">
        <v>1</v>
      </c>
      <c r="I307" s="2">
        <v>-1</v>
      </c>
      <c r="J307" s="2">
        <v>5</v>
      </c>
      <c r="K307" s="2">
        <v>2</v>
      </c>
      <c r="L307" s="2">
        <v>3</v>
      </c>
      <c r="M307" s="2">
        <v>4</v>
      </c>
      <c r="N307" s="2">
        <v>0</v>
      </c>
      <c r="O307" s="2">
        <v>0</v>
      </c>
      <c r="P307" s="2">
        <v>0</v>
      </c>
      <c r="Q307" s="2">
        <v>1</v>
      </c>
      <c r="R307" s="2">
        <v>0</v>
      </c>
      <c r="S307">
        <v>2</v>
      </c>
      <c r="T307">
        <v>1</v>
      </c>
      <c r="U307">
        <v>0</v>
      </c>
      <c r="V307">
        <v>0</v>
      </c>
      <c r="W307">
        <v>3</v>
      </c>
      <c r="X307">
        <v>1</v>
      </c>
      <c r="Y307">
        <v>1</v>
      </c>
      <c r="Z307">
        <v>0</v>
      </c>
      <c r="AA307">
        <v>0</v>
      </c>
      <c r="AB307">
        <v>295</v>
      </c>
      <c r="AC307" t="s">
        <v>126</v>
      </c>
    </row>
    <row r="308" spans="1:29" ht="16" customHeight="1" x14ac:dyDescent="0.2">
      <c r="A308" s="1" t="s">
        <v>459</v>
      </c>
      <c r="B308" s="2" t="s">
        <v>185</v>
      </c>
      <c r="C308" s="2">
        <v>52</v>
      </c>
      <c r="D308" s="2" t="s">
        <v>125</v>
      </c>
      <c r="E308" s="2">
        <v>1468</v>
      </c>
      <c r="F308" s="2">
        <v>1</v>
      </c>
      <c r="G308" s="2">
        <v>1</v>
      </c>
      <c r="H308" s="2">
        <v>1</v>
      </c>
      <c r="I308" s="2">
        <v>0</v>
      </c>
      <c r="J308" s="2">
        <v>5</v>
      </c>
      <c r="K308" s="2">
        <v>1</v>
      </c>
      <c r="L308" s="2">
        <v>1</v>
      </c>
      <c r="M308" s="2">
        <v>5</v>
      </c>
      <c r="N308" s="2">
        <v>1</v>
      </c>
      <c r="O308" s="2">
        <v>0</v>
      </c>
      <c r="P308" s="2">
        <v>1</v>
      </c>
      <c r="Q308" s="2">
        <v>1</v>
      </c>
      <c r="R308" s="2">
        <v>0</v>
      </c>
      <c r="S308">
        <v>2</v>
      </c>
      <c r="T308">
        <v>1</v>
      </c>
      <c r="U308">
        <v>0</v>
      </c>
      <c r="V308">
        <v>1</v>
      </c>
      <c r="W308">
        <v>3</v>
      </c>
      <c r="X308">
        <v>0</v>
      </c>
      <c r="Y308">
        <v>1</v>
      </c>
      <c r="Z308">
        <v>1</v>
      </c>
      <c r="AA308">
        <v>0</v>
      </c>
      <c r="AB308">
        <v>39</v>
      </c>
      <c r="AC308" t="s">
        <v>126</v>
      </c>
    </row>
    <row r="309" spans="1:29" ht="16" customHeight="1" x14ac:dyDescent="0.2">
      <c r="A309" s="1" t="s">
        <v>460</v>
      </c>
      <c r="B309" s="2" t="s">
        <v>181</v>
      </c>
      <c r="C309" s="2">
        <v>52</v>
      </c>
      <c r="D309" s="2" t="s">
        <v>129</v>
      </c>
      <c r="E309" s="2">
        <v>9016</v>
      </c>
      <c r="F309" s="2">
        <v>0</v>
      </c>
      <c r="G309" s="2">
        <v>1</v>
      </c>
      <c r="H309" s="2">
        <v>1</v>
      </c>
      <c r="I309" s="2">
        <v>-1</v>
      </c>
      <c r="J309" s="2">
        <v>1</v>
      </c>
      <c r="K309" s="2">
        <v>1</v>
      </c>
      <c r="L309" s="2">
        <v>3</v>
      </c>
      <c r="M309" s="2">
        <v>5</v>
      </c>
      <c r="N309" s="2">
        <v>0</v>
      </c>
      <c r="O309" s="2">
        <v>1</v>
      </c>
      <c r="P309" s="2">
        <v>0</v>
      </c>
      <c r="Q309" s="2">
        <v>1</v>
      </c>
      <c r="R309" s="2">
        <v>1</v>
      </c>
      <c r="S309">
        <v>1</v>
      </c>
      <c r="T309">
        <v>0</v>
      </c>
      <c r="U309">
        <v>1</v>
      </c>
      <c r="V309">
        <v>0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161</v>
      </c>
      <c r="AC309" t="s">
        <v>126</v>
      </c>
    </row>
    <row r="310" spans="1:29" ht="16" customHeight="1" x14ac:dyDescent="0.2">
      <c r="A310" s="1" t="s">
        <v>461</v>
      </c>
      <c r="B310" s="2" t="s">
        <v>143</v>
      </c>
      <c r="C310" s="2">
        <v>52</v>
      </c>
      <c r="D310" s="2" t="s">
        <v>132</v>
      </c>
      <c r="E310" s="2">
        <v>1405</v>
      </c>
      <c r="F310" s="2">
        <v>1</v>
      </c>
      <c r="G310" s="2">
        <v>0</v>
      </c>
      <c r="H310" s="2">
        <v>1</v>
      </c>
      <c r="I310" s="2">
        <v>-1</v>
      </c>
      <c r="J310" s="2">
        <v>4</v>
      </c>
      <c r="K310" s="2">
        <v>1</v>
      </c>
      <c r="L310" s="2">
        <v>3</v>
      </c>
      <c r="M310" s="2">
        <v>4</v>
      </c>
      <c r="N310" s="2">
        <v>0</v>
      </c>
      <c r="O310" s="2">
        <v>0</v>
      </c>
      <c r="P310" s="2">
        <v>1</v>
      </c>
      <c r="Q310" s="2">
        <v>1</v>
      </c>
      <c r="R310" s="2">
        <v>1</v>
      </c>
      <c r="S310">
        <v>1</v>
      </c>
      <c r="T310">
        <v>0</v>
      </c>
      <c r="U310">
        <v>1</v>
      </c>
      <c r="V310">
        <v>1</v>
      </c>
      <c r="W310">
        <v>1</v>
      </c>
      <c r="X310">
        <v>0</v>
      </c>
      <c r="Y310">
        <v>1</v>
      </c>
      <c r="Z310">
        <v>1</v>
      </c>
      <c r="AA310">
        <v>1</v>
      </c>
      <c r="AB310">
        <v>222</v>
      </c>
      <c r="AC310" t="s">
        <v>126</v>
      </c>
    </row>
    <row r="311" spans="1:29" ht="16" customHeight="1" x14ac:dyDescent="0.2">
      <c r="A311" s="1" t="s">
        <v>462</v>
      </c>
      <c r="B311" s="2" t="s">
        <v>161</v>
      </c>
      <c r="C311" s="2">
        <v>52</v>
      </c>
      <c r="D311" s="2" t="s">
        <v>135</v>
      </c>
      <c r="E311" s="2">
        <v>4930</v>
      </c>
      <c r="F311" s="2">
        <v>1</v>
      </c>
      <c r="G311" s="2">
        <v>1</v>
      </c>
      <c r="H311" s="2">
        <v>0</v>
      </c>
      <c r="I311" s="2">
        <v>1</v>
      </c>
      <c r="J311" s="2">
        <v>3</v>
      </c>
      <c r="K311" s="2">
        <v>2</v>
      </c>
      <c r="L311" s="2">
        <v>2</v>
      </c>
      <c r="M311" s="2">
        <v>2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>
        <v>-1</v>
      </c>
      <c r="T311">
        <v>0</v>
      </c>
      <c r="U311">
        <v>1</v>
      </c>
      <c r="V311">
        <v>0</v>
      </c>
      <c r="W311">
        <v>4</v>
      </c>
      <c r="X311">
        <v>1</v>
      </c>
      <c r="Y311">
        <v>0</v>
      </c>
      <c r="Z311">
        <v>0</v>
      </c>
      <c r="AA311">
        <v>1</v>
      </c>
      <c r="AB311">
        <v>69</v>
      </c>
      <c r="AC311" t="s">
        <v>126</v>
      </c>
    </row>
    <row r="312" spans="1:29" ht="16" customHeight="1" x14ac:dyDescent="0.2">
      <c r="A312" s="1" t="s">
        <v>463</v>
      </c>
      <c r="B312" s="2" t="s">
        <v>143</v>
      </c>
      <c r="C312" s="2">
        <v>52</v>
      </c>
      <c r="D312" s="2" t="s">
        <v>138</v>
      </c>
      <c r="E312" s="2">
        <v>694</v>
      </c>
      <c r="F312" s="2">
        <v>1</v>
      </c>
      <c r="G312" s="2">
        <v>1</v>
      </c>
      <c r="H312" s="2">
        <v>0</v>
      </c>
      <c r="I312" s="2">
        <v>1</v>
      </c>
      <c r="J312" s="2">
        <v>2</v>
      </c>
      <c r="K312" s="2">
        <v>3</v>
      </c>
      <c r="L312" s="2">
        <v>2</v>
      </c>
      <c r="M312" s="2">
        <v>5</v>
      </c>
      <c r="N312" s="2">
        <v>0</v>
      </c>
      <c r="O312" s="2">
        <v>0</v>
      </c>
      <c r="P312" s="2">
        <v>0</v>
      </c>
      <c r="Q312" s="2">
        <v>1</v>
      </c>
      <c r="R312" s="2">
        <v>0</v>
      </c>
      <c r="S312">
        <v>2</v>
      </c>
      <c r="T312">
        <v>1</v>
      </c>
      <c r="U312">
        <v>0</v>
      </c>
      <c r="V312">
        <v>1</v>
      </c>
      <c r="W312">
        <v>5</v>
      </c>
      <c r="X312">
        <v>1</v>
      </c>
      <c r="Y312">
        <v>0</v>
      </c>
      <c r="Z312">
        <v>1</v>
      </c>
      <c r="AA312">
        <v>0</v>
      </c>
      <c r="AB312">
        <v>244</v>
      </c>
      <c r="AC312" t="s">
        <v>126</v>
      </c>
    </row>
    <row r="313" spans="1:29" ht="16" customHeight="1" x14ac:dyDescent="0.2">
      <c r="A313" s="1" t="s">
        <v>464</v>
      </c>
      <c r="B313" s="2" t="s">
        <v>166</v>
      </c>
      <c r="C313" s="2">
        <v>52</v>
      </c>
      <c r="D313" s="2" t="s">
        <v>140</v>
      </c>
      <c r="E313" s="2">
        <v>1511</v>
      </c>
      <c r="F313" s="2">
        <v>0</v>
      </c>
      <c r="G313" s="2">
        <v>0</v>
      </c>
      <c r="H313" s="2">
        <v>0</v>
      </c>
      <c r="I313" s="2">
        <v>-1</v>
      </c>
      <c r="J313" s="2">
        <v>4</v>
      </c>
      <c r="K313" s="2">
        <v>2</v>
      </c>
      <c r="L313" s="2">
        <v>1</v>
      </c>
      <c r="M313" s="2">
        <v>5</v>
      </c>
      <c r="N313" s="2">
        <v>1</v>
      </c>
      <c r="O313" s="2">
        <v>0</v>
      </c>
      <c r="P313" s="2">
        <v>0</v>
      </c>
      <c r="Q313" s="2">
        <v>0</v>
      </c>
      <c r="R313" s="2">
        <v>1</v>
      </c>
      <c r="S313">
        <v>1</v>
      </c>
      <c r="T313">
        <v>1</v>
      </c>
      <c r="U313">
        <v>0</v>
      </c>
      <c r="V313">
        <v>1</v>
      </c>
      <c r="W313">
        <v>5</v>
      </c>
      <c r="X313">
        <v>-1</v>
      </c>
      <c r="Y313">
        <v>0</v>
      </c>
      <c r="Z313">
        <v>1</v>
      </c>
      <c r="AA313">
        <v>1</v>
      </c>
      <c r="AB313">
        <v>151</v>
      </c>
      <c r="AC313" t="s">
        <v>126</v>
      </c>
    </row>
    <row r="314" spans="1:29" ht="16" customHeight="1" x14ac:dyDescent="0.2">
      <c r="A314" s="1" t="s">
        <v>465</v>
      </c>
      <c r="B314" s="2" t="s">
        <v>168</v>
      </c>
      <c r="C314" s="2">
        <v>53</v>
      </c>
      <c r="D314" s="2" t="s">
        <v>125</v>
      </c>
      <c r="E314" s="2">
        <v>1591</v>
      </c>
      <c r="F314" s="2">
        <v>0</v>
      </c>
      <c r="G314" s="2">
        <v>0</v>
      </c>
      <c r="H314" s="2">
        <v>0</v>
      </c>
      <c r="I314" s="2">
        <v>0</v>
      </c>
      <c r="J314" s="2">
        <v>1</v>
      </c>
      <c r="K314" s="2">
        <v>2</v>
      </c>
      <c r="L314" s="2">
        <v>1</v>
      </c>
      <c r="M314" s="2">
        <v>5</v>
      </c>
      <c r="N314" s="2">
        <v>0</v>
      </c>
      <c r="O314" s="2">
        <v>0</v>
      </c>
      <c r="P314" s="2">
        <v>1</v>
      </c>
      <c r="Q314" s="2">
        <v>1</v>
      </c>
      <c r="R314" s="2">
        <v>1</v>
      </c>
      <c r="S314">
        <v>0</v>
      </c>
      <c r="T314">
        <v>1</v>
      </c>
      <c r="U314">
        <v>0</v>
      </c>
      <c r="V314">
        <v>0</v>
      </c>
      <c r="W314">
        <v>4</v>
      </c>
      <c r="X314">
        <v>1</v>
      </c>
      <c r="Y314">
        <v>1</v>
      </c>
      <c r="Z314">
        <v>0</v>
      </c>
      <c r="AA314">
        <v>0</v>
      </c>
      <c r="AB314">
        <v>287</v>
      </c>
      <c r="AC314" t="s">
        <v>126</v>
      </c>
    </row>
    <row r="315" spans="1:29" ht="16" customHeight="1" x14ac:dyDescent="0.2">
      <c r="A315" s="1" t="s">
        <v>466</v>
      </c>
      <c r="B315" s="2" t="s">
        <v>193</v>
      </c>
      <c r="C315" s="2">
        <v>53</v>
      </c>
      <c r="D315" s="2" t="s">
        <v>129</v>
      </c>
      <c r="E315" s="2">
        <v>2340</v>
      </c>
      <c r="F315" s="2">
        <v>1</v>
      </c>
      <c r="G315" s="2">
        <v>1</v>
      </c>
      <c r="H315" s="2">
        <v>0</v>
      </c>
      <c r="I315" s="2">
        <v>1</v>
      </c>
      <c r="J315" s="2">
        <v>5</v>
      </c>
      <c r="K315" s="2">
        <v>1</v>
      </c>
      <c r="L315" s="2">
        <v>1</v>
      </c>
      <c r="M315" s="2">
        <v>5</v>
      </c>
      <c r="N315" s="2">
        <v>1</v>
      </c>
      <c r="O315" s="2">
        <v>0</v>
      </c>
      <c r="P315" s="2">
        <v>0</v>
      </c>
      <c r="Q315" s="2">
        <v>0</v>
      </c>
      <c r="R315" s="2">
        <v>0</v>
      </c>
      <c r="S315">
        <v>2</v>
      </c>
      <c r="T315">
        <v>0</v>
      </c>
      <c r="U315">
        <v>1</v>
      </c>
      <c r="V315">
        <v>1</v>
      </c>
      <c r="W315">
        <v>5</v>
      </c>
      <c r="X315">
        <v>-1</v>
      </c>
      <c r="Y315">
        <v>1</v>
      </c>
      <c r="Z315">
        <v>0</v>
      </c>
      <c r="AA315">
        <v>1</v>
      </c>
      <c r="AB315">
        <v>211</v>
      </c>
      <c r="AC315" t="s">
        <v>126</v>
      </c>
    </row>
    <row r="316" spans="1:29" ht="16" customHeight="1" x14ac:dyDescent="0.2">
      <c r="A316" s="1" t="s">
        <v>467</v>
      </c>
      <c r="B316" s="2" t="s">
        <v>164</v>
      </c>
      <c r="C316" s="2">
        <v>53</v>
      </c>
      <c r="D316" s="2" t="s">
        <v>132</v>
      </c>
      <c r="E316" s="2">
        <v>353</v>
      </c>
      <c r="F316" s="2">
        <v>1</v>
      </c>
      <c r="G316" s="2">
        <v>0</v>
      </c>
      <c r="H316" s="2">
        <v>1</v>
      </c>
      <c r="I316" s="2">
        <v>-1</v>
      </c>
      <c r="J316" s="2">
        <v>4</v>
      </c>
      <c r="K316" s="2">
        <v>2</v>
      </c>
      <c r="L316" s="2">
        <v>1</v>
      </c>
      <c r="M316" s="2">
        <v>2</v>
      </c>
      <c r="N316" s="2">
        <v>0</v>
      </c>
      <c r="O316" s="2">
        <v>1</v>
      </c>
      <c r="P316" s="2">
        <v>1</v>
      </c>
      <c r="Q316" s="2">
        <v>0</v>
      </c>
      <c r="R316" s="2">
        <v>0</v>
      </c>
      <c r="S316">
        <v>3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162</v>
      </c>
      <c r="AC316" t="s">
        <v>126</v>
      </c>
    </row>
    <row r="317" spans="1:29" ht="16" customHeight="1" x14ac:dyDescent="0.2">
      <c r="A317" s="1" t="s">
        <v>468</v>
      </c>
      <c r="B317" s="2" t="s">
        <v>185</v>
      </c>
      <c r="C317" s="2">
        <v>53</v>
      </c>
      <c r="D317" s="2" t="s">
        <v>135</v>
      </c>
      <c r="E317" s="2">
        <v>7903</v>
      </c>
      <c r="F317" s="2">
        <v>0</v>
      </c>
      <c r="G317" s="2">
        <v>1</v>
      </c>
      <c r="H317" s="2">
        <v>1</v>
      </c>
      <c r="I317" s="2">
        <v>-1</v>
      </c>
      <c r="J317" s="2">
        <v>1</v>
      </c>
      <c r="K317" s="2">
        <v>1</v>
      </c>
      <c r="L317" s="2">
        <v>3</v>
      </c>
      <c r="M317" s="2">
        <v>4</v>
      </c>
      <c r="N317" s="2">
        <v>0</v>
      </c>
      <c r="O317" s="2">
        <v>0</v>
      </c>
      <c r="P317" s="2">
        <v>0</v>
      </c>
      <c r="Q317" s="2">
        <v>1</v>
      </c>
      <c r="R317" s="2">
        <v>1</v>
      </c>
      <c r="S317">
        <v>-1</v>
      </c>
      <c r="T317">
        <v>1</v>
      </c>
      <c r="U317">
        <v>0</v>
      </c>
      <c r="V317">
        <v>0</v>
      </c>
      <c r="W317">
        <v>3</v>
      </c>
      <c r="X317">
        <v>-1</v>
      </c>
      <c r="Y317">
        <v>0</v>
      </c>
      <c r="Z317">
        <v>1</v>
      </c>
      <c r="AA317">
        <v>0</v>
      </c>
      <c r="AB317">
        <v>281</v>
      </c>
      <c r="AC317" t="s">
        <v>126</v>
      </c>
    </row>
    <row r="318" spans="1:29" ht="16" customHeight="1" x14ac:dyDescent="0.2">
      <c r="A318" s="1" t="s">
        <v>469</v>
      </c>
      <c r="B318" s="2" t="s">
        <v>185</v>
      </c>
      <c r="C318" s="2">
        <v>53</v>
      </c>
      <c r="D318" s="2" t="s">
        <v>138</v>
      </c>
      <c r="E318" s="2">
        <v>564</v>
      </c>
      <c r="F318" s="2">
        <v>1</v>
      </c>
      <c r="G318" s="2">
        <v>0</v>
      </c>
      <c r="H318" s="2">
        <v>1</v>
      </c>
      <c r="I318" s="2">
        <v>1</v>
      </c>
      <c r="J318" s="2">
        <v>4</v>
      </c>
      <c r="K318" s="2">
        <v>1</v>
      </c>
      <c r="L318" s="2">
        <v>2</v>
      </c>
      <c r="M318" s="2">
        <v>1</v>
      </c>
      <c r="N318" s="2">
        <v>1</v>
      </c>
      <c r="O318" s="2">
        <v>0</v>
      </c>
      <c r="P318" s="2">
        <v>0</v>
      </c>
      <c r="Q318" s="2">
        <v>0</v>
      </c>
      <c r="R318" s="2">
        <v>1</v>
      </c>
      <c r="S318">
        <v>2</v>
      </c>
      <c r="T318">
        <v>1</v>
      </c>
      <c r="U318">
        <v>0</v>
      </c>
      <c r="V318">
        <v>1</v>
      </c>
      <c r="W318">
        <v>4</v>
      </c>
      <c r="X318">
        <v>0</v>
      </c>
      <c r="Y318">
        <v>1</v>
      </c>
      <c r="Z318">
        <v>1</v>
      </c>
      <c r="AA318">
        <v>1</v>
      </c>
      <c r="AB318">
        <v>293</v>
      </c>
      <c r="AC318" t="s">
        <v>126</v>
      </c>
    </row>
    <row r="319" spans="1:29" ht="16" customHeight="1" x14ac:dyDescent="0.2">
      <c r="A319" s="1" t="s">
        <v>470</v>
      </c>
      <c r="B319" s="2" t="s">
        <v>159</v>
      </c>
      <c r="C319" s="2">
        <v>53</v>
      </c>
      <c r="D319" s="2" t="s">
        <v>140</v>
      </c>
      <c r="E319" s="2">
        <v>3951</v>
      </c>
      <c r="F319" s="2">
        <v>0</v>
      </c>
      <c r="G319" s="2">
        <v>0</v>
      </c>
      <c r="H319" s="2">
        <v>1</v>
      </c>
      <c r="I319" s="2">
        <v>-1</v>
      </c>
      <c r="J319" s="2">
        <v>5</v>
      </c>
      <c r="K319" s="2">
        <v>2</v>
      </c>
      <c r="L319" s="2">
        <v>3</v>
      </c>
      <c r="M319" s="2">
        <v>4</v>
      </c>
      <c r="N319" s="2">
        <v>0</v>
      </c>
      <c r="O319" s="2">
        <v>0</v>
      </c>
      <c r="P319" s="2">
        <v>1</v>
      </c>
      <c r="Q319" s="2">
        <v>0</v>
      </c>
      <c r="R319" s="2">
        <v>0</v>
      </c>
      <c r="S319">
        <v>3</v>
      </c>
      <c r="T319">
        <v>1</v>
      </c>
      <c r="U319">
        <v>0</v>
      </c>
      <c r="V319">
        <v>0</v>
      </c>
      <c r="W319">
        <v>1</v>
      </c>
      <c r="X319">
        <v>-1</v>
      </c>
      <c r="Y319">
        <v>1</v>
      </c>
      <c r="Z319">
        <v>1</v>
      </c>
      <c r="AA319">
        <v>0</v>
      </c>
      <c r="AB319">
        <v>59</v>
      </c>
      <c r="AC319" t="s">
        <v>126</v>
      </c>
    </row>
    <row r="320" spans="1:29" ht="16" customHeight="1" x14ac:dyDescent="0.2">
      <c r="A320" s="1" t="s">
        <v>471</v>
      </c>
      <c r="B320" s="2" t="s">
        <v>147</v>
      </c>
      <c r="C320" s="2">
        <v>54</v>
      </c>
      <c r="D320" s="2" t="s">
        <v>125</v>
      </c>
      <c r="E320" s="2">
        <v>8503</v>
      </c>
      <c r="F320" s="2">
        <v>1</v>
      </c>
      <c r="G320" s="2">
        <v>0</v>
      </c>
      <c r="H320" s="2">
        <v>1</v>
      </c>
      <c r="I320" s="2">
        <v>0</v>
      </c>
      <c r="J320" s="2">
        <v>3</v>
      </c>
      <c r="K320" s="2">
        <v>1</v>
      </c>
      <c r="L320" s="2">
        <v>3</v>
      </c>
      <c r="M320" s="2">
        <v>2</v>
      </c>
      <c r="N320" s="2">
        <v>1</v>
      </c>
      <c r="O320" s="2">
        <v>1</v>
      </c>
      <c r="P320" s="2">
        <v>1</v>
      </c>
      <c r="Q320" s="2">
        <v>1</v>
      </c>
      <c r="R320" s="2">
        <v>1</v>
      </c>
      <c r="S320">
        <v>0</v>
      </c>
      <c r="T320">
        <v>0</v>
      </c>
      <c r="U320">
        <v>1</v>
      </c>
      <c r="V320">
        <v>0</v>
      </c>
      <c r="W320">
        <v>2</v>
      </c>
      <c r="X320">
        <v>0</v>
      </c>
      <c r="Y320">
        <v>1</v>
      </c>
      <c r="Z320">
        <v>0</v>
      </c>
      <c r="AA320">
        <v>0</v>
      </c>
      <c r="AB320">
        <v>226</v>
      </c>
      <c r="AC320" t="s">
        <v>126</v>
      </c>
    </row>
    <row r="321" spans="1:29" ht="16" customHeight="1" x14ac:dyDescent="0.2">
      <c r="A321" s="1" t="s">
        <v>472</v>
      </c>
      <c r="B321" s="2" t="s">
        <v>128</v>
      </c>
      <c r="C321" s="2">
        <v>54</v>
      </c>
      <c r="D321" s="2" t="s">
        <v>129</v>
      </c>
      <c r="E321" s="2">
        <v>810</v>
      </c>
      <c r="F321" s="2">
        <v>0</v>
      </c>
      <c r="G321" s="2">
        <v>0</v>
      </c>
      <c r="H321" s="2">
        <v>1</v>
      </c>
      <c r="I321" s="2">
        <v>0</v>
      </c>
      <c r="J321" s="2">
        <v>5</v>
      </c>
      <c r="K321" s="2">
        <v>1</v>
      </c>
      <c r="L321" s="2">
        <v>2</v>
      </c>
      <c r="M321" s="2">
        <v>5</v>
      </c>
      <c r="N321" s="2">
        <v>0</v>
      </c>
      <c r="O321" s="2">
        <v>1</v>
      </c>
      <c r="P321" s="2">
        <v>1</v>
      </c>
      <c r="Q321" s="2">
        <v>0</v>
      </c>
      <c r="R321" s="2">
        <v>1</v>
      </c>
      <c r="S321">
        <v>-1</v>
      </c>
      <c r="T321">
        <v>1</v>
      </c>
      <c r="U321">
        <v>0</v>
      </c>
      <c r="V321">
        <v>1</v>
      </c>
      <c r="W321">
        <v>5</v>
      </c>
      <c r="X321">
        <v>1</v>
      </c>
      <c r="Y321">
        <v>1</v>
      </c>
      <c r="Z321">
        <v>1</v>
      </c>
      <c r="AA321">
        <v>1</v>
      </c>
      <c r="AB321">
        <v>18</v>
      </c>
      <c r="AC321" t="s">
        <v>126</v>
      </c>
    </row>
    <row r="322" spans="1:29" ht="16" customHeight="1" x14ac:dyDescent="0.2">
      <c r="A322" s="1" t="s">
        <v>473</v>
      </c>
      <c r="B322" s="2" t="s">
        <v>159</v>
      </c>
      <c r="C322" s="2">
        <v>54</v>
      </c>
      <c r="D322" s="2" t="s">
        <v>132</v>
      </c>
      <c r="E322" s="2">
        <v>3173</v>
      </c>
      <c r="F322" s="2">
        <v>1</v>
      </c>
      <c r="G322" s="2">
        <v>0</v>
      </c>
      <c r="H322" s="2">
        <v>0</v>
      </c>
      <c r="I322" s="2">
        <v>0</v>
      </c>
      <c r="J322" s="2">
        <v>5</v>
      </c>
      <c r="K322" s="2">
        <v>3</v>
      </c>
      <c r="L322" s="2">
        <v>1</v>
      </c>
      <c r="M322" s="2">
        <v>3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0</v>
      </c>
      <c r="AA322">
        <v>1</v>
      </c>
      <c r="AB322">
        <v>292</v>
      </c>
      <c r="AC322" t="s">
        <v>126</v>
      </c>
    </row>
    <row r="323" spans="1:29" ht="16" customHeight="1" x14ac:dyDescent="0.2">
      <c r="A323" s="1" t="s">
        <v>474</v>
      </c>
      <c r="B323" s="2" t="s">
        <v>147</v>
      </c>
      <c r="C323" s="2">
        <v>54</v>
      </c>
      <c r="D323" s="2" t="s">
        <v>135</v>
      </c>
      <c r="E323" s="2">
        <v>6423</v>
      </c>
      <c r="F323" s="2">
        <v>0</v>
      </c>
      <c r="G323" s="2">
        <v>0</v>
      </c>
      <c r="H323" s="2">
        <v>1</v>
      </c>
      <c r="I323" s="2">
        <v>0</v>
      </c>
      <c r="J323" s="2">
        <v>2</v>
      </c>
      <c r="K323" s="2">
        <v>2</v>
      </c>
      <c r="L323" s="2">
        <v>3</v>
      </c>
      <c r="M323" s="2">
        <v>4</v>
      </c>
      <c r="N323" s="2">
        <v>1</v>
      </c>
      <c r="O323" s="2">
        <v>1</v>
      </c>
      <c r="P323" s="2">
        <v>1</v>
      </c>
      <c r="Q323" s="2">
        <v>0</v>
      </c>
      <c r="R323" s="2">
        <v>0</v>
      </c>
      <c r="S323">
        <v>1</v>
      </c>
      <c r="T323">
        <v>1</v>
      </c>
      <c r="U323">
        <v>0</v>
      </c>
      <c r="V323">
        <v>0</v>
      </c>
      <c r="W323">
        <v>4</v>
      </c>
      <c r="X323">
        <v>1</v>
      </c>
      <c r="Y323">
        <v>1</v>
      </c>
      <c r="Z323">
        <v>0</v>
      </c>
      <c r="AA323">
        <v>0</v>
      </c>
      <c r="AB323">
        <v>55</v>
      </c>
      <c r="AC323" t="s">
        <v>126</v>
      </c>
    </row>
    <row r="324" spans="1:29" ht="16" customHeight="1" x14ac:dyDescent="0.2">
      <c r="A324" s="1" t="s">
        <v>475</v>
      </c>
      <c r="B324" s="2" t="s">
        <v>195</v>
      </c>
      <c r="C324" s="2">
        <v>54</v>
      </c>
      <c r="D324" s="2" t="s">
        <v>138</v>
      </c>
      <c r="E324" s="2">
        <v>340</v>
      </c>
      <c r="F324" s="2">
        <v>1</v>
      </c>
      <c r="G324" s="2">
        <v>1</v>
      </c>
      <c r="H324" s="2">
        <v>1</v>
      </c>
      <c r="I324" s="2">
        <v>-1</v>
      </c>
      <c r="J324" s="2">
        <v>4</v>
      </c>
      <c r="K324" s="2">
        <v>1</v>
      </c>
      <c r="L324" s="2">
        <v>1</v>
      </c>
      <c r="M324" s="2">
        <v>2</v>
      </c>
      <c r="N324" s="2">
        <v>0</v>
      </c>
      <c r="O324" s="2">
        <v>0</v>
      </c>
      <c r="P324" s="2">
        <v>0</v>
      </c>
      <c r="Q324" s="2">
        <v>1</v>
      </c>
      <c r="R324" s="2">
        <v>0</v>
      </c>
      <c r="S324">
        <v>1</v>
      </c>
      <c r="T324">
        <v>1</v>
      </c>
      <c r="U324">
        <v>0</v>
      </c>
      <c r="V324">
        <v>1</v>
      </c>
      <c r="W324">
        <v>2</v>
      </c>
      <c r="X324">
        <v>0</v>
      </c>
      <c r="Y324">
        <v>1</v>
      </c>
      <c r="Z324">
        <v>0</v>
      </c>
      <c r="AA324">
        <v>0</v>
      </c>
      <c r="AB324">
        <v>133</v>
      </c>
      <c r="AC324" t="s">
        <v>126</v>
      </c>
    </row>
    <row r="325" spans="1:29" ht="16" customHeight="1" x14ac:dyDescent="0.2">
      <c r="A325" s="1" t="s">
        <v>476</v>
      </c>
      <c r="B325" s="2" t="s">
        <v>134</v>
      </c>
      <c r="C325" s="2">
        <v>54</v>
      </c>
      <c r="D325" s="2" t="s">
        <v>140</v>
      </c>
      <c r="E325" s="2">
        <v>432</v>
      </c>
      <c r="F325" s="2">
        <v>0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5</v>
      </c>
      <c r="N325" s="2">
        <v>1</v>
      </c>
      <c r="O325" s="2">
        <v>1</v>
      </c>
      <c r="P325" s="2">
        <v>0</v>
      </c>
      <c r="Q325" s="2">
        <v>1</v>
      </c>
      <c r="R325" s="2">
        <v>1</v>
      </c>
      <c r="S325">
        <v>2</v>
      </c>
      <c r="T325">
        <v>0</v>
      </c>
      <c r="U325">
        <v>1</v>
      </c>
      <c r="V325">
        <v>1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9</v>
      </c>
      <c r="AC325" t="s">
        <v>126</v>
      </c>
    </row>
    <row r="326" spans="1:29" ht="16" customHeight="1" x14ac:dyDescent="0.2">
      <c r="A326" s="1" t="s">
        <v>477</v>
      </c>
      <c r="B326" s="2" t="s">
        <v>185</v>
      </c>
      <c r="C326" s="2">
        <v>55</v>
      </c>
      <c r="D326" s="2" t="s">
        <v>125</v>
      </c>
      <c r="E326" s="2">
        <v>578</v>
      </c>
      <c r="F326" s="2">
        <v>0</v>
      </c>
      <c r="G326" s="2">
        <v>1</v>
      </c>
      <c r="H326" s="2">
        <v>1</v>
      </c>
      <c r="I326" s="2">
        <v>1</v>
      </c>
      <c r="J326" s="2">
        <v>5</v>
      </c>
      <c r="K326" s="2">
        <v>1</v>
      </c>
      <c r="L326" s="2">
        <v>3</v>
      </c>
      <c r="M326" s="2">
        <v>1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>
        <v>2</v>
      </c>
      <c r="T326">
        <v>0</v>
      </c>
      <c r="U326">
        <v>0</v>
      </c>
      <c r="V326">
        <v>1</v>
      </c>
      <c r="W326">
        <v>5</v>
      </c>
      <c r="X326">
        <v>0</v>
      </c>
      <c r="Y326">
        <v>0</v>
      </c>
      <c r="Z326">
        <v>0</v>
      </c>
      <c r="AA326">
        <v>0</v>
      </c>
      <c r="AB326">
        <v>76</v>
      </c>
      <c r="AC326" t="s">
        <v>126</v>
      </c>
    </row>
    <row r="327" spans="1:29" ht="16" customHeight="1" x14ac:dyDescent="0.2">
      <c r="A327" s="1" t="s">
        <v>478</v>
      </c>
      <c r="B327" s="2" t="s">
        <v>143</v>
      </c>
      <c r="C327" s="2">
        <v>55</v>
      </c>
      <c r="D327" s="2" t="s">
        <v>129</v>
      </c>
      <c r="E327" s="2">
        <v>378</v>
      </c>
      <c r="F327" s="2">
        <v>1</v>
      </c>
      <c r="G327" s="2">
        <v>1</v>
      </c>
      <c r="H327" s="2">
        <v>1</v>
      </c>
      <c r="I327" s="2">
        <v>1</v>
      </c>
      <c r="J327" s="2">
        <v>3</v>
      </c>
      <c r="K327" s="2">
        <v>2</v>
      </c>
      <c r="L327" s="2">
        <v>1</v>
      </c>
      <c r="M327" s="2">
        <v>4</v>
      </c>
      <c r="N327" s="2">
        <v>1</v>
      </c>
      <c r="O327" s="2">
        <v>0</v>
      </c>
      <c r="P327" s="2">
        <v>0</v>
      </c>
      <c r="Q327" s="2">
        <v>0</v>
      </c>
      <c r="R327" s="2">
        <v>1</v>
      </c>
      <c r="S327">
        <v>0</v>
      </c>
      <c r="T327">
        <v>1</v>
      </c>
      <c r="U327">
        <v>0</v>
      </c>
      <c r="V327">
        <v>0</v>
      </c>
      <c r="W327">
        <v>3</v>
      </c>
      <c r="X327">
        <v>1</v>
      </c>
      <c r="Y327">
        <v>0</v>
      </c>
      <c r="Z327">
        <v>1</v>
      </c>
      <c r="AA327">
        <v>1</v>
      </c>
      <c r="AB327">
        <v>211</v>
      </c>
      <c r="AC327" t="s">
        <v>126</v>
      </c>
    </row>
    <row r="328" spans="1:29" ht="16" customHeight="1" x14ac:dyDescent="0.2">
      <c r="A328" s="1" t="s">
        <v>479</v>
      </c>
      <c r="B328" s="2" t="s">
        <v>147</v>
      </c>
      <c r="C328" s="2">
        <v>55</v>
      </c>
      <c r="D328" s="2" t="s">
        <v>132</v>
      </c>
      <c r="E328" s="2">
        <v>639</v>
      </c>
      <c r="F328" s="2">
        <v>1</v>
      </c>
      <c r="G328" s="2">
        <v>1</v>
      </c>
      <c r="H328" s="2">
        <v>1</v>
      </c>
      <c r="I328" s="2">
        <v>1</v>
      </c>
      <c r="J328" s="2">
        <v>5</v>
      </c>
      <c r="K328" s="2">
        <v>3</v>
      </c>
      <c r="L328" s="2">
        <v>1</v>
      </c>
      <c r="M328" s="2">
        <v>3</v>
      </c>
      <c r="N328" s="2">
        <v>0</v>
      </c>
      <c r="O328" s="2">
        <v>1</v>
      </c>
      <c r="P328" s="2">
        <v>1</v>
      </c>
      <c r="Q328" s="2">
        <v>0</v>
      </c>
      <c r="R328" s="2">
        <v>0</v>
      </c>
      <c r="S328">
        <v>3</v>
      </c>
      <c r="T328">
        <v>1</v>
      </c>
      <c r="U328">
        <v>0</v>
      </c>
      <c r="V328">
        <v>1</v>
      </c>
      <c r="W328">
        <v>2</v>
      </c>
      <c r="X328">
        <v>-1</v>
      </c>
      <c r="Y328">
        <v>1</v>
      </c>
      <c r="Z328">
        <v>1</v>
      </c>
      <c r="AA328">
        <v>1</v>
      </c>
      <c r="AB328">
        <v>269</v>
      </c>
      <c r="AC328" t="s">
        <v>126</v>
      </c>
    </row>
    <row r="329" spans="1:29" ht="16" customHeight="1" x14ac:dyDescent="0.2">
      <c r="A329" s="1" t="s">
        <v>480</v>
      </c>
      <c r="B329" s="2" t="s">
        <v>131</v>
      </c>
      <c r="C329" s="2">
        <v>55</v>
      </c>
      <c r="D329" s="2" t="s">
        <v>135</v>
      </c>
      <c r="E329" s="2">
        <v>325</v>
      </c>
      <c r="F329" s="2">
        <v>1</v>
      </c>
      <c r="G329" s="2">
        <v>1</v>
      </c>
      <c r="H329" s="2">
        <v>0</v>
      </c>
      <c r="I329" s="2">
        <v>0</v>
      </c>
      <c r="J329" s="2">
        <v>2</v>
      </c>
      <c r="K329" s="2">
        <v>1</v>
      </c>
      <c r="L329" s="2">
        <v>1</v>
      </c>
      <c r="M329" s="2">
        <v>2</v>
      </c>
      <c r="N329" s="2">
        <v>1</v>
      </c>
      <c r="O329" s="2">
        <v>0</v>
      </c>
      <c r="P329" s="2">
        <v>1</v>
      </c>
      <c r="Q329" s="2">
        <v>1</v>
      </c>
      <c r="R329" s="2">
        <v>0</v>
      </c>
      <c r="S329">
        <v>3</v>
      </c>
      <c r="T329">
        <v>0</v>
      </c>
      <c r="U329">
        <v>0</v>
      </c>
      <c r="V329">
        <v>0</v>
      </c>
      <c r="W329">
        <v>4</v>
      </c>
      <c r="X329">
        <v>1</v>
      </c>
      <c r="Y329">
        <v>1</v>
      </c>
      <c r="Z329">
        <v>0</v>
      </c>
      <c r="AA329">
        <v>1</v>
      </c>
      <c r="AB329">
        <v>34</v>
      </c>
      <c r="AC329" t="s">
        <v>126</v>
      </c>
    </row>
    <row r="330" spans="1:29" ht="16" customHeight="1" x14ac:dyDescent="0.2">
      <c r="A330" s="1" t="s">
        <v>481</v>
      </c>
      <c r="B330" s="2" t="s">
        <v>185</v>
      </c>
      <c r="C330" s="2">
        <v>55</v>
      </c>
      <c r="D330" s="2" t="s">
        <v>138</v>
      </c>
      <c r="E330" s="2">
        <v>424</v>
      </c>
      <c r="F330" s="2">
        <v>0</v>
      </c>
      <c r="G330" s="2">
        <v>0</v>
      </c>
      <c r="H330" s="2">
        <v>1</v>
      </c>
      <c r="I330" s="2">
        <v>-1</v>
      </c>
      <c r="J330" s="2">
        <v>4</v>
      </c>
      <c r="K330" s="2">
        <v>2</v>
      </c>
      <c r="L330" s="2">
        <v>3</v>
      </c>
      <c r="M330" s="2">
        <v>1</v>
      </c>
      <c r="N330" s="2">
        <v>1</v>
      </c>
      <c r="O330" s="2">
        <v>1</v>
      </c>
      <c r="P330" s="2">
        <v>0</v>
      </c>
      <c r="Q330" s="2">
        <v>1</v>
      </c>
      <c r="R330" s="2">
        <v>0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245</v>
      </c>
      <c r="AC330" t="s">
        <v>126</v>
      </c>
    </row>
    <row r="331" spans="1:29" ht="16" customHeight="1" x14ac:dyDescent="0.2">
      <c r="A331" s="1" t="s">
        <v>482</v>
      </c>
      <c r="B331" s="2" t="s">
        <v>124</v>
      </c>
      <c r="C331" s="2">
        <v>55</v>
      </c>
      <c r="D331" s="2" t="s">
        <v>140</v>
      </c>
      <c r="E331" s="2">
        <v>3799</v>
      </c>
      <c r="F331" s="2">
        <v>1</v>
      </c>
      <c r="G331" s="2">
        <v>0</v>
      </c>
      <c r="H331" s="2">
        <v>0</v>
      </c>
      <c r="I331" s="2">
        <v>1</v>
      </c>
      <c r="J331" s="2">
        <v>5</v>
      </c>
      <c r="K331" s="2">
        <v>2</v>
      </c>
      <c r="L331" s="2">
        <v>2</v>
      </c>
      <c r="M331" s="2">
        <v>2</v>
      </c>
      <c r="N331" s="2">
        <v>1</v>
      </c>
      <c r="O331" s="2">
        <v>0</v>
      </c>
      <c r="P331" s="2">
        <v>0</v>
      </c>
      <c r="Q331" s="2">
        <v>1</v>
      </c>
      <c r="R331" s="2">
        <v>0</v>
      </c>
      <c r="S331">
        <v>2</v>
      </c>
      <c r="T331">
        <v>1</v>
      </c>
      <c r="U331">
        <v>0</v>
      </c>
      <c r="V331">
        <v>0</v>
      </c>
      <c r="W331">
        <v>2</v>
      </c>
      <c r="X331">
        <v>-1</v>
      </c>
      <c r="Y331">
        <v>1</v>
      </c>
      <c r="Z331">
        <v>0</v>
      </c>
      <c r="AA331">
        <v>0</v>
      </c>
      <c r="AB331">
        <v>84</v>
      </c>
      <c r="AC331" t="s">
        <v>126</v>
      </c>
    </row>
    <row r="332" spans="1:29" ht="16" customHeight="1" x14ac:dyDescent="0.2">
      <c r="A332" s="1" t="s">
        <v>483</v>
      </c>
      <c r="B332" s="2" t="s">
        <v>164</v>
      </c>
      <c r="C332" s="2">
        <v>56</v>
      </c>
      <c r="D332" s="2" t="s">
        <v>125</v>
      </c>
      <c r="E332" s="2">
        <v>5528</v>
      </c>
      <c r="F332" s="2">
        <v>0</v>
      </c>
      <c r="G332" s="2">
        <v>0</v>
      </c>
      <c r="H332" s="2">
        <v>1</v>
      </c>
      <c r="I332" s="2">
        <v>1</v>
      </c>
      <c r="J332" s="2">
        <v>3</v>
      </c>
      <c r="K332" s="2">
        <v>2</v>
      </c>
      <c r="L332" s="2">
        <v>2</v>
      </c>
      <c r="M332" s="2">
        <v>1</v>
      </c>
      <c r="N332" s="2">
        <v>1</v>
      </c>
      <c r="O332" s="2">
        <v>1</v>
      </c>
      <c r="P332" s="2">
        <v>1</v>
      </c>
      <c r="Q332" s="2">
        <v>1</v>
      </c>
      <c r="R332" s="2">
        <v>1</v>
      </c>
      <c r="S332">
        <v>-1</v>
      </c>
      <c r="T332">
        <v>0</v>
      </c>
      <c r="U332">
        <v>0</v>
      </c>
      <c r="V332">
        <v>0</v>
      </c>
      <c r="W332">
        <v>4</v>
      </c>
      <c r="X332">
        <v>0</v>
      </c>
      <c r="Y332">
        <v>1</v>
      </c>
      <c r="Z332">
        <v>0</v>
      </c>
      <c r="AA332">
        <v>0</v>
      </c>
      <c r="AB332">
        <v>81</v>
      </c>
      <c r="AC332" t="s">
        <v>126</v>
      </c>
    </row>
    <row r="333" spans="1:29" ht="16" customHeight="1" x14ac:dyDescent="0.2">
      <c r="A333" s="1" t="s">
        <v>484</v>
      </c>
      <c r="B333" s="2" t="s">
        <v>161</v>
      </c>
      <c r="C333" s="2">
        <v>56</v>
      </c>
      <c r="D333" s="2" t="s">
        <v>129</v>
      </c>
      <c r="E333" s="2">
        <v>1518</v>
      </c>
      <c r="F333" s="2">
        <v>0</v>
      </c>
      <c r="G333" s="2">
        <v>1</v>
      </c>
      <c r="H333" s="2">
        <v>1</v>
      </c>
      <c r="I333" s="2">
        <v>-1</v>
      </c>
      <c r="J333" s="2">
        <v>1</v>
      </c>
      <c r="K333" s="2">
        <v>3</v>
      </c>
      <c r="L333" s="2">
        <v>1</v>
      </c>
      <c r="M333" s="2">
        <v>2</v>
      </c>
      <c r="N333" s="2">
        <v>1</v>
      </c>
      <c r="O333" s="2">
        <v>1</v>
      </c>
      <c r="P333" s="2">
        <v>0</v>
      </c>
      <c r="Q333" s="2">
        <v>1</v>
      </c>
      <c r="R333" s="2">
        <v>1</v>
      </c>
      <c r="S333">
        <v>-1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1</v>
      </c>
      <c r="Z333">
        <v>0</v>
      </c>
      <c r="AA333">
        <v>1</v>
      </c>
      <c r="AB333">
        <v>140</v>
      </c>
      <c r="AC333" t="s">
        <v>126</v>
      </c>
    </row>
    <row r="334" spans="1:29" ht="16" customHeight="1" x14ac:dyDescent="0.2">
      <c r="A334" s="1" t="s">
        <v>485</v>
      </c>
      <c r="B334" s="2" t="s">
        <v>157</v>
      </c>
      <c r="C334" s="2">
        <v>56</v>
      </c>
      <c r="D334" s="2" t="s">
        <v>132</v>
      </c>
      <c r="E334" s="2">
        <v>1559</v>
      </c>
      <c r="F334" s="2">
        <v>0</v>
      </c>
      <c r="G334" s="2">
        <v>0</v>
      </c>
      <c r="H334" s="2">
        <v>0</v>
      </c>
      <c r="I334" s="2">
        <v>1</v>
      </c>
      <c r="J334" s="2">
        <v>1</v>
      </c>
      <c r="K334" s="2">
        <v>2</v>
      </c>
      <c r="L334" s="2">
        <v>3</v>
      </c>
      <c r="M334" s="2">
        <v>4</v>
      </c>
      <c r="N334" s="2">
        <v>1</v>
      </c>
      <c r="O334" s="2">
        <v>0</v>
      </c>
      <c r="P334" s="2">
        <v>0</v>
      </c>
      <c r="Q334" s="2">
        <v>1</v>
      </c>
      <c r="R334" s="2">
        <v>0</v>
      </c>
      <c r="S334">
        <v>3</v>
      </c>
      <c r="T334">
        <v>0</v>
      </c>
      <c r="U334">
        <v>1</v>
      </c>
      <c r="V334">
        <v>0</v>
      </c>
      <c r="W334">
        <v>4</v>
      </c>
      <c r="X334">
        <v>0</v>
      </c>
      <c r="Y334">
        <v>0</v>
      </c>
      <c r="Z334">
        <v>0</v>
      </c>
      <c r="AA334">
        <v>1</v>
      </c>
      <c r="AB334">
        <v>114</v>
      </c>
      <c r="AC334" t="s">
        <v>126</v>
      </c>
    </row>
    <row r="335" spans="1:29" ht="16" customHeight="1" x14ac:dyDescent="0.2">
      <c r="A335" s="1" t="s">
        <v>486</v>
      </c>
      <c r="B335" s="2" t="s">
        <v>147</v>
      </c>
      <c r="C335" s="2">
        <v>56</v>
      </c>
      <c r="D335" s="2" t="s">
        <v>135</v>
      </c>
      <c r="E335" s="2">
        <v>2228</v>
      </c>
      <c r="F335" s="2">
        <v>0</v>
      </c>
      <c r="G335" s="2">
        <v>0</v>
      </c>
      <c r="H335" s="2">
        <v>0</v>
      </c>
      <c r="I335" s="2">
        <v>1</v>
      </c>
      <c r="J335" s="2">
        <v>1</v>
      </c>
      <c r="K335" s="2">
        <v>1</v>
      </c>
      <c r="L335" s="2">
        <v>1</v>
      </c>
      <c r="M335" s="2">
        <v>4</v>
      </c>
      <c r="N335" s="2">
        <v>1</v>
      </c>
      <c r="O335" s="2">
        <v>1</v>
      </c>
      <c r="P335" s="2">
        <v>0</v>
      </c>
      <c r="Q335" s="2">
        <v>0</v>
      </c>
      <c r="R335" s="2">
        <v>0</v>
      </c>
      <c r="S335">
        <v>3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4</v>
      </c>
      <c r="AC335" t="s">
        <v>126</v>
      </c>
    </row>
    <row r="336" spans="1:29" ht="16" customHeight="1" x14ac:dyDescent="0.2">
      <c r="A336" s="1" t="s">
        <v>487</v>
      </c>
      <c r="B336" s="2" t="s">
        <v>149</v>
      </c>
      <c r="C336" s="2">
        <v>56</v>
      </c>
      <c r="D336" s="2" t="s">
        <v>138</v>
      </c>
      <c r="E336" s="2">
        <v>3838</v>
      </c>
      <c r="F336" s="2">
        <v>0</v>
      </c>
      <c r="G336" s="2">
        <v>0</v>
      </c>
      <c r="H336" s="2">
        <v>0</v>
      </c>
      <c r="I336" s="2">
        <v>1</v>
      </c>
      <c r="J336" s="2">
        <v>2</v>
      </c>
      <c r="K336" s="2">
        <v>3</v>
      </c>
      <c r="L336" s="2">
        <v>2</v>
      </c>
      <c r="M336" s="2">
        <v>3</v>
      </c>
      <c r="N336" s="2">
        <v>1</v>
      </c>
      <c r="O336" s="2">
        <v>1</v>
      </c>
      <c r="P336" s="2">
        <v>0</v>
      </c>
      <c r="Q336" s="2">
        <v>0</v>
      </c>
      <c r="R336" s="2">
        <v>1</v>
      </c>
      <c r="S336">
        <v>3</v>
      </c>
      <c r="T336">
        <v>1</v>
      </c>
      <c r="U336">
        <v>0</v>
      </c>
      <c r="V336">
        <v>0</v>
      </c>
      <c r="W336">
        <v>3</v>
      </c>
      <c r="X336">
        <v>0</v>
      </c>
      <c r="Y336">
        <v>0</v>
      </c>
      <c r="Z336">
        <v>0</v>
      </c>
      <c r="AA336">
        <v>1</v>
      </c>
      <c r="AB336">
        <v>11</v>
      </c>
      <c r="AC336" t="s">
        <v>126</v>
      </c>
    </row>
    <row r="337" spans="1:29" ht="16" customHeight="1" x14ac:dyDescent="0.2">
      <c r="A337" s="1" t="s">
        <v>488</v>
      </c>
      <c r="B337" s="2" t="s">
        <v>159</v>
      </c>
      <c r="C337" s="2">
        <v>56</v>
      </c>
      <c r="D337" s="2" t="s">
        <v>140</v>
      </c>
      <c r="E337" s="2">
        <v>3003</v>
      </c>
      <c r="F337" s="2">
        <v>1</v>
      </c>
      <c r="G337" s="2">
        <v>0</v>
      </c>
      <c r="H337" s="2">
        <v>0</v>
      </c>
      <c r="I337" s="2">
        <v>1</v>
      </c>
      <c r="J337" s="2">
        <v>4</v>
      </c>
      <c r="K337" s="2">
        <v>2</v>
      </c>
      <c r="L337" s="2">
        <v>3</v>
      </c>
      <c r="M337" s="2">
        <v>1</v>
      </c>
      <c r="N337" s="2">
        <v>1</v>
      </c>
      <c r="O337" s="2">
        <v>0</v>
      </c>
      <c r="P337" s="2">
        <v>1</v>
      </c>
      <c r="Q337" s="2">
        <v>1</v>
      </c>
      <c r="R337" s="2">
        <v>1</v>
      </c>
      <c r="S337">
        <v>3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177</v>
      </c>
      <c r="AC337" t="s">
        <v>126</v>
      </c>
    </row>
    <row r="338" spans="1:29" ht="16" customHeight="1" x14ac:dyDescent="0.2">
      <c r="A338" s="1" t="s">
        <v>489</v>
      </c>
      <c r="B338" s="2" t="s">
        <v>181</v>
      </c>
      <c r="C338" s="2">
        <v>57</v>
      </c>
      <c r="D338" s="2" t="s">
        <v>125</v>
      </c>
      <c r="E338" s="2">
        <v>7030</v>
      </c>
      <c r="F338" s="2">
        <v>1</v>
      </c>
      <c r="G338" s="2">
        <v>0</v>
      </c>
      <c r="H338" s="2">
        <v>1</v>
      </c>
      <c r="I338" s="2">
        <v>1</v>
      </c>
      <c r="J338" s="2">
        <v>4</v>
      </c>
      <c r="K338" s="2">
        <v>2</v>
      </c>
      <c r="L338" s="2">
        <v>2</v>
      </c>
      <c r="M338" s="2">
        <v>1</v>
      </c>
      <c r="N338" s="2">
        <v>0</v>
      </c>
      <c r="O338" s="2">
        <v>0</v>
      </c>
      <c r="P338" s="2">
        <v>1</v>
      </c>
      <c r="Q338" s="2">
        <v>1</v>
      </c>
      <c r="R338" s="2">
        <v>1</v>
      </c>
      <c r="S338">
        <v>-1</v>
      </c>
      <c r="T338">
        <v>0</v>
      </c>
      <c r="U338">
        <v>1</v>
      </c>
      <c r="V338">
        <v>0</v>
      </c>
      <c r="W338">
        <v>5</v>
      </c>
      <c r="X338">
        <v>-1</v>
      </c>
      <c r="Y338">
        <v>0</v>
      </c>
      <c r="Z338">
        <v>1</v>
      </c>
      <c r="AA338">
        <v>1</v>
      </c>
      <c r="AB338">
        <v>43</v>
      </c>
      <c r="AC338" t="s">
        <v>126</v>
      </c>
    </row>
    <row r="339" spans="1:29" ht="16" customHeight="1" x14ac:dyDescent="0.2">
      <c r="A339" s="1" t="s">
        <v>490</v>
      </c>
      <c r="B339" s="2" t="s">
        <v>131</v>
      </c>
      <c r="C339" s="2">
        <v>57</v>
      </c>
      <c r="D339" s="2" t="s">
        <v>129</v>
      </c>
      <c r="E339" s="2">
        <v>271</v>
      </c>
      <c r="F339" s="2">
        <v>0</v>
      </c>
      <c r="G339" s="2">
        <v>0</v>
      </c>
      <c r="H339" s="2">
        <v>0</v>
      </c>
      <c r="I339" s="2">
        <v>-1</v>
      </c>
      <c r="J339" s="2">
        <v>4</v>
      </c>
      <c r="K339" s="2">
        <v>3</v>
      </c>
      <c r="L339" s="2">
        <v>3</v>
      </c>
      <c r="M339" s="2">
        <v>1</v>
      </c>
      <c r="N339" s="2">
        <v>1</v>
      </c>
      <c r="O339" s="2">
        <v>1</v>
      </c>
      <c r="P339" s="2">
        <v>1</v>
      </c>
      <c r="Q339" s="2">
        <v>0</v>
      </c>
      <c r="R339" s="2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-1</v>
      </c>
      <c r="Y339">
        <v>1</v>
      </c>
      <c r="Z339">
        <v>1</v>
      </c>
      <c r="AA339">
        <v>0</v>
      </c>
      <c r="AB339">
        <v>160</v>
      </c>
      <c r="AC339" t="s">
        <v>126</v>
      </c>
    </row>
    <row r="340" spans="1:29" ht="16" customHeight="1" x14ac:dyDescent="0.2">
      <c r="A340" s="1" t="s">
        <v>491</v>
      </c>
      <c r="B340" s="2" t="s">
        <v>134</v>
      </c>
      <c r="C340" s="2">
        <v>57</v>
      </c>
      <c r="D340" s="2" t="s">
        <v>132</v>
      </c>
      <c r="E340" s="2">
        <v>1450</v>
      </c>
      <c r="F340" s="2">
        <v>0</v>
      </c>
      <c r="G340" s="2">
        <v>1</v>
      </c>
      <c r="H340" s="2">
        <v>0</v>
      </c>
      <c r="I340" s="2">
        <v>-1</v>
      </c>
      <c r="J340" s="2">
        <v>3</v>
      </c>
      <c r="K340" s="2">
        <v>1</v>
      </c>
      <c r="L340" s="2">
        <v>3</v>
      </c>
      <c r="M340" s="2">
        <v>2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>
        <v>2</v>
      </c>
      <c r="T340">
        <v>1</v>
      </c>
      <c r="U340">
        <v>1</v>
      </c>
      <c r="V340">
        <v>1</v>
      </c>
      <c r="W340">
        <v>3</v>
      </c>
      <c r="X340">
        <v>0</v>
      </c>
      <c r="Y340">
        <v>1</v>
      </c>
      <c r="Z340">
        <v>1</v>
      </c>
      <c r="AA340">
        <v>1</v>
      </c>
      <c r="AB340">
        <v>283</v>
      </c>
      <c r="AC340" t="s">
        <v>126</v>
      </c>
    </row>
    <row r="341" spans="1:29" ht="16" customHeight="1" x14ac:dyDescent="0.2">
      <c r="A341" s="1" t="s">
        <v>492</v>
      </c>
      <c r="B341" s="2" t="s">
        <v>161</v>
      </c>
      <c r="C341" s="2">
        <v>57</v>
      </c>
      <c r="D341" s="2" t="s">
        <v>135</v>
      </c>
      <c r="E341" s="2">
        <v>10223</v>
      </c>
      <c r="F341" s="2">
        <v>1</v>
      </c>
      <c r="G341" s="2">
        <v>1</v>
      </c>
      <c r="H341" s="2">
        <v>1</v>
      </c>
      <c r="I341" s="2">
        <v>1</v>
      </c>
      <c r="J341" s="2">
        <v>4</v>
      </c>
      <c r="K341" s="2">
        <v>2</v>
      </c>
      <c r="L341" s="2">
        <v>3</v>
      </c>
      <c r="M341" s="2">
        <v>2</v>
      </c>
      <c r="N341" s="2">
        <v>0</v>
      </c>
      <c r="O341" s="2">
        <v>1</v>
      </c>
      <c r="P341" s="2">
        <v>0</v>
      </c>
      <c r="Q341" s="2">
        <v>0</v>
      </c>
      <c r="R341" s="2">
        <v>1</v>
      </c>
      <c r="S341">
        <v>0</v>
      </c>
      <c r="T341">
        <v>0</v>
      </c>
      <c r="U341">
        <v>1</v>
      </c>
      <c r="V341">
        <v>1</v>
      </c>
      <c r="W341">
        <v>5</v>
      </c>
      <c r="X341">
        <v>-1</v>
      </c>
      <c r="Y341">
        <v>0</v>
      </c>
      <c r="Z341">
        <v>0</v>
      </c>
      <c r="AA341">
        <v>1</v>
      </c>
      <c r="AB341">
        <v>94</v>
      </c>
      <c r="AC341" t="s">
        <v>126</v>
      </c>
    </row>
    <row r="342" spans="1:29" ht="16" customHeight="1" x14ac:dyDescent="0.2">
      <c r="A342" s="1" t="s">
        <v>493</v>
      </c>
      <c r="B342" s="2" t="s">
        <v>145</v>
      </c>
      <c r="C342" s="2">
        <v>57</v>
      </c>
      <c r="D342" s="2" t="s">
        <v>138</v>
      </c>
      <c r="E342" s="2">
        <v>5590</v>
      </c>
      <c r="F342" s="2">
        <v>0</v>
      </c>
      <c r="G342" s="2">
        <v>0</v>
      </c>
      <c r="H342" s="2">
        <v>0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0</v>
      </c>
      <c r="O342" s="2">
        <v>0</v>
      </c>
      <c r="P342" s="2">
        <v>0</v>
      </c>
      <c r="Q342" s="2">
        <v>0</v>
      </c>
      <c r="R342" s="2">
        <v>1</v>
      </c>
      <c r="S342">
        <v>0</v>
      </c>
      <c r="T342">
        <v>1</v>
      </c>
      <c r="U342">
        <v>0</v>
      </c>
      <c r="V342">
        <v>1</v>
      </c>
      <c r="W342">
        <v>5</v>
      </c>
      <c r="X342">
        <v>0</v>
      </c>
      <c r="Y342">
        <v>1</v>
      </c>
      <c r="Z342">
        <v>1</v>
      </c>
      <c r="AA342">
        <v>0</v>
      </c>
      <c r="AB342">
        <v>234</v>
      </c>
      <c r="AC342" t="s">
        <v>126</v>
      </c>
    </row>
    <row r="343" spans="1:29" ht="16" customHeight="1" x14ac:dyDescent="0.2">
      <c r="A343" s="1" t="s">
        <v>494</v>
      </c>
      <c r="B343" s="2" t="s">
        <v>201</v>
      </c>
      <c r="C343" s="2">
        <v>57</v>
      </c>
      <c r="D343" s="2" t="s">
        <v>140</v>
      </c>
      <c r="E343" s="2">
        <v>1787</v>
      </c>
      <c r="F343" s="2">
        <v>1</v>
      </c>
      <c r="G343" s="2">
        <v>1</v>
      </c>
      <c r="H343" s="2">
        <v>1</v>
      </c>
      <c r="I343" s="2">
        <v>0</v>
      </c>
      <c r="J343" s="2">
        <v>3</v>
      </c>
      <c r="K343" s="2">
        <v>1</v>
      </c>
      <c r="L343" s="2">
        <v>2</v>
      </c>
      <c r="M343" s="2">
        <v>5</v>
      </c>
      <c r="N343" s="2">
        <v>0</v>
      </c>
      <c r="O343" s="2">
        <v>1</v>
      </c>
      <c r="P343" s="2">
        <v>0</v>
      </c>
      <c r="Q343" s="2">
        <v>0</v>
      </c>
      <c r="R343" s="2">
        <v>0</v>
      </c>
      <c r="S343">
        <v>3</v>
      </c>
      <c r="T343">
        <v>0</v>
      </c>
      <c r="U343">
        <v>0</v>
      </c>
      <c r="V343">
        <v>0</v>
      </c>
      <c r="W343">
        <v>4</v>
      </c>
      <c r="X343">
        <v>-1</v>
      </c>
      <c r="Y343">
        <v>0</v>
      </c>
      <c r="Z343">
        <v>1</v>
      </c>
      <c r="AA343">
        <v>1</v>
      </c>
      <c r="AB343">
        <v>29</v>
      </c>
      <c r="AC343" t="s">
        <v>126</v>
      </c>
    </row>
    <row r="344" spans="1:29" ht="16" customHeight="1" x14ac:dyDescent="0.2">
      <c r="A344" s="1" t="s">
        <v>495</v>
      </c>
      <c r="B344" s="2" t="s">
        <v>128</v>
      </c>
      <c r="C344" s="2">
        <v>58</v>
      </c>
      <c r="D344" s="2" t="s">
        <v>125</v>
      </c>
      <c r="E344" s="2">
        <v>10922</v>
      </c>
      <c r="F344" s="2">
        <v>1</v>
      </c>
      <c r="G344" s="2">
        <v>0</v>
      </c>
      <c r="H344" s="2">
        <v>0</v>
      </c>
      <c r="I344" s="2">
        <v>-1</v>
      </c>
      <c r="J344" s="2">
        <v>3</v>
      </c>
      <c r="K344" s="2">
        <v>3</v>
      </c>
      <c r="L344" s="2">
        <v>1</v>
      </c>
      <c r="M344" s="2">
        <v>5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>
        <v>0</v>
      </c>
      <c r="T344">
        <v>1</v>
      </c>
      <c r="U344">
        <v>1</v>
      </c>
      <c r="V344">
        <v>1</v>
      </c>
      <c r="W344">
        <v>2</v>
      </c>
      <c r="X344">
        <v>0</v>
      </c>
      <c r="Y344">
        <v>0</v>
      </c>
      <c r="Z344">
        <v>1</v>
      </c>
      <c r="AA344">
        <v>1</v>
      </c>
      <c r="AB344">
        <v>146</v>
      </c>
      <c r="AC344" t="s">
        <v>126</v>
      </c>
    </row>
    <row r="345" spans="1:29" ht="16" customHeight="1" x14ac:dyDescent="0.2">
      <c r="A345" s="1" t="s">
        <v>496</v>
      </c>
      <c r="B345" s="2" t="s">
        <v>134</v>
      </c>
      <c r="C345" s="2">
        <v>58</v>
      </c>
      <c r="D345" s="2" t="s">
        <v>129</v>
      </c>
      <c r="E345" s="2">
        <v>4458</v>
      </c>
      <c r="F345" s="2">
        <v>0</v>
      </c>
      <c r="G345" s="2">
        <v>1</v>
      </c>
      <c r="H345" s="2">
        <v>0</v>
      </c>
      <c r="I345" s="2">
        <v>1</v>
      </c>
      <c r="J345" s="2">
        <v>4</v>
      </c>
      <c r="K345" s="2">
        <v>2</v>
      </c>
      <c r="L345" s="2">
        <v>3</v>
      </c>
      <c r="M345" s="2">
        <v>4</v>
      </c>
      <c r="N345" s="2">
        <v>1</v>
      </c>
      <c r="O345" s="2">
        <v>1</v>
      </c>
      <c r="P345" s="2">
        <v>1</v>
      </c>
      <c r="Q345" s="2">
        <v>1</v>
      </c>
      <c r="R345" s="2">
        <v>0</v>
      </c>
      <c r="S345">
        <v>1</v>
      </c>
      <c r="T345">
        <v>0</v>
      </c>
      <c r="U345">
        <v>0</v>
      </c>
      <c r="V345">
        <v>0</v>
      </c>
      <c r="W345">
        <v>3</v>
      </c>
      <c r="X345">
        <v>1</v>
      </c>
      <c r="Y345">
        <v>1</v>
      </c>
      <c r="Z345">
        <v>1</v>
      </c>
      <c r="AA345">
        <v>1</v>
      </c>
      <c r="AB345">
        <v>116</v>
      </c>
      <c r="AC345" t="s">
        <v>126</v>
      </c>
    </row>
    <row r="346" spans="1:29" ht="16" customHeight="1" x14ac:dyDescent="0.2">
      <c r="A346" s="1" t="s">
        <v>497</v>
      </c>
      <c r="B346" s="2" t="s">
        <v>181</v>
      </c>
      <c r="C346" s="2">
        <v>58</v>
      </c>
      <c r="D346" s="2" t="s">
        <v>132</v>
      </c>
      <c r="E346" s="2">
        <v>6947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4</v>
      </c>
      <c r="N346" s="2">
        <v>0</v>
      </c>
      <c r="O346" s="2">
        <v>1</v>
      </c>
      <c r="P346" s="2">
        <v>1</v>
      </c>
      <c r="Q346" s="2">
        <v>0</v>
      </c>
      <c r="R346" s="2">
        <v>1</v>
      </c>
      <c r="S346">
        <v>-1</v>
      </c>
      <c r="T346">
        <v>0</v>
      </c>
      <c r="U346">
        <v>0</v>
      </c>
      <c r="V346">
        <v>0</v>
      </c>
      <c r="W346">
        <v>4</v>
      </c>
      <c r="X346">
        <v>0</v>
      </c>
      <c r="Y346">
        <v>1</v>
      </c>
      <c r="Z346">
        <v>1</v>
      </c>
      <c r="AA346">
        <v>0</v>
      </c>
      <c r="AB346">
        <v>295</v>
      </c>
      <c r="AC346" t="s">
        <v>126</v>
      </c>
    </row>
    <row r="347" spans="1:29" ht="16" customHeight="1" x14ac:dyDescent="0.2">
      <c r="A347" s="1" t="s">
        <v>498</v>
      </c>
      <c r="B347" s="2" t="s">
        <v>147</v>
      </c>
      <c r="C347" s="2">
        <v>58</v>
      </c>
      <c r="D347" s="2" t="s">
        <v>135</v>
      </c>
      <c r="E347" s="2">
        <v>694</v>
      </c>
      <c r="F347" s="2">
        <v>0</v>
      </c>
      <c r="G347" s="2">
        <v>0</v>
      </c>
      <c r="H347" s="2">
        <v>1</v>
      </c>
      <c r="I347" s="2">
        <v>0</v>
      </c>
      <c r="J347" s="2">
        <v>4</v>
      </c>
      <c r="K347" s="2">
        <v>3</v>
      </c>
      <c r="L347" s="2">
        <v>1</v>
      </c>
      <c r="M347" s="2">
        <v>5</v>
      </c>
      <c r="N347" s="2">
        <v>1</v>
      </c>
      <c r="O347" s="2">
        <v>1</v>
      </c>
      <c r="P347" s="2">
        <v>0</v>
      </c>
      <c r="Q347" s="2">
        <v>0</v>
      </c>
      <c r="R347" s="2">
        <v>1</v>
      </c>
      <c r="S347">
        <v>3</v>
      </c>
      <c r="T347">
        <v>1</v>
      </c>
      <c r="U347">
        <v>0</v>
      </c>
      <c r="V347">
        <v>0</v>
      </c>
      <c r="W347">
        <v>5</v>
      </c>
      <c r="X347">
        <v>1</v>
      </c>
      <c r="Y347">
        <v>0</v>
      </c>
      <c r="Z347">
        <v>0</v>
      </c>
      <c r="AA347">
        <v>1</v>
      </c>
      <c r="AB347">
        <v>231</v>
      </c>
      <c r="AC347" t="s">
        <v>126</v>
      </c>
    </row>
    <row r="348" spans="1:29" ht="16" customHeight="1" x14ac:dyDescent="0.2">
      <c r="A348" s="1" t="s">
        <v>499</v>
      </c>
      <c r="B348" s="2" t="s">
        <v>185</v>
      </c>
      <c r="C348" s="2">
        <v>58</v>
      </c>
      <c r="D348" s="2" t="s">
        <v>138</v>
      </c>
      <c r="E348" s="2">
        <v>191</v>
      </c>
      <c r="F348" s="2">
        <v>0</v>
      </c>
      <c r="G348" s="2">
        <v>0</v>
      </c>
      <c r="H348" s="2">
        <v>1</v>
      </c>
      <c r="I348" s="2">
        <v>1</v>
      </c>
      <c r="J348" s="2">
        <v>2</v>
      </c>
      <c r="K348" s="2">
        <v>3</v>
      </c>
      <c r="L348" s="2">
        <v>2</v>
      </c>
      <c r="M348" s="2">
        <v>5</v>
      </c>
      <c r="N348" s="2">
        <v>0</v>
      </c>
      <c r="O348" s="2">
        <v>1</v>
      </c>
      <c r="P348" s="2">
        <v>1</v>
      </c>
      <c r="Q348" s="2">
        <v>0</v>
      </c>
      <c r="R348" s="2">
        <v>1</v>
      </c>
      <c r="S348">
        <v>3</v>
      </c>
      <c r="T348">
        <v>1</v>
      </c>
      <c r="U348">
        <v>1</v>
      </c>
      <c r="V348">
        <v>0</v>
      </c>
      <c r="W348">
        <v>5</v>
      </c>
      <c r="X348">
        <v>-1</v>
      </c>
      <c r="Y348">
        <v>0</v>
      </c>
      <c r="Z348">
        <v>1</v>
      </c>
      <c r="AA348">
        <v>0</v>
      </c>
      <c r="AB348">
        <v>84</v>
      </c>
      <c r="AC348" t="s">
        <v>126</v>
      </c>
    </row>
    <row r="349" spans="1:29" ht="16" customHeight="1" x14ac:dyDescent="0.2">
      <c r="A349" s="1" t="s">
        <v>500</v>
      </c>
      <c r="B349" s="2" t="s">
        <v>164</v>
      </c>
      <c r="C349" s="2">
        <v>58</v>
      </c>
      <c r="D349" s="2" t="s">
        <v>140</v>
      </c>
      <c r="E349" s="2">
        <v>1126</v>
      </c>
      <c r="F349" s="2">
        <v>0</v>
      </c>
      <c r="G349" s="2">
        <v>0</v>
      </c>
      <c r="H349" s="2">
        <v>0</v>
      </c>
      <c r="I349" s="2">
        <v>0</v>
      </c>
      <c r="J349" s="2">
        <v>5</v>
      </c>
      <c r="K349" s="2">
        <v>3</v>
      </c>
      <c r="L349" s="2">
        <v>1</v>
      </c>
      <c r="M349" s="2">
        <v>5</v>
      </c>
      <c r="N349" s="2">
        <v>1</v>
      </c>
      <c r="O349" s="2">
        <v>0</v>
      </c>
      <c r="P349" s="2">
        <v>1</v>
      </c>
      <c r="Q349" s="2">
        <v>1</v>
      </c>
      <c r="R349" s="2">
        <v>0</v>
      </c>
      <c r="S349">
        <v>1</v>
      </c>
      <c r="T349">
        <v>0</v>
      </c>
      <c r="U349">
        <v>1</v>
      </c>
      <c r="V349">
        <v>1</v>
      </c>
      <c r="W349">
        <v>5</v>
      </c>
      <c r="X349">
        <v>-1</v>
      </c>
      <c r="Y349">
        <v>1</v>
      </c>
      <c r="Z349">
        <v>0</v>
      </c>
      <c r="AA349">
        <v>1</v>
      </c>
      <c r="AB349">
        <v>148</v>
      </c>
      <c r="AC349" t="s">
        <v>126</v>
      </c>
    </row>
    <row r="350" spans="1:29" ht="16" customHeight="1" x14ac:dyDescent="0.2">
      <c r="A350" s="1" t="s">
        <v>501</v>
      </c>
      <c r="B350" s="2" t="s">
        <v>168</v>
      </c>
      <c r="C350" s="2">
        <v>59</v>
      </c>
      <c r="D350" s="2" t="s">
        <v>125</v>
      </c>
      <c r="E350" s="2">
        <v>20</v>
      </c>
      <c r="F350" s="2">
        <v>1</v>
      </c>
      <c r="G350" s="2">
        <v>1</v>
      </c>
      <c r="H350" s="2">
        <v>1</v>
      </c>
      <c r="I350" s="2">
        <v>-1</v>
      </c>
      <c r="J350" s="2">
        <v>5</v>
      </c>
      <c r="K350" s="2">
        <v>1</v>
      </c>
      <c r="L350" s="2">
        <v>1</v>
      </c>
      <c r="M350" s="2">
        <v>4</v>
      </c>
      <c r="N350" s="2">
        <v>0</v>
      </c>
      <c r="O350" s="2">
        <v>1</v>
      </c>
      <c r="P350" s="2">
        <v>1</v>
      </c>
      <c r="Q350" s="2">
        <v>1</v>
      </c>
      <c r="R350" s="2">
        <v>0</v>
      </c>
      <c r="S350">
        <v>0</v>
      </c>
      <c r="T350">
        <v>0</v>
      </c>
      <c r="U350">
        <v>1</v>
      </c>
      <c r="V350">
        <v>1</v>
      </c>
      <c r="W350">
        <v>2</v>
      </c>
      <c r="X350">
        <v>-1</v>
      </c>
      <c r="Y350">
        <v>1</v>
      </c>
      <c r="Z350">
        <v>1</v>
      </c>
      <c r="AA350">
        <v>1</v>
      </c>
      <c r="AB350">
        <v>221</v>
      </c>
      <c r="AC350" t="s">
        <v>126</v>
      </c>
    </row>
    <row r="351" spans="1:29" ht="16" customHeight="1" x14ac:dyDescent="0.2">
      <c r="A351" s="1" t="s">
        <v>502</v>
      </c>
      <c r="B351" s="2" t="s">
        <v>176</v>
      </c>
      <c r="C351" s="2">
        <v>59</v>
      </c>
      <c r="D351" s="2" t="s">
        <v>129</v>
      </c>
      <c r="E351" s="2">
        <v>7903</v>
      </c>
      <c r="F351" s="2">
        <v>0</v>
      </c>
      <c r="G351" s="2">
        <v>1</v>
      </c>
      <c r="H351" s="2">
        <v>0</v>
      </c>
      <c r="I351" s="2">
        <v>1</v>
      </c>
      <c r="J351" s="2">
        <v>1</v>
      </c>
      <c r="K351" s="2">
        <v>1</v>
      </c>
      <c r="L351" s="2">
        <v>3</v>
      </c>
      <c r="M351" s="2">
        <v>2</v>
      </c>
      <c r="N351" s="2">
        <v>1</v>
      </c>
      <c r="O351" s="2">
        <v>0</v>
      </c>
      <c r="P351" s="2">
        <v>1</v>
      </c>
      <c r="Q351" s="2">
        <v>0</v>
      </c>
      <c r="R351" s="2">
        <v>1</v>
      </c>
      <c r="S351">
        <v>2</v>
      </c>
      <c r="T351">
        <v>1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136</v>
      </c>
      <c r="AC351" t="s">
        <v>126</v>
      </c>
    </row>
    <row r="352" spans="1:29" ht="16" customHeight="1" x14ac:dyDescent="0.2">
      <c r="A352" s="1" t="s">
        <v>503</v>
      </c>
      <c r="B352" s="2" t="s">
        <v>137</v>
      </c>
      <c r="C352" s="2">
        <v>59</v>
      </c>
      <c r="D352" s="2" t="s">
        <v>132</v>
      </c>
      <c r="E352" s="2">
        <v>1511</v>
      </c>
      <c r="F352" s="2">
        <v>1</v>
      </c>
      <c r="G352" s="2">
        <v>1</v>
      </c>
      <c r="H352" s="2">
        <v>1</v>
      </c>
      <c r="I352" s="2">
        <v>0</v>
      </c>
      <c r="J352" s="2">
        <v>4</v>
      </c>
      <c r="K352" s="2">
        <v>2</v>
      </c>
      <c r="L352" s="2">
        <v>3</v>
      </c>
      <c r="M352" s="2">
        <v>2</v>
      </c>
      <c r="N352" s="2">
        <v>0</v>
      </c>
      <c r="O352" s="2">
        <v>1</v>
      </c>
      <c r="P352" s="2">
        <v>1</v>
      </c>
      <c r="Q352" s="2">
        <v>0</v>
      </c>
      <c r="R352" s="2">
        <v>0</v>
      </c>
      <c r="S352">
        <v>-1</v>
      </c>
      <c r="T352">
        <v>1</v>
      </c>
      <c r="U352">
        <v>0</v>
      </c>
      <c r="V352">
        <v>1</v>
      </c>
      <c r="W352">
        <v>5</v>
      </c>
      <c r="X352">
        <v>0</v>
      </c>
      <c r="Y352">
        <v>0</v>
      </c>
      <c r="Z352">
        <v>1</v>
      </c>
      <c r="AA352">
        <v>0</v>
      </c>
      <c r="AB352">
        <v>60</v>
      </c>
      <c r="AC352" t="s">
        <v>126</v>
      </c>
    </row>
    <row r="353" spans="1:29" ht="16" customHeight="1" x14ac:dyDescent="0.2">
      <c r="A353" s="1" t="s">
        <v>504</v>
      </c>
      <c r="B353" s="2" t="s">
        <v>124</v>
      </c>
      <c r="C353" s="2">
        <v>59</v>
      </c>
      <c r="D353" s="2" t="s">
        <v>135</v>
      </c>
      <c r="E353" s="2">
        <v>1507</v>
      </c>
      <c r="F353" s="2">
        <v>0</v>
      </c>
      <c r="G353" s="2">
        <v>0</v>
      </c>
      <c r="H353" s="2">
        <v>1</v>
      </c>
      <c r="I353" s="2">
        <v>0</v>
      </c>
      <c r="J353" s="2">
        <v>1</v>
      </c>
      <c r="K353" s="2">
        <v>2</v>
      </c>
      <c r="L353" s="2">
        <v>1</v>
      </c>
      <c r="M353" s="2">
        <v>1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>
        <v>0</v>
      </c>
      <c r="T353">
        <v>1</v>
      </c>
      <c r="U353">
        <v>1</v>
      </c>
      <c r="V353">
        <v>1</v>
      </c>
      <c r="W353">
        <v>3</v>
      </c>
      <c r="X353">
        <v>-1</v>
      </c>
      <c r="Y353">
        <v>0</v>
      </c>
      <c r="Z353">
        <v>1</v>
      </c>
      <c r="AA353">
        <v>0</v>
      </c>
      <c r="AB353">
        <v>167</v>
      </c>
      <c r="AC353" t="s">
        <v>126</v>
      </c>
    </row>
    <row r="354" spans="1:29" ht="16" customHeight="1" x14ac:dyDescent="0.2">
      <c r="A354" s="1" t="s">
        <v>505</v>
      </c>
      <c r="B354" s="2" t="s">
        <v>159</v>
      </c>
      <c r="C354" s="2">
        <v>59</v>
      </c>
      <c r="D354" s="2" t="s">
        <v>138</v>
      </c>
      <c r="E354" s="2">
        <v>1591</v>
      </c>
      <c r="F354" s="2">
        <v>1</v>
      </c>
      <c r="G354" s="2">
        <v>1</v>
      </c>
      <c r="H354" s="2">
        <v>1</v>
      </c>
      <c r="I354" s="2">
        <v>1</v>
      </c>
      <c r="J354" s="2">
        <v>4</v>
      </c>
      <c r="K354" s="2">
        <v>1</v>
      </c>
      <c r="L354" s="2">
        <v>3</v>
      </c>
      <c r="M354" s="2">
        <v>5</v>
      </c>
      <c r="N354" s="2">
        <v>1</v>
      </c>
      <c r="O354" s="2">
        <v>0</v>
      </c>
      <c r="P354" s="2">
        <v>1</v>
      </c>
      <c r="Q354" s="2">
        <v>0</v>
      </c>
      <c r="R354" s="2">
        <v>0</v>
      </c>
      <c r="S354">
        <v>0</v>
      </c>
      <c r="T354">
        <v>0</v>
      </c>
      <c r="U354">
        <v>1</v>
      </c>
      <c r="V354">
        <v>1</v>
      </c>
      <c r="W354">
        <v>5</v>
      </c>
      <c r="X354">
        <v>1</v>
      </c>
      <c r="Y354">
        <v>1</v>
      </c>
      <c r="Z354">
        <v>0</v>
      </c>
      <c r="AA354">
        <v>1</v>
      </c>
      <c r="AB354">
        <v>108</v>
      </c>
      <c r="AC354" t="s">
        <v>126</v>
      </c>
    </row>
    <row r="355" spans="1:29" ht="16" customHeight="1" x14ac:dyDescent="0.2">
      <c r="A355" s="1" t="s">
        <v>506</v>
      </c>
      <c r="B355" s="2" t="s">
        <v>161</v>
      </c>
      <c r="C355" s="2">
        <v>59</v>
      </c>
      <c r="D355" s="2" t="s">
        <v>140</v>
      </c>
      <c r="E355" s="2">
        <v>1585</v>
      </c>
      <c r="F355" s="2">
        <v>0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5</v>
      </c>
      <c r="N355" s="2">
        <v>0</v>
      </c>
      <c r="O355" s="2">
        <v>1</v>
      </c>
      <c r="P355" s="2">
        <v>1</v>
      </c>
      <c r="Q355" s="2">
        <v>1</v>
      </c>
      <c r="R355" s="2">
        <v>1</v>
      </c>
      <c r="S355">
        <v>2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1</v>
      </c>
      <c r="Z355">
        <v>1</v>
      </c>
      <c r="AA355">
        <v>1</v>
      </c>
      <c r="AB355">
        <v>62</v>
      </c>
      <c r="AC355" t="s">
        <v>126</v>
      </c>
    </row>
    <row r="356" spans="1:29" ht="16" customHeight="1" x14ac:dyDescent="0.2">
      <c r="A356" s="1" t="s">
        <v>507</v>
      </c>
      <c r="B356" s="2" t="s">
        <v>143</v>
      </c>
      <c r="C356" s="2">
        <v>60</v>
      </c>
      <c r="D356" s="2" t="s">
        <v>125</v>
      </c>
      <c r="E356" s="2">
        <v>340</v>
      </c>
      <c r="F356" s="2">
        <v>0</v>
      </c>
      <c r="G356" s="2">
        <v>0</v>
      </c>
      <c r="H356" s="2">
        <v>1</v>
      </c>
      <c r="I356" s="2">
        <v>1</v>
      </c>
      <c r="J356" s="2">
        <v>3</v>
      </c>
      <c r="K356" s="2">
        <v>3</v>
      </c>
      <c r="L356" s="2">
        <v>3</v>
      </c>
      <c r="M356" s="2">
        <v>3</v>
      </c>
      <c r="N356" s="2">
        <v>0</v>
      </c>
      <c r="O356" s="2">
        <v>1</v>
      </c>
      <c r="P356" s="2">
        <v>0</v>
      </c>
      <c r="Q356" s="2">
        <v>1</v>
      </c>
      <c r="R356" s="2">
        <v>1</v>
      </c>
      <c r="S356">
        <v>-1</v>
      </c>
      <c r="T356">
        <v>1</v>
      </c>
      <c r="U356">
        <v>0</v>
      </c>
      <c r="V356">
        <v>1</v>
      </c>
      <c r="W356">
        <v>1</v>
      </c>
      <c r="X356">
        <v>-1</v>
      </c>
      <c r="Y356">
        <v>0</v>
      </c>
      <c r="Z356">
        <v>1</v>
      </c>
      <c r="AA356">
        <v>0</v>
      </c>
      <c r="AB356">
        <v>4</v>
      </c>
      <c r="AC356" t="s">
        <v>126</v>
      </c>
    </row>
    <row r="357" spans="1:29" ht="16" customHeight="1" x14ac:dyDescent="0.2">
      <c r="A357" s="1" t="s">
        <v>508</v>
      </c>
      <c r="B357" s="2" t="s">
        <v>185</v>
      </c>
      <c r="C357" s="2">
        <v>60</v>
      </c>
      <c r="D357" s="2" t="s">
        <v>129</v>
      </c>
      <c r="E357" s="2">
        <v>9767</v>
      </c>
      <c r="F357" s="2">
        <v>1</v>
      </c>
      <c r="G357" s="2">
        <v>1</v>
      </c>
      <c r="H357" s="2">
        <v>0</v>
      </c>
      <c r="I357" s="2">
        <v>0</v>
      </c>
      <c r="J357" s="2">
        <v>2</v>
      </c>
      <c r="K357" s="2">
        <v>2</v>
      </c>
      <c r="L357" s="2">
        <v>1</v>
      </c>
      <c r="M357" s="2">
        <v>1</v>
      </c>
      <c r="N357" s="2">
        <v>1</v>
      </c>
      <c r="O357" s="2">
        <v>1</v>
      </c>
      <c r="P357" s="2">
        <v>0</v>
      </c>
      <c r="Q357" s="2">
        <v>0</v>
      </c>
      <c r="R357" s="2">
        <v>1</v>
      </c>
      <c r="S357">
        <v>-1</v>
      </c>
      <c r="T357">
        <v>0</v>
      </c>
      <c r="U357">
        <v>1</v>
      </c>
      <c r="V357">
        <v>0</v>
      </c>
      <c r="W357">
        <v>2</v>
      </c>
      <c r="X357">
        <v>0</v>
      </c>
      <c r="Y357">
        <v>1</v>
      </c>
      <c r="Z357">
        <v>0</v>
      </c>
      <c r="AA357">
        <v>1</v>
      </c>
      <c r="AB357">
        <v>139</v>
      </c>
      <c r="AC357" t="s">
        <v>126</v>
      </c>
    </row>
    <row r="358" spans="1:29" ht="16" customHeight="1" x14ac:dyDescent="0.2">
      <c r="A358" s="1" t="s">
        <v>509</v>
      </c>
      <c r="B358" s="2" t="s">
        <v>137</v>
      </c>
      <c r="C358" s="2">
        <v>60</v>
      </c>
      <c r="D358" s="2" t="s">
        <v>132</v>
      </c>
      <c r="E358" s="2">
        <v>4930</v>
      </c>
      <c r="F358" s="2">
        <v>1</v>
      </c>
      <c r="G358" s="2">
        <v>1</v>
      </c>
      <c r="H358" s="2">
        <v>0</v>
      </c>
      <c r="I358" s="2">
        <v>0</v>
      </c>
      <c r="J358" s="2">
        <v>2</v>
      </c>
      <c r="K358" s="2">
        <v>1</v>
      </c>
      <c r="L358" s="2">
        <v>3</v>
      </c>
      <c r="M358" s="2">
        <v>4</v>
      </c>
      <c r="N358" s="2">
        <v>0</v>
      </c>
      <c r="O358" s="2">
        <v>0</v>
      </c>
      <c r="P358" s="2">
        <v>0</v>
      </c>
      <c r="Q358" s="2">
        <v>0</v>
      </c>
      <c r="R358" s="2">
        <v>1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260</v>
      </c>
      <c r="AC358" t="s">
        <v>126</v>
      </c>
    </row>
    <row r="359" spans="1:29" ht="16" customHeight="1" x14ac:dyDescent="0.2">
      <c r="A359" s="1" t="s">
        <v>510</v>
      </c>
      <c r="B359" s="2" t="s">
        <v>147</v>
      </c>
      <c r="C359" s="2">
        <v>60</v>
      </c>
      <c r="D359" s="2" t="s">
        <v>135</v>
      </c>
      <c r="E359" s="2">
        <v>3015</v>
      </c>
      <c r="F359" s="2">
        <v>1</v>
      </c>
      <c r="G359" s="2">
        <v>0</v>
      </c>
      <c r="H359" s="2">
        <v>1</v>
      </c>
      <c r="I359" s="2">
        <v>0</v>
      </c>
      <c r="J359" s="2">
        <v>3</v>
      </c>
      <c r="K359" s="2">
        <v>2</v>
      </c>
      <c r="L359" s="2">
        <v>1</v>
      </c>
      <c r="M359" s="2">
        <v>3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-1</v>
      </c>
      <c r="Y359">
        <v>0</v>
      </c>
      <c r="Z359">
        <v>1</v>
      </c>
      <c r="AA359">
        <v>0</v>
      </c>
      <c r="AB359">
        <v>287</v>
      </c>
      <c r="AC359" t="s">
        <v>126</v>
      </c>
    </row>
    <row r="360" spans="1:29" ht="16" customHeight="1" x14ac:dyDescent="0.2">
      <c r="A360" s="1" t="s">
        <v>511</v>
      </c>
      <c r="B360" s="2" t="s">
        <v>143</v>
      </c>
      <c r="C360" s="2">
        <v>60</v>
      </c>
      <c r="D360" s="2" t="s">
        <v>138</v>
      </c>
      <c r="E360" s="2">
        <v>48</v>
      </c>
      <c r="F360" s="2">
        <v>0</v>
      </c>
      <c r="G360" s="2">
        <v>0</v>
      </c>
      <c r="H360" s="2">
        <v>0</v>
      </c>
      <c r="I360" s="2">
        <v>0</v>
      </c>
      <c r="J360" s="2">
        <v>4</v>
      </c>
      <c r="K360" s="2">
        <v>1</v>
      </c>
      <c r="L360" s="2">
        <v>3</v>
      </c>
      <c r="M360" s="2">
        <v>5</v>
      </c>
      <c r="N360" s="2">
        <v>0</v>
      </c>
      <c r="O360" s="2">
        <v>1</v>
      </c>
      <c r="P360" s="2">
        <v>0</v>
      </c>
      <c r="Q360" s="2">
        <v>1</v>
      </c>
      <c r="R360" s="2">
        <v>1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-1</v>
      </c>
      <c r="Y360">
        <v>0</v>
      </c>
      <c r="Z360">
        <v>1</v>
      </c>
      <c r="AA360">
        <v>0</v>
      </c>
      <c r="AB360">
        <v>59</v>
      </c>
      <c r="AC360" t="s">
        <v>126</v>
      </c>
    </row>
    <row r="361" spans="1:29" ht="16" customHeight="1" x14ac:dyDescent="0.2">
      <c r="A361" s="1" t="s">
        <v>512</v>
      </c>
      <c r="B361" s="2" t="s">
        <v>176</v>
      </c>
      <c r="C361" s="2">
        <v>60</v>
      </c>
      <c r="D361" s="2" t="s">
        <v>140</v>
      </c>
      <c r="E361" s="2">
        <v>4253</v>
      </c>
      <c r="F361" s="2">
        <v>0</v>
      </c>
      <c r="G361" s="2">
        <v>0</v>
      </c>
      <c r="H361" s="2">
        <v>1</v>
      </c>
      <c r="I361" s="2">
        <v>0</v>
      </c>
      <c r="J361" s="2">
        <v>1</v>
      </c>
      <c r="K361" s="2">
        <v>2</v>
      </c>
      <c r="L361" s="2">
        <v>3</v>
      </c>
      <c r="M361" s="2">
        <v>1</v>
      </c>
      <c r="N361" s="2">
        <v>0</v>
      </c>
      <c r="O361" s="2">
        <v>1</v>
      </c>
      <c r="P361" s="2">
        <v>0</v>
      </c>
      <c r="Q361" s="2">
        <v>0</v>
      </c>
      <c r="R361" s="2">
        <v>1</v>
      </c>
      <c r="S361">
        <v>-1</v>
      </c>
      <c r="T361">
        <v>1</v>
      </c>
      <c r="U361">
        <v>1</v>
      </c>
      <c r="V361">
        <v>0</v>
      </c>
      <c r="W361">
        <v>3</v>
      </c>
      <c r="X361">
        <v>1</v>
      </c>
      <c r="Y361">
        <v>0</v>
      </c>
      <c r="Z361">
        <v>0</v>
      </c>
      <c r="AA361">
        <v>1</v>
      </c>
      <c r="AB361">
        <v>77</v>
      </c>
      <c r="AC361" t="s">
        <v>126</v>
      </c>
    </row>
    <row r="362" spans="1:29" ht="16" customHeight="1" x14ac:dyDescent="0.2">
      <c r="A362" s="1" t="s">
        <v>513</v>
      </c>
      <c r="B362" s="2" t="s">
        <v>166</v>
      </c>
      <c r="C362" s="2">
        <v>61</v>
      </c>
      <c r="D362" s="2" t="s">
        <v>125</v>
      </c>
      <c r="E362" s="2">
        <v>3799</v>
      </c>
      <c r="F362" s="2">
        <v>0</v>
      </c>
      <c r="G362" s="2">
        <v>0</v>
      </c>
      <c r="H362" s="2">
        <v>0</v>
      </c>
      <c r="I362" s="2">
        <v>-1</v>
      </c>
      <c r="J362" s="2">
        <v>3</v>
      </c>
      <c r="K362" s="2">
        <v>3</v>
      </c>
      <c r="L362" s="2">
        <v>2</v>
      </c>
      <c r="M362" s="2">
        <v>2</v>
      </c>
      <c r="N362" s="2">
        <v>1</v>
      </c>
      <c r="O362" s="2">
        <v>1</v>
      </c>
      <c r="P362" s="2">
        <v>0</v>
      </c>
      <c r="Q362" s="2">
        <v>1</v>
      </c>
      <c r="R362" s="2">
        <v>1</v>
      </c>
      <c r="S362">
        <v>1</v>
      </c>
      <c r="T362">
        <v>0</v>
      </c>
      <c r="U362">
        <v>1</v>
      </c>
      <c r="V362">
        <v>0</v>
      </c>
      <c r="W362">
        <v>4</v>
      </c>
      <c r="X362">
        <v>1</v>
      </c>
      <c r="Y362">
        <v>0</v>
      </c>
      <c r="Z362">
        <v>1</v>
      </c>
      <c r="AA362">
        <v>0</v>
      </c>
      <c r="AB362">
        <v>166</v>
      </c>
      <c r="AC362" t="s">
        <v>126</v>
      </c>
    </row>
    <row r="363" spans="1:29" ht="16" customHeight="1" x14ac:dyDescent="0.2">
      <c r="A363" s="1" t="s">
        <v>514</v>
      </c>
      <c r="B363" s="2" t="s">
        <v>185</v>
      </c>
      <c r="C363" s="2">
        <v>61</v>
      </c>
      <c r="D363" s="2" t="s">
        <v>129</v>
      </c>
      <c r="E363" s="2">
        <v>432</v>
      </c>
      <c r="F363" s="2">
        <v>0</v>
      </c>
      <c r="G363" s="2">
        <v>0</v>
      </c>
      <c r="H363" s="2">
        <v>1</v>
      </c>
      <c r="I363" s="2">
        <v>0</v>
      </c>
      <c r="J363" s="2">
        <v>4</v>
      </c>
      <c r="K363" s="2">
        <v>1</v>
      </c>
      <c r="L363" s="2">
        <v>3</v>
      </c>
      <c r="M363" s="2">
        <v>4</v>
      </c>
      <c r="N363" s="2">
        <v>0</v>
      </c>
      <c r="O363" s="2">
        <v>1</v>
      </c>
      <c r="P363" s="2">
        <v>0</v>
      </c>
      <c r="Q363" s="2">
        <v>1</v>
      </c>
      <c r="R363" s="2">
        <v>0</v>
      </c>
      <c r="S363">
        <v>1</v>
      </c>
      <c r="T363">
        <v>1</v>
      </c>
      <c r="U363">
        <v>1</v>
      </c>
      <c r="V363">
        <v>0</v>
      </c>
      <c r="W363">
        <v>4</v>
      </c>
      <c r="X363">
        <v>-1</v>
      </c>
      <c r="Y363">
        <v>0</v>
      </c>
      <c r="Z363">
        <v>1</v>
      </c>
      <c r="AA363">
        <v>1</v>
      </c>
      <c r="AB363">
        <v>132</v>
      </c>
      <c r="AC363" t="s">
        <v>126</v>
      </c>
    </row>
    <row r="364" spans="1:29" ht="16" customHeight="1" x14ac:dyDescent="0.2">
      <c r="A364" s="1" t="s">
        <v>515</v>
      </c>
      <c r="B364" s="2" t="s">
        <v>159</v>
      </c>
      <c r="C364" s="2">
        <v>61</v>
      </c>
      <c r="D364" s="2" t="s">
        <v>132</v>
      </c>
      <c r="E364" s="2">
        <v>3951</v>
      </c>
      <c r="F364" s="2">
        <v>1</v>
      </c>
      <c r="G364" s="2">
        <v>1</v>
      </c>
      <c r="H364" s="2">
        <v>0</v>
      </c>
      <c r="I364" s="2">
        <v>0</v>
      </c>
      <c r="J364" s="2">
        <v>1</v>
      </c>
      <c r="K364" s="2">
        <v>1</v>
      </c>
      <c r="L364" s="2">
        <v>3</v>
      </c>
      <c r="M364" s="2">
        <v>5</v>
      </c>
      <c r="N364" s="2">
        <v>1</v>
      </c>
      <c r="O364" s="2">
        <v>1</v>
      </c>
      <c r="P364" s="2">
        <v>0</v>
      </c>
      <c r="Q364" s="2">
        <v>1</v>
      </c>
      <c r="R364" s="2">
        <v>1</v>
      </c>
      <c r="S364">
        <v>-1</v>
      </c>
      <c r="T364">
        <v>0</v>
      </c>
      <c r="U364">
        <v>0</v>
      </c>
      <c r="V364">
        <v>1</v>
      </c>
      <c r="W364">
        <v>5</v>
      </c>
      <c r="X364">
        <v>-1</v>
      </c>
      <c r="Y364">
        <v>0</v>
      </c>
      <c r="Z364">
        <v>1</v>
      </c>
      <c r="AA364">
        <v>1</v>
      </c>
      <c r="AB364">
        <v>187</v>
      </c>
      <c r="AC364" t="s">
        <v>126</v>
      </c>
    </row>
    <row r="365" spans="1:29" ht="16" customHeight="1" x14ac:dyDescent="0.2">
      <c r="A365" s="1" t="s">
        <v>516</v>
      </c>
      <c r="B365" s="2" t="s">
        <v>134</v>
      </c>
      <c r="C365" s="2">
        <v>61</v>
      </c>
      <c r="D365" s="2" t="s">
        <v>135</v>
      </c>
      <c r="E365" s="2">
        <v>6423</v>
      </c>
      <c r="F365" s="2">
        <v>0</v>
      </c>
      <c r="G365" s="2">
        <v>1</v>
      </c>
      <c r="H365" s="2">
        <v>0</v>
      </c>
      <c r="I365" s="2">
        <v>0</v>
      </c>
      <c r="J365" s="2">
        <v>2</v>
      </c>
      <c r="K365" s="2">
        <v>1</v>
      </c>
      <c r="L365" s="2">
        <v>2</v>
      </c>
      <c r="M365" s="2">
        <v>5</v>
      </c>
      <c r="N365" s="2">
        <v>1</v>
      </c>
      <c r="O365" s="2">
        <v>0</v>
      </c>
      <c r="P365" s="2">
        <v>1</v>
      </c>
      <c r="Q365" s="2">
        <v>1</v>
      </c>
      <c r="R365" s="2">
        <v>0</v>
      </c>
      <c r="S365">
        <v>-1</v>
      </c>
      <c r="T365">
        <v>0</v>
      </c>
      <c r="U365">
        <v>1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271</v>
      </c>
      <c r="AC365" t="s">
        <v>126</v>
      </c>
    </row>
    <row r="366" spans="1:29" ht="16" customHeight="1" x14ac:dyDescent="0.2">
      <c r="A366" s="1" t="s">
        <v>517</v>
      </c>
      <c r="B366" s="2" t="s">
        <v>185</v>
      </c>
      <c r="C366" s="2">
        <v>61</v>
      </c>
      <c r="D366" s="2" t="s">
        <v>138</v>
      </c>
      <c r="E366" s="2">
        <v>1781</v>
      </c>
      <c r="F366" s="2">
        <v>1</v>
      </c>
      <c r="G366" s="2">
        <v>0</v>
      </c>
      <c r="H366" s="2">
        <v>0</v>
      </c>
      <c r="I366" s="2">
        <v>1</v>
      </c>
      <c r="J366" s="2">
        <v>2</v>
      </c>
      <c r="K366" s="2">
        <v>1</v>
      </c>
      <c r="L366" s="2">
        <v>3</v>
      </c>
      <c r="M366" s="2">
        <v>2</v>
      </c>
      <c r="N366" s="2">
        <v>0</v>
      </c>
      <c r="O366" s="2">
        <v>0</v>
      </c>
      <c r="P366" s="2">
        <v>1</v>
      </c>
      <c r="Q366" s="2">
        <v>1</v>
      </c>
      <c r="R366" s="2">
        <v>1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251</v>
      </c>
      <c r="AC366" t="s">
        <v>126</v>
      </c>
    </row>
    <row r="367" spans="1:29" ht="16" customHeight="1" x14ac:dyDescent="0.2">
      <c r="A367" s="1" t="s">
        <v>518</v>
      </c>
      <c r="B367" s="2" t="s">
        <v>164</v>
      </c>
      <c r="C367" s="2">
        <v>61</v>
      </c>
      <c r="D367" s="2" t="s">
        <v>140</v>
      </c>
      <c r="E367" s="2">
        <v>424</v>
      </c>
      <c r="F367" s="2">
        <v>1</v>
      </c>
      <c r="G367" s="2">
        <v>0</v>
      </c>
      <c r="H367" s="2">
        <v>1</v>
      </c>
      <c r="I367" s="2">
        <v>1</v>
      </c>
      <c r="J367" s="2">
        <v>5</v>
      </c>
      <c r="K367" s="2">
        <v>2</v>
      </c>
      <c r="L367" s="2">
        <v>2</v>
      </c>
      <c r="M367" s="2">
        <v>1</v>
      </c>
      <c r="N367" s="2">
        <v>0</v>
      </c>
      <c r="O367" s="2">
        <v>0</v>
      </c>
      <c r="P367" s="2">
        <v>1</v>
      </c>
      <c r="Q367" s="2">
        <v>1</v>
      </c>
      <c r="R367" s="2">
        <v>1</v>
      </c>
      <c r="S367">
        <v>-1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1</v>
      </c>
      <c r="AB367">
        <v>58</v>
      </c>
      <c r="AC367" t="s">
        <v>126</v>
      </c>
    </row>
    <row r="368" spans="1:29" ht="16" customHeight="1" x14ac:dyDescent="0.2">
      <c r="A368" s="1" t="s">
        <v>519</v>
      </c>
      <c r="B368" s="2" t="s">
        <v>124</v>
      </c>
      <c r="C368" s="2">
        <v>62</v>
      </c>
      <c r="D368" s="2" t="s">
        <v>125</v>
      </c>
      <c r="E368" s="2">
        <v>353</v>
      </c>
      <c r="F368" s="2">
        <v>0</v>
      </c>
      <c r="G368" s="2">
        <v>1</v>
      </c>
      <c r="H368" s="2">
        <v>1</v>
      </c>
      <c r="I368" s="2">
        <v>-1</v>
      </c>
      <c r="J368" s="2">
        <v>4</v>
      </c>
      <c r="K368" s="2">
        <v>2</v>
      </c>
      <c r="L368" s="2">
        <v>1</v>
      </c>
      <c r="M368" s="2">
        <v>4</v>
      </c>
      <c r="N368" s="2">
        <v>1</v>
      </c>
      <c r="O368" s="2">
        <v>1</v>
      </c>
      <c r="P368" s="2">
        <v>0</v>
      </c>
      <c r="Q368" s="2">
        <v>1</v>
      </c>
      <c r="R368" s="2">
        <v>0</v>
      </c>
      <c r="S368">
        <v>2</v>
      </c>
      <c r="T368">
        <v>0</v>
      </c>
      <c r="U368">
        <v>1</v>
      </c>
      <c r="V368">
        <v>1</v>
      </c>
      <c r="W368">
        <v>3</v>
      </c>
      <c r="X368">
        <v>1</v>
      </c>
      <c r="Y368">
        <v>0</v>
      </c>
      <c r="Z368">
        <v>1</v>
      </c>
      <c r="AA368">
        <v>0</v>
      </c>
      <c r="AB368">
        <v>273</v>
      </c>
      <c r="AC368" t="s">
        <v>126</v>
      </c>
    </row>
    <row r="369" spans="1:29" ht="16" customHeight="1" x14ac:dyDescent="0.2">
      <c r="A369" s="1" t="s">
        <v>520</v>
      </c>
      <c r="B369" s="2" t="s">
        <v>147</v>
      </c>
      <c r="C369" s="2">
        <v>62</v>
      </c>
      <c r="D369" s="2" t="s">
        <v>129</v>
      </c>
      <c r="E369" s="2">
        <v>9016</v>
      </c>
      <c r="F369" s="2">
        <v>1</v>
      </c>
      <c r="G369" s="2">
        <v>0</v>
      </c>
      <c r="H369" s="2">
        <v>1</v>
      </c>
      <c r="I369" s="2">
        <v>0</v>
      </c>
      <c r="J369" s="2">
        <v>2</v>
      </c>
      <c r="K369" s="2">
        <v>2</v>
      </c>
      <c r="L369" s="2">
        <v>1</v>
      </c>
      <c r="M369" s="2">
        <v>1</v>
      </c>
      <c r="N369" s="2">
        <v>0</v>
      </c>
      <c r="O369" s="2">
        <v>1</v>
      </c>
      <c r="P369" s="2">
        <v>1</v>
      </c>
      <c r="Q369" s="2">
        <v>0</v>
      </c>
      <c r="R369" s="2">
        <v>1</v>
      </c>
      <c r="S369">
        <v>0</v>
      </c>
      <c r="T369">
        <v>0</v>
      </c>
      <c r="U369">
        <v>0</v>
      </c>
      <c r="V369">
        <v>1</v>
      </c>
      <c r="W369">
        <v>4</v>
      </c>
      <c r="X369">
        <v>-1</v>
      </c>
      <c r="Y369">
        <v>0</v>
      </c>
      <c r="Z369">
        <v>1</v>
      </c>
      <c r="AA369">
        <v>0</v>
      </c>
      <c r="AB369">
        <v>64</v>
      </c>
      <c r="AC369" t="s">
        <v>126</v>
      </c>
    </row>
    <row r="370" spans="1:29" ht="16" customHeight="1" x14ac:dyDescent="0.2">
      <c r="A370" s="1" t="s">
        <v>521</v>
      </c>
      <c r="B370" s="2" t="s">
        <v>208</v>
      </c>
      <c r="C370" s="2">
        <v>62</v>
      </c>
      <c r="D370" s="2" t="s">
        <v>132</v>
      </c>
      <c r="E370" s="2">
        <v>564</v>
      </c>
      <c r="F370" s="2">
        <v>0</v>
      </c>
      <c r="G370" s="2">
        <v>1</v>
      </c>
      <c r="H370" s="2">
        <v>1</v>
      </c>
      <c r="I370" s="2">
        <v>1</v>
      </c>
      <c r="J370" s="2">
        <v>3</v>
      </c>
      <c r="K370" s="2">
        <v>3</v>
      </c>
      <c r="L370" s="2">
        <v>1</v>
      </c>
      <c r="M370" s="2">
        <v>2</v>
      </c>
      <c r="N370" s="2">
        <v>1</v>
      </c>
      <c r="O370" s="2">
        <v>0</v>
      </c>
      <c r="P370" s="2">
        <v>1</v>
      </c>
      <c r="Q370" s="2">
        <v>0</v>
      </c>
      <c r="R370" s="2">
        <v>0</v>
      </c>
      <c r="S370">
        <v>3</v>
      </c>
      <c r="T370">
        <v>1</v>
      </c>
      <c r="U370">
        <v>1</v>
      </c>
      <c r="V370">
        <v>1</v>
      </c>
      <c r="W370">
        <v>2</v>
      </c>
      <c r="X370">
        <v>-1</v>
      </c>
      <c r="Y370">
        <v>0</v>
      </c>
      <c r="Z370">
        <v>0</v>
      </c>
      <c r="AA370">
        <v>0</v>
      </c>
      <c r="AB370">
        <v>281</v>
      </c>
      <c r="AC370" t="s">
        <v>126</v>
      </c>
    </row>
    <row r="371" spans="1:29" ht="16" customHeight="1" x14ac:dyDescent="0.2">
      <c r="A371" s="1" t="s">
        <v>522</v>
      </c>
      <c r="B371" s="2" t="s">
        <v>143</v>
      </c>
      <c r="C371" s="2">
        <v>62</v>
      </c>
      <c r="D371" s="2" t="s">
        <v>135</v>
      </c>
      <c r="E371" s="2">
        <v>3181</v>
      </c>
      <c r="F371" s="2">
        <v>0</v>
      </c>
      <c r="G371" s="2">
        <v>1</v>
      </c>
      <c r="H371" s="2">
        <v>0</v>
      </c>
      <c r="I371" s="2">
        <v>-1</v>
      </c>
      <c r="J371" s="2">
        <v>4</v>
      </c>
      <c r="K371" s="2">
        <v>1</v>
      </c>
      <c r="L371" s="2">
        <v>1</v>
      </c>
      <c r="M371" s="2">
        <v>4</v>
      </c>
      <c r="N371" s="2">
        <v>1</v>
      </c>
      <c r="O371" s="2">
        <v>0</v>
      </c>
      <c r="P371" s="2">
        <v>1</v>
      </c>
      <c r="Q371" s="2">
        <v>0</v>
      </c>
      <c r="R371" s="2">
        <v>1</v>
      </c>
      <c r="S371">
        <v>0</v>
      </c>
      <c r="T371">
        <v>1</v>
      </c>
      <c r="U371">
        <v>1</v>
      </c>
      <c r="V371">
        <v>0</v>
      </c>
      <c r="W371">
        <v>2</v>
      </c>
      <c r="X371">
        <v>-1</v>
      </c>
      <c r="Y371">
        <v>0</v>
      </c>
      <c r="Z371">
        <v>0</v>
      </c>
      <c r="AA371">
        <v>0</v>
      </c>
      <c r="AB371">
        <v>152</v>
      </c>
      <c r="AC371" t="s">
        <v>126</v>
      </c>
    </row>
    <row r="372" spans="1:29" ht="16" customHeight="1" x14ac:dyDescent="0.2">
      <c r="A372" s="1" t="s">
        <v>523</v>
      </c>
      <c r="B372" s="2" t="s">
        <v>131</v>
      </c>
      <c r="C372" s="2">
        <v>62</v>
      </c>
      <c r="D372" s="2" t="s">
        <v>138</v>
      </c>
      <c r="E372" s="2">
        <v>6868</v>
      </c>
      <c r="F372" s="2">
        <v>1</v>
      </c>
      <c r="G372" s="2">
        <v>1</v>
      </c>
      <c r="H372" s="2">
        <v>0</v>
      </c>
      <c r="I372" s="2">
        <v>0</v>
      </c>
      <c r="J372" s="2">
        <v>4</v>
      </c>
      <c r="K372" s="2">
        <v>1</v>
      </c>
      <c r="L372" s="2">
        <v>1</v>
      </c>
      <c r="M372" s="2">
        <v>5</v>
      </c>
      <c r="N372" s="2">
        <v>0</v>
      </c>
      <c r="O372" s="2">
        <v>1</v>
      </c>
      <c r="P372" s="2">
        <v>1</v>
      </c>
      <c r="Q372" s="2">
        <v>1</v>
      </c>
      <c r="R372" s="2">
        <v>1</v>
      </c>
      <c r="S372">
        <v>0</v>
      </c>
      <c r="T372">
        <v>1</v>
      </c>
      <c r="U372">
        <v>0</v>
      </c>
      <c r="V372">
        <v>0</v>
      </c>
      <c r="W372">
        <v>2</v>
      </c>
      <c r="X372">
        <v>-1</v>
      </c>
      <c r="Y372">
        <v>0</v>
      </c>
      <c r="Z372">
        <v>0</v>
      </c>
      <c r="AA372">
        <v>0</v>
      </c>
      <c r="AB372">
        <v>56</v>
      </c>
      <c r="AC372" t="s">
        <v>126</v>
      </c>
    </row>
    <row r="373" spans="1:29" ht="16" customHeight="1" x14ac:dyDescent="0.2">
      <c r="A373" s="1" t="s">
        <v>524</v>
      </c>
      <c r="B373" s="2" t="s">
        <v>147</v>
      </c>
      <c r="C373" s="2">
        <v>62</v>
      </c>
      <c r="D373" s="2" t="s">
        <v>140</v>
      </c>
      <c r="E373" s="2">
        <v>578</v>
      </c>
      <c r="F373" s="2">
        <v>1</v>
      </c>
      <c r="G373" s="2">
        <v>1</v>
      </c>
      <c r="H373" s="2">
        <v>1</v>
      </c>
      <c r="I373" s="2">
        <v>1</v>
      </c>
      <c r="J373" s="2">
        <v>5</v>
      </c>
      <c r="K373" s="2">
        <v>3</v>
      </c>
      <c r="L373" s="2">
        <v>3</v>
      </c>
      <c r="M373" s="2">
        <v>1</v>
      </c>
      <c r="N373" s="2">
        <v>1</v>
      </c>
      <c r="O373" s="2">
        <v>0</v>
      </c>
      <c r="P373" s="2">
        <v>1</v>
      </c>
      <c r="Q373" s="2">
        <v>1</v>
      </c>
      <c r="R373" s="2">
        <v>1</v>
      </c>
      <c r="S373">
        <v>2</v>
      </c>
      <c r="T373">
        <v>0</v>
      </c>
      <c r="U373">
        <v>1</v>
      </c>
      <c r="V373">
        <v>0</v>
      </c>
      <c r="W373">
        <v>2</v>
      </c>
      <c r="X373">
        <v>-1</v>
      </c>
      <c r="Y373">
        <v>0</v>
      </c>
      <c r="Z373">
        <v>1</v>
      </c>
      <c r="AA373">
        <v>0</v>
      </c>
      <c r="AB373">
        <v>156</v>
      </c>
      <c r="AC373" t="s">
        <v>126</v>
      </c>
    </row>
    <row r="374" spans="1:29" ht="16" customHeight="1" x14ac:dyDescent="0.2">
      <c r="A374" s="1" t="s">
        <v>525</v>
      </c>
      <c r="B374" s="2" t="s">
        <v>164</v>
      </c>
      <c r="C374" s="2">
        <v>63</v>
      </c>
      <c r="D374" s="2" t="s">
        <v>125</v>
      </c>
      <c r="E374" s="2">
        <v>1056</v>
      </c>
      <c r="F374" s="2">
        <v>1</v>
      </c>
      <c r="G374" s="2">
        <v>0</v>
      </c>
      <c r="H374" s="2">
        <v>1</v>
      </c>
      <c r="I374" s="2">
        <v>1</v>
      </c>
      <c r="J374" s="2">
        <v>1</v>
      </c>
      <c r="K374" s="2">
        <v>3</v>
      </c>
      <c r="L374" s="2">
        <v>3</v>
      </c>
      <c r="M374" s="2">
        <v>4</v>
      </c>
      <c r="N374" s="2">
        <v>1</v>
      </c>
      <c r="O374" s="2">
        <v>1</v>
      </c>
      <c r="P374" s="2">
        <v>0</v>
      </c>
      <c r="Q374" s="2">
        <v>0</v>
      </c>
      <c r="R374" s="2">
        <v>1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211</v>
      </c>
      <c r="AC374" t="s">
        <v>126</v>
      </c>
    </row>
    <row r="375" spans="1:29" ht="16" customHeight="1" x14ac:dyDescent="0.2">
      <c r="A375" s="1" t="s">
        <v>526</v>
      </c>
      <c r="B375" s="2" t="s">
        <v>161</v>
      </c>
      <c r="C375" s="2">
        <v>63</v>
      </c>
      <c r="D375" s="2" t="s">
        <v>129</v>
      </c>
      <c r="E375" s="2">
        <v>325</v>
      </c>
      <c r="F375" s="2">
        <v>0</v>
      </c>
      <c r="G375" s="2">
        <v>1</v>
      </c>
      <c r="H375" s="2">
        <v>1</v>
      </c>
      <c r="I375" s="2">
        <v>0</v>
      </c>
      <c r="J375" s="2">
        <v>4</v>
      </c>
      <c r="K375" s="2">
        <v>3</v>
      </c>
      <c r="L375" s="2">
        <v>2</v>
      </c>
      <c r="M375" s="2">
        <v>5</v>
      </c>
      <c r="N375" s="2">
        <v>0</v>
      </c>
      <c r="O375" s="2">
        <v>1</v>
      </c>
      <c r="P375" s="2">
        <v>1</v>
      </c>
      <c r="Q375" s="2">
        <v>1</v>
      </c>
      <c r="R375" s="2">
        <v>0</v>
      </c>
      <c r="S375">
        <v>3</v>
      </c>
      <c r="T375">
        <v>0</v>
      </c>
      <c r="U375">
        <v>0</v>
      </c>
      <c r="V375">
        <v>1</v>
      </c>
      <c r="W375">
        <v>2</v>
      </c>
      <c r="X375">
        <v>1</v>
      </c>
      <c r="Y375">
        <v>1</v>
      </c>
      <c r="Z375">
        <v>0</v>
      </c>
      <c r="AA375">
        <v>1</v>
      </c>
      <c r="AB375">
        <v>163</v>
      </c>
      <c r="AC375" t="s">
        <v>126</v>
      </c>
    </row>
    <row r="376" spans="1:29" ht="16" customHeight="1" x14ac:dyDescent="0.2">
      <c r="A376" s="1" t="s">
        <v>527</v>
      </c>
      <c r="B376" s="2" t="s">
        <v>147</v>
      </c>
      <c r="C376" s="2">
        <v>63</v>
      </c>
      <c r="D376" s="2" t="s">
        <v>132</v>
      </c>
      <c r="E376" s="2">
        <v>144</v>
      </c>
      <c r="F376" s="2">
        <v>1</v>
      </c>
      <c r="G376" s="2">
        <v>1</v>
      </c>
      <c r="H376" s="2">
        <v>1</v>
      </c>
      <c r="I376" s="2">
        <v>0</v>
      </c>
      <c r="J376" s="2">
        <v>3</v>
      </c>
      <c r="K376" s="2">
        <v>2</v>
      </c>
      <c r="L376" s="2">
        <v>3</v>
      </c>
      <c r="M376" s="2">
        <v>4</v>
      </c>
      <c r="N376" s="2">
        <v>1</v>
      </c>
      <c r="O376" s="2">
        <v>0</v>
      </c>
      <c r="P376" s="2">
        <v>1</v>
      </c>
      <c r="Q376" s="2">
        <v>1</v>
      </c>
      <c r="R376" s="2">
        <v>1</v>
      </c>
      <c r="S376">
        <v>-1</v>
      </c>
      <c r="T376">
        <v>1</v>
      </c>
      <c r="U376">
        <v>0</v>
      </c>
      <c r="V376">
        <v>0</v>
      </c>
      <c r="W376">
        <v>5</v>
      </c>
      <c r="X376">
        <v>1</v>
      </c>
      <c r="Y376">
        <v>0</v>
      </c>
      <c r="Z376">
        <v>0</v>
      </c>
      <c r="AA376">
        <v>1</v>
      </c>
      <c r="AB376">
        <v>41</v>
      </c>
      <c r="AC376" t="s">
        <v>126</v>
      </c>
    </row>
    <row r="377" spans="1:29" ht="16" customHeight="1" x14ac:dyDescent="0.2">
      <c r="A377" s="1" t="s">
        <v>528</v>
      </c>
      <c r="B377" s="2" t="s">
        <v>147</v>
      </c>
      <c r="C377" s="2">
        <v>63</v>
      </c>
      <c r="D377" s="2" t="s">
        <v>135</v>
      </c>
      <c r="E377" s="2">
        <v>1405</v>
      </c>
      <c r="F377" s="2">
        <v>1</v>
      </c>
      <c r="G377" s="2">
        <v>0</v>
      </c>
      <c r="H377" s="2">
        <v>1</v>
      </c>
      <c r="I377" s="2">
        <v>0</v>
      </c>
      <c r="J377" s="2">
        <v>3</v>
      </c>
      <c r="K377" s="2">
        <v>3</v>
      </c>
      <c r="L377" s="2">
        <v>1</v>
      </c>
      <c r="M377" s="2">
        <v>5</v>
      </c>
      <c r="N377" s="2">
        <v>1</v>
      </c>
      <c r="O377" s="2">
        <v>0</v>
      </c>
      <c r="P377" s="2">
        <v>0</v>
      </c>
      <c r="Q377" s="2">
        <v>0</v>
      </c>
      <c r="R377" s="2">
        <v>0</v>
      </c>
      <c r="S377">
        <v>3</v>
      </c>
      <c r="T377">
        <v>1</v>
      </c>
      <c r="U377">
        <v>1</v>
      </c>
      <c r="V377">
        <v>0</v>
      </c>
      <c r="W377">
        <v>5</v>
      </c>
      <c r="X377">
        <v>1</v>
      </c>
      <c r="Y377">
        <v>0</v>
      </c>
      <c r="Z377">
        <v>1</v>
      </c>
      <c r="AA377">
        <v>0</v>
      </c>
      <c r="AB377">
        <v>213</v>
      </c>
      <c r="AC377" t="s">
        <v>126</v>
      </c>
    </row>
    <row r="378" spans="1:29" ht="16" customHeight="1" x14ac:dyDescent="0.2">
      <c r="A378" s="1" t="s">
        <v>529</v>
      </c>
      <c r="B378" s="2" t="s">
        <v>166</v>
      </c>
      <c r="C378" s="2">
        <v>63</v>
      </c>
      <c r="D378" s="2" t="s">
        <v>138</v>
      </c>
      <c r="E378" s="2">
        <v>3173</v>
      </c>
      <c r="F378" s="2">
        <v>1</v>
      </c>
      <c r="G378" s="2">
        <v>1</v>
      </c>
      <c r="H378" s="2">
        <v>0</v>
      </c>
      <c r="I378" s="2">
        <v>-1</v>
      </c>
      <c r="J378" s="2">
        <v>5</v>
      </c>
      <c r="K378" s="2">
        <v>1</v>
      </c>
      <c r="L378" s="2">
        <v>2</v>
      </c>
      <c r="M378" s="2">
        <v>2</v>
      </c>
      <c r="N378" s="2">
        <v>1</v>
      </c>
      <c r="O378" s="2">
        <v>1</v>
      </c>
      <c r="P378" s="2">
        <v>0</v>
      </c>
      <c r="Q378" s="2">
        <v>0</v>
      </c>
      <c r="R378" s="2">
        <v>1</v>
      </c>
      <c r="S378">
        <v>2</v>
      </c>
      <c r="T378">
        <v>1</v>
      </c>
      <c r="U378">
        <v>1</v>
      </c>
      <c r="V378">
        <v>0</v>
      </c>
      <c r="W378">
        <v>2</v>
      </c>
      <c r="X378">
        <v>-1</v>
      </c>
      <c r="Y378">
        <v>0</v>
      </c>
      <c r="Z378">
        <v>0</v>
      </c>
      <c r="AA378">
        <v>1</v>
      </c>
      <c r="AB378">
        <v>280</v>
      </c>
      <c r="AC378" t="s">
        <v>126</v>
      </c>
    </row>
    <row r="379" spans="1:29" ht="16" customHeight="1" x14ac:dyDescent="0.2">
      <c r="A379" s="1" t="s">
        <v>530</v>
      </c>
      <c r="B379" s="2" t="s">
        <v>128</v>
      </c>
      <c r="C379" s="2">
        <v>63</v>
      </c>
      <c r="D379" s="2" t="s">
        <v>140</v>
      </c>
      <c r="E379" s="2">
        <v>2340</v>
      </c>
      <c r="F379" s="2">
        <v>1</v>
      </c>
      <c r="G379" s="2">
        <v>0</v>
      </c>
      <c r="H379" s="2">
        <v>1</v>
      </c>
      <c r="I379" s="2">
        <v>1</v>
      </c>
      <c r="J379" s="2">
        <v>4</v>
      </c>
      <c r="K379" s="2">
        <v>2</v>
      </c>
      <c r="L379" s="2">
        <v>1</v>
      </c>
      <c r="M379" s="2">
        <v>2</v>
      </c>
      <c r="N379" s="2">
        <v>1</v>
      </c>
      <c r="O379" s="2">
        <v>1</v>
      </c>
      <c r="P379" s="2">
        <v>0</v>
      </c>
      <c r="Q379" s="2">
        <v>1</v>
      </c>
      <c r="R379" s="2">
        <v>1</v>
      </c>
      <c r="S379">
        <v>2</v>
      </c>
      <c r="T379">
        <v>0</v>
      </c>
      <c r="U379">
        <v>0</v>
      </c>
      <c r="V379">
        <v>0</v>
      </c>
      <c r="W379">
        <v>1</v>
      </c>
      <c r="X379">
        <v>-1</v>
      </c>
      <c r="Y379">
        <v>0</v>
      </c>
      <c r="Z379">
        <v>0</v>
      </c>
      <c r="AA379">
        <v>0</v>
      </c>
      <c r="AB379">
        <v>192</v>
      </c>
      <c r="AC379" t="s">
        <v>126</v>
      </c>
    </row>
    <row r="380" spans="1:29" ht="16" customHeight="1" x14ac:dyDescent="0.2">
      <c r="A380" s="1" t="s">
        <v>531</v>
      </c>
      <c r="B380" s="2" t="s">
        <v>181</v>
      </c>
      <c r="C380" s="2">
        <v>64</v>
      </c>
      <c r="D380" s="2" t="s">
        <v>125</v>
      </c>
      <c r="E380" s="2">
        <v>3044</v>
      </c>
      <c r="F380" s="2">
        <v>0</v>
      </c>
      <c r="G380" s="2">
        <v>0</v>
      </c>
      <c r="H380" s="2">
        <v>0</v>
      </c>
      <c r="I380" s="2">
        <v>0</v>
      </c>
      <c r="J380" s="2">
        <v>3</v>
      </c>
      <c r="K380" s="2">
        <v>3</v>
      </c>
      <c r="L380" s="2">
        <v>2</v>
      </c>
      <c r="M380" s="2">
        <v>5</v>
      </c>
      <c r="N380" s="2">
        <v>0</v>
      </c>
      <c r="O380" s="2">
        <v>1</v>
      </c>
      <c r="P380" s="2">
        <v>1</v>
      </c>
      <c r="Q380" s="2">
        <v>1</v>
      </c>
      <c r="R380" s="2">
        <v>1</v>
      </c>
      <c r="S380">
        <v>-1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</v>
      </c>
      <c r="AB380">
        <v>40</v>
      </c>
      <c r="AC380" t="s">
        <v>126</v>
      </c>
    </row>
    <row r="381" spans="1:29" ht="16" customHeight="1" x14ac:dyDescent="0.2">
      <c r="A381" s="1" t="s">
        <v>532</v>
      </c>
      <c r="B381" s="2" t="s">
        <v>193</v>
      </c>
      <c r="C381" s="2">
        <v>64</v>
      </c>
      <c r="D381" s="2" t="s">
        <v>129</v>
      </c>
      <c r="E381" s="2">
        <v>810</v>
      </c>
      <c r="F381" s="2">
        <v>0</v>
      </c>
      <c r="G381" s="2">
        <v>1</v>
      </c>
      <c r="H381" s="2">
        <v>0</v>
      </c>
      <c r="I381" s="2">
        <v>-1</v>
      </c>
      <c r="J381" s="2">
        <v>5</v>
      </c>
      <c r="K381" s="2">
        <v>1</v>
      </c>
      <c r="L381" s="2">
        <v>3</v>
      </c>
      <c r="M381" s="2">
        <v>2</v>
      </c>
      <c r="N381" s="2">
        <v>1</v>
      </c>
      <c r="O381" s="2">
        <v>1</v>
      </c>
      <c r="P381" s="2">
        <v>1</v>
      </c>
      <c r="Q381" s="2">
        <v>1</v>
      </c>
      <c r="R381" s="2">
        <v>0</v>
      </c>
      <c r="S381">
        <v>2</v>
      </c>
      <c r="T381">
        <v>1</v>
      </c>
      <c r="U381">
        <v>1</v>
      </c>
      <c r="V381">
        <v>1</v>
      </c>
      <c r="W381">
        <v>2</v>
      </c>
      <c r="X381">
        <v>0</v>
      </c>
      <c r="Y381">
        <v>1</v>
      </c>
      <c r="Z381">
        <v>1</v>
      </c>
      <c r="AA381">
        <v>1</v>
      </c>
      <c r="AB381">
        <v>95</v>
      </c>
      <c r="AC381" t="s">
        <v>126</v>
      </c>
    </row>
    <row r="382" spans="1:29" ht="16" customHeight="1" x14ac:dyDescent="0.2">
      <c r="A382" s="1" t="s">
        <v>533</v>
      </c>
      <c r="B382" s="2" t="s">
        <v>157</v>
      </c>
      <c r="C382" s="2">
        <v>64</v>
      </c>
      <c r="D382" s="2" t="s">
        <v>132</v>
      </c>
      <c r="E382" s="2">
        <v>639</v>
      </c>
      <c r="F382" s="2">
        <v>1</v>
      </c>
      <c r="G382" s="2">
        <v>1</v>
      </c>
      <c r="H382" s="2">
        <v>0</v>
      </c>
      <c r="I382" s="2">
        <v>1</v>
      </c>
      <c r="J382" s="2">
        <v>2</v>
      </c>
      <c r="K382" s="2">
        <v>2</v>
      </c>
      <c r="L382" s="2">
        <v>3</v>
      </c>
      <c r="M382" s="2">
        <v>3</v>
      </c>
      <c r="N382" s="2">
        <v>1</v>
      </c>
      <c r="O382" s="2">
        <v>1</v>
      </c>
      <c r="P382" s="2">
        <v>1</v>
      </c>
      <c r="Q382" s="2">
        <v>1</v>
      </c>
      <c r="R382" s="2">
        <v>1</v>
      </c>
      <c r="S382">
        <v>0</v>
      </c>
      <c r="T382">
        <v>0</v>
      </c>
      <c r="U382">
        <v>1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191</v>
      </c>
      <c r="AC382" t="s">
        <v>126</v>
      </c>
    </row>
    <row r="383" spans="1:29" ht="16" customHeight="1" x14ac:dyDescent="0.2">
      <c r="A383" s="1" t="s">
        <v>534</v>
      </c>
      <c r="B383" s="2" t="s">
        <v>131</v>
      </c>
      <c r="C383" s="2">
        <v>64</v>
      </c>
      <c r="D383" s="2" t="s">
        <v>135</v>
      </c>
      <c r="E383" s="2">
        <v>4093</v>
      </c>
      <c r="F383" s="2">
        <v>0</v>
      </c>
      <c r="G383" s="2">
        <v>0</v>
      </c>
      <c r="H383" s="2">
        <v>0</v>
      </c>
      <c r="I383" s="2">
        <v>-1</v>
      </c>
      <c r="J383" s="2">
        <v>4</v>
      </c>
      <c r="K383" s="2">
        <v>2</v>
      </c>
      <c r="L383" s="2">
        <v>2</v>
      </c>
      <c r="M383" s="2">
        <v>3</v>
      </c>
      <c r="N383" s="2">
        <v>1</v>
      </c>
      <c r="O383" s="2">
        <v>0</v>
      </c>
      <c r="P383" s="2">
        <v>0</v>
      </c>
      <c r="Q383" s="2">
        <v>0</v>
      </c>
      <c r="R383" s="2">
        <v>1</v>
      </c>
      <c r="S383">
        <v>1</v>
      </c>
      <c r="T383">
        <v>1</v>
      </c>
      <c r="U383">
        <v>1</v>
      </c>
      <c r="V383">
        <v>1</v>
      </c>
      <c r="W383">
        <v>3</v>
      </c>
      <c r="X383">
        <v>-1</v>
      </c>
      <c r="Y383">
        <v>0</v>
      </c>
      <c r="Z383">
        <v>0</v>
      </c>
      <c r="AA383">
        <v>1</v>
      </c>
      <c r="AB383">
        <v>196</v>
      </c>
      <c r="AC383" t="s">
        <v>126</v>
      </c>
    </row>
    <row r="384" spans="1:29" ht="16" customHeight="1" x14ac:dyDescent="0.2">
      <c r="A384" s="1" t="s">
        <v>535</v>
      </c>
      <c r="B384" s="2" t="s">
        <v>157</v>
      </c>
      <c r="C384" s="2">
        <v>64</v>
      </c>
      <c r="D384" s="2" t="s">
        <v>138</v>
      </c>
      <c r="E384" s="2">
        <v>1468</v>
      </c>
      <c r="F384" s="2">
        <v>1</v>
      </c>
      <c r="G384" s="2">
        <v>0</v>
      </c>
      <c r="H384" s="2">
        <v>0</v>
      </c>
      <c r="I384" s="2">
        <v>0</v>
      </c>
      <c r="J384" s="2">
        <v>5</v>
      </c>
      <c r="K384" s="2">
        <v>2</v>
      </c>
      <c r="L384" s="2">
        <v>3</v>
      </c>
      <c r="M384" s="2">
        <v>3</v>
      </c>
      <c r="N384" s="2">
        <v>1</v>
      </c>
      <c r="O384" s="2">
        <v>1</v>
      </c>
      <c r="P384" s="2">
        <v>0</v>
      </c>
      <c r="Q384" s="2">
        <v>0</v>
      </c>
      <c r="R384" s="2">
        <v>1</v>
      </c>
      <c r="S384">
        <v>0</v>
      </c>
      <c r="T384">
        <v>0</v>
      </c>
      <c r="U384">
        <v>1</v>
      </c>
      <c r="V384">
        <v>1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142</v>
      </c>
      <c r="AC384" t="s">
        <v>126</v>
      </c>
    </row>
    <row r="385" spans="1:29" ht="16" customHeight="1" x14ac:dyDescent="0.2">
      <c r="A385" s="1" t="s">
        <v>536</v>
      </c>
      <c r="B385" s="2" t="s">
        <v>145</v>
      </c>
      <c r="C385" s="2">
        <v>64</v>
      </c>
      <c r="D385" s="2" t="s">
        <v>140</v>
      </c>
      <c r="E385" s="2">
        <v>378</v>
      </c>
      <c r="F385" s="2">
        <v>1</v>
      </c>
      <c r="G385" s="2">
        <v>1</v>
      </c>
      <c r="H385" s="2">
        <v>0</v>
      </c>
      <c r="I385" s="2">
        <v>-1</v>
      </c>
      <c r="J385" s="2">
        <v>5</v>
      </c>
      <c r="K385" s="2">
        <v>3</v>
      </c>
      <c r="L385" s="2">
        <v>2</v>
      </c>
      <c r="M385" s="2">
        <v>5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>
        <v>0</v>
      </c>
      <c r="T385">
        <v>0</v>
      </c>
      <c r="U385">
        <v>1</v>
      </c>
      <c r="V385">
        <v>1</v>
      </c>
      <c r="W385">
        <v>4</v>
      </c>
      <c r="X385">
        <v>1</v>
      </c>
      <c r="Y385">
        <v>1</v>
      </c>
      <c r="Z385">
        <v>0</v>
      </c>
      <c r="AA385">
        <v>0</v>
      </c>
      <c r="AB385">
        <v>84</v>
      </c>
      <c r="AC385" t="s">
        <v>126</v>
      </c>
    </row>
    <row r="386" spans="1:29" ht="16" customHeight="1" x14ac:dyDescent="0.2">
      <c r="A386" s="1" t="s">
        <v>537</v>
      </c>
      <c r="B386" s="2" t="s">
        <v>149</v>
      </c>
      <c r="C386" s="2">
        <v>65</v>
      </c>
      <c r="D386" s="2" t="s">
        <v>125</v>
      </c>
      <c r="E386" s="2">
        <v>7903</v>
      </c>
      <c r="F386" s="2">
        <v>0</v>
      </c>
      <c r="G386" s="2">
        <v>1</v>
      </c>
      <c r="H386" s="2">
        <v>0</v>
      </c>
      <c r="I386" s="2">
        <v>-1</v>
      </c>
      <c r="J386" s="2">
        <v>3</v>
      </c>
      <c r="K386" s="2">
        <v>2</v>
      </c>
      <c r="L386" s="2">
        <v>3</v>
      </c>
      <c r="M386" s="2">
        <v>5</v>
      </c>
      <c r="N386" s="2">
        <v>0</v>
      </c>
      <c r="O386" s="2">
        <v>1</v>
      </c>
      <c r="P386" s="2">
        <v>0</v>
      </c>
      <c r="Q386" s="2">
        <v>0</v>
      </c>
      <c r="R386" s="2">
        <v>1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179</v>
      </c>
      <c r="AC386" t="s">
        <v>126</v>
      </c>
    </row>
    <row r="387" spans="1:29" ht="16" customHeight="1" x14ac:dyDescent="0.2">
      <c r="A387" s="1" t="s">
        <v>538</v>
      </c>
      <c r="B387" s="2" t="s">
        <v>159</v>
      </c>
      <c r="C387" s="2">
        <v>65</v>
      </c>
      <c r="D387" s="2" t="s">
        <v>129</v>
      </c>
      <c r="E387" s="2">
        <v>1126</v>
      </c>
      <c r="F387" s="2">
        <v>0</v>
      </c>
      <c r="G387" s="2">
        <v>0</v>
      </c>
      <c r="H387" s="2">
        <v>0</v>
      </c>
      <c r="I387" s="2">
        <v>1</v>
      </c>
      <c r="J387" s="2">
        <v>5</v>
      </c>
      <c r="K387" s="2">
        <v>3</v>
      </c>
      <c r="L387" s="2">
        <v>1</v>
      </c>
      <c r="M387" s="2">
        <v>5</v>
      </c>
      <c r="N387" s="2">
        <v>0</v>
      </c>
      <c r="O387" s="2">
        <v>1</v>
      </c>
      <c r="P387" s="2">
        <v>1</v>
      </c>
      <c r="Q387" s="2">
        <v>0</v>
      </c>
      <c r="R387" s="2">
        <v>1</v>
      </c>
      <c r="S387">
        <v>-1</v>
      </c>
      <c r="T387">
        <v>0</v>
      </c>
      <c r="U387">
        <v>0</v>
      </c>
      <c r="V387">
        <v>1</v>
      </c>
      <c r="W387">
        <v>5</v>
      </c>
      <c r="X387">
        <v>1</v>
      </c>
      <c r="Y387">
        <v>1</v>
      </c>
      <c r="Z387">
        <v>1</v>
      </c>
      <c r="AA387">
        <v>0</v>
      </c>
      <c r="AB387">
        <v>235</v>
      </c>
      <c r="AC387" t="s">
        <v>126</v>
      </c>
    </row>
    <row r="388" spans="1:29" ht="16" customHeight="1" x14ac:dyDescent="0.2">
      <c r="A388" s="1" t="s">
        <v>539</v>
      </c>
      <c r="B388" s="2" t="s">
        <v>201</v>
      </c>
      <c r="C388" s="2">
        <v>65</v>
      </c>
      <c r="D388" s="2" t="s">
        <v>132</v>
      </c>
      <c r="E388" s="2">
        <v>1518</v>
      </c>
      <c r="F388" s="2">
        <v>1</v>
      </c>
      <c r="G388" s="2">
        <v>0</v>
      </c>
      <c r="H388" s="2">
        <v>1</v>
      </c>
      <c r="I388" s="2">
        <v>0</v>
      </c>
      <c r="J388" s="2">
        <v>1</v>
      </c>
      <c r="K388" s="2">
        <v>1</v>
      </c>
      <c r="L388" s="2">
        <v>3</v>
      </c>
      <c r="M388" s="2">
        <v>5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>
        <v>-1</v>
      </c>
      <c r="T388">
        <v>1</v>
      </c>
      <c r="U388">
        <v>1</v>
      </c>
      <c r="V388">
        <v>0</v>
      </c>
      <c r="W388">
        <v>2</v>
      </c>
      <c r="X388">
        <v>1</v>
      </c>
      <c r="Y388">
        <v>1</v>
      </c>
      <c r="Z388">
        <v>1</v>
      </c>
      <c r="AA388">
        <v>0</v>
      </c>
      <c r="AB388">
        <v>163</v>
      </c>
      <c r="AC388" t="s">
        <v>126</v>
      </c>
    </row>
    <row r="389" spans="1:29" ht="16" customHeight="1" x14ac:dyDescent="0.2">
      <c r="A389" s="1" t="s">
        <v>540</v>
      </c>
      <c r="B389" s="2" t="s">
        <v>147</v>
      </c>
      <c r="C389" s="2">
        <v>65</v>
      </c>
      <c r="D389" s="2" t="s">
        <v>135</v>
      </c>
      <c r="E389" s="2">
        <v>8503</v>
      </c>
      <c r="F389" s="2">
        <v>0</v>
      </c>
      <c r="G389" s="2">
        <v>1</v>
      </c>
      <c r="H389" s="2">
        <v>0</v>
      </c>
      <c r="I389" s="2">
        <v>-1</v>
      </c>
      <c r="J389" s="2">
        <v>1</v>
      </c>
      <c r="K389" s="2">
        <v>1</v>
      </c>
      <c r="L389" s="2">
        <v>2</v>
      </c>
      <c r="M389" s="2">
        <v>5</v>
      </c>
      <c r="N389" s="2">
        <v>1</v>
      </c>
      <c r="O389" s="2">
        <v>0</v>
      </c>
      <c r="P389" s="2">
        <v>0</v>
      </c>
      <c r="Q389" s="2">
        <v>1</v>
      </c>
      <c r="R389" s="2">
        <v>0</v>
      </c>
      <c r="S389">
        <v>0</v>
      </c>
      <c r="T389">
        <v>0</v>
      </c>
      <c r="U389">
        <v>0</v>
      </c>
      <c r="V389">
        <v>1</v>
      </c>
      <c r="W389">
        <v>2</v>
      </c>
      <c r="X389">
        <v>1</v>
      </c>
      <c r="Y389">
        <v>0</v>
      </c>
      <c r="Z389">
        <v>1</v>
      </c>
      <c r="AA389">
        <v>1</v>
      </c>
      <c r="AB389">
        <v>278</v>
      </c>
      <c r="AC389" t="s">
        <v>126</v>
      </c>
    </row>
    <row r="390" spans="1:29" ht="16" customHeight="1" x14ac:dyDescent="0.2">
      <c r="A390" s="1" t="s">
        <v>541</v>
      </c>
      <c r="B390" s="2" t="s">
        <v>166</v>
      </c>
      <c r="C390" s="2">
        <v>65</v>
      </c>
      <c r="D390" s="2" t="s">
        <v>138</v>
      </c>
      <c r="E390" s="2">
        <v>1559</v>
      </c>
      <c r="F390" s="2">
        <v>1</v>
      </c>
      <c r="G390" s="2">
        <v>0</v>
      </c>
      <c r="H390" s="2">
        <v>0</v>
      </c>
      <c r="I390" s="2">
        <v>-1</v>
      </c>
      <c r="J390" s="2">
        <v>2</v>
      </c>
      <c r="K390" s="2">
        <v>2</v>
      </c>
      <c r="L390" s="2">
        <v>3</v>
      </c>
      <c r="M390" s="2">
        <v>4</v>
      </c>
      <c r="N390" s="2">
        <v>1</v>
      </c>
      <c r="O390" s="2">
        <v>1</v>
      </c>
      <c r="P390" s="2">
        <v>1</v>
      </c>
      <c r="Q390" s="2">
        <v>1</v>
      </c>
      <c r="R390" s="2">
        <v>1</v>
      </c>
      <c r="S390">
        <v>-1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77</v>
      </c>
      <c r="AC390" t="s">
        <v>126</v>
      </c>
    </row>
    <row r="391" spans="1:29" ht="16" customHeight="1" x14ac:dyDescent="0.2">
      <c r="A391" s="1" t="s">
        <v>542</v>
      </c>
      <c r="B391" s="2" t="s">
        <v>131</v>
      </c>
      <c r="C391" s="2">
        <v>65</v>
      </c>
      <c r="D391" s="2" t="s">
        <v>140</v>
      </c>
      <c r="E391" s="2">
        <v>7030</v>
      </c>
      <c r="F391" s="2">
        <v>0</v>
      </c>
      <c r="G391" s="2">
        <v>0</v>
      </c>
      <c r="H391" s="2">
        <v>1</v>
      </c>
      <c r="I391" s="2">
        <v>-1</v>
      </c>
      <c r="J391" s="2">
        <v>1</v>
      </c>
      <c r="K391" s="2">
        <v>2</v>
      </c>
      <c r="L391" s="2">
        <v>2</v>
      </c>
      <c r="M391" s="2">
        <v>1</v>
      </c>
      <c r="N391" s="2">
        <v>1</v>
      </c>
      <c r="O391" s="2">
        <v>1</v>
      </c>
      <c r="P391" s="2">
        <v>1</v>
      </c>
      <c r="Q391" s="2">
        <v>0</v>
      </c>
      <c r="R391" s="2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-1</v>
      </c>
      <c r="Y391">
        <v>0</v>
      </c>
      <c r="Z391">
        <v>1</v>
      </c>
      <c r="AA391">
        <v>0</v>
      </c>
      <c r="AB391">
        <v>263</v>
      </c>
      <c r="AC391" t="s">
        <v>126</v>
      </c>
    </row>
    <row r="392" spans="1:29" ht="16" customHeight="1" x14ac:dyDescent="0.2">
      <c r="A392" s="1" t="s">
        <v>543</v>
      </c>
      <c r="B392" s="2" t="s">
        <v>147</v>
      </c>
      <c r="C392" s="2">
        <v>66</v>
      </c>
      <c r="D392" s="2" t="s">
        <v>125</v>
      </c>
      <c r="E392" s="2">
        <v>6947</v>
      </c>
      <c r="F392" s="2">
        <v>0</v>
      </c>
      <c r="G392" s="2">
        <v>0</v>
      </c>
      <c r="H392" s="2">
        <v>1</v>
      </c>
      <c r="I392" s="2">
        <v>-1</v>
      </c>
      <c r="J392" s="2">
        <v>1</v>
      </c>
      <c r="K392" s="2">
        <v>3</v>
      </c>
      <c r="L392" s="2">
        <v>1</v>
      </c>
      <c r="M392" s="2">
        <v>5</v>
      </c>
      <c r="N392" s="2">
        <v>0</v>
      </c>
      <c r="O392" s="2">
        <v>0</v>
      </c>
      <c r="P392" s="2">
        <v>1</v>
      </c>
      <c r="Q392" s="2">
        <v>1</v>
      </c>
      <c r="R392" s="2">
        <v>0</v>
      </c>
      <c r="S392">
        <v>0</v>
      </c>
      <c r="T392">
        <v>1</v>
      </c>
      <c r="U392">
        <v>1</v>
      </c>
      <c r="V392">
        <v>0</v>
      </c>
      <c r="W392">
        <v>3</v>
      </c>
      <c r="X392">
        <v>-1</v>
      </c>
      <c r="Y392">
        <v>1</v>
      </c>
      <c r="Z392">
        <v>1</v>
      </c>
      <c r="AA392">
        <v>1</v>
      </c>
      <c r="AB392">
        <v>85</v>
      </c>
      <c r="AC392" t="s">
        <v>126</v>
      </c>
    </row>
    <row r="393" spans="1:29" ht="16" customHeight="1" x14ac:dyDescent="0.2">
      <c r="A393" s="1" t="s">
        <v>544</v>
      </c>
      <c r="B393" s="2" t="s">
        <v>128</v>
      </c>
      <c r="C393" s="2">
        <v>66</v>
      </c>
      <c r="D393" s="2" t="s">
        <v>129</v>
      </c>
      <c r="E393" s="2">
        <v>3003</v>
      </c>
      <c r="F393" s="2">
        <v>0</v>
      </c>
      <c r="G393" s="2">
        <v>0</v>
      </c>
      <c r="H393" s="2">
        <v>0</v>
      </c>
      <c r="I393" s="2">
        <v>1</v>
      </c>
      <c r="J393" s="2">
        <v>4</v>
      </c>
      <c r="K393" s="2">
        <v>2</v>
      </c>
      <c r="L393" s="2">
        <v>3</v>
      </c>
      <c r="M393" s="2">
        <v>4</v>
      </c>
      <c r="N393" s="2">
        <v>1</v>
      </c>
      <c r="O393" s="2">
        <v>0</v>
      </c>
      <c r="P393" s="2">
        <v>0</v>
      </c>
      <c r="Q393" s="2">
        <v>0</v>
      </c>
      <c r="R393" s="2">
        <v>0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190</v>
      </c>
      <c r="AC393" t="s">
        <v>126</v>
      </c>
    </row>
    <row r="394" spans="1:29" ht="16" customHeight="1" x14ac:dyDescent="0.2">
      <c r="A394" s="1" t="s">
        <v>545</v>
      </c>
      <c r="B394" s="2" t="s">
        <v>145</v>
      </c>
      <c r="C394" s="2">
        <v>66</v>
      </c>
      <c r="D394" s="2" t="s">
        <v>132</v>
      </c>
      <c r="E394" s="2">
        <v>340</v>
      </c>
      <c r="F394" s="2">
        <v>0</v>
      </c>
      <c r="G394" s="2">
        <v>1</v>
      </c>
      <c r="H394" s="2">
        <v>0</v>
      </c>
      <c r="I394" s="2">
        <v>0</v>
      </c>
      <c r="J394" s="2">
        <v>5</v>
      </c>
      <c r="K394" s="2">
        <v>2</v>
      </c>
      <c r="L394" s="2">
        <v>2</v>
      </c>
      <c r="M394" s="2">
        <v>1</v>
      </c>
      <c r="N394" s="2">
        <v>0</v>
      </c>
      <c r="O394" s="2">
        <v>0</v>
      </c>
      <c r="P394" s="2">
        <v>0</v>
      </c>
      <c r="Q394" s="2">
        <v>1</v>
      </c>
      <c r="R394" s="2">
        <v>0</v>
      </c>
      <c r="S394">
        <v>3</v>
      </c>
      <c r="T394">
        <v>1</v>
      </c>
      <c r="U394">
        <v>1</v>
      </c>
      <c r="V394">
        <v>1</v>
      </c>
      <c r="W394">
        <v>5</v>
      </c>
      <c r="X394">
        <v>1</v>
      </c>
      <c r="Y394">
        <v>0</v>
      </c>
      <c r="Z394">
        <v>0</v>
      </c>
      <c r="AA394">
        <v>0</v>
      </c>
      <c r="AB394">
        <v>123</v>
      </c>
      <c r="AC394" t="s">
        <v>126</v>
      </c>
    </row>
    <row r="395" spans="1:29" ht="16" customHeight="1" x14ac:dyDescent="0.2">
      <c r="A395" s="1" t="s">
        <v>546</v>
      </c>
      <c r="B395" s="2" t="s">
        <v>176</v>
      </c>
      <c r="C395" s="2">
        <v>66</v>
      </c>
      <c r="D395" s="2" t="s">
        <v>135</v>
      </c>
      <c r="E395" s="2">
        <v>1591</v>
      </c>
      <c r="F395" s="2">
        <v>1</v>
      </c>
      <c r="G395" s="2">
        <v>1</v>
      </c>
      <c r="H395" s="2">
        <v>0</v>
      </c>
      <c r="I395" s="2">
        <v>-1</v>
      </c>
      <c r="J395" s="2">
        <v>5</v>
      </c>
      <c r="K395" s="2">
        <v>3</v>
      </c>
      <c r="L395" s="2">
        <v>2</v>
      </c>
      <c r="M395" s="2">
        <v>4</v>
      </c>
      <c r="N395" s="2">
        <v>0</v>
      </c>
      <c r="O395" s="2">
        <v>1</v>
      </c>
      <c r="P395" s="2">
        <v>1</v>
      </c>
      <c r="Q395" s="2">
        <v>1</v>
      </c>
      <c r="R395" s="2">
        <v>1</v>
      </c>
      <c r="S395">
        <v>0</v>
      </c>
      <c r="T395">
        <v>1</v>
      </c>
      <c r="U395">
        <v>1</v>
      </c>
      <c r="V395">
        <v>1</v>
      </c>
      <c r="W395">
        <v>2</v>
      </c>
      <c r="X395">
        <v>1</v>
      </c>
      <c r="Y395">
        <v>1</v>
      </c>
      <c r="Z395">
        <v>1</v>
      </c>
      <c r="AA395">
        <v>0</v>
      </c>
      <c r="AB395">
        <v>38</v>
      </c>
      <c r="AC395" t="s">
        <v>126</v>
      </c>
    </row>
    <row r="396" spans="1:29" ht="16" customHeight="1" x14ac:dyDescent="0.2">
      <c r="A396" s="1" t="s">
        <v>547</v>
      </c>
      <c r="B396" s="2" t="s">
        <v>128</v>
      </c>
      <c r="C396" s="2">
        <v>66</v>
      </c>
      <c r="D396" s="2" t="s">
        <v>138</v>
      </c>
      <c r="E396" s="2">
        <v>20</v>
      </c>
      <c r="F396" s="2">
        <v>0</v>
      </c>
      <c r="G396" s="2">
        <v>0</v>
      </c>
      <c r="H396" s="2">
        <v>0</v>
      </c>
      <c r="I396" s="2">
        <v>1</v>
      </c>
      <c r="J396" s="2">
        <v>2</v>
      </c>
      <c r="K396" s="2">
        <v>2</v>
      </c>
      <c r="L396" s="2">
        <v>3</v>
      </c>
      <c r="M396" s="2">
        <v>3</v>
      </c>
      <c r="N396" s="2">
        <v>1</v>
      </c>
      <c r="O396" s="2">
        <v>1</v>
      </c>
      <c r="P396" s="2">
        <v>0</v>
      </c>
      <c r="Q396" s="2">
        <v>1</v>
      </c>
      <c r="R396" s="2">
        <v>1</v>
      </c>
      <c r="S396">
        <v>-1</v>
      </c>
      <c r="T396">
        <v>0</v>
      </c>
      <c r="U396">
        <v>1</v>
      </c>
      <c r="V396">
        <v>0</v>
      </c>
      <c r="W396">
        <v>4</v>
      </c>
      <c r="X396">
        <v>0</v>
      </c>
      <c r="Y396">
        <v>0</v>
      </c>
      <c r="Z396">
        <v>0</v>
      </c>
      <c r="AA396">
        <v>0</v>
      </c>
      <c r="AB396">
        <v>274</v>
      </c>
      <c r="AC396" t="s">
        <v>126</v>
      </c>
    </row>
    <row r="397" spans="1:29" ht="16" customHeight="1" x14ac:dyDescent="0.2">
      <c r="A397" s="1" t="s">
        <v>548</v>
      </c>
      <c r="B397" s="2" t="s">
        <v>185</v>
      </c>
      <c r="C397" s="2">
        <v>66</v>
      </c>
      <c r="D397" s="2" t="s">
        <v>140</v>
      </c>
      <c r="E397" s="2">
        <v>2228</v>
      </c>
      <c r="F397" s="2">
        <v>0</v>
      </c>
      <c r="G397" s="2">
        <v>1</v>
      </c>
      <c r="H397" s="2">
        <v>1</v>
      </c>
      <c r="I397" s="2">
        <v>0</v>
      </c>
      <c r="J397" s="2">
        <v>2</v>
      </c>
      <c r="K397" s="2">
        <v>1</v>
      </c>
      <c r="L397" s="2">
        <v>2</v>
      </c>
      <c r="M397" s="2">
        <v>2</v>
      </c>
      <c r="N397" s="2">
        <v>0</v>
      </c>
      <c r="O397" s="2">
        <v>1</v>
      </c>
      <c r="P397" s="2">
        <v>0</v>
      </c>
      <c r="Q397" s="2">
        <v>1</v>
      </c>
      <c r="R397" s="2">
        <v>1</v>
      </c>
      <c r="S397">
        <v>3</v>
      </c>
      <c r="T397">
        <v>0</v>
      </c>
      <c r="U397">
        <v>1</v>
      </c>
      <c r="V397">
        <v>0</v>
      </c>
      <c r="W397">
        <v>3</v>
      </c>
      <c r="X397">
        <v>-1</v>
      </c>
      <c r="Y397">
        <v>0</v>
      </c>
      <c r="Z397">
        <v>1</v>
      </c>
      <c r="AA397">
        <v>1</v>
      </c>
      <c r="AB397">
        <v>134</v>
      </c>
      <c r="AC397" t="s">
        <v>126</v>
      </c>
    </row>
    <row r="398" spans="1:29" ht="16" customHeight="1" x14ac:dyDescent="0.2">
      <c r="A398" s="1" t="s">
        <v>549</v>
      </c>
      <c r="B398" s="2" t="s">
        <v>161</v>
      </c>
      <c r="C398" s="2">
        <v>67</v>
      </c>
      <c r="D398" s="2" t="s">
        <v>125</v>
      </c>
      <c r="E398" s="2">
        <v>1511</v>
      </c>
      <c r="F398" s="2">
        <v>0</v>
      </c>
      <c r="G398" s="2">
        <v>0</v>
      </c>
      <c r="H398" s="2">
        <v>1</v>
      </c>
      <c r="I398" s="2">
        <v>-1</v>
      </c>
      <c r="J398" s="2">
        <v>2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>
        <v>1</v>
      </c>
      <c r="Q398" s="2">
        <v>1</v>
      </c>
      <c r="R398" s="2">
        <v>0</v>
      </c>
      <c r="S398">
        <v>3</v>
      </c>
      <c r="T398">
        <v>0</v>
      </c>
      <c r="U398">
        <v>0</v>
      </c>
      <c r="V398">
        <v>0</v>
      </c>
      <c r="W398">
        <v>3</v>
      </c>
      <c r="X398">
        <v>1</v>
      </c>
      <c r="Y398">
        <v>1</v>
      </c>
      <c r="Z398">
        <v>1</v>
      </c>
      <c r="AA398">
        <v>1</v>
      </c>
      <c r="AB398">
        <v>129</v>
      </c>
      <c r="AC398" t="s">
        <v>126</v>
      </c>
    </row>
    <row r="399" spans="1:29" ht="16" customHeight="1" x14ac:dyDescent="0.2">
      <c r="A399" s="1" t="s">
        <v>550</v>
      </c>
      <c r="B399" s="2" t="s">
        <v>131</v>
      </c>
      <c r="C399" s="2">
        <v>67</v>
      </c>
      <c r="D399" s="2" t="s">
        <v>129</v>
      </c>
      <c r="E399" s="2">
        <v>3015</v>
      </c>
      <c r="F399" s="2">
        <v>1</v>
      </c>
      <c r="G399" s="2">
        <v>1</v>
      </c>
      <c r="H399" s="2">
        <v>0</v>
      </c>
      <c r="I399" s="2">
        <v>-1</v>
      </c>
      <c r="J399" s="2">
        <v>3</v>
      </c>
      <c r="K399" s="2">
        <v>2</v>
      </c>
      <c r="L399" s="2">
        <v>2</v>
      </c>
      <c r="M399" s="2">
        <v>4</v>
      </c>
      <c r="N399" s="2">
        <v>0</v>
      </c>
      <c r="O399" s="2">
        <v>1</v>
      </c>
      <c r="P399" s="2">
        <v>1</v>
      </c>
      <c r="Q399" s="2">
        <v>0</v>
      </c>
      <c r="R399" s="2">
        <v>1</v>
      </c>
      <c r="S399">
        <v>3</v>
      </c>
      <c r="T399">
        <v>0</v>
      </c>
      <c r="U399">
        <v>1</v>
      </c>
      <c r="V399">
        <v>0</v>
      </c>
      <c r="W399">
        <v>4</v>
      </c>
      <c r="X399">
        <v>1</v>
      </c>
      <c r="Y399">
        <v>1</v>
      </c>
      <c r="Z399">
        <v>0</v>
      </c>
      <c r="AA399">
        <v>0</v>
      </c>
      <c r="AB399">
        <v>289</v>
      </c>
      <c r="AC399" t="s">
        <v>126</v>
      </c>
    </row>
    <row r="400" spans="1:29" ht="16" customHeight="1" x14ac:dyDescent="0.2">
      <c r="A400" s="1" t="s">
        <v>551</v>
      </c>
      <c r="B400" s="2" t="s">
        <v>195</v>
      </c>
      <c r="C400" s="2">
        <v>67</v>
      </c>
      <c r="D400" s="2" t="s">
        <v>132</v>
      </c>
      <c r="E400" s="2">
        <v>5590</v>
      </c>
      <c r="F400" s="2">
        <v>1</v>
      </c>
      <c r="G400" s="2">
        <v>1</v>
      </c>
      <c r="H400" s="2">
        <v>1</v>
      </c>
      <c r="I400" s="2">
        <v>0</v>
      </c>
      <c r="J400" s="2">
        <v>2</v>
      </c>
      <c r="K400" s="2">
        <v>2</v>
      </c>
      <c r="L400" s="2">
        <v>2</v>
      </c>
      <c r="M400" s="2">
        <v>3</v>
      </c>
      <c r="N400" s="2">
        <v>0</v>
      </c>
      <c r="O400" s="2">
        <v>0</v>
      </c>
      <c r="P400" s="2">
        <v>1</v>
      </c>
      <c r="Q400" s="2">
        <v>0</v>
      </c>
      <c r="R400" s="2">
        <v>0</v>
      </c>
      <c r="S400">
        <v>1</v>
      </c>
      <c r="T400">
        <v>1</v>
      </c>
      <c r="U400">
        <v>1</v>
      </c>
      <c r="V400">
        <v>1</v>
      </c>
      <c r="W400">
        <v>5</v>
      </c>
      <c r="X400">
        <v>0</v>
      </c>
      <c r="Y400">
        <v>0</v>
      </c>
      <c r="Z400">
        <v>1</v>
      </c>
      <c r="AA400">
        <v>0</v>
      </c>
      <c r="AB400">
        <v>294</v>
      </c>
      <c r="AC400" t="s">
        <v>126</v>
      </c>
    </row>
    <row r="401" spans="1:29" ht="16" customHeight="1" x14ac:dyDescent="0.2">
      <c r="A401" s="1" t="s">
        <v>552</v>
      </c>
      <c r="B401" s="2" t="s">
        <v>181</v>
      </c>
      <c r="C401" s="2">
        <v>67</v>
      </c>
      <c r="D401" s="2" t="s">
        <v>135</v>
      </c>
      <c r="E401" s="2">
        <v>432</v>
      </c>
      <c r="F401" s="2">
        <v>1</v>
      </c>
      <c r="G401" s="2">
        <v>1</v>
      </c>
      <c r="H401" s="2">
        <v>0</v>
      </c>
      <c r="I401" s="2">
        <v>-1</v>
      </c>
      <c r="J401" s="2">
        <v>1</v>
      </c>
      <c r="K401" s="2">
        <v>1</v>
      </c>
      <c r="L401" s="2">
        <v>1</v>
      </c>
      <c r="M401" s="2">
        <v>4</v>
      </c>
      <c r="N401" s="2">
        <v>0</v>
      </c>
      <c r="O401" s="2">
        <v>1</v>
      </c>
      <c r="P401" s="2">
        <v>1</v>
      </c>
      <c r="Q401" s="2">
        <v>0</v>
      </c>
      <c r="R401" s="2">
        <v>0</v>
      </c>
      <c r="S401">
        <v>-1</v>
      </c>
      <c r="T401">
        <v>0</v>
      </c>
      <c r="U401">
        <v>0</v>
      </c>
      <c r="V401">
        <v>1</v>
      </c>
      <c r="W401">
        <v>2</v>
      </c>
      <c r="X401">
        <v>0</v>
      </c>
      <c r="Y401">
        <v>0</v>
      </c>
      <c r="Z401">
        <v>1</v>
      </c>
      <c r="AA401">
        <v>0</v>
      </c>
      <c r="AB401">
        <v>4</v>
      </c>
      <c r="AC401" t="s">
        <v>126</v>
      </c>
    </row>
    <row r="402" spans="1:29" ht="16" customHeight="1" x14ac:dyDescent="0.2">
      <c r="A402" s="1" t="s">
        <v>553</v>
      </c>
      <c r="B402" s="2" t="s">
        <v>147</v>
      </c>
      <c r="C402" s="2">
        <v>67</v>
      </c>
      <c r="D402" s="2" t="s">
        <v>138</v>
      </c>
      <c r="E402" s="2">
        <v>424</v>
      </c>
      <c r="F402" s="2">
        <v>0</v>
      </c>
      <c r="G402" s="2">
        <v>1</v>
      </c>
      <c r="H402" s="2">
        <v>1</v>
      </c>
      <c r="I402" s="2">
        <v>0</v>
      </c>
      <c r="J402" s="2">
        <v>2</v>
      </c>
      <c r="K402" s="2">
        <v>2</v>
      </c>
      <c r="L402" s="2">
        <v>3</v>
      </c>
      <c r="M402" s="2">
        <v>3</v>
      </c>
      <c r="N402" s="2">
        <v>1</v>
      </c>
      <c r="O402" s="2">
        <v>0</v>
      </c>
      <c r="P402" s="2">
        <v>1</v>
      </c>
      <c r="Q402" s="2">
        <v>0</v>
      </c>
      <c r="R402" s="2">
        <v>0</v>
      </c>
      <c r="S402">
        <v>0</v>
      </c>
      <c r="T402">
        <v>0</v>
      </c>
      <c r="U402">
        <v>0</v>
      </c>
      <c r="V402">
        <v>0</v>
      </c>
      <c r="W402">
        <v>4</v>
      </c>
      <c r="X402">
        <v>1</v>
      </c>
      <c r="Y402">
        <v>1</v>
      </c>
      <c r="Z402">
        <v>0</v>
      </c>
      <c r="AA402">
        <v>0</v>
      </c>
      <c r="AB402">
        <v>186</v>
      </c>
      <c r="AC402" t="s">
        <v>126</v>
      </c>
    </row>
    <row r="403" spans="1:29" ht="16" customHeight="1" x14ac:dyDescent="0.2">
      <c r="A403" s="1" t="s">
        <v>554</v>
      </c>
      <c r="B403" s="2" t="s">
        <v>131</v>
      </c>
      <c r="C403" s="2">
        <v>67</v>
      </c>
      <c r="D403" s="2" t="s">
        <v>140</v>
      </c>
      <c r="E403" s="2">
        <v>694</v>
      </c>
      <c r="F403" s="2">
        <v>0</v>
      </c>
      <c r="G403" s="2">
        <v>0</v>
      </c>
      <c r="H403" s="2">
        <v>0</v>
      </c>
      <c r="I403" s="2">
        <v>0</v>
      </c>
      <c r="J403" s="2">
        <v>1</v>
      </c>
      <c r="K403" s="2">
        <v>1</v>
      </c>
      <c r="L403" s="2">
        <v>2</v>
      </c>
      <c r="M403" s="2">
        <v>3</v>
      </c>
      <c r="N403" s="2">
        <v>0</v>
      </c>
      <c r="O403" s="2">
        <v>1</v>
      </c>
      <c r="P403" s="2">
        <v>0</v>
      </c>
      <c r="Q403" s="2">
        <v>1</v>
      </c>
      <c r="R403" s="2">
        <v>0</v>
      </c>
      <c r="S403">
        <v>3</v>
      </c>
      <c r="T403">
        <v>1</v>
      </c>
      <c r="U403">
        <v>1</v>
      </c>
      <c r="V403">
        <v>1</v>
      </c>
      <c r="W403">
        <v>5</v>
      </c>
      <c r="X403">
        <v>0</v>
      </c>
      <c r="Y403">
        <v>0</v>
      </c>
      <c r="Z403">
        <v>1</v>
      </c>
      <c r="AA403">
        <v>0</v>
      </c>
      <c r="AB403">
        <v>35</v>
      </c>
      <c r="AC403" t="s">
        <v>126</v>
      </c>
    </row>
    <row r="404" spans="1:29" ht="16" customHeight="1" x14ac:dyDescent="0.2">
      <c r="A404" s="1" t="s">
        <v>555</v>
      </c>
      <c r="B404" s="2" t="s">
        <v>159</v>
      </c>
      <c r="C404" s="2">
        <v>68</v>
      </c>
      <c r="D404" s="2" t="s">
        <v>125</v>
      </c>
      <c r="E404" s="2">
        <v>3838</v>
      </c>
      <c r="F404" s="2">
        <v>0</v>
      </c>
      <c r="G404" s="2">
        <v>0</v>
      </c>
      <c r="H404" s="2">
        <v>0</v>
      </c>
      <c r="I404" s="2">
        <v>1</v>
      </c>
      <c r="J404" s="2">
        <v>2</v>
      </c>
      <c r="K404" s="2">
        <v>3</v>
      </c>
      <c r="L404" s="2">
        <v>1</v>
      </c>
      <c r="M404" s="2">
        <v>2</v>
      </c>
      <c r="N404" s="2">
        <v>0</v>
      </c>
      <c r="O404" s="2">
        <v>0</v>
      </c>
      <c r="P404" s="2">
        <v>1</v>
      </c>
      <c r="Q404" s="2">
        <v>0</v>
      </c>
      <c r="R404" s="2">
        <v>0</v>
      </c>
      <c r="S404">
        <v>-1</v>
      </c>
      <c r="T404">
        <v>1</v>
      </c>
      <c r="U404">
        <v>0</v>
      </c>
      <c r="V404">
        <v>1</v>
      </c>
      <c r="W404">
        <v>5</v>
      </c>
      <c r="X404">
        <v>0</v>
      </c>
      <c r="Y404">
        <v>1</v>
      </c>
      <c r="Z404">
        <v>0</v>
      </c>
      <c r="AA404">
        <v>1</v>
      </c>
      <c r="AB404">
        <v>118</v>
      </c>
      <c r="AC404" t="s">
        <v>126</v>
      </c>
    </row>
    <row r="405" spans="1:29" ht="16" customHeight="1" x14ac:dyDescent="0.2">
      <c r="A405" s="1" t="s">
        <v>556</v>
      </c>
      <c r="B405" s="2" t="s">
        <v>193</v>
      </c>
      <c r="C405" s="2">
        <v>68</v>
      </c>
      <c r="D405" s="2" t="s">
        <v>129</v>
      </c>
      <c r="E405" s="2">
        <v>578</v>
      </c>
      <c r="F405" s="2">
        <v>0</v>
      </c>
      <c r="G405" s="2">
        <v>1</v>
      </c>
      <c r="H405" s="2">
        <v>0</v>
      </c>
      <c r="I405" s="2">
        <v>-1</v>
      </c>
      <c r="J405" s="2">
        <v>4</v>
      </c>
      <c r="K405" s="2">
        <v>2</v>
      </c>
      <c r="L405" s="2">
        <v>2</v>
      </c>
      <c r="M405" s="2">
        <v>3</v>
      </c>
      <c r="N405" s="2">
        <v>0</v>
      </c>
      <c r="O405" s="2">
        <v>0</v>
      </c>
      <c r="P405" s="2">
        <v>0</v>
      </c>
      <c r="Q405" s="2">
        <v>1</v>
      </c>
      <c r="R405" s="2">
        <v>0</v>
      </c>
      <c r="S405">
        <v>3</v>
      </c>
      <c r="T405">
        <v>1</v>
      </c>
      <c r="U405">
        <v>1</v>
      </c>
      <c r="V405">
        <v>1</v>
      </c>
      <c r="W405">
        <v>1</v>
      </c>
      <c r="X405">
        <v>-1</v>
      </c>
      <c r="Y405">
        <v>1</v>
      </c>
      <c r="Z405">
        <v>1</v>
      </c>
      <c r="AA405">
        <v>1</v>
      </c>
      <c r="AB405">
        <v>189</v>
      </c>
      <c r="AC405" t="s">
        <v>126</v>
      </c>
    </row>
    <row r="406" spans="1:29" ht="16" customHeight="1" x14ac:dyDescent="0.2">
      <c r="A406" s="1" t="s">
        <v>557</v>
      </c>
      <c r="B406" s="2" t="s">
        <v>159</v>
      </c>
      <c r="C406" s="2">
        <v>68</v>
      </c>
      <c r="D406" s="2" t="s">
        <v>132</v>
      </c>
      <c r="E406" s="2">
        <v>1507</v>
      </c>
      <c r="F406" s="2">
        <v>1</v>
      </c>
      <c r="G406" s="2">
        <v>0</v>
      </c>
      <c r="H406" s="2">
        <v>0</v>
      </c>
      <c r="I406" s="2">
        <v>-1</v>
      </c>
      <c r="J406" s="2">
        <v>5</v>
      </c>
      <c r="K406" s="2">
        <v>2</v>
      </c>
      <c r="L406" s="2">
        <v>3</v>
      </c>
      <c r="M406" s="2">
        <v>2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>
        <v>2</v>
      </c>
      <c r="T406">
        <v>1</v>
      </c>
      <c r="U406">
        <v>1</v>
      </c>
      <c r="V406">
        <v>0</v>
      </c>
      <c r="W406">
        <v>1</v>
      </c>
      <c r="X406">
        <v>1</v>
      </c>
      <c r="Y406">
        <v>1</v>
      </c>
      <c r="Z406">
        <v>1</v>
      </c>
      <c r="AA406">
        <v>0</v>
      </c>
      <c r="AB406">
        <v>287</v>
      </c>
      <c r="AC406" t="s">
        <v>126</v>
      </c>
    </row>
    <row r="407" spans="1:29" ht="16" customHeight="1" x14ac:dyDescent="0.2">
      <c r="A407" s="1" t="s">
        <v>558</v>
      </c>
      <c r="B407" s="2" t="s">
        <v>124</v>
      </c>
      <c r="C407" s="2">
        <v>68</v>
      </c>
      <c r="D407" s="2" t="s">
        <v>135</v>
      </c>
      <c r="E407" s="2">
        <v>6423</v>
      </c>
      <c r="F407" s="2">
        <v>0</v>
      </c>
      <c r="G407" s="2">
        <v>0</v>
      </c>
      <c r="H407" s="2">
        <v>0</v>
      </c>
      <c r="I407" s="2">
        <v>0</v>
      </c>
      <c r="J407" s="2">
        <v>3</v>
      </c>
      <c r="K407" s="2">
        <v>3</v>
      </c>
      <c r="L407" s="2">
        <v>2</v>
      </c>
      <c r="M407" s="2">
        <v>3</v>
      </c>
      <c r="N407" s="2">
        <v>0</v>
      </c>
      <c r="O407" s="2">
        <v>1</v>
      </c>
      <c r="P407" s="2">
        <v>0</v>
      </c>
      <c r="Q407" s="2">
        <v>0</v>
      </c>
      <c r="R407" s="2">
        <v>1</v>
      </c>
      <c r="S407">
        <v>3</v>
      </c>
      <c r="T407">
        <v>0</v>
      </c>
      <c r="U407">
        <v>0</v>
      </c>
      <c r="V407">
        <v>0</v>
      </c>
      <c r="W407">
        <v>1</v>
      </c>
      <c r="X407">
        <v>-1</v>
      </c>
      <c r="Y407">
        <v>1</v>
      </c>
      <c r="Z407">
        <v>0</v>
      </c>
      <c r="AA407">
        <v>1</v>
      </c>
      <c r="AB407">
        <v>269</v>
      </c>
      <c r="AC407" t="s">
        <v>126</v>
      </c>
    </row>
    <row r="408" spans="1:29" ht="16" customHeight="1" x14ac:dyDescent="0.2">
      <c r="A408" s="1" t="s">
        <v>559</v>
      </c>
      <c r="B408" s="2" t="s">
        <v>176</v>
      </c>
      <c r="C408" s="2">
        <v>68</v>
      </c>
      <c r="D408" s="2" t="s">
        <v>138</v>
      </c>
      <c r="E408" s="2">
        <v>1585</v>
      </c>
      <c r="F408" s="2">
        <v>1</v>
      </c>
      <c r="G408" s="2">
        <v>0</v>
      </c>
      <c r="H408" s="2">
        <v>0</v>
      </c>
      <c r="I408" s="2">
        <v>0</v>
      </c>
      <c r="J408" s="2">
        <v>4</v>
      </c>
      <c r="K408" s="2">
        <v>1</v>
      </c>
      <c r="L408" s="2">
        <v>3</v>
      </c>
      <c r="M408" s="2">
        <v>3</v>
      </c>
      <c r="N408" s="2">
        <v>1</v>
      </c>
      <c r="O408" s="2">
        <v>0</v>
      </c>
      <c r="P408" s="2">
        <v>0</v>
      </c>
      <c r="Q408" s="2">
        <v>1</v>
      </c>
      <c r="R408" s="2">
        <v>1</v>
      </c>
      <c r="S408">
        <v>3</v>
      </c>
      <c r="T408">
        <v>1</v>
      </c>
      <c r="U408">
        <v>0</v>
      </c>
      <c r="V408">
        <v>0</v>
      </c>
      <c r="W408">
        <v>4</v>
      </c>
      <c r="X408">
        <v>0</v>
      </c>
      <c r="Y408">
        <v>0</v>
      </c>
      <c r="Z408">
        <v>1</v>
      </c>
      <c r="AA408">
        <v>0</v>
      </c>
      <c r="AB408">
        <v>164</v>
      </c>
      <c r="AC408" t="s">
        <v>126</v>
      </c>
    </row>
    <row r="409" spans="1:29" ht="16" customHeight="1" x14ac:dyDescent="0.2">
      <c r="A409" s="1" t="s">
        <v>560</v>
      </c>
      <c r="B409" s="2" t="s">
        <v>193</v>
      </c>
      <c r="C409" s="2">
        <v>68</v>
      </c>
      <c r="D409" s="2" t="s">
        <v>140</v>
      </c>
      <c r="E409" s="2">
        <v>10223</v>
      </c>
      <c r="F409" s="2">
        <v>0</v>
      </c>
      <c r="G409" s="2">
        <v>1</v>
      </c>
      <c r="H409" s="2">
        <v>1</v>
      </c>
      <c r="I409" s="2">
        <v>0</v>
      </c>
      <c r="J409" s="2">
        <v>3</v>
      </c>
      <c r="K409" s="2">
        <v>3</v>
      </c>
      <c r="L409" s="2">
        <v>2</v>
      </c>
      <c r="M409" s="2">
        <v>3</v>
      </c>
      <c r="N409" s="2">
        <v>0</v>
      </c>
      <c r="O409" s="2">
        <v>1</v>
      </c>
      <c r="P409" s="2">
        <v>1</v>
      </c>
      <c r="Q409" s="2">
        <v>0</v>
      </c>
      <c r="R409" s="2">
        <v>0</v>
      </c>
      <c r="S409">
        <v>3</v>
      </c>
      <c r="T409">
        <v>0</v>
      </c>
      <c r="U409">
        <v>1</v>
      </c>
      <c r="V409">
        <v>0</v>
      </c>
      <c r="W409">
        <v>4</v>
      </c>
      <c r="X409">
        <v>1</v>
      </c>
      <c r="Y409">
        <v>0</v>
      </c>
      <c r="Z409">
        <v>0</v>
      </c>
      <c r="AA409">
        <v>0</v>
      </c>
      <c r="AB409">
        <v>194</v>
      </c>
      <c r="AC409" t="s">
        <v>126</v>
      </c>
    </row>
    <row r="410" spans="1:29" ht="16" customHeight="1" x14ac:dyDescent="0.2">
      <c r="A410" s="1" t="s">
        <v>561</v>
      </c>
      <c r="B410" s="2" t="s">
        <v>168</v>
      </c>
      <c r="C410" s="2">
        <v>69</v>
      </c>
      <c r="D410" s="2" t="s">
        <v>125</v>
      </c>
      <c r="E410" s="2">
        <v>1405</v>
      </c>
      <c r="F410" s="2">
        <v>0</v>
      </c>
      <c r="G410" s="2">
        <v>1</v>
      </c>
      <c r="H410" s="2">
        <v>0</v>
      </c>
      <c r="I410" s="2">
        <v>-1</v>
      </c>
      <c r="J410" s="2">
        <v>5</v>
      </c>
      <c r="K410" s="2">
        <v>3</v>
      </c>
      <c r="L410" s="2">
        <v>3</v>
      </c>
      <c r="M410" s="2">
        <v>2</v>
      </c>
      <c r="N410" s="2">
        <v>0</v>
      </c>
      <c r="O410" s="2">
        <v>0</v>
      </c>
      <c r="P410" s="2">
        <v>0</v>
      </c>
      <c r="Q410" s="2">
        <v>1</v>
      </c>
      <c r="R410" s="2">
        <v>1</v>
      </c>
      <c r="S410">
        <v>0</v>
      </c>
      <c r="T410">
        <v>0</v>
      </c>
      <c r="U410">
        <v>1</v>
      </c>
      <c r="V410">
        <v>1</v>
      </c>
      <c r="W410">
        <v>4</v>
      </c>
      <c r="X410">
        <v>1</v>
      </c>
      <c r="Y410">
        <v>0</v>
      </c>
      <c r="Z410">
        <v>1</v>
      </c>
      <c r="AA410">
        <v>0</v>
      </c>
      <c r="AB410">
        <v>200</v>
      </c>
      <c r="AC410" t="s">
        <v>126</v>
      </c>
    </row>
    <row r="411" spans="1:29" ht="16" customHeight="1" x14ac:dyDescent="0.2">
      <c r="A411" s="1" t="s">
        <v>562</v>
      </c>
      <c r="B411" s="2" t="s">
        <v>168</v>
      </c>
      <c r="C411" s="2">
        <v>69</v>
      </c>
      <c r="D411" s="2" t="s">
        <v>129</v>
      </c>
      <c r="E411" s="2">
        <v>6868</v>
      </c>
      <c r="F411" s="2">
        <v>0</v>
      </c>
      <c r="G411" s="2">
        <v>0</v>
      </c>
      <c r="H411" s="2">
        <v>0</v>
      </c>
      <c r="I411" s="2">
        <v>0</v>
      </c>
      <c r="J411" s="2">
        <v>4</v>
      </c>
      <c r="K411" s="2">
        <v>3</v>
      </c>
      <c r="L411" s="2">
        <v>3</v>
      </c>
      <c r="M411" s="2">
        <v>1</v>
      </c>
      <c r="N411" s="2">
        <v>1</v>
      </c>
      <c r="O411" s="2">
        <v>1</v>
      </c>
      <c r="P411" s="2">
        <v>0</v>
      </c>
      <c r="Q411" s="2">
        <v>1</v>
      </c>
      <c r="R411" s="2">
        <v>1</v>
      </c>
      <c r="S411">
        <v>0</v>
      </c>
      <c r="T411">
        <v>0</v>
      </c>
      <c r="U411">
        <v>1</v>
      </c>
      <c r="V411">
        <v>0</v>
      </c>
      <c r="W411">
        <v>5</v>
      </c>
      <c r="X411">
        <v>0</v>
      </c>
      <c r="Y411">
        <v>1</v>
      </c>
      <c r="Z411">
        <v>1</v>
      </c>
      <c r="AA411">
        <v>0</v>
      </c>
      <c r="AB411">
        <v>285</v>
      </c>
      <c r="AC411" t="s">
        <v>126</v>
      </c>
    </row>
    <row r="412" spans="1:29" ht="16" customHeight="1" x14ac:dyDescent="0.2">
      <c r="A412" s="1" t="s">
        <v>563</v>
      </c>
      <c r="B412" s="2" t="s">
        <v>185</v>
      </c>
      <c r="C412" s="2">
        <v>69</v>
      </c>
      <c r="D412" s="2" t="s">
        <v>132</v>
      </c>
      <c r="E412" s="2">
        <v>10922</v>
      </c>
      <c r="F412" s="2">
        <v>1</v>
      </c>
      <c r="G412" s="2">
        <v>0</v>
      </c>
      <c r="H412" s="2">
        <v>0</v>
      </c>
      <c r="I412" s="2">
        <v>-1</v>
      </c>
      <c r="J412" s="2">
        <v>4</v>
      </c>
      <c r="K412" s="2">
        <v>2</v>
      </c>
      <c r="L412" s="2">
        <v>1</v>
      </c>
      <c r="M412" s="2">
        <v>3</v>
      </c>
      <c r="N412" s="2">
        <v>1</v>
      </c>
      <c r="O412" s="2">
        <v>0</v>
      </c>
      <c r="P412" s="2">
        <v>0</v>
      </c>
      <c r="Q412" s="2">
        <v>1</v>
      </c>
      <c r="R412" s="2">
        <v>1</v>
      </c>
      <c r="S412">
        <v>2</v>
      </c>
      <c r="T412">
        <v>1</v>
      </c>
      <c r="U412">
        <v>1</v>
      </c>
      <c r="V412">
        <v>0</v>
      </c>
      <c r="W412">
        <v>4</v>
      </c>
      <c r="X412">
        <v>-1</v>
      </c>
      <c r="Y412">
        <v>0</v>
      </c>
      <c r="Z412">
        <v>1</v>
      </c>
      <c r="AA412">
        <v>0</v>
      </c>
      <c r="AB412">
        <v>152</v>
      </c>
      <c r="AC412" t="s">
        <v>126</v>
      </c>
    </row>
    <row r="413" spans="1:29" ht="16" customHeight="1" x14ac:dyDescent="0.2">
      <c r="A413" s="1" t="s">
        <v>564</v>
      </c>
      <c r="B413" s="2" t="s">
        <v>124</v>
      </c>
      <c r="C413" s="2">
        <v>69</v>
      </c>
      <c r="D413" s="2" t="s">
        <v>135</v>
      </c>
      <c r="E413" s="2">
        <v>3799</v>
      </c>
      <c r="F413" s="2">
        <v>1</v>
      </c>
      <c r="G413" s="2">
        <v>0</v>
      </c>
      <c r="H413" s="2">
        <v>0</v>
      </c>
      <c r="I413" s="2">
        <v>-1</v>
      </c>
      <c r="J413" s="2">
        <v>1</v>
      </c>
      <c r="K413" s="2">
        <v>3</v>
      </c>
      <c r="L413" s="2">
        <v>2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  <c r="R413" s="2">
        <v>1</v>
      </c>
      <c r="S413">
        <v>1</v>
      </c>
      <c r="T413">
        <v>1</v>
      </c>
      <c r="U413">
        <v>1</v>
      </c>
      <c r="V413">
        <v>0</v>
      </c>
      <c r="W413">
        <v>4</v>
      </c>
      <c r="X413">
        <v>1</v>
      </c>
      <c r="Y413">
        <v>1</v>
      </c>
      <c r="Z413">
        <v>1</v>
      </c>
      <c r="AA413">
        <v>0</v>
      </c>
      <c r="AB413">
        <v>19</v>
      </c>
      <c r="AC413" t="s">
        <v>126</v>
      </c>
    </row>
    <row r="414" spans="1:29" ht="16" customHeight="1" x14ac:dyDescent="0.2">
      <c r="A414" s="1" t="s">
        <v>565</v>
      </c>
      <c r="B414" s="2" t="s">
        <v>137</v>
      </c>
      <c r="C414" s="2">
        <v>69</v>
      </c>
      <c r="D414" s="2" t="s">
        <v>138</v>
      </c>
      <c r="E414" s="2">
        <v>2340</v>
      </c>
      <c r="F414" s="2">
        <v>1</v>
      </c>
      <c r="G414" s="2">
        <v>0</v>
      </c>
      <c r="H414" s="2">
        <v>0</v>
      </c>
      <c r="I414" s="2">
        <v>0</v>
      </c>
      <c r="J414" s="2">
        <v>2</v>
      </c>
      <c r="K414" s="2">
        <v>1</v>
      </c>
      <c r="L414" s="2">
        <v>1</v>
      </c>
      <c r="M414" s="2">
        <v>4</v>
      </c>
      <c r="N414" s="2">
        <v>0</v>
      </c>
      <c r="O414" s="2">
        <v>0</v>
      </c>
      <c r="P414" s="2">
        <v>0</v>
      </c>
      <c r="Q414" s="2">
        <v>1</v>
      </c>
      <c r="R414" s="2">
        <v>1</v>
      </c>
      <c r="S414">
        <v>2</v>
      </c>
      <c r="T414">
        <v>1</v>
      </c>
      <c r="U414">
        <v>1</v>
      </c>
      <c r="V414">
        <v>1</v>
      </c>
      <c r="W414">
        <v>4</v>
      </c>
      <c r="X414">
        <v>-1</v>
      </c>
      <c r="Y414">
        <v>1</v>
      </c>
      <c r="Z414">
        <v>0</v>
      </c>
      <c r="AA414">
        <v>1</v>
      </c>
      <c r="AB414">
        <v>95</v>
      </c>
      <c r="AC414" t="s">
        <v>126</v>
      </c>
    </row>
    <row r="415" spans="1:29" ht="16" customHeight="1" x14ac:dyDescent="0.2">
      <c r="A415" s="1" t="s">
        <v>566</v>
      </c>
      <c r="B415" s="2" t="s">
        <v>157</v>
      </c>
      <c r="C415" s="2">
        <v>69</v>
      </c>
      <c r="D415" s="2" t="s">
        <v>140</v>
      </c>
      <c r="E415" s="2">
        <v>1450</v>
      </c>
      <c r="F415" s="2">
        <v>1</v>
      </c>
      <c r="G415" s="2">
        <v>0</v>
      </c>
      <c r="H415" s="2">
        <v>0</v>
      </c>
      <c r="I415" s="2">
        <v>0</v>
      </c>
      <c r="J415" s="2">
        <v>5</v>
      </c>
      <c r="K415" s="2">
        <v>1</v>
      </c>
      <c r="L415" s="2">
        <v>3</v>
      </c>
      <c r="M415" s="2">
        <v>2</v>
      </c>
      <c r="N415" s="2">
        <v>1</v>
      </c>
      <c r="O415" s="2">
        <v>1</v>
      </c>
      <c r="P415" s="2">
        <v>1</v>
      </c>
      <c r="Q415" s="2">
        <v>1</v>
      </c>
      <c r="R415" s="2">
        <v>1</v>
      </c>
      <c r="S415">
        <v>1</v>
      </c>
      <c r="T415">
        <v>0</v>
      </c>
      <c r="U415">
        <v>1</v>
      </c>
      <c r="V415">
        <v>0</v>
      </c>
      <c r="W415">
        <v>3</v>
      </c>
      <c r="X415">
        <v>-1</v>
      </c>
      <c r="Y415">
        <v>0</v>
      </c>
      <c r="Z415">
        <v>0</v>
      </c>
      <c r="AA415">
        <v>0</v>
      </c>
      <c r="AB415">
        <v>253</v>
      </c>
      <c r="AC415" t="s">
        <v>126</v>
      </c>
    </row>
    <row r="416" spans="1:29" ht="16" customHeight="1" x14ac:dyDescent="0.2">
      <c r="A416" s="1" t="s">
        <v>567</v>
      </c>
      <c r="B416" s="2" t="s">
        <v>159</v>
      </c>
      <c r="C416" s="2">
        <v>70</v>
      </c>
      <c r="D416" s="2" t="s">
        <v>125</v>
      </c>
      <c r="E416" s="2">
        <v>810</v>
      </c>
      <c r="F416" s="2">
        <v>0</v>
      </c>
      <c r="G416" s="2">
        <v>1</v>
      </c>
      <c r="H416" s="2">
        <v>0</v>
      </c>
      <c r="I416" s="2">
        <v>0</v>
      </c>
      <c r="J416" s="2">
        <v>5</v>
      </c>
      <c r="K416" s="2">
        <v>2</v>
      </c>
      <c r="L416" s="2">
        <v>1</v>
      </c>
      <c r="M416" s="2">
        <v>1</v>
      </c>
      <c r="N416" s="2">
        <v>1</v>
      </c>
      <c r="O416" s="2">
        <v>0</v>
      </c>
      <c r="P416" s="2">
        <v>1</v>
      </c>
      <c r="Q416" s="2">
        <v>1</v>
      </c>
      <c r="R416" s="2">
        <v>1</v>
      </c>
      <c r="S416">
        <v>3</v>
      </c>
      <c r="T416">
        <v>0</v>
      </c>
      <c r="U416">
        <v>0</v>
      </c>
      <c r="V416">
        <v>1</v>
      </c>
      <c r="W416">
        <v>3</v>
      </c>
      <c r="X416">
        <v>-1</v>
      </c>
      <c r="Y416">
        <v>0</v>
      </c>
      <c r="Z416">
        <v>1</v>
      </c>
      <c r="AA416">
        <v>1</v>
      </c>
      <c r="AB416">
        <v>184</v>
      </c>
      <c r="AC416" t="s">
        <v>126</v>
      </c>
    </row>
    <row r="417" spans="1:29" ht="16" customHeight="1" x14ac:dyDescent="0.2">
      <c r="A417" s="1" t="s">
        <v>568</v>
      </c>
      <c r="B417" s="2" t="s">
        <v>195</v>
      </c>
      <c r="C417" s="2">
        <v>70</v>
      </c>
      <c r="D417" s="2" t="s">
        <v>129</v>
      </c>
      <c r="E417" s="2">
        <v>9767</v>
      </c>
      <c r="F417" s="2">
        <v>1</v>
      </c>
      <c r="G417" s="2">
        <v>1</v>
      </c>
      <c r="H417" s="2">
        <v>0</v>
      </c>
      <c r="I417" s="2">
        <v>-1</v>
      </c>
      <c r="J417" s="2">
        <v>3</v>
      </c>
      <c r="K417" s="2">
        <v>2</v>
      </c>
      <c r="L417" s="2">
        <v>2</v>
      </c>
      <c r="M417" s="2">
        <v>5</v>
      </c>
      <c r="N417" s="2">
        <v>0</v>
      </c>
      <c r="O417" s="2">
        <v>0</v>
      </c>
      <c r="P417" s="2">
        <v>1</v>
      </c>
      <c r="Q417" s="2">
        <v>0</v>
      </c>
      <c r="R417" s="2">
        <v>0</v>
      </c>
      <c r="S417">
        <v>2</v>
      </c>
      <c r="T417">
        <v>1</v>
      </c>
      <c r="U417">
        <v>0</v>
      </c>
      <c r="V417">
        <v>1</v>
      </c>
      <c r="W417">
        <v>3</v>
      </c>
      <c r="X417">
        <v>1</v>
      </c>
      <c r="Y417">
        <v>0</v>
      </c>
      <c r="Z417">
        <v>1</v>
      </c>
      <c r="AA417">
        <v>1</v>
      </c>
      <c r="AB417">
        <v>55</v>
      </c>
      <c r="AC417" t="s">
        <v>126</v>
      </c>
    </row>
    <row r="418" spans="1:29" ht="16" customHeight="1" x14ac:dyDescent="0.2">
      <c r="A418" s="1" t="s">
        <v>569</v>
      </c>
      <c r="B418" s="2" t="s">
        <v>149</v>
      </c>
      <c r="C418" s="2">
        <v>70</v>
      </c>
      <c r="D418" s="2" t="s">
        <v>132</v>
      </c>
      <c r="E418" s="2">
        <v>378</v>
      </c>
      <c r="F418" s="2">
        <v>0</v>
      </c>
      <c r="G418" s="2">
        <v>1</v>
      </c>
      <c r="H418" s="2">
        <v>1</v>
      </c>
      <c r="I418" s="2">
        <v>0</v>
      </c>
      <c r="J418" s="2">
        <v>1</v>
      </c>
      <c r="K418" s="2">
        <v>1</v>
      </c>
      <c r="L418" s="2">
        <v>1</v>
      </c>
      <c r="M418" s="2">
        <v>3</v>
      </c>
      <c r="N418" s="2">
        <v>0</v>
      </c>
      <c r="O418" s="2">
        <v>0</v>
      </c>
      <c r="P418" s="2">
        <v>1</v>
      </c>
      <c r="Q418" s="2">
        <v>0</v>
      </c>
      <c r="R418" s="2">
        <v>0</v>
      </c>
      <c r="S418">
        <v>3</v>
      </c>
      <c r="T418">
        <v>1</v>
      </c>
      <c r="U418">
        <v>1</v>
      </c>
      <c r="V418">
        <v>1</v>
      </c>
      <c r="W418">
        <v>4</v>
      </c>
      <c r="X418">
        <v>1</v>
      </c>
      <c r="Y418">
        <v>1</v>
      </c>
      <c r="Z418">
        <v>0</v>
      </c>
      <c r="AA418">
        <v>0</v>
      </c>
      <c r="AB418">
        <v>281</v>
      </c>
      <c r="AC418" t="s">
        <v>126</v>
      </c>
    </row>
    <row r="419" spans="1:29" ht="16" customHeight="1" x14ac:dyDescent="0.2">
      <c r="A419" s="1" t="s">
        <v>570</v>
      </c>
      <c r="B419" s="2" t="s">
        <v>193</v>
      </c>
      <c r="C419" s="2">
        <v>70</v>
      </c>
      <c r="D419" s="2" t="s">
        <v>135</v>
      </c>
      <c r="E419" s="2">
        <v>9016</v>
      </c>
      <c r="F419" s="2">
        <v>0</v>
      </c>
      <c r="G419" s="2">
        <v>1</v>
      </c>
      <c r="H419" s="2">
        <v>0</v>
      </c>
      <c r="I419" s="2">
        <v>-1</v>
      </c>
      <c r="J419" s="2">
        <v>4</v>
      </c>
      <c r="K419" s="2">
        <v>2</v>
      </c>
      <c r="L419" s="2">
        <v>3</v>
      </c>
      <c r="M419" s="2">
        <v>1</v>
      </c>
      <c r="N419" s="2">
        <v>1</v>
      </c>
      <c r="O419" s="2">
        <v>1</v>
      </c>
      <c r="P419" s="2">
        <v>0</v>
      </c>
      <c r="Q419" s="2">
        <v>1</v>
      </c>
      <c r="R419" s="2">
        <v>1</v>
      </c>
      <c r="S419">
        <v>0</v>
      </c>
      <c r="T419">
        <v>0</v>
      </c>
      <c r="U419">
        <v>1</v>
      </c>
      <c r="V419">
        <v>1</v>
      </c>
      <c r="W419">
        <v>3</v>
      </c>
      <c r="X419">
        <v>0</v>
      </c>
      <c r="Y419">
        <v>0</v>
      </c>
      <c r="Z419">
        <v>0</v>
      </c>
      <c r="AA419">
        <v>0</v>
      </c>
      <c r="AB419">
        <v>277</v>
      </c>
      <c r="AC419" t="s">
        <v>126</v>
      </c>
    </row>
    <row r="420" spans="1:29" ht="16" customHeight="1" x14ac:dyDescent="0.2">
      <c r="A420" s="1" t="s">
        <v>571</v>
      </c>
      <c r="B420" s="2" t="s">
        <v>161</v>
      </c>
      <c r="C420" s="2">
        <v>70</v>
      </c>
      <c r="D420" s="2" t="s">
        <v>138</v>
      </c>
      <c r="E420" s="2">
        <v>271</v>
      </c>
      <c r="F420" s="2">
        <v>0</v>
      </c>
      <c r="G420" s="2">
        <v>0</v>
      </c>
      <c r="H420" s="2">
        <v>0</v>
      </c>
      <c r="I420" s="2">
        <v>0</v>
      </c>
      <c r="J420" s="2">
        <v>3</v>
      </c>
      <c r="K420" s="2">
        <v>1</v>
      </c>
      <c r="L420" s="2">
        <v>1</v>
      </c>
      <c r="M420" s="2">
        <v>2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>
        <v>3</v>
      </c>
      <c r="T420">
        <v>1</v>
      </c>
      <c r="U420">
        <v>1</v>
      </c>
      <c r="V420">
        <v>1</v>
      </c>
      <c r="W420">
        <v>2</v>
      </c>
      <c r="X420">
        <v>0</v>
      </c>
      <c r="Y420">
        <v>1</v>
      </c>
      <c r="Z420">
        <v>0</v>
      </c>
      <c r="AA420">
        <v>1</v>
      </c>
      <c r="AB420">
        <v>101</v>
      </c>
      <c r="AC420" t="s">
        <v>126</v>
      </c>
    </row>
    <row r="421" spans="1:29" ht="16" customHeight="1" x14ac:dyDescent="0.2">
      <c r="A421" s="1" t="s">
        <v>572</v>
      </c>
      <c r="B421" s="2" t="s">
        <v>193</v>
      </c>
      <c r="C421" s="2">
        <v>70</v>
      </c>
      <c r="D421" s="2" t="s">
        <v>140</v>
      </c>
      <c r="E421" s="2">
        <v>3173</v>
      </c>
      <c r="F421" s="2">
        <v>0</v>
      </c>
      <c r="G421" s="2">
        <v>1</v>
      </c>
      <c r="H421" s="2">
        <v>0</v>
      </c>
      <c r="I421" s="2">
        <v>1</v>
      </c>
      <c r="J421" s="2">
        <v>2</v>
      </c>
      <c r="K421" s="2">
        <v>1</v>
      </c>
      <c r="L421" s="2">
        <v>3</v>
      </c>
      <c r="M421" s="2">
        <v>1</v>
      </c>
      <c r="N421" s="2">
        <v>1</v>
      </c>
      <c r="O421" s="2">
        <v>0</v>
      </c>
      <c r="P421" s="2">
        <v>0</v>
      </c>
      <c r="Q421" s="2">
        <v>1</v>
      </c>
      <c r="R421" s="2">
        <v>0</v>
      </c>
      <c r="S421">
        <v>1</v>
      </c>
      <c r="T421">
        <v>0</v>
      </c>
      <c r="U421">
        <v>0</v>
      </c>
      <c r="V421">
        <v>0</v>
      </c>
      <c r="W421">
        <v>4</v>
      </c>
      <c r="X421">
        <v>1</v>
      </c>
      <c r="Y421">
        <v>0</v>
      </c>
      <c r="Z421">
        <v>0</v>
      </c>
      <c r="AA421">
        <v>0</v>
      </c>
      <c r="AB421">
        <v>21</v>
      </c>
      <c r="AC421" t="s">
        <v>126</v>
      </c>
    </row>
    <row r="422" spans="1:29" ht="16" customHeight="1" x14ac:dyDescent="0.2">
      <c r="A422" s="1" t="s">
        <v>573</v>
      </c>
      <c r="B422" s="2" t="s">
        <v>137</v>
      </c>
      <c r="C422" s="2">
        <v>71</v>
      </c>
      <c r="D422" s="2" t="s">
        <v>125</v>
      </c>
      <c r="E422" s="2">
        <v>144</v>
      </c>
      <c r="F422" s="2">
        <v>1</v>
      </c>
      <c r="G422" s="2">
        <v>0</v>
      </c>
      <c r="H422" s="2">
        <v>0</v>
      </c>
      <c r="I422" s="2">
        <v>0</v>
      </c>
      <c r="J422" s="2">
        <v>2</v>
      </c>
      <c r="K422" s="2">
        <v>1</v>
      </c>
      <c r="L422" s="2">
        <v>3</v>
      </c>
      <c r="M422" s="2">
        <v>5</v>
      </c>
      <c r="N422" s="2">
        <v>0</v>
      </c>
      <c r="O422" s="2">
        <v>0</v>
      </c>
      <c r="P422" s="2">
        <v>1</v>
      </c>
      <c r="Q422" s="2">
        <v>1</v>
      </c>
      <c r="R422" s="2">
        <v>1</v>
      </c>
      <c r="S422">
        <v>-1</v>
      </c>
      <c r="T422">
        <v>0</v>
      </c>
      <c r="U422">
        <v>0</v>
      </c>
      <c r="V422">
        <v>0</v>
      </c>
      <c r="W422">
        <v>5</v>
      </c>
      <c r="X422">
        <v>-1</v>
      </c>
      <c r="Y422">
        <v>0</v>
      </c>
      <c r="Z422">
        <v>1</v>
      </c>
      <c r="AA422">
        <v>0</v>
      </c>
      <c r="AB422">
        <v>98</v>
      </c>
      <c r="AC422" t="s">
        <v>126</v>
      </c>
    </row>
    <row r="423" spans="1:29" ht="16" customHeight="1" x14ac:dyDescent="0.2">
      <c r="A423" s="1" t="s">
        <v>574</v>
      </c>
      <c r="B423" s="2" t="s">
        <v>195</v>
      </c>
      <c r="C423" s="2">
        <v>71</v>
      </c>
      <c r="D423" s="2" t="s">
        <v>129</v>
      </c>
      <c r="E423" s="2">
        <v>1787</v>
      </c>
      <c r="F423" s="2">
        <v>0</v>
      </c>
      <c r="G423" s="2">
        <v>0</v>
      </c>
      <c r="H423" s="2">
        <v>1</v>
      </c>
      <c r="I423" s="2">
        <v>0</v>
      </c>
      <c r="J423" s="2">
        <v>2</v>
      </c>
      <c r="K423" s="2">
        <v>2</v>
      </c>
      <c r="L423" s="2">
        <v>3</v>
      </c>
      <c r="M423" s="2">
        <v>1</v>
      </c>
      <c r="N423" s="2">
        <v>0</v>
      </c>
      <c r="O423" s="2">
        <v>1</v>
      </c>
      <c r="P423" s="2">
        <v>0</v>
      </c>
      <c r="Q423" s="2">
        <v>0</v>
      </c>
      <c r="R423" s="2">
        <v>0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  <c r="AB423">
        <v>124</v>
      </c>
      <c r="AC423" t="s">
        <v>126</v>
      </c>
    </row>
    <row r="424" spans="1:29" ht="16" customHeight="1" x14ac:dyDescent="0.2">
      <c r="A424" s="1" t="s">
        <v>575</v>
      </c>
      <c r="B424" s="2" t="s">
        <v>124</v>
      </c>
      <c r="C424" s="2">
        <v>71</v>
      </c>
      <c r="D424" s="2" t="s">
        <v>132</v>
      </c>
      <c r="E424" s="2">
        <v>639</v>
      </c>
      <c r="F424" s="2">
        <v>1</v>
      </c>
      <c r="G424" s="2">
        <v>0</v>
      </c>
      <c r="H424" s="2">
        <v>0</v>
      </c>
      <c r="I424" s="2">
        <v>1</v>
      </c>
      <c r="J424" s="2">
        <v>4</v>
      </c>
      <c r="K424" s="2">
        <v>1</v>
      </c>
      <c r="L424" s="2">
        <v>1</v>
      </c>
      <c r="M424" s="2">
        <v>3</v>
      </c>
      <c r="N424" s="2">
        <v>1</v>
      </c>
      <c r="O424" s="2">
        <v>0</v>
      </c>
      <c r="P424" s="2">
        <v>0</v>
      </c>
      <c r="Q424" s="2">
        <v>1</v>
      </c>
      <c r="R424" s="2">
        <v>1</v>
      </c>
      <c r="S424">
        <v>-1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4</v>
      </c>
      <c r="AC424" t="s">
        <v>126</v>
      </c>
    </row>
    <row r="425" spans="1:29" ht="16" customHeight="1" x14ac:dyDescent="0.2">
      <c r="A425" s="1" t="s">
        <v>576</v>
      </c>
      <c r="B425" s="2" t="s">
        <v>134</v>
      </c>
      <c r="C425" s="2">
        <v>71</v>
      </c>
      <c r="D425" s="2" t="s">
        <v>135</v>
      </c>
      <c r="E425" s="2">
        <v>4458</v>
      </c>
      <c r="F425" s="2">
        <v>0</v>
      </c>
      <c r="G425" s="2">
        <v>1</v>
      </c>
      <c r="H425" s="2">
        <v>1</v>
      </c>
      <c r="I425" s="2">
        <v>0</v>
      </c>
      <c r="J425" s="2">
        <v>3</v>
      </c>
      <c r="K425" s="2">
        <v>3</v>
      </c>
      <c r="L425" s="2">
        <v>1</v>
      </c>
      <c r="M425" s="2">
        <v>4</v>
      </c>
      <c r="N425" s="2">
        <v>1</v>
      </c>
      <c r="O425" s="2">
        <v>0</v>
      </c>
      <c r="P425" s="2">
        <v>0</v>
      </c>
      <c r="Q425" s="2">
        <v>1</v>
      </c>
      <c r="R425" s="2">
        <v>1</v>
      </c>
      <c r="S425">
        <v>-1</v>
      </c>
      <c r="T425">
        <v>1</v>
      </c>
      <c r="U425">
        <v>0</v>
      </c>
      <c r="V425">
        <v>1</v>
      </c>
      <c r="W425">
        <v>3</v>
      </c>
      <c r="X425">
        <v>0</v>
      </c>
      <c r="Y425">
        <v>1</v>
      </c>
      <c r="Z425">
        <v>1</v>
      </c>
      <c r="AA425">
        <v>1</v>
      </c>
      <c r="AB425">
        <v>99</v>
      </c>
      <c r="AC425" t="s">
        <v>126</v>
      </c>
    </row>
    <row r="426" spans="1:29" ht="16" customHeight="1" x14ac:dyDescent="0.2">
      <c r="A426" s="1" t="s">
        <v>577</v>
      </c>
      <c r="B426" s="2" t="s">
        <v>166</v>
      </c>
      <c r="C426" s="2">
        <v>71</v>
      </c>
      <c r="D426" s="2" t="s">
        <v>138</v>
      </c>
      <c r="E426" s="2">
        <v>4253</v>
      </c>
      <c r="F426" s="2">
        <v>1</v>
      </c>
      <c r="G426" s="2">
        <v>1</v>
      </c>
      <c r="H426" s="2">
        <v>1</v>
      </c>
      <c r="I426" s="2">
        <v>1</v>
      </c>
      <c r="J426" s="2">
        <v>4</v>
      </c>
      <c r="K426" s="2">
        <v>2</v>
      </c>
      <c r="L426" s="2">
        <v>2</v>
      </c>
      <c r="M426" s="2">
        <v>4</v>
      </c>
      <c r="N426" s="2">
        <v>0</v>
      </c>
      <c r="O426" s="2">
        <v>0</v>
      </c>
      <c r="P426" s="2">
        <v>0</v>
      </c>
      <c r="Q426" s="2">
        <v>1</v>
      </c>
      <c r="R426" s="2">
        <v>0</v>
      </c>
      <c r="S426">
        <v>2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271</v>
      </c>
      <c r="AC426" t="s">
        <v>126</v>
      </c>
    </row>
    <row r="427" spans="1:29" ht="16" customHeight="1" x14ac:dyDescent="0.2">
      <c r="A427" s="1" t="s">
        <v>578</v>
      </c>
      <c r="B427" s="2" t="s">
        <v>159</v>
      </c>
      <c r="C427" s="2">
        <v>71</v>
      </c>
      <c r="D427" s="2" t="s">
        <v>140</v>
      </c>
      <c r="E427" s="2">
        <v>4930</v>
      </c>
      <c r="F427" s="2">
        <v>1</v>
      </c>
      <c r="G427" s="2">
        <v>1</v>
      </c>
      <c r="H427" s="2">
        <v>0</v>
      </c>
      <c r="I427" s="2">
        <v>1</v>
      </c>
      <c r="J427" s="2">
        <v>1</v>
      </c>
      <c r="K427" s="2">
        <v>2</v>
      </c>
      <c r="L427" s="2">
        <v>1</v>
      </c>
      <c r="M427" s="2">
        <v>1</v>
      </c>
      <c r="N427" s="2">
        <v>0</v>
      </c>
      <c r="O427" s="2">
        <v>1</v>
      </c>
      <c r="P427" s="2">
        <v>1</v>
      </c>
      <c r="Q427" s="2">
        <v>1</v>
      </c>
      <c r="R427" s="2">
        <v>1</v>
      </c>
      <c r="S427">
        <v>1</v>
      </c>
      <c r="T427">
        <v>1</v>
      </c>
      <c r="U427">
        <v>1</v>
      </c>
      <c r="V427">
        <v>1</v>
      </c>
      <c r="W427">
        <v>3</v>
      </c>
      <c r="X427">
        <v>0</v>
      </c>
      <c r="Y427">
        <v>1</v>
      </c>
      <c r="Z427">
        <v>0</v>
      </c>
      <c r="AA427">
        <v>1</v>
      </c>
      <c r="AB427">
        <v>54</v>
      </c>
      <c r="AC427" t="s">
        <v>126</v>
      </c>
    </row>
    <row r="428" spans="1:29" ht="16" customHeight="1" x14ac:dyDescent="0.2">
      <c r="A428" s="1" t="s">
        <v>579</v>
      </c>
      <c r="B428" s="2" t="s">
        <v>124</v>
      </c>
      <c r="C428" s="2">
        <v>72</v>
      </c>
      <c r="D428" s="2" t="s">
        <v>125</v>
      </c>
      <c r="E428" s="2">
        <v>3044</v>
      </c>
      <c r="F428" s="2">
        <v>1</v>
      </c>
      <c r="G428" s="2">
        <v>1</v>
      </c>
      <c r="H428" s="2">
        <v>1</v>
      </c>
      <c r="I428" s="2">
        <v>1</v>
      </c>
      <c r="J428" s="2">
        <v>3</v>
      </c>
      <c r="K428" s="2">
        <v>3</v>
      </c>
      <c r="L428" s="2">
        <v>2</v>
      </c>
      <c r="M428" s="2">
        <v>2</v>
      </c>
      <c r="N428" s="2">
        <v>0</v>
      </c>
      <c r="O428" s="2">
        <v>1</v>
      </c>
      <c r="P428" s="2">
        <v>0</v>
      </c>
      <c r="Q428" s="2">
        <v>1</v>
      </c>
      <c r="R428" s="2">
        <v>0</v>
      </c>
      <c r="S428">
        <v>3</v>
      </c>
      <c r="T428">
        <v>1</v>
      </c>
      <c r="U428">
        <v>0</v>
      </c>
      <c r="V428">
        <v>0</v>
      </c>
      <c r="W428">
        <v>1</v>
      </c>
      <c r="X428">
        <v>-1</v>
      </c>
      <c r="Y428">
        <v>1</v>
      </c>
      <c r="Z428">
        <v>1</v>
      </c>
      <c r="AA428">
        <v>1</v>
      </c>
      <c r="AB428">
        <v>88</v>
      </c>
      <c r="AC428" t="s">
        <v>126</v>
      </c>
    </row>
    <row r="429" spans="1:29" ht="16" customHeight="1" x14ac:dyDescent="0.2">
      <c r="A429" s="1" t="s">
        <v>580</v>
      </c>
      <c r="B429" s="2" t="s">
        <v>159</v>
      </c>
      <c r="C429" s="2">
        <v>72</v>
      </c>
      <c r="D429" s="2" t="s">
        <v>129</v>
      </c>
      <c r="E429" s="2">
        <v>3181</v>
      </c>
      <c r="F429" s="2">
        <v>0</v>
      </c>
      <c r="G429" s="2">
        <v>1</v>
      </c>
      <c r="H429" s="2">
        <v>1</v>
      </c>
      <c r="I429" s="2">
        <v>0</v>
      </c>
      <c r="J429" s="2">
        <v>5</v>
      </c>
      <c r="K429" s="2">
        <v>2</v>
      </c>
      <c r="L429" s="2">
        <v>2</v>
      </c>
      <c r="M429" s="2">
        <v>2</v>
      </c>
      <c r="N429" s="2">
        <v>0</v>
      </c>
      <c r="O429" s="2">
        <v>0</v>
      </c>
      <c r="P429" s="2">
        <v>1</v>
      </c>
      <c r="Q429" s="2">
        <v>0</v>
      </c>
      <c r="R429" s="2">
        <v>1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0</v>
      </c>
      <c r="AA429">
        <v>0</v>
      </c>
      <c r="AB429">
        <v>282</v>
      </c>
      <c r="AC429" t="s">
        <v>126</v>
      </c>
    </row>
    <row r="430" spans="1:29" ht="16" customHeight="1" x14ac:dyDescent="0.2">
      <c r="A430" s="1" t="s">
        <v>581</v>
      </c>
      <c r="B430" s="2" t="s">
        <v>149</v>
      </c>
      <c r="C430" s="2">
        <v>72</v>
      </c>
      <c r="D430" s="2" t="s">
        <v>132</v>
      </c>
      <c r="E430" s="2">
        <v>4093</v>
      </c>
      <c r="F430" s="2">
        <v>1</v>
      </c>
      <c r="G430" s="2">
        <v>0</v>
      </c>
      <c r="H430" s="2">
        <v>0</v>
      </c>
      <c r="I430" s="2">
        <v>1</v>
      </c>
      <c r="J430" s="2">
        <v>3</v>
      </c>
      <c r="K430" s="2">
        <v>1</v>
      </c>
      <c r="L430" s="2">
        <v>1</v>
      </c>
      <c r="M430" s="2">
        <v>5</v>
      </c>
      <c r="N430" s="2">
        <v>1</v>
      </c>
      <c r="O430" s="2">
        <v>1</v>
      </c>
      <c r="P430" s="2">
        <v>1</v>
      </c>
      <c r="Q430" s="2">
        <v>1</v>
      </c>
      <c r="R430" s="2">
        <v>1</v>
      </c>
      <c r="S430">
        <v>2</v>
      </c>
      <c r="T430">
        <v>1</v>
      </c>
      <c r="U430">
        <v>1</v>
      </c>
      <c r="V430">
        <v>1</v>
      </c>
      <c r="W430">
        <v>3</v>
      </c>
      <c r="X430">
        <v>-1</v>
      </c>
      <c r="Y430">
        <v>1</v>
      </c>
      <c r="Z430">
        <v>0</v>
      </c>
      <c r="AA430">
        <v>0</v>
      </c>
      <c r="AB430">
        <v>98</v>
      </c>
      <c r="AC430" t="s">
        <v>126</v>
      </c>
    </row>
    <row r="431" spans="1:29" ht="16" customHeight="1" x14ac:dyDescent="0.2">
      <c r="A431" s="1" t="s">
        <v>582</v>
      </c>
      <c r="B431" s="2" t="s">
        <v>201</v>
      </c>
      <c r="C431" s="2">
        <v>72</v>
      </c>
      <c r="D431" s="2" t="s">
        <v>135</v>
      </c>
      <c r="E431" s="2">
        <v>8503</v>
      </c>
      <c r="F431" s="2">
        <v>1</v>
      </c>
      <c r="G431" s="2">
        <v>1</v>
      </c>
      <c r="H431" s="2">
        <v>0</v>
      </c>
      <c r="I431" s="2">
        <v>1</v>
      </c>
      <c r="J431" s="2">
        <v>5</v>
      </c>
      <c r="K431" s="2">
        <v>1</v>
      </c>
      <c r="L431" s="2">
        <v>2</v>
      </c>
      <c r="M431" s="2">
        <v>2</v>
      </c>
      <c r="N431" s="2">
        <v>1</v>
      </c>
      <c r="O431" s="2">
        <v>1</v>
      </c>
      <c r="P431" s="2">
        <v>0</v>
      </c>
      <c r="Q431" s="2">
        <v>1</v>
      </c>
      <c r="R431" s="2">
        <v>0</v>
      </c>
      <c r="S431">
        <v>0</v>
      </c>
      <c r="T431">
        <v>1</v>
      </c>
      <c r="U431">
        <v>1</v>
      </c>
      <c r="V431">
        <v>1</v>
      </c>
      <c r="W431">
        <v>3</v>
      </c>
      <c r="X431">
        <v>-1</v>
      </c>
      <c r="Y431">
        <v>1</v>
      </c>
      <c r="Z431">
        <v>1</v>
      </c>
      <c r="AA431">
        <v>0</v>
      </c>
      <c r="AB431">
        <v>213</v>
      </c>
      <c r="AC431" t="s">
        <v>126</v>
      </c>
    </row>
    <row r="432" spans="1:29" ht="16" customHeight="1" x14ac:dyDescent="0.2">
      <c r="A432" s="1" t="s">
        <v>583</v>
      </c>
      <c r="B432" s="2" t="s">
        <v>176</v>
      </c>
      <c r="C432" s="2">
        <v>72</v>
      </c>
      <c r="D432" s="2" t="s">
        <v>138</v>
      </c>
      <c r="E432" s="2">
        <v>48</v>
      </c>
      <c r="F432" s="2">
        <v>1</v>
      </c>
      <c r="G432" s="2">
        <v>1</v>
      </c>
      <c r="H432" s="2">
        <v>1</v>
      </c>
      <c r="I432" s="2">
        <v>1</v>
      </c>
      <c r="J432" s="2">
        <v>5</v>
      </c>
      <c r="K432" s="2">
        <v>1</v>
      </c>
      <c r="L432" s="2">
        <v>1</v>
      </c>
      <c r="M432" s="2">
        <v>2</v>
      </c>
      <c r="N432" s="2">
        <v>1</v>
      </c>
      <c r="O432" s="2">
        <v>1</v>
      </c>
      <c r="P432" s="2">
        <v>1</v>
      </c>
      <c r="Q432" s="2">
        <v>1</v>
      </c>
      <c r="R432" s="2">
        <v>1</v>
      </c>
      <c r="S432">
        <v>-1</v>
      </c>
      <c r="T432">
        <v>1</v>
      </c>
      <c r="U432">
        <v>0</v>
      </c>
      <c r="V432">
        <v>0</v>
      </c>
      <c r="W432">
        <v>1</v>
      </c>
      <c r="X432">
        <v>-1</v>
      </c>
      <c r="Y432">
        <v>1</v>
      </c>
      <c r="Z432">
        <v>1</v>
      </c>
      <c r="AA432">
        <v>1</v>
      </c>
      <c r="AB432">
        <v>212</v>
      </c>
      <c r="AC432" t="s">
        <v>126</v>
      </c>
    </row>
    <row r="433" spans="1:29" ht="16" customHeight="1" x14ac:dyDescent="0.2">
      <c r="A433" s="1" t="s">
        <v>584</v>
      </c>
      <c r="B433" s="2" t="s">
        <v>128</v>
      </c>
      <c r="C433" s="2">
        <v>72</v>
      </c>
      <c r="D433" s="2" t="s">
        <v>140</v>
      </c>
      <c r="E433" s="2">
        <v>5528</v>
      </c>
      <c r="F433" s="2">
        <v>1</v>
      </c>
      <c r="G433" s="2">
        <v>1</v>
      </c>
      <c r="H433" s="2">
        <v>1</v>
      </c>
      <c r="I433" s="2">
        <v>-1</v>
      </c>
      <c r="J433" s="2">
        <v>2</v>
      </c>
      <c r="K433" s="2">
        <v>3</v>
      </c>
      <c r="L433" s="2">
        <v>1</v>
      </c>
      <c r="M433" s="2">
        <v>2</v>
      </c>
      <c r="N433" s="2">
        <v>0</v>
      </c>
      <c r="O433" s="2">
        <v>1</v>
      </c>
      <c r="P433" s="2">
        <v>0</v>
      </c>
      <c r="Q433" s="2">
        <v>0</v>
      </c>
      <c r="R433" s="2">
        <v>0</v>
      </c>
      <c r="S433">
        <v>2</v>
      </c>
      <c r="T433">
        <v>1</v>
      </c>
      <c r="U433">
        <v>1</v>
      </c>
      <c r="V433">
        <v>0</v>
      </c>
      <c r="W433">
        <v>2</v>
      </c>
      <c r="X433">
        <v>1</v>
      </c>
      <c r="Y433">
        <v>0</v>
      </c>
      <c r="Z433">
        <v>1</v>
      </c>
      <c r="AA433">
        <v>0</v>
      </c>
      <c r="AB433">
        <v>278</v>
      </c>
      <c r="AC433" t="s">
        <v>126</v>
      </c>
    </row>
    <row r="434" spans="1:29" ht="16" customHeight="1" x14ac:dyDescent="0.2">
      <c r="A434" s="1" t="s">
        <v>585</v>
      </c>
      <c r="B434" s="2" t="s">
        <v>208</v>
      </c>
      <c r="C434" s="2">
        <v>73</v>
      </c>
      <c r="D434" s="2" t="s">
        <v>125</v>
      </c>
      <c r="E434" s="2">
        <v>325</v>
      </c>
      <c r="F434" s="2">
        <v>1</v>
      </c>
      <c r="G434" s="2">
        <v>0</v>
      </c>
      <c r="H434" s="2">
        <v>0</v>
      </c>
      <c r="I434" s="2">
        <v>1</v>
      </c>
      <c r="J434" s="2">
        <v>5</v>
      </c>
      <c r="K434" s="2">
        <v>2</v>
      </c>
      <c r="L434" s="2">
        <v>3</v>
      </c>
      <c r="M434" s="2">
        <v>1</v>
      </c>
      <c r="N434" s="2">
        <v>0</v>
      </c>
      <c r="O434" s="2">
        <v>0</v>
      </c>
      <c r="P434" s="2">
        <v>1</v>
      </c>
      <c r="Q434" s="2">
        <v>0</v>
      </c>
      <c r="R434" s="2">
        <v>1</v>
      </c>
      <c r="S434">
        <v>-1</v>
      </c>
      <c r="T434">
        <v>0</v>
      </c>
      <c r="U434">
        <v>1</v>
      </c>
      <c r="V434">
        <v>1</v>
      </c>
      <c r="W434">
        <v>4</v>
      </c>
      <c r="X434">
        <v>1</v>
      </c>
      <c r="Y434">
        <v>1</v>
      </c>
      <c r="Z434">
        <v>0</v>
      </c>
      <c r="AA434">
        <v>1</v>
      </c>
      <c r="AB434">
        <v>192</v>
      </c>
      <c r="AC434" t="s">
        <v>126</v>
      </c>
    </row>
    <row r="435" spans="1:29" ht="16" customHeight="1" x14ac:dyDescent="0.2">
      <c r="A435" s="1" t="s">
        <v>586</v>
      </c>
      <c r="B435" s="2" t="s">
        <v>131</v>
      </c>
      <c r="C435" s="2">
        <v>73</v>
      </c>
      <c r="D435" s="2" t="s">
        <v>129</v>
      </c>
      <c r="E435" s="2">
        <v>191</v>
      </c>
      <c r="F435" s="2">
        <v>1</v>
      </c>
      <c r="G435" s="2">
        <v>1</v>
      </c>
      <c r="H435" s="2">
        <v>0</v>
      </c>
      <c r="I435" s="2">
        <v>1</v>
      </c>
      <c r="J435" s="2">
        <v>1</v>
      </c>
      <c r="K435" s="2">
        <v>1</v>
      </c>
      <c r="L435" s="2">
        <v>3</v>
      </c>
      <c r="M435" s="2">
        <v>3</v>
      </c>
      <c r="N435" s="2">
        <v>0</v>
      </c>
      <c r="O435" s="2">
        <v>0</v>
      </c>
      <c r="P435" s="2">
        <v>1</v>
      </c>
      <c r="Q435" s="2">
        <v>0</v>
      </c>
      <c r="R435" s="2">
        <v>0</v>
      </c>
      <c r="S435">
        <v>-1</v>
      </c>
      <c r="T435">
        <v>0</v>
      </c>
      <c r="U435">
        <v>0</v>
      </c>
      <c r="V435">
        <v>0</v>
      </c>
      <c r="W435">
        <v>4</v>
      </c>
      <c r="X435">
        <v>-1</v>
      </c>
      <c r="Y435">
        <v>1</v>
      </c>
      <c r="Z435">
        <v>0</v>
      </c>
      <c r="AA435">
        <v>1</v>
      </c>
      <c r="AB435">
        <v>27</v>
      </c>
      <c r="AC435" t="s">
        <v>126</v>
      </c>
    </row>
    <row r="436" spans="1:29" ht="16" customHeight="1" x14ac:dyDescent="0.2">
      <c r="A436" s="1" t="s">
        <v>587</v>
      </c>
      <c r="B436" s="2" t="s">
        <v>149</v>
      </c>
      <c r="C436" s="2">
        <v>73</v>
      </c>
      <c r="D436" s="2" t="s">
        <v>132</v>
      </c>
      <c r="E436" s="2">
        <v>1468</v>
      </c>
      <c r="F436" s="2">
        <v>1</v>
      </c>
      <c r="G436" s="2">
        <v>1</v>
      </c>
      <c r="H436" s="2">
        <v>1</v>
      </c>
      <c r="I436" s="2">
        <v>-1</v>
      </c>
      <c r="J436" s="2">
        <v>1</v>
      </c>
      <c r="K436" s="2">
        <v>3</v>
      </c>
      <c r="L436" s="2">
        <v>1</v>
      </c>
      <c r="M436" s="2">
        <v>1</v>
      </c>
      <c r="N436" s="2">
        <v>1</v>
      </c>
      <c r="O436" s="2">
        <v>0</v>
      </c>
      <c r="P436" s="2">
        <v>0</v>
      </c>
      <c r="Q436" s="2">
        <v>0</v>
      </c>
      <c r="R436" s="2">
        <v>1</v>
      </c>
      <c r="S436">
        <v>2</v>
      </c>
      <c r="T436">
        <v>0</v>
      </c>
      <c r="U436">
        <v>1</v>
      </c>
      <c r="V436">
        <v>0</v>
      </c>
      <c r="W436">
        <v>1</v>
      </c>
      <c r="X436">
        <v>-1</v>
      </c>
      <c r="Y436">
        <v>0</v>
      </c>
      <c r="Z436">
        <v>1</v>
      </c>
      <c r="AA436">
        <v>1</v>
      </c>
      <c r="AB436">
        <v>283</v>
      </c>
      <c r="AC436" t="s">
        <v>126</v>
      </c>
    </row>
    <row r="437" spans="1:29" ht="16" customHeight="1" x14ac:dyDescent="0.2">
      <c r="A437" s="1" t="s">
        <v>588</v>
      </c>
      <c r="B437" s="2" t="s">
        <v>164</v>
      </c>
      <c r="C437" s="2">
        <v>73</v>
      </c>
      <c r="D437" s="2" t="s">
        <v>135</v>
      </c>
      <c r="E437" s="2">
        <v>3951</v>
      </c>
      <c r="F437" s="2">
        <v>0</v>
      </c>
      <c r="G437" s="2">
        <v>1</v>
      </c>
      <c r="H437" s="2">
        <v>1</v>
      </c>
      <c r="I437" s="2">
        <v>-1</v>
      </c>
      <c r="J437" s="2">
        <v>2</v>
      </c>
      <c r="K437" s="2">
        <v>2</v>
      </c>
      <c r="L437" s="2">
        <v>3</v>
      </c>
      <c r="M437" s="2">
        <v>2</v>
      </c>
      <c r="N437" s="2">
        <v>1</v>
      </c>
      <c r="O437" s="2">
        <v>0</v>
      </c>
      <c r="P437" s="2">
        <v>1</v>
      </c>
      <c r="Q437" s="2">
        <v>1</v>
      </c>
      <c r="R437" s="2">
        <v>0</v>
      </c>
      <c r="S437">
        <v>2</v>
      </c>
      <c r="T437">
        <v>1</v>
      </c>
      <c r="U437">
        <v>1</v>
      </c>
      <c r="V437">
        <v>0</v>
      </c>
      <c r="W437">
        <v>5</v>
      </c>
      <c r="X437">
        <v>1</v>
      </c>
      <c r="Y437">
        <v>1</v>
      </c>
      <c r="Z437">
        <v>1</v>
      </c>
      <c r="AA437">
        <v>0</v>
      </c>
      <c r="AB437">
        <v>116</v>
      </c>
      <c r="AC437" t="s">
        <v>126</v>
      </c>
    </row>
    <row r="438" spans="1:29" ht="16" customHeight="1" x14ac:dyDescent="0.2">
      <c r="A438" s="1" t="s">
        <v>589</v>
      </c>
      <c r="B438" s="2" t="s">
        <v>131</v>
      </c>
      <c r="C438" s="2">
        <v>73</v>
      </c>
      <c r="D438" s="2" t="s">
        <v>138</v>
      </c>
      <c r="E438" s="2">
        <v>1056</v>
      </c>
      <c r="F438" s="2">
        <v>1</v>
      </c>
      <c r="G438" s="2">
        <v>0</v>
      </c>
      <c r="H438" s="2">
        <v>0</v>
      </c>
      <c r="I438" s="2">
        <v>1</v>
      </c>
      <c r="J438" s="2">
        <v>5</v>
      </c>
      <c r="K438" s="2">
        <v>1</v>
      </c>
      <c r="L438" s="2">
        <v>1</v>
      </c>
      <c r="M438" s="2">
        <v>2</v>
      </c>
      <c r="N438" s="2">
        <v>0</v>
      </c>
      <c r="O438" s="2">
        <v>0</v>
      </c>
      <c r="P438" s="2">
        <v>0</v>
      </c>
      <c r="Q438" s="2">
        <v>0</v>
      </c>
      <c r="R438" s="2">
        <v>1</v>
      </c>
      <c r="S438">
        <v>1</v>
      </c>
      <c r="T438">
        <v>0</v>
      </c>
      <c r="U438">
        <v>0</v>
      </c>
      <c r="V438">
        <v>0</v>
      </c>
      <c r="W438">
        <v>5</v>
      </c>
      <c r="X438">
        <v>1</v>
      </c>
      <c r="Y438">
        <v>0</v>
      </c>
      <c r="Z438">
        <v>0</v>
      </c>
      <c r="AA438">
        <v>1</v>
      </c>
      <c r="AB438">
        <v>190</v>
      </c>
      <c r="AC438" t="s">
        <v>126</v>
      </c>
    </row>
    <row r="439" spans="1:29" ht="16" customHeight="1" x14ac:dyDescent="0.2">
      <c r="A439" s="1" t="s">
        <v>590</v>
      </c>
      <c r="B439" s="2" t="s">
        <v>143</v>
      </c>
      <c r="C439" s="2">
        <v>73</v>
      </c>
      <c r="D439" s="2" t="s">
        <v>140</v>
      </c>
      <c r="E439" s="2">
        <v>353</v>
      </c>
      <c r="F439" s="2">
        <v>0</v>
      </c>
      <c r="G439" s="2">
        <v>1</v>
      </c>
      <c r="H439" s="2">
        <v>1</v>
      </c>
      <c r="I439" s="2">
        <v>0</v>
      </c>
      <c r="J439" s="2">
        <v>4</v>
      </c>
      <c r="K439" s="2">
        <v>1</v>
      </c>
      <c r="L439" s="2">
        <v>1</v>
      </c>
      <c r="M439" s="2">
        <v>5</v>
      </c>
      <c r="N439" s="2">
        <v>1</v>
      </c>
      <c r="O439" s="2">
        <v>1</v>
      </c>
      <c r="P439" s="2">
        <v>1</v>
      </c>
      <c r="Q439" s="2">
        <v>0</v>
      </c>
      <c r="R439" s="2">
        <v>0</v>
      </c>
      <c r="S439">
        <v>3</v>
      </c>
      <c r="T439">
        <v>1</v>
      </c>
      <c r="U439">
        <v>0</v>
      </c>
      <c r="V439">
        <v>0</v>
      </c>
      <c r="W439">
        <v>5</v>
      </c>
      <c r="X439">
        <v>-1</v>
      </c>
      <c r="Y439">
        <v>1</v>
      </c>
      <c r="Z439">
        <v>1</v>
      </c>
      <c r="AA439">
        <v>1</v>
      </c>
      <c r="AB439">
        <v>297</v>
      </c>
      <c r="AC439" t="s">
        <v>126</v>
      </c>
    </row>
    <row r="440" spans="1:29" ht="16" customHeight="1" x14ac:dyDescent="0.2">
      <c r="A440" s="1" t="s">
        <v>591</v>
      </c>
      <c r="B440" s="2" t="s">
        <v>147</v>
      </c>
      <c r="C440" s="2">
        <v>74</v>
      </c>
      <c r="D440" s="2" t="s">
        <v>125</v>
      </c>
      <c r="E440" s="2">
        <v>564</v>
      </c>
      <c r="F440" s="2">
        <v>0</v>
      </c>
      <c r="G440" s="2">
        <v>1</v>
      </c>
      <c r="H440" s="2">
        <v>0</v>
      </c>
      <c r="I440" s="2">
        <v>-1</v>
      </c>
      <c r="J440" s="2">
        <v>5</v>
      </c>
      <c r="K440" s="2">
        <v>2</v>
      </c>
      <c r="L440" s="2">
        <v>3</v>
      </c>
      <c r="M440" s="2">
        <v>5</v>
      </c>
      <c r="N440" s="2">
        <v>0</v>
      </c>
      <c r="O440" s="2">
        <v>1</v>
      </c>
      <c r="P440" s="2">
        <v>1</v>
      </c>
      <c r="Q440" s="2">
        <v>1</v>
      </c>
      <c r="R440" s="2">
        <v>0</v>
      </c>
      <c r="S440">
        <v>1</v>
      </c>
      <c r="T440">
        <v>0</v>
      </c>
      <c r="U440">
        <v>1</v>
      </c>
      <c r="V440">
        <v>1</v>
      </c>
      <c r="W440">
        <v>5</v>
      </c>
      <c r="X440">
        <v>-1</v>
      </c>
      <c r="Y440">
        <v>0</v>
      </c>
      <c r="Z440">
        <v>1</v>
      </c>
      <c r="AA440">
        <v>0</v>
      </c>
      <c r="AB440">
        <v>242</v>
      </c>
      <c r="AC440" t="s">
        <v>126</v>
      </c>
    </row>
    <row r="441" spans="1:29" ht="16" customHeight="1" x14ac:dyDescent="0.2">
      <c r="A441" s="1" t="s">
        <v>592</v>
      </c>
      <c r="B441" s="2" t="s">
        <v>124</v>
      </c>
      <c r="C441" s="2">
        <v>74</v>
      </c>
      <c r="D441" s="2" t="s">
        <v>129</v>
      </c>
      <c r="E441" s="2">
        <v>694</v>
      </c>
      <c r="F441" s="2">
        <v>1</v>
      </c>
      <c r="G441" s="2">
        <v>1</v>
      </c>
      <c r="H441" s="2">
        <v>1</v>
      </c>
      <c r="I441" s="2">
        <v>-1</v>
      </c>
      <c r="J441" s="2">
        <v>1</v>
      </c>
      <c r="K441" s="2">
        <v>3</v>
      </c>
      <c r="L441" s="2">
        <v>1</v>
      </c>
      <c r="M441" s="2">
        <v>4</v>
      </c>
      <c r="N441" s="2">
        <v>1</v>
      </c>
      <c r="O441" s="2">
        <v>0</v>
      </c>
      <c r="P441" s="2">
        <v>0</v>
      </c>
      <c r="Q441" s="2">
        <v>0</v>
      </c>
      <c r="R441" s="2">
        <v>1</v>
      </c>
      <c r="S441">
        <v>2</v>
      </c>
      <c r="T441">
        <v>1</v>
      </c>
      <c r="U441">
        <v>1</v>
      </c>
      <c r="V441">
        <v>1</v>
      </c>
      <c r="W441">
        <v>5</v>
      </c>
      <c r="X441">
        <v>1</v>
      </c>
      <c r="Y441">
        <v>1</v>
      </c>
      <c r="Z441">
        <v>1</v>
      </c>
      <c r="AA441">
        <v>1</v>
      </c>
      <c r="AB441">
        <v>204</v>
      </c>
      <c r="AC441" t="s">
        <v>126</v>
      </c>
    </row>
    <row r="442" spans="1:29" ht="16" customHeight="1" x14ac:dyDescent="0.2">
      <c r="A442" s="1" t="s">
        <v>593</v>
      </c>
      <c r="B442" s="2" t="s">
        <v>147</v>
      </c>
      <c r="C442" s="2">
        <v>74</v>
      </c>
      <c r="D442" s="2" t="s">
        <v>132</v>
      </c>
      <c r="E442" s="2">
        <v>20</v>
      </c>
      <c r="F442" s="2">
        <v>0</v>
      </c>
      <c r="G442" s="2">
        <v>0</v>
      </c>
      <c r="H442" s="2">
        <v>1</v>
      </c>
      <c r="I442" s="2">
        <v>0</v>
      </c>
      <c r="J442" s="2">
        <v>5</v>
      </c>
      <c r="K442" s="2">
        <v>1</v>
      </c>
      <c r="L442" s="2">
        <v>1</v>
      </c>
      <c r="M442" s="2">
        <v>5</v>
      </c>
      <c r="N442" s="2">
        <v>1</v>
      </c>
      <c r="O442" s="2">
        <v>0</v>
      </c>
      <c r="P442" s="2">
        <v>1</v>
      </c>
      <c r="Q442" s="2">
        <v>1</v>
      </c>
      <c r="R442" s="2">
        <v>0</v>
      </c>
      <c r="S442">
        <v>2</v>
      </c>
      <c r="T442">
        <v>1</v>
      </c>
      <c r="U442">
        <v>1</v>
      </c>
      <c r="V442">
        <v>0</v>
      </c>
      <c r="W442">
        <v>4</v>
      </c>
      <c r="X442">
        <v>0</v>
      </c>
      <c r="Y442">
        <v>0</v>
      </c>
      <c r="Z442">
        <v>0</v>
      </c>
      <c r="AA442">
        <v>1</v>
      </c>
      <c r="AB442">
        <v>171</v>
      </c>
      <c r="AC442" t="s">
        <v>126</v>
      </c>
    </row>
    <row r="443" spans="1:29" ht="16" customHeight="1" x14ac:dyDescent="0.2">
      <c r="A443" s="1" t="s">
        <v>594</v>
      </c>
      <c r="B443" s="2" t="s">
        <v>159</v>
      </c>
      <c r="C443" s="2">
        <v>74</v>
      </c>
      <c r="D443" s="2" t="s">
        <v>135</v>
      </c>
      <c r="E443" s="2">
        <v>1781</v>
      </c>
      <c r="F443" s="2">
        <v>0</v>
      </c>
      <c r="G443" s="2">
        <v>0</v>
      </c>
      <c r="H443" s="2">
        <v>1</v>
      </c>
      <c r="I443" s="2">
        <v>0</v>
      </c>
      <c r="J443" s="2">
        <v>5</v>
      </c>
      <c r="K443" s="2">
        <v>2</v>
      </c>
      <c r="L443" s="2">
        <v>3</v>
      </c>
      <c r="M443" s="2">
        <v>4</v>
      </c>
      <c r="N443" s="2">
        <v>1</v>
      </c>
      <c r="O443" s="2">
        <v>1</v>
      </c>
      <c r="P443" s="2">
        <v>1</v>
      </c>
      <c r="Q443" s="2">
        <v>1</v>
      </c>
      <c r="R443" s="2">
        <v>1</v>
      </c>
      <c r="S443">
        <v>0</v>
      </c>
      <c r="T443">
        <v>0</v>
      </c>
      <c r="U443">
        <v>0</v>
      </c>
      <c r="V443">
        <v>0</v>
      </c>
      <c r="W443">
        <v>4</v>
      </c>
      <c r="X443">
        <v>-1</v>
      </c>
      <c r="Y443">
        <v>0</v>
      </c>
      <c r="Z443">
        <v>0</v>
      </c>
      <c r="AA443">
        <v>0</v>
      </c>
      <c r="AB443">
        <v>278</v>
      </c>
      <c r="AC443" t="s">
        <v>126</v>
      </c>
    </row>
    <row r="444" spans="1:29" ht="16" customHeight="1" x14ac:dyDescent="0.2">
      <c r="A444" s="1" t="s">
        <v>595</v>
      </c>
      <c r="B444" s="2" t="s">
        <v>168</v>
      </c>
      <c r="C444" s="2">
        <v>74</v>
      </c>
      <c r="D444" s="2" t="s">
        <v>138</v>
      </c>
      <c r="E444" s="2">
        <v>7903</v>
      </c>
      <c r="F444" s="2">
        <v>0</v>
      </c>
      <c r="G444" s="2">
        <v>1</v>
      </c>
      <c r="H444" s="2">
        <v>1</v>
      </c>
      <c r="I444" s="2">
        <v>0</v>
      </c>
      <c r="J444" s="2">
        <v>1</v>
      </c>
      <c r="K444" s="2">
        <v>2</v>
      </c>
      <c r="L444" s="2">
        <v>1</v>
      </c>
      <c r="M444" s="2">
        <v>5</v>
      </c>
      <c r="N444" s="2">
        <v>0</v>
      </c>
      <c r="O444" s="2">
        <v>1</v>
      </c>
      <c r="P444" s="2">
        <v>0</v>
      </c>
      <c r="Q444" s="2">
        <v>1</v>
      </c>
      <c r="R444" s="2">
        <v>1</v>
      </c>
      <c r="S444">
        <v>0</v>
      </c>
      <c r="T444">
        <v>1</v>
      </c>
      <c r="U444">
        <v>1</v>
      </c>
      <c r="V444">
        <v>1</v>
      </c>
      <c r="W444">
        <v>3</v>
      </c>
      <c r="X444">
        <v>0</v>
      </c>
      <c r="Y444">
        <v>0</v>
      </c>
      <c r="Z444">
        <v>0</v>
      </c>
      <c r="AA444">
        <v>0</v>
      </c>
      <c r="AB444">
        <v>180</v>
      </c>
      <c r="AC444" t="s">
        <v>126</v>
      </c>
    </row>
    <row r="445" spans="1:29" ht="16" customHeight="1" x14ac:dyDescent="0.2">
      <c r="A445" s="1" t="s">
        <v>596</v>
      </c>
      <c r="B445" s="2" t="s">
        <v>195</v>
      </c>
      <c r="C445" s="2">
        <v>74</v>
      </c>
      <c r="D445" s="2" t="s">
        <v>140</v>
      </c>
      <c r="E445" s="2">
        <v>3838</v>
      </c>
      <c r="F445" s="2">
        <v>0</v>
      </c>
      <c r="G445" s="2">
        <v>0</v>
      </c>
      <c r="H445" s="2">
        <v>1</v>
      </c>
      <c r="I445" s="2">
        <v>1</v>
      </c>
      <c r="J445" s="2">
        <v>2</v>
      </c>
      <c r="K445" s="2">
        <v>1</v>
      </c>
      <c r="L445" s="2">
        <v>3</v>
      </c>
      <c r="M445" s="2">
        <v>5</v>
      </c>
      <c r="N445" s="2">
        <v>1</v>
      </c>
      <c r="O445" s="2">
        <v>1</v>
      </c>
      <c r="P445" s="2">
        <v>0</v>
      </c>
      <c r="Q445" s="2">
        <v>0</v>
      </c>
      <c r="R445" s="2">
        <v>1</v>
      </c>
      <c r="S445">
        <v>0</v>
      </c>
      <c r="T445">
        <v>0</v>
      </c>
      <c r="U445">
        <v>0</v>
      </c>
      <c r="V445">
        <v>1</v>
      </c>
      <c r="W445">
        <v>2</v>
      </c>
      <c r="X445">
        <v>0</v>
      </c>
      <c r="Y445">
        <v>0</v>
      </c>
      <c r="Z445">
        <v>0</v>
      </c>
      <c r="AA445">
        <v>1</v>
      </c>
      <c r="AB445">
        <v>110</v>
      </c>
      <c r="AC445" t="s">
        <v>126</v>
      </c>
    </row>
    <row r="446" spans="1:29" ht="16" customHeight="1" x14ac:dyDescent="0.2">
      <c r="A446" s="1" t="s">
        <v>597</v>
      </c>
      <c r="B446" s="2" t="s">
        <v>168</v>
      </c>
      <c r="C446" s="2">
        <v>75</v>
      </c>
      <c r="D446" s="2" t="s">
        <v>125</v>
      </c>
      <c r="E446" s="2">
        <v>5590</v>
      </c>
      <c r="F446" s="2">
        <v>0</v>
      </c>
      <c r="G446" s="2">
        <v>0</v>
      </c>
      <c r="H446" s="2">
        <v>0</v>
      </c>
      <c r="I446" s="2">
        <v>1</v>
      </c>
      <c r="J446" s="2">
        <v>1</v>
      </c>
      <c r="K446" s="2">
        <v>3</v>
      </c>
      <c r="L446" s="2">
        <v>1</v>
      </c>
      <c r="M446" s="2">
        <v>1</v>
      </c>
      <c r="N446" s="2">
        <v>1</v>
      </c>
      <c r="O446" s="2">
        <v>0</v>
      </c>
      <c r="P446" s="2">
        <v>1</v>
      </c>
      <c r="Q446" s="2">
        <v>0</v>
      </c>
      <c r="R446" s="2">
        <v>0</v>
      </c>
      <c r="S446">
        <v>2</v>
      </c>
      <c r="T446">
        <v>1</v>
      </c>
      <c r="U446">
        <v>1</v>
      </c>
      <c r="V446">
        <v>0</v>
      </c>
      <c r="W446">
        <v>2</v>
      </c>
      <c r="X446">
        <v>-1</v>
      </c>
      <c r="Y446">
        <v>1</v>
      </c>
      <c r="Z446">
        <v>1</v>
      </c>
      <c r="AA446">
        <v>1</v>
      </c>
      <c r="AB446">
        <v>285</v>
      </c>
      <c r="AC446" t="s">
        <v>126</v>
      </c>
    </row>
    <row r="447" spans="1:29" ht="16" customHeight="1" x14ac:dyDescent="0.2">
      <c r="A447" s="1" t="s">
        <v>598</v>
      </c>
      <c r="B447" s="2" t="s">
        <v>199</v>
      </c>
      <c r="C447" s="2">
        <v>75</v>
      </c>
      <c r="D447" s="2" t="s">
        <v>129</v>
      </c>
      <c r="E447" s="2">
        <v>1518</v>
      </c>
      <c r="F447" s="2">
        <v>1</v>
      </c>
      <c r="G447" s="2">
        <v>0</v>
      </c>
      <c r="H447" s="2">
        <v>1</v>
      </c>
      <c r="I447" s="2">
        <v>1</v>
      </c>
      <c r="J447" s="2">
        <v>5</v>
      </c>
      <c r="K447" s="2">
        <v>1</v>
      </c>
      <c r="L447" s="2">
        <v>3</v>
      </c>
      <c r="M447" s="2">
        <v>3</v>
      </c>
      <c r="N447" s="2">
        <v>1</v>
      </c>
      <c r="O447" s="2">
        <v>1</v>
      </c>
      <c r="P447" s="2">
        <v>0</v>
      </c>
      <c r="Q447" s="2">
        <v>1</v>
      </c>
      <c r="R447" s="2">
        <v>0</v>
      </c>
      <c r="S447">
        <v>-1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1</v>
      </c>
      <c r="AB447">
        <v>31</v>
      </c>
      <c r="AC447" t="s">
        <v>126</v>
      </c>
    </row>
    <row r="448" spans="1:29" ht="16" customHeight="1" x14ac:dyDescent="0.2">
      <c r="A448" s="1" t="s">
        <v>599</v>
      </c>
      <c r="B448" s="2" t="s">
        <v>128</v>
      </c>
      <c r="C448" s="2">
        <v>75</v>
      </c>
      <c r="D448" s="2" t="s">
        <v>132</v>
      </c>
      <c r="E448" s="2">
        <v>1405</v>
      </c>
      <c r="F448" s="2">
        <v>1</v>
      </c>
      <c r="G448" s="2">
        <v>0</v>
      </c>
      <c r="H448" s="2">
        <v>1</v>
      </c>
      <c r="I448" s="2">
        <v>0</v>
      </c>
      <c r="J448" s="2">
        <v>5</v>
      </c>
      <c r="K448" s="2">
        <v>3</v>
      </c>
      <c r="L448" s="2">
        <v>1</v>
      </c>
      <c r="M448" s="2">
        <v>5</v>
      </c>
      <c r="N448" s="2">
        <v>1</v>
      </c>
      <c r="O448" s="2">
        <v>0</v>
      </c>
      <c r="P448" s="2">
        <v>0</v>
      </c>
      <c r="Q448" s="2">
        <v>0</v>
      </c>
      <c r="R448" s="2">
        <v>1</v>
      </c>
      <c r="S448">
        <v>-1</v>
      </c>
      <c r="T448">
        <v>1</v>
      </c>
      <c r="U448">
        <v>1</v>
      </c>
      <c r="V448">
        <v>1</v>
      </c>
      <c r="W448">
        <v>1</v>
      </c>
      <c r="X448">
        <v>-1</v>
      </c>
      <c r="Y448">
        <v>0</v>
      </c>
      <c r="Z448">
        <v>0</v>
      </c>
      <c r="AA448">
        <v>0</v>
      </c>
      <c r="AB448">
        <v>193</v>
      </c>
      <c r="AC448" t="s">
        <v>126</v>
      </c>
    </row>
    <row r="449" spans="1:29" ht="16" customHeight="1" x14ac:dyDescent="0.2">
      <c r="A449" s="1" t="s">
        <v>600</v>
      </c>
      <c r="B449" s="2" t="s">
        <v>147</v>
      </c>
      <c r="C449" s="2">
        <v>75</v>
      </c>
      <c r="D449" s="2" t="s">
        <v>135</v>
      </c>
      <c r="E449" s="2">
        <v>578</v>
      </c>
      <c r="F449" s="2">
        <v>0</v>
      </c>
      <c r="G449" s="2">
        <v>1</v>
      </c>
      <c r="H449" s="2">
        <v>1</v>
      </c>
      <c r="I449" s="2">
        <v>1</v>
      </c>
      <c r="J449" s="2">
        <v>5</v>
      </c>
      <c r="K449" s="2">
        <v>1</v>
      </c>
      <c r="L449" s="2">
        <v>2</v>
      </c>
      <c r="M449" s="2">
        <v>5</v>
      </c>
      <c r="N449" s="2">
        <v>0</v>
      </c>
      <c r="O449" s="2">
        <v>1</v>
      </c>
      <c r="P449" s="2">
        <v>0</v>
      </c>
      <c r="Q449" s="2">
        <v>0</v>
      </c>
      <c r="R449" s="2">
        <v>1</v>
      </c>
      <c r="S449">
        <v>3</v>
      </c>
      <c r="T449">
        <v>0</v>
      </c>
      <c r="U449">
        <v>0</v>
      </c>
      <c r="V449">
        <v>0</v>
      </c>
      <c r="W449">
        <v>2</v>
      </c>
      <c r="X449">
        <v>1</v>
      </c>
      <c r="Y449">
        <v>0</v>
      </c>
      <c r="Z449">
        <v>1</v>
      </c>
      <c r="AA449">
        <v>0</v>
      </c>
      <c r="AB449">
        <v>288</v>
      </c>
      <c r="AC449" t="s">
        <v>126</v>
      </c>
    </row>
    <row r="450" spans="1:29" ht="16" customHeight="1" x14ac:dyDescent="0.2">
      <c r="A450" s="1" t="s">
        <v>601</v>
      </c>
      <c r="B450" s="2" t="s">
        <v>161</v>
      </c>
      <c r="C450" s="2">
        <v>75</v>
      </c>
      <c r="D450" s="2" t="s">
        <v>138</v>
      </c>
      <c r="E450" s="2">
        <v>1591</v>
      </c>
      <c r="F450" s="2">
        <v>0</v>
      </c>
      <c r="G450" s="2">
        <v>1</v>
      </c>
      <c r="H450" s="2">
        <v>0</v>
      </c>
      <c r="I450" s="2">
        <v>-1</v>
      </c>
      <c r="J450" s="2">
        <v>1</v>
      </c>
      <c r="K450" s="2">
        <v>1</v>
      </c>
      <c r="L450" s="2">
        <v>1</v>
      </c>
      <c r="M450" s="2">
        <v>3</v>
      </c>
      <c r="N450" s="2">
        <v>0</v>
      </c>
      <c r="O450" s="2">
        <v>1</v>
      </c>
      <c r="P450" s="2">
        <v>1</v>
      </c>
      <c r="Q450" s="2">
        <v>0</v>
      </c>
      <c r="R450" s="2">
        <v>0</v>
      </c>
      <c r="S450">
        <v>-1</v>
      </c>
      <c r="T450">
        <v>1</v>
      </c>
      <c r="U450">
        <v>0</v>
      </c>
      <c r="V450">
        <v>0</v>
      </c>
      <c r="W450">
        <v>3</v>
      </c>
      <c r="X450">
        <v>1</v>
      </c>
      <c r="Y450">
        <v>1</v>
      </c>
      <c r="Z450">
        <v>0</v>
      </c>
      <c r="AA450">
        <v>1</v>
      </c>
      <c r="AB450">
        <v>293</v>
      </c>
      <c r="AC450" t="s">
        <v>126</v>
      </c>
    </row>
    <row r="451" spans="1:29" ht="16" customHeight="1" x14ac:dyDescent="0.2">
      <c r="A451" s="1" t="s">
        <v>602</v>
      </c>
      <c r="B451" s="2" t="s">
        <v>161</v>
      </c>
      <c r="C451" s="2">
        <v>75</v>
      </c>
      <c r="D451" s="2" t="s">
        <v>140</v>
      </c>
      <c r="E451" s="2">
        <v>340</v>
      </c>
      <c r="F451" s="2">
        <v>0</v>
      </c>
      <c r="G451" s="2">
        <v>1</v>
      </c>
      <c r="H451" s="2">
        <v>0</v>
      </c>
      <c r="I451" s="2">
        <v>-1</v>
      </c>
      <c r="J451" s="2">
        <v>4</v>
      </c>
      <c r="K451" s="2">
        <v>3</v>
      </c>
      <c r="L451" s="2">
        <v>2</v>
      </c>
      <c r="M451" s="2">
        <v>1</v>
      </c>
      <c r="N451" s="2">
        <v>1</v>
      </c>
      <c r="O451" s="2">
        <v>0</v>
      </c>
      <c r="P451" s="2">
        <v>0</v>
      </c>
      <c r="Q451" s="2">
        <v>1</v>
      </c>
      <c r="R451" s="2">
        <v>0</v>
      </c>
      <c r="S451">
        <v>1</v>
      </c>
      <c r="T451">
        <v>0</v>
      </c>
      <c r="U451">
        <v>1</v>
      </c>
      <c r="V451">
        <v>1</v>
      </c>
      <c r="W451">
        <v>4</v>
      </c>
      <c r="X451">
        <v>1</v>
      </c>
      <c r="Y451">
        <v>1</v>
      </c>
      <c r="Z451">
        <v>0</v>
      </c>
      <c r="AA451">
        <v>1</v>
      </c>
      <c r="AB451">
        <v>260</v>
      </c>
      <c r="AC451" t="s">
        <v>126</v>
      </c>
    </row>
    <row r="452" spans="1:29" ht="16" customHeight="1" x14ac:dyDescent="0.2">
      <c r="A452" s="1" t="s">
        <v>603</v>
      </c>
      <c r="B452" s="2" t="s">
        <v>193</v>
      </c>
      <c r="C452" s="2">
        <v>76</v>
      </c>
      <c r="D452" s="2" t="s">
        <v>125</v>
      </c>
      <c r="E452" s="2">
        <v>7030</v>
      </c>
      <c r="F452" s="2">
        <v>1</v>
      </c>
      <c r="G452" s="2">
        <v>0</v>
      </c>
      <c r="H452" s="2">
        <v>1</v>
      </c>
      <c r="I452" s="2">
        <v>-1</v>
      </c>
      <c r="J452" s="2">
        <v>2</v>
      </c>
      <c r="K452" s="2">
        <v>2</v>
      </c>
      <c r="L452" s="2">
        <v>1</v>
      </c>
      <c r="M452" s="2">
        <v>3</v>
      </c>
      <c r="N452" s="2">
        <v>0</v>
      </c>
      <c r="O452" s="2">
        <v>1</v>
      </c>
      <c r="P452" s="2">
        <v>1</v>
      </c>
      <c r="Q452" s="2">
        <v>0</v>
      </c>
      <c r="R452" s="2">
        <v>1</v>
      </c>
      <c r="S452">
        <v>2</v>
      </c>
      <c r="T452">
        <v>1</v>
      </c>
      <c r="U452">
        <v>0</v>
      </c>
      <c r="V452">
        <v>0</v>
      </c>
      <c r="W452">
        <v>1</v>
      </c>
      <c r="X452">
        <v>-1</v>
      </c>
      <c r="Y452">
        <v>1</v>
      </c>
      <c r="Z452">
        <v>0</v>
      </c>
      <c r="AA452">
        <v>1</v>
      </c>
      <c r="AB452">
        <v>266</v>
      </c>
      <c r="AC452" t="s">
        <v>126</v>
      </c>
    </row>
    <row r="453" spans="1:29" ht="16" customHeight="1" x14ac:dyDescent="0.2">
      <c r="A453" s="1" t="s">
        <v>604</v>
      </c>
      <c r="B453" s="2" t="s">
        <v>161</v>
      </c>
      <c r="C453" s="2">
        <v>76</v>
      </c>
      <c r="D453" s="2" t="s">
        <v>129</v>
      </c>
      <c r="E453" s="2">
        <v>2340</v>
      </c>
      <c r="F453" s="2">
        <v>0</v>
      </c>
      <c r="G453" s="2">
        <v>1</v>
      </c>
      <c r="H453" s="2">
        <v>0</v>
      </c>
      <c r="I453" s="2">
        <v>-1</v>
      </c>
      <c r="J453" s="2">
        <v>4</v>
      </c>
      <c r="K453" s="2">
        <v>1</v>
      </c>
      <c r="L453" s="2">
        <v>2</v>
      </c>
      <c r="M453" s="2">
        <v>5</v>
      </c>
      <c r="N453" s="2">
        <v>0</v>
      </c>
      <c r="O453" s="2">
        <v>1</v>
      </c>
      <c r="P453" s="2">
        <v>1</v>
      </c>
      <c r="Q453" s="2">
        <v>0</v>
      </c>
      <c r="R453" s="2">
        <v>1</v>
      </c>
      <c r="S453">
        <v>0</v>
      </c>
      <c r="T453">
        <v>0</v>
      </c>
      <c r="U453">
        <v>0</v>
      </c>
      <c r="V453">
        <v>1</v>
      </c>
      <c r="W453">
        <v>2</v>
      </c>
      <c r="X453">
        <v>-1</v>
      </c>
      <c r="Y453">
        <v>0</v>
      </c>
      <c r="Z453">
        <v>1</v>
      </c>
      <c r="AA453">
        <v>0</v>
      </c>
      <c r="AB453">
        <v>290</v>
      </c>
      <c r="AC453" t="s">
        <v>126</v>
      </c>
    </row>
    <row r="454" spans="1:29" ht="16" customHeight="1" x14ac:dyDescent="0.2">
      <c r="A454" s="1" t="s">
        <v>605</v>
      </c>
      <c r="B454" s="2" t="s">
        <v>159</v>
      </c>
      <c r="C454" s="2">
        <v>76</v>
      </c>
      <c r="D454" s="2" t="s">
        <v>132</v>
      </c>
      <c r="E454" s="2">
        <v>6423</v>
      </c>
      <c r="F454" s="2">
        <v>1</v>
      </c>
      <c r="G454" s="2">
        <v>1</v>
      </c>
      <c r="H454" s="2">
        <v>0</v>
      </c>
      <c r="I454" s="2">
        <v>-1</v>
      </c>
      <c r="J454" s="2">
        <v>4</v>
      </c>
      <c r="K454" s="2">
        <v>3</v>
      </c>
      <c r="L454" s="2">
        <v>2</v>
      </c>
      <c r="M454" s="2">
        <v>3</v>
      </c>
      <c r="N454" s="2">
        <v>1</v>
      </c>
      <c r="O454" s="2">
        <v>1</v>
      </c>
      <c r="P454" s="2">
        <v>0</v>
      </c>
      <c r="Q454" s="2">
        <v>0</v>
      </c>
      <c r="R454" s="2">
        <v>1</v>
      </c>
      <c r="S454">
        <v>-1</v>
      </c>
      <c r="T454">
        <v>1</v>
      </c>
      <c r="U454">
        <v>1</v>
      </c>
      <c r="V454">
        <v>0</v>
      </c>
      <c r="W454">
        <v>2</v>
      </c>
      <c r="X454">
        <v>1</v>
      </c>
      <c r="Y454">
        <v>0</v>
      </c>
      <c r="Z454">
        <v>0</v>
      </c>
      <c r="AA454">
        <v>1</v>
      </c>
      <c r="AB454">
        <v>53</v>
      </c>
      <c r="AC454" t="s">
        <v>126</v>
      </c>
    </row>
    <row r="455" spans="1:29" ht="16" customHeight="1" x14ac:dyDescent="0.2">
      <c r="A455" s="1" t="s">
        <v>606</v>
      </c>
      <c r="B455" s="2" t="s">
        <v>164</v>
      </c>
      <c r="C455" s="2">
        <v>76</v>
      </c>
      <c r="D455" s="2" t="s">
        <v>135</v>
      </c>
      <c r="E455" s="2">
        <v>6947</v>
      </c>
      <c r="F455" s="2">
        <v>1</v>
      </c>
      <c r="G455" s="2">
        <v>0</v>
      </c>
      <c r="H455" s="2">
        <v>0</v>
      </c>
      <c r="I455" s="2">
        <v>1</v>
      </c>
      <c r="J455" s="2">
        <v>1</v>
      </c>
      <c r="K455" s="2">
        <v>3</v>
      </c>
      <c r="L455" s="2">
        <v>3</v>
      </c>
      <c r="M455" s="2">
        <v>4</v>
      </c>
      <c r="N455" s="2">
        <v>1</v>
      </c>
      <c r="O455" s="2">
        <v>1</v>
      </c>
      <c r="P455" s="2">
        <v>1</v>
      </c>
      <c r="Q455" s="2">
        <v>1</v>
      </c>
      <c r="R455" s="2">
        <v>1</v>
      </c>
      <c r="S455">
        <v>2</v>
      </c>
      <c r="T455">
        <v>1</v>
      </c>
      <c r="U455">
        <v>1</v>
      </c>
      <c r="V455">
        <v>0</v>
      </c>
      <c r="W455">
        <v>4</v>
      </c>
      <c r="X455">
        <v>1</v>
      </c>
      <c r="Y455">
        <v>0</v>
      </c>
      <c r="Z455">
        <v>1</v>
      </c>
      <c r="AA455">
        <v>0</v>
      </c>
      <c r="AB455">
        <v>269</v>
      </c>
      <c r="AC455" t="s">
        <v>126</v>
      </c>
    </row>
    <row r="456" spans="1:29" ht="16" customHeight="1" x14ac:dyDescent="0.2">
      <c r="A456" s="1" t="s">
        <v>607</v>
      </c>
      <c r="B456" s="2" t="s">
        <v>134</v>
      </c>
      <c r="C456" s="2">
        <v>76</v>
      </c>
      <c r="D456" s="2" t="s">
        <v>138</v>
      </c>
      <c r="E456" s="2">
        <v>1511</v>
      </c>
      <c r="F456" s="2">
        <v>1</v>
      </c>
      <c r="G456" s="2">
        <v>1</v>
      </c>
      <c r="H456" s="2">
        <v>0</v>
      </c>
      <c r="I456" s="2">
        <v>1</v>
      </c>
      <c r="J456" s="2">
        <v>3</v>
      </c>
      <c r="K456" s="2">
        <v>2</v>
      </c>
      <c r="L456" s="2">
        <v>2</v>
      </c>
      <c r="M456" s="2">
        <v>2</v>
      </c>
      <c r="N456" s="2">
        <v>0</v>
      </c>
      <c r="O456" s="2">
        <v>1</v>
      </c>
      <c r="P456" s="2">
        <v>1</v>
      </c>
      <c r="Q456" s="2">
        <v>1</v>
      </c>
      <c r="R456" s="2">
        <v>0</v>
      </c>
      <c r="S456">
        <v>3</v>
      </c>
      <c r="T456">
        <v>1</v>
      </c>
      <c r="U456">
        <v>1</v>
      </c>
      <c r="V456">
        <v>0</v>
      </c>
      <c r="W456">
        <v>4</v>
      </c>
      <c r="X456">
        <v>1</v>
      </c>
      <c r="Y456">
        <v>1</v>
      </c>
      <c r="Z456">
        <v>0</v>
      </c>
      <c r="AA456">
        <v>1</v>
      </c>
      <c r="AB456">
        <v>251</v>
      </c>
      <c r="AC456" t="s">
        <v>126</v>
      </c>
    </row>
    <row r="457" spans="1:29" ht="16" customHeight="1" x14ac:dyDescent="0.2">
      <c r="A457" s="1" t="s">
        <v>608</v>
      </c>
      <c r="B457" s="2" t="s">
        <v>166</v>
      </c>
      <c r="C457" s="2">
        <v>76</v>
      </c>
      <c r="D457" s="2" t="s">
        <v>140</v>
      </c>
      <c r="E457" s="2">
        <v>9767</v>
      </c>
      <c r="F457" s="2">
        <v>1</v>
      </c>
      <c r="G457" s="2">
        <v>1</v>
      </c>
      <c r="H457" s="2">
        <v>1</v>
      </c>
      <c r="I457" s="2">
        <v>1</v>
      </c>
      <c r="J457" s="2">
        <v>2</v>
      </c>
      <c r="K457" s="2">
        <v>2</v>
      </c>
      <c r="L457" s="2">
        <v>3</v>
      </c>
      <c r="M457" s="2">
        <v>2</v>
      </c>
      <c r="N457" s="2">
        <v>0</v>
      </c>
      <c r="O457" s="2">
        <v>0</v>
      </c>
      <c r="P457" s="2">
        <v>1</v>
      </c>
      <c r="Q457" s="2">
        <v>1</v>
      </c>
      <c r="R457" s="2">
        <v>1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-1</v>
      </c>
      <c r="Y457">
        <v>0</v>
      </c>
      <c r="Z457">
        <v>1</v>
      </c>
      <c r="AA457">
        <v>0</v>
      </c>
      <c r="AB457">
        <v>161</v>
      </c>
      <c r="AC457" t="s">
        <v>126</v>
      </c>
    </row>
    <row r="458" spans="1:29" ht="16" customHeight="1" x14ac:dyDescent="0.2">
      <c r="A458" s="1" t="s">
        <v>609</v>
      </c>
      <c r="B458" s="2" t="s">
        <v>185</v>
      </c>
      <c r="C458" s="2">
        <v>77</v>
      </c>
      <c r="D458" s="2" t="s">
        <v>125</v>
      </c>
      <c r="E458" s="2">
        <v>1585</v>
      </c>
      <c r="F458" s="2">
        <v>0</v>
      </c>
      <c r="G458" s="2">
        <v>0</v>
      </c>
      <c r="H458" s="2">
        <v>0</v>
      </c>
      <c r="I458" s="2">
        <v>-1</v>
      </c>
      <c r="J458" s="2">
        <v>1</v>
      </c>
      <c r="K458" s="2">
        <v>3</v>
      </c>
      <c r="L458" s="2">
        <v>3</v>
      </c>
      <c r="M458" s="2">
        <v>3</v>
      </c>
      <c r="N458" s="2">
        <v>0</v>
      </c>
      <c r="O458" s="2">
        <v>0</v>
      </c>
      <c r="P458" s="2">
        <v>1</v>
      </c>
      <c r="Q458" s="2">
        <v>0</v>
      </c>
      <c r="R458" s="2">
        <v>1</v>
      </c>
      <c r="S458">
        <v>0</v>
      </c>
      <c r="T458">
        <v>0</v>
      </c>
      <c r="U458">
        <v>1</v>
      </c>
      <c r="V458">
        <v>1</v>
      </c>
      <c r="W458">
        <v>4</v>
      </c>
      <c r="X458">
        <v>0</v>
      </c>
      <c r="Y458">
        <v>1</v>
      </c>
      <c r="Z458">
        <v>0</v>
      </c>
      <c r="AA458">
        <v>0</v>
      </c>
      <c r="AB458">
        <v>218</v>
      </c>
      <c r="AC458" t="s">
        <v>126</v>
      </c>
    </row>
    <row r="459" spans="1:29" ht="16" customHeight="1" x14ac:dyDescent="0.2">
      <c r="A459" s="1" t="s">
        <v>610</v>
      </c>
      <c r="B459" s="2" t="s">
        <v>134</v>
      </c>
      <c r="C459" s="2">
        <v>77</v>
      </c>
      <c r="D459" s="2" t="s">
        <v>129</v>
      </c>
      <c r="E459" s="2">
        <v>810</v>
      </c>
      <c r="F459" s="2">
        <v>0</v>
      </c>
      <c r="G459" s="2">
        <v>0</v>
      </c>
      <c r="H459" s="2">
        <v>0</v>
      </c>
      <c r="I459" s="2">
        <v>-1</v>
      </c>
      <c r="J459" s="2">
        <v>1</v>
      </c>
      <c r="K459" s="2">
        <v>3</v>
      </c>
      <c r="L459" s="2">
        <v>1</v>
      </c>
      <c r="M459" s="2">
        <v>5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>
        <v>2</v>
      </c>
      <c r="T459">
        <v>1</v>
      </c>
      <c r="U459">
        <v>1</v>
      </c>
      <c r="V459">
        <v>0</v>
      </c>
      <c r="W459">
        <v>3</v>
      </c>
      <c r="X459">
        <v>1</v>
      </c>
      <c r="Y459">
        <v>0</v>
      </c>
      <c r="Z459">
        <v>0</v>
      </c>
      <c r="AA459">
        <v>0</v>
      </c>
      <c r="AB459">
        <v>128</v>
      </c>
      <c r="AC459" t="s">
        <v>126</v>
      </c>
    </row>
    <row r="460" spans="1:29" ht="16" customHeight="1" x14ac:dyDescent="0.2">
      <c r="A460" s="1" t="s">
        <v>611</v>
      </c>
      <c r="B460" s="2" t="s">
        <v>131</v>
      </c>
      <c r="C460" s="2">
        <v>77</v>
      </c>
      <c r="D460" s="2" t="s">
        <v>132</v>
      </c>
      <c r="E460" s="2">
        <v>3015</v>
      </c>
      <c r="F460" s="2">
        <v>0</v>
      </c>
      <c r="G460" s="2">
        <v>0</v>
      </c>
      <c r="H460" s="2">
        <v>0</v>
      </c>
      <c r="I460" s="2">
        <v>-1</v>
      </c>
      <c r="J460" s="2">
        <v>4</v>
      </c>
      <c r="K460" s="2">
        <v>1</v>
      </c>
      <c r="L460" s="2">
        <v>2</v>
      </c>
      <c r="M460" s="2">
        <v>5</v>
      </c>
      <c r="N460" s="2">
        <v>1</v>
      </c>
      <c r="O460" s="2">
        <v>0</v>
      </c>
      <c r="P460" s="2">
        <v>0</v>
      </c>
      <c r="Q460" s="2">
        <v>1</v>
      </c>
      <c r="R460" s="2">
        <v>0</v>
      </c>
      <c r="S460">
        <v>3</v>
      </c>
      <c r="T460">
        <v>0</v>
      </c>
      <c r="U460">
        <v>0</v>
      </c>
      <c r="V460">
        <v>1</v>
      </c>
      <c r="W460">
        <v>2</v>
      </c>
      <c r="X460">
        <v>1</v>
      </c>
      <c r="Y460">
        <v>0</v>
      </c>
      <c r="Z460">
        <v>1</v>
      </c>
      <c r="AA460">
        <v>1</v>
      </c>
      <c r="AB460">
        <v>298</v>
      </c>
      <c r="AC460" t="s">
        <v>126</v>
      </c>
    </row>
    <row r="461" spans="1:29" ht="16" customHeight="1" x14ac:dyDescent="0.2">
      <c r="A461" s="1" t="s">
        <v>612</v>
      </c>
      <c r="B461" s="2" t="s">
        <v>208</v>
      </c>
      <c r="C461" s="2">
        <v>77</v>
      </c>
      <c r="D461" s="2" t="s">
        <v>135</v>
      </c>
      <c r="E461" s="2">
        <v>3003</v>
      </c>
      <c r="F461" s="2">
        <v>1</v>
      </c>
      <c r="G461" s="2">
        <v>0</v>
      </c>
      <c r="H461" s="2">
        <v>1</v>
      </c>
      <c r="I461" s="2">
        <v>1</v>
      </c>
      <c r="J461" s="2">
        <v>1</v>
      </c>
      <c r="K461" s="2">
        <v>2</v>
      </c>
      <c r="L461" s="2">
        <v>2</v>
      </c>
      <c r="M461" s="2">
        <v>2</v>
      </c>
      <c r="N461" s="2">
        <v>1</v>
      </c>
      <c r="O461" s="2">
        <v>1</v>
      </c>
      <c r="P461" s="2">
        <v>0</v>
      </c>
      <c r="Q461" s="2">
        <v>1</v>
      </c>
      <c r="R461" s="2">
        <v>0</v>
      </c>
      <c r="S461">
        <v>3</v>
      </c>
      <c r="T461">
        <v>0</v>
      </c>
      <c r="U461">
        <v>0</v>
      </c>
      <c r="V461">
        <v>1</v>
      </c>
      <c r="W461">
        <v>5</v>
      </c>
      <c r="X461">
        <v>-1</v>
      </c>
      <c r="Y461">
        <v>1</v>
      </c>
      <c r="Z461">
        <v>1</v>
      </c>
      <c r="AA461">
        <v>1</v>
      </c>
      <c r="AB461">
        <v>93</v>
      </c>
      <c r="AC461" t="s">
        <v>126</v>
      </c>
    </row>
    <row r="462" spans="1:29" ht="16" customHeight="1" x14ac:dyDescent="0.2">
      <c r="A462" s="1" t="s">
        <v>613</v>
      </c>
      <c r="B462" s="2" t="s">
        <v>159</v>
      </c>
      <c r="C462" s="2">
        <v>77</v>
      </c>
      <c r="D462" s="2" t="s">
        <v>138</v>
      </c>
      <c r="E462" s="2">
        <v>4458</v>
      </c>
      <c r="F462" s="2">
        <v>0</v>
      </c>
      <c r="G462" s="2">
        <v>0</v>
      </c>
      <c r="H462" s="2">
        <v>0</v>
      </c>
      <c r="I462" s="2">
        <v>-1</v>
      </c>
      <c r="J462" s="2">
        <v>3</v>
      </c>
      <c r="K462" s="2">
        <v>2</v>
      </c>
      <c r="L462" s="2">
        <v>2</v>
      </c>
      <c r="M462" s="2">
        <v>2</v>
      </c>
      <c r="N462" s="2">
        <v>1</v>
      </c>
      <c r="O462" s="2">
        <v>0</v>
      </c>
      <c r="P462" s="2">
        <v>0</v>
      </c>
      <c r="Q462" s="2">
        <v>1</v>
      </c>
      <c r="R462" s="2">
        <v>0</v>
      </c>
      <c r="S462">
        <v>3</v>
      </c>
      <c r="T462">
        <v>0</v>
      </c>
      <c r="U462">
        <v>1</v>
      </c>
      <c r="V462">
        <v>0</v>
      </c>
      <c r="W462">
        <v>3</v>
      </c>
      <c r="X462">
        <v>0</v>
      </c>
      <c r="Y462">
        <v>1</v>
      </c>
      <c r="Z462">
        <v>1</v>
      </c>
      <c r="AA462">
        <v>1</v>
      </c>
      <c r="AB462">
        <v>31</v>
      </c>
      <c r="AC462" t="s">
        <v>126</v>
      </c>
    </row>
    <row r="463" spans="1:29" ht="16" customHeight="1" x14ac:dyDescent="0.2">
      <c r="A463" s="1" t="s">
        <v>614</v>
      </c>
      <c r="B463" s="2" t="s">
        <v>199</v>
      </c>
      <c r="C463" s="2">
        <v>77</v>
      </c>
      <c r="D463" s="2" t="s">
        <v>140</v>
      </c>
      <c r="E463" s="2">
        <v>6868</v>
      </c>
      <c r="F463" s="2">
        <v>0</v>
      </c>
      <c r="G463" s="2">
        <v>0</v>
      </c>
      <c r="H463" s="2">
        <v>0</v>
      </c>
      <c r="I463" s="2">
        <v>0</v>
      </c>
      <c r="J463" s="2">
        <v>5</v>
      </c>
      <c r="K463" s="2">
        <v>2</v>
      </c>
      <c r="L463" s="2">
        <v>2</v>
      </c>
      <c r="M463" s="2">
        <v>5</v>
      </c>
      <c r="N463" s="2">
        <v>1</v>
      </c>
      <c r="O463" s="2">
        <v>1</v>
      </c>
      <c r="P463" s="2">
        <v>0</v>
      </c>
      <c r="Q463" s="2">
        <v>1</v>
      </c>
      <c r="R463" s="2">
        <v>0</v>
      </c>
      <c r="S463">
        <v>3</v>
      </c>
      <c r="T463">
        <v>1</v>
      </c>
      <c r="U463">
        <v>1</v>
      </c>
      <c r="V463">
        <v>0</v>
      </c>
      <c r="W463">
        <v>3</v>
      </c>
      <c r="X463">
        <v>-1</v>
      </c>
      <c r="Y463">
        <v>1</v>
      </c>
      <c r="Z463">
        <v>1</v>
      </c>
      <c r="AA463">
        <v>0</v>
      </c>
      <c r="AB463">
        <v>103</v>
      </c>
      <c r="AC463" t="s">
        <v>126</v>
      </c>
    </row>
    <row r="464" spans="1:29" ht="16" customHeight="1" x14ac:dyDescent="0.2">
      <c r="A464" s="1" t="s">
        <v>615</v>
      </c>
      <c r="B464" s="2" t="s">
        <v>208</v>
      </c>
      <c r="C464" s="2">
        <v>78</v>
      </c>
      <c r="D464" s="2" t="s">
        <v>125</v>
      </c>
      <c r="E464" s="2">
        <v>424</v>
      </c>
      <c r="F464" s="2">
        <v>0</v>
      </c>
      <c r="G464" s="2">
        <v>1</v>
      </c>
      <c r="H464" s="2">
        <v>0</v>
      </c>
      <c r="I464" s="2">
        <v>-1</v>
      </c>
      <c r="J464" s="2">
        <v>3</v>
      </c>
      <c r="K464" s="2">
        <v>3</v>
      </c>
      <c r="L464" s="2">
        <v>1</v>
      </c>
      <c r="M464" s="2">
        <v>5</v>
      </c>
      <c r="N464" s="2">
        <v>1</v>
      </c>
      <c r="O464" s="2">
        <v>0</v>
      </c>
      <c r="P464" s="2">
        <v>1</v>
      </c>
      <c r="Q464" s="2">
        <v>0</v>
      </c>
      <c r="R464" s="2">
        <v>1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1</v>
      </c>
      <c r="AB464">
        <v>214</v>
      </c>
      <c r="AC464" t="s">
        <v>126</v>
      </c>
    </row>
    <row r="465" spans="1:29" ht="16" customHeight="1" x14ac:dyDescent="0.2">
      <c r="A465" s="1" t="s">
        <v>616</v>
      </c>
      <c r="B465" s="2" t="s">
        <v>159</v>
      </c>
      <c r="C465" s="2">
        <v>78</v>
      </c>
      <c r="D465" s="2" t="s">
        <v>129</v>
      </c>
      <c r="E465" s="2">
        <v>10223</v>
      </c>
      <c r="F465" s="2">
        <v>0</v>
      </c>
      <c r="G465" s="2">
        <v>0</v>
      </c>
      <c r="H465" s="2">
        <v>1</v>
      </c>
      <c r="I465" s="2">
        <v>0</v>
      </c>
      <c r="J465" s="2">
        <v>1</v>
      </c>
      <c r="K465" s="2">
        <v>2</v>
      </c>
      <c r="L465" s="2">
        <v>3</v>
      </c>
      <c r="M465" s="2">
        <v>4</v>
      </c>
      <c r="N465" s="2">
        <v>0</v>
      </c>
      <c r="O465" s="2">
        <v>0</v>
      </c>
      <c r="P465" s="2">
        <v>1</v>
      </c>
      <c r="Q465" s="2">
        <v>1</v>
      </c>
      <c r="R465" s="2">
        <v>0</v>
      </c>
      <c r="S465">
        <v>-1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1</v>
      </c>
      <c r="Z465">
        <v>1</v>
      </c>
      <c r="AA465">
        <v>0</v>
      </c>
      <c r="AB465">
        <v>177</v>
      </c>
      <c r="AC465" t="s">
        <v>126</v>
      </c>
    </row>
    <row r="466" spans="1:29" ht="16" customHeight="1" x14ac:dyDescent="0.2">
      <c r="A466" s="1" t="s">
        <v>617</v>
      </c>
      <c r="B466" s="2" t="s">
        <v>157</v>
      </c>
      <c r="C466" s="2">
        <v>78</v>
      </c>
      <c r="D466" s="2" t="s">
        <v>132</v>
      </c>
      <c r="E466" s="2">
        <v>5528</v>
      </c>
      <c r="F466" s="2">
        <v>1</v>
      </c>
      <c r="G466" s="2">
        <v>0</v>
      </c>
      <c r="H466" s="2">
        <v>1</v>
      </c>
      <c r="I466" s="2">
        <v>0</v>
      </c>
      <c r="J466" s="2">
        <v>5</v>
      </c>
      <c r="K466" s="2">
        <v>2</v>
      </c>
      <c r="L466" s="2">
        <v>1</v>
      </c>
      <c r="M466" s="2">
        <v>3</v>
      </c>
      <c r="N466" s="2">
        <v>0</v>
      </c>
      <c r="O466" s="2">
        <v>1</v>
      </c>
      <c r="P466" s="2">
        <v>0</v>
      </c>
      <c r="Q466" s="2">
        <v>1</v>
      </c>
      <c r="R466" s="2">
        <v>1</v>
      </c>
      <c r="S466">
        <v>2</v>
      </c>
      <c r="T466">
        <v>1</v>
      </c>
      <c r="U466">
        <v>0</v>
      </c>
      <c r="V466">
        <v>0</v>
      </c>
      <c r="W466">
        <v>4</v>
      </c>
      <c r="X466">
        <v>0</v>
      </c>
      <c r="Y466">
        <v>0</v>
      </c>
      <c r="Z466">
        <v>1</v>
      </c>
      <c r="AA466">
        <v>1</v>
      </c>
      <c r="AB466">
        <v>275</v>
      </c>
      <c r="AC466" t="s">
        <v>126</v>
      </c>
    </row>
    <row r="467" spans="1:29" ht="16" customHeight="1" x14ac:dyDescent="0.2">
      <c r="A467" s="1" t="s">
        <v>618</v>
      </c>
      <c r="B467" s="2" t="s">
        <v>164</v>
      </c>
      <c r="C467" s="2">
        <v>78</v>
      </c>
      <c r="D467" s="2" t="s">
        <v>135</v>
      </c>
      <c r="E467" s="2">
        <v>144</v>
      </c>
      <c r="F467" s="2">
        <v>1</v>
      </c>
      <c r="G467" s="2">
        <v>1</v>
      </c>
      <c r="H467" s="2">
        <v>0</v>
      </c>
      <c r="I467" s="2">
        <v>0</v>
      </c>
      <c r="J467" s="2">
        <v>1</v>
      </c>
      <c r="K467" s="2">
        <v>1</v>
      </c>
      <c r="L467" s="2">
        <v>1</v>
      </c>
      <c r="M467" s="2">
        <v>1</v>
      </c>
      <c r="N467" s="2">
        <v>0</v>
      </c>
      <c r="O467" s="2">
        <v>0</v>
      </c>
      <c r="P467" s="2">
        <v>0</v>
      </c>
      <c r="Q467" s="2">
        <v>1</v>
      </c>
      <c r="R467" s="2">
        <v>0</v>
      </c>
      <c r="S467">
        <v>2</v>
      </c>
      <c r="T467">
        <v>0</v>
      </c>
      <c r="U467">
        <v>0</v>
      </c>
      <c r="V467">
        <v>0</v>
      </c>
      <c r="W467">
        <v>2</v>
      </c>
      <c r="X467">
        <v>1</v>
      </c>
      <c r="Y467">
        <v>1</v>
      </c>
      <c r="Z467">
        <v>1</v>
      </c>
      <c r="AA467">
        <v>1</v>
      </c>
      <c r="AB467">
        <v>288</v>
      </c>
      <c r="AC467" t="s">
        <v>126</v>
      </c>
    </row>
    <row r="468" spans="1:29" ht="16" customHeight="1" x14ac:dyDescent="0.2">
      <c r="A468" s="1" t="s">
        <v>619</v>
      </c>
      <c r="B468" s="2" t="s">
        <v>128</v>
      </c>
      <c r="C468" s="2">
        <v>78</v>
      </c>
      <c r="D468" s="2" t="s">
        <v>138</v>
      </c>
      <c r="E468" s="2">
        <v>48</v>
      </c>
      <c r="F468" s="2">
        <v>0</v>
      </c>
      <c r="G468" s="2">
        <v>0</v>
      </c>
      <c r="H468" s="2">
        <v>1</v>
      </c>
      <c r="I468" s="2">
        <v>1</v>
      </c>
      <c r="J468" s="2">
        <v>1</v>
      </c>
      <c r="K468" s="2">
        <v>2</v>
      </c>
      <c r="L468" s="2">
        <v>3</v>
      </c>
      <c r="M468" s="2">
        <v>3</v>
      </c>
      <c r="N468" s="2">
        <v>0</v>
      </c>
      <c r="O468" s="2">
        <v>1</v>
      </c>
      <c r="P468" s="2">
        <v>1</v>
      </c>
      <c r="Q468" s="2">
        <v>0</v>
      </c>
      <c r="R468" s="2">
        <v>1</v>
      </c>
      <c r="S468">
        <v>2</v>
      </c>
      <c r="T468">
        <v>0</v>
      </c>
      <c r="U468">
        <v>0</v>
      </c>
      <c r="V468">
        <v>1</v>
      </c>
      <c r="W468">
        <v>5</v>
      </c>
      <c r="X468">
        <v>0</v>
      </c>
      <c r="Y468">
        <v>0</v>
      </c>
      <c r="Z468">
        <v>0</v>
      </c>
      <c r="AA468">
        <v>1</v>
      </c>
      <c r="AB468">
        <v>37</v>
      </c>
      <c r="AC468" t="s">
        <v>126</v>
      </c>
    </row>
    <row r="469" spans="1:29" ht="16" customHeight="1" x14ac:dyDescent="0.2">
      <c r="A469" s="1" t="s">
        <v>620</v>
      </c>
      <c r="B469" s="2" t="s">
        <v>181</v>
      </c>
      <c r="C469" s="2">
        <v>78</v>
      </c>
      <c r="D469" s="2" t="s">
        <v>140</v>
      </c>
      <c r="E469" s="2">
        <v>1126</v>
      </c>
      <c r="F469" s="2">
        <v>0</v>
      </c>
      <c r="G469" s="2">
        <v>1</v>
      </c>
      <c r="H469" s="2">
        <v>1</v>
      </c>
      <c r="I469" s="2">
        <v>1</v>
      </c>
      <c r="J469" s="2">
        <v>1</v>
      </c>
      <c r="K469" s="2">
        <v>3</v>
      </c>
      <c r="L469" s="2">
        <v>2</v>
      </c>
      <c r="M469" s="2">
        <v>2</v>
      </c>
      <c r="N469" s="2">
        <v>0</v>
      </c>
      <c r="O469" s="2">
        <v>1</v>
      </c>
      <c r="P469" s="2">
        <v>1</v>
      </c>
      <c r="Q469" s="2">
        <v>1</v>
      </c>
      <c r="R469" s="2">
        <v>1</v>
      </c>
      <c r="S469">
        <v>1</v>
      </c>
      <c r="T469">
        <v>1</v>
      </c>
      <c r="U469">
        <v>0</v>
      </c>
      <c r="V469">
        <v>1</v>
      </c>
      <c r="W469">
        <v>2</v>
      </c>
      <c r="X469">
        <v>0</v>
      </c>
      <c r="Y469">
        <v>1</v>
      </c>
      <c r="Z469">
        <v>0</v>
      </c>
      <c r="AA469">
        <v>0</v>
      </c>
      <c r="AB469">
        <v>173</v>
      </c>
      <c r="AC469" t="s">
        <v>126</v>
      </c>
    </row>
    <row r="470" spans="1:29" ht="16" customHeight="1" x14ac:dyDescent="0.2">
      <c r="A470" s="1" t="s">
        <v>621</v>
      </c>
      <c r="B470" s="2" t="s">
        <v>159</v>
      </c>
      <c r="C470" s="2">
        <v>79</v>
      </c>
      <c r="D470" s="2" t="s">
        <v>125</v>
      </c>
      <c r="E470" s="2">
        <v>1468</v>
      </c>
      <c r="F470" s="2">
        <v>1</v>
      </c>
      <c r="G470" s="2">
        <v>1</v>
      </c>
      <c r="H470" s="2">
        <v>0</v>
      </c>
      <c r="I470" s="2">
        <v>1</v>
      </c>
      <c r="J470" s="2">
        <v>4</v>
      </c>
      <c r="K470" s="2">
        <v>3</v>
      </c>
      <c r="L470" s="2">
        <v>1</v>
      </c>
      <c r="M470" s="2">
        <v>4</v>
      </c>
      <c r="N470" s="2">
        <v>1</v>
      </c>
      <c r="O470" s="2">
        <v>1</v>
      </c>
      <c r="P470" s="2">
        <v>0</v>
      </c>
      <c r="Q470" s="2">
        <v>0</v>
      </c>
      <c r="R470" s="2">
        <v>0</v>
      </c>
      <c r="S470">
        <v>3</v>
      </c>
      <c r="T470">
        <v>0</v>
      </c>
      <c r="U470">
        <v>1</v>
      </c>
      <c r="V470">
        <v>1</v>
      </c>
      <c r="W470">
        <v>4</v>
      </c>
      <c r="X470">
        <v>0</v>
      </c>
      <c r="Y470">
        <v>1</v>
      </c>
      <c r="Z470">
        <v>0</v>
      </c>
      <c r="AA470">
        <v>1</v>
      </c>
      <c r="AB470">
        <v>202</v>
      </c>
      <c r="AC470" t="s">
        <v>126</v>
      </c>
    </row>
    <row r="471" spans="1:29" ht="16" customHeight="1" x14ac:dyDescent="0.2">
      <c r="A471" s="1" t="s">
        <v>622</v>
      </c>
      <c r="B471" s="2" t="s">
        <v>181</v>
      </c>
      <c r="C471" s="2">
        <v>79</v>
      </c>
      <c r="D471" s="2" t="s">
        <v>129</v>
      </c>
      <c r="E471" s="2">
        <v>3799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3</v>
      </c>
      <c r="M471" s="2">
        <v>5</v>
      </c>
      <c r="N471" s="2">
        <v>1</v>
      </c>
      <c r="O471" s="2">
        <v>0</v>
      </c>
      <c r="P471" s="2">
        <v>1</v>
      </c>
      <c r="Q471" s="2">
        <v>0</v>
      </c>
      <c r="R471" s="2">
        <v>1</v>
      </c>
      <c r="S471">
        <v>0</v>
      </c>
      <c r="T471">
        <v>0</v>
      </c>
      <c r="U471">
        <v>0</v>
      </c>
      <c r="V471">
        <v>1</v>
      </c>
      <c r="W471">
        <v>5</v>
      </c>
      <c r="X471">
        <v>1</v>
      </c>
      <c r="Y471">
        <v>1</v>
      </c>
      <c r="Z471">
        <v>0</v>
      </c>
      <c r="AA471">
        <v>0</v>
      </c>
      <c r="AB471">
        <v>118</v>
      </c>
      <c r="AC471" t="s">
        <v>126</v>
      </c>
    </row>
    <row r="472" spans="1:29" ht="16" customHeight="1" x14ac:dyDescent="0.2">
      <c r="A472" s="1" t="s">
        <v>623</v>
      </c>
      <c r="B472" s="2" t="s">
        <v>145</v>
      </c>
      <c r="C472" s="2">
        <v>79</v>
      </c>
      <c r="D472" s="2" t="s">
        <v>132</v>
      </c>
      <c r="E472" s="2">
        <v>3181</v>
      </c>
      <c r="F472" s="2">
        <v>0</v>
      </c>
      <c r="G472" s="2">
        <v>0</v>
      </c>
      <c r="H472" s="2">
        <v>0</v>
      </c>
      <c r="I472" s="2">
        <v>0</v>
      </c>
      <c r="J472" s="2">
        <v>2</v>
      </c>
      <c r="K472" s="2">
        <v>3</v>
      </c>
      <c r="L472" s="2">
        <v>2</v>
      </c>
      <c r="M472" s="2">
        <v>3</v>
      </c>
      <c r="N472" s="2">
        <v>1</v>
      </c>
      <c r="O472" s="2">
        <v>0</v>
      </c>
      <c r="P472" s="2">
        <v>1</v>
      </c>
      <c r="Q472" s="2">
        <v>1</v>
      </c>
      <c r="R472" s="2">
        <v>0</v>
      </c>
      <c r="S472">
        <v>3</v>
      </c>
      <c r="T472">
        <v>0</v>
      </c>
      <c r="U472">
        <v>1</v>
      </c>
      <c r="V472">
        <v>1</v>
      </c>
      <c r="W472">
        <v>3</v>
      </c>
      <c r="X472">
        <v>0</v>
      </c>
      <c r="Y472">
        <v>1</v>
      </c>
      <c r="Z472">
        <v>0</v>
      </c>
      <c r="AA472">
        <v>1</v>
      </c>
      <c r="AB472">
        <v>14</v>
      </c>
      <c r="AC472" t="s">
        <v>126</v>
      </c>
    </row>
    <row r="473" spans="1:29" ht="16" customHeight="1" x14ac:dyDescent="0.2">
      <c r="A473" s="1" t="s">
        <v>624</v>
      </c>
      <c r="B473" s="2" t="s">
        <v>157</v>
      </c>
      <c r="C473" s="2">
        <v>79</v>
      </c>
      <c r="D473" s="2" t="s">
        <v>135</v>
      </c>
      <c r="E473" s="2">
        <v>1787</v>
      </c>
      <c r="F473" s="2">
        <v>0</v>
      </c>
      <c r="G473" s="2">
        <v>1</v>
      </c>
      <c r="H473" s="2">
        <v>0</v>
      </c>
      <c r="I473" s="2">
        <v>0</v>
      </c>
      <c r="J473" s="2">
        <v>4</v>
      </c>
      <c r="K473" s="2">
        <v>3</v>
      </c>
      <c r="L473" s="2">
        <v>1</v>
      </c>
      <c r="M473" s="2">
        <v>3</v>
      </c>
      <c r="N473" s="2">
        <v>1</v>
      </c>
      <c r="O473" s="2">
        <v>1</v>
      </c>
      <c r="P473" s="2">
        <v>0</v>
      </c>
      <c r="Q473" s="2">
        <v>1</v>
      </c>
      <c r="R473" s="2">
        <v>0</v>
      </c>
      <c r="S473">
        <v>-1</v>
      </c>
      <c r="T473">
        <v>0</v>
      </c>
      <c r="U473">
        <v>0</v>
      </c>
      <c r="V473">
        <v>0</v>
      </c>
      <c r="W473">
        <v>3</v>
      </c>
      <c r="X473">
        <v>-1</v>
      </c>
      <c r="Y473">
        <v>0</v>
      </c>
      <c r="Z473">
        <v>1</v>
      </c>
      <c r="AA473">
        <v>0</v>
      </c>
      <c r="AB473">
        <v>288</v>
      </c>
      <c r="AC473" t="s">
        <v>126</v>
      </c>
    </row>
    <row r="474" spans="1:29" ht="16" customHeight="1" x14ac:dyDescent="0.2">
      <c r="A474" s="1" t="s">
        <v>625</v>
      </c>
      <c r="B474" s="2" t="s">
        <v>134</v>
      </c>
      <c r="C474" s="2">
        <v>79</v>
      </c>
      <c r="D474" s="2" t="s">
        <v>138</v>
      </c>
      <c r="E474" s="2">
        <v>1450</v>
      </c>
      <c r="F474" s="2">
        <v>0</v>
      </c>
      <c r="G474" s="2">
        <v>0</v>
      </c>
      <c r="H474" s="2">
        <v>1</v>
      </c>
      <c r="I474" s="2">
        <v>1</v>
      </c>
      <c r="J474" s="2">
        <v>1</v>
      </c>
      <c r="K474" s="2">
        <v>2</v>
      </c>
      <c r="L474" s="2">
        <v>1</v>
      </c>
      <c r="M474" s="2">
        <v>3</v>
      </c>
      <c r="N474" s="2">
        <v>1</v>
      </c>
      <c r="O474" s="2">
        <v>0</v>
      </c>
      <c r="P474" s="2">
        <v>0</v>
      </c>
      <c r="Q474" s="2">
        <v>1</v>
      </c>
      <c r="R474" s="2">
        <v>0</v>
      </c>
      <c r="S474">
        <v>2</v>
      </c>
      <c r="T474">
        <v>1</v>
      </c>
      <c r="U474">
        <v>0</v>
      </c>
      <c r="V474">
        <v>0</v>
      </c>
      <c r="W474">
        <v>2</v>
      </c>
      <c r="X474">
        <v>-1</v>
      </c>
      <c r="Y474">
        <v>1</v>
      </c>
      <c r="Z474">
        <v>1</v>
      </c>
      <c r="AA474">
        <v>1</v>
      </c>
      <c r="AB474">
        <v>276</v>
      </c>
      <c r="AC474" t="s">
        <v>126</v>
      </c>
    </row>
    <row r="475" spans="1:29" ht="16" customHeight="1" x14ac:dyDescent="0.2">
      <c r="A475" s="1" t="s">
        <v>626</v>
      </c>
      <c r="B475" s="2" t="s">
        <v>199</v>
      </c>
      <c r="C475" s="2">
        <v>79</v>
      </c>
      <c r="D475" s="2" t="s">
        <v>140</v>
      </c>
      <c r="E475" s="2">
        <v>191</v>
      </c>
      <c r="F475" s="2">
        <v>1</v>
      </c>
      <c r="G475" s="2">
        <v>1</v>
      </c>
      <c r="H475" s="2">
        <v>1</v>
      </c>
      <c r="I475" s="2">
        <v>0</v>
      </c>
      <c r="J475" s="2">
        <v>1</v>
      </c>
      <c r="K475" s="2">
        <v>3</v>
      </c>
      <c r="L475" s="2">
        <v>3</v>
      </c>
      <c r="M475" s="2">
        <v>2</v>
      </c>
      <c r="N475" s="2">
        <v>1</v>
      </c>
      <c r="O475" s="2">
        <v>0</v>
      </c>
      <c r="P475" s="2">
        <v>0</v>
      </c>
      <c r="Q475" s="2">
        <v>0</v>
      </c>
      <c r="R475" s="2">
        <v>0</v>
      </c>
      <c r="S475">
        <v>-1</v>
      </c>
      <c r="T475">
        <v>1</v>
      </c>
      <c r="U475">
        <v>1</v>
      </c>
      <c r="V475">
        <v>0</v>
      </c>
      <c r="W475">
        <v>1</v>
      </c>
      <c r="X475">
        <v>-1</v>
      </c>
      <c r="Y475">
        <v>1</v>
      </c>
      <c r="Z475">
        <v>0</v>
      </c>
      <c r="AA475">
        <v>1</v>
      </c>
      <c r="AB475">
        <v>221</v>
      </c>
      <c r="AC475" t="s">
        <v>126</v>
      </c>
    </row>
    <row r="476" spans="1:29" ht="16" customHeight="1" x14ac:dyDescent="0.2">
      <c r="A476" s="1" t="s">
        <v>627</v>
      </c>
      <c r="B476" s="2" t="s">
        <v>199</v>
      </c>
      <c r="C476" s="2">
        <v>80</v>
      </c>
      <c r="D476" s="2" t="s">
        <v>125</v>
      </c>
      <c r="E476" s="2">
        <v>10922</v>
      </c>
      <c r="F476" s="2">
        <v>0</v>
      </c>
      <c r="G476" s="2">
        <v>0</v>
      </c>
      <c r="H476" s="2">
        <v>0</v>
      </c>
      <c r="I476" s="2">
        <v>-1</v>
      </c>
      <c r="J476" s="2">
        <v>1</v>
      </c>
      <c r="K476" s="2">
        <v>3</v>
      </c>
      <c r="L476" s="2">
        <v>2</v>
      </c>
      <c r="M476" s="2">
        <v>1</v>
      </c>
      <c r="N476" s="2">
        <v>0</v>
      </c>
      <c r="O476" s="2">
        <v>0</v>
      </c>
      <c r="P476" s="2">
        <v>0</v>
      </c>
      <c r="Q476" s="2">
        <v>0</v>
      </c>
      <c r="R476" s="2">
        <v>1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94</v>
      </c>
      <c r="AC476" t="s">
        <v>126</v>
      </c>
    </row>
    <row r="477" spans="1:29" ht="16" customHeight="1" x14ac:dyDescent="0.2">
      <c r="A477" s="1" t="s">
        <v>628</v>
      </c>
      <c r="B477" s="2" t="s">
        <v>195</v>
      </c>
      <c r="C477" s="2">
        <v>80</v>
      </c>
      <c r="D477" s="2" t="s">
        <v>129</v>
      </c>
      <c r="E477" s="2">
        <v>1559</v>
      </c>
      <c r="F477" s="2">
        <v>1</v>
      </c>
      <c r="G477" s="2">
        <v>1</v>
      </c>
      <c r="H477" s="2">
        <v>1</v>
      </c>
      <c r="I477" s="2">
        <v>0</v>
      </c>
      <c r="J477" s="2">
        <v>1</v>
      </c>
      <c r="K477" s="2">
        <v>1</v>
      </c>
      <c r="L477" s="2">
        <v>2</v>
      </c>
      <c r="M477" s="2">
        <v>5</v>
      </c>
      <c r="N477" s="2">
        <v>1</v>
      </c>
      <c r="O477" s="2">
        <v>0</v>
      </c>
      <c r="P477" s="2">
        <v>0</v>
      </c>
      <c r="Q477" s="2">
        <v>0</v>
      </c>
      <c r="R477" s="2">
        <v>0</v>
      </c>
      <c r="S477">
        <v>3</v>
      </c>
      <c r="T477">
        <v>1</v>
      </c>
      <c r="U477">
        <v>0</v>
      </c>
      <c r="V477">
        <v>0</v>
      </c>
      <c r="W477">
        <v>4</v>
      </c>
      <c r="X477">
        <v>1</v>
      </c>
      <c r="Y477">
        <v>0</v>
      </c>
      <c r="Z477">
        <v>0</v>
      </c>
      <c r="AA477">
        <v>1</v>
      </c>
      <c r="AB477">
        <v>296</v>
      </c>
      <c r="AC477" t="s">
        <v>126</v>
      </c>
    </row>
    <row r="478" spans="1:29" ht="16" customHeight="1" x14ac:dyDescent="0.2">
      <c r="A478" s="1" t="s">
        <v>629</v>
      </c>
      <c r="B478" s="2" t="s">
        <v>164</v>
      </c>
      <c r="C478" s="2">
        <v>80</v>
      </c>
      <c r="D478" s="2" t="s">
        <v>132</v>
      </c>
      <c r="E478" s="2">
        <v>353</v>
      </c>
      <c r="F478" s="2">
        <v>1</v>
      </c>
      <c r="G478" s="2">
        <v>0</v>
      </c>
      <c r="H478" s="2">
        <v>1</v>
      </c>
      <c r="I478" s="2">
        <v>1</v>
      </c>
      <c r="J478" s="2">
        <v>2</v>
      </c>
      <c r="K478" s="2">
        <v>3</v>
      </c>
      <c r="L478" s="2">
        <v>2</v>
      </c>
      <c r="M478" s="2">
        <v>1</v>
      </c>
      <c r="N478" s="2">
        <v>1</v>
      </c>
      <c r="O478" s="2">
        <v>1</v>
      </c>
      <c r="P478" s="2">
        <v>0</v>
      </c>
      <c r="Q478" s="2">
        <v>1</v>
      </c>
      <c r="R478" s="2">
        <v>1</v>
      </c>
      <c r="S478">
        <v>3</v>
      </c>
      <c r="T478">
        <v>0</v>
      </c>
      <c r="U478">
        <v>1</v>
      </c>
      <c r="V478">
        <v>1</v>
      </c>
      <c r="W478">
        <v>1</v>
      </c>
      <c r="X478">
        <v>-1</v>
      </c>
      <c r="Y478">
        <v>0</v>
      </c>
      <c r="Z478">
        <v>0</v>
      </c>
      <c r="AA478">
        <v>1</v>
      </c>
      <c r="AB478">
        <v>242</v>
      </c>
      <c r="AC478" t="s">
        <v>126</v>
      </c>
    </row>
    <row r="479" spans="1:29" ht="16" customHeight="1" x14ac:dyDescent="0.2">
      <c r="A479" s="1" t="s">
        <v>630</v>
      </c>
      <c r="B479" s="2" t="s">
        <v>164</v>
      </c>
      <c r="C479" s="2">
        <v>80</v>
      </c>
      <c r="D479" s="2" t="s">
        <v>135</v>
      </c>
      <c r="E479" s="2">
        <v>4093</v>
      </c>
      <c r="F479" s="2">
        <v>0</v>
      </c>
      <c r="G479" s="2">
        <v>0</v>
      </c>
      <c r="H479" s="2">
        <v>0</v>
      </c>
      <c r="I479" s="2">
        <v>-1</v>
      </c>
      <c r="J479" s="2">
        <v>3</v>
      </c>
      <c r="K479" s="2">
        <v>3</v>
      </c>
      <c r="L479" s="2">
        <v>3</v>
      </c>
      <c r="M479" s="2">
        <v>2</v>
      </c>
      <c r="N479" s="2">
        <v>0</v>
      </c>
      <c r="O479" s="2">
        <v>0</v>
      </c>
      <c r="P479" s="2">
        <v>0</v>
      </c>
      <c r="Q479" s="2">
        <v>1</v>
      </c>
      <c r="R479" s="2">
        <v>1</v>
      </c>
      <c r="S479">
        <v>1</v>
      </c>
      <c r="T479">
        <v>1</v>
      </c>
      <c r="U479">
        <v>1</v>
      </c>
      <c r="V479">
        <v>1</v>
      </c>
      <c r="W479">
        <v>3</v>
      </c>
      <c r="X479">
        <v>-1</v>
      </c>
      <c r="Y479">
        <v>1</v>
      </c>
      <c r="Z479">
        <v>0</v>
      </c>
      <c r="AA479">
        <v>0</v>
      </c>
      <c r="AB479">
        <v>22</v>
      </c>
      <c r="AC479" t="s">
        <v>126</v>
      </c>
    </row>
    <row r="480" spans="1:29" ht="16" customHeight="1" x14ac:dyDescent="0.2">
      <c r="A480" s="1" t="s">
        <v>631</v>
      </c>
      <c r="B480" s="2" t="s">
        <v>149</v>
      </c>
      <c r="C480" s="2">
        <v>80</v>
      </c>
      <c r="D480" s="2" t="s">
        <v>138</v>
      </c>
      <c r="E480" s="2">
        <v>9016</v>
      </c>
      <c r="F480" s="2">
        <v>1</v>
      </c>
      <c r="G480" s="2">
        <v>1</v>
      </c>
      <c r="H480" s="2">
        <v>0</v>
      </c>
      <c r="I480" s="2">
        <v>-1</v>
      </c>
      <c r="J480" s="2">
        <v>1</v>
      </c>
      <c r="K480" s="2">
        <v>2</v>
      </c>
      <c r="L480" s="2">
        <v>2</v>
      </c>
      <c r="M480" s="2">
        <v>2</v>
      </c>
      <c r="N480" s="2">
        <v>1</v>
      </c>
      <c r="O480" s="2">
        <v>1</v>
      </c>
      <c r="P480" s="2">
        <v>1</v>
      </c>
      <c r="Q480" s="2">
        <v>1</v>
      </c>
      <c r="R480" s="2">
        <v>1</v>
      </c>
      <c r="S480">
        <v>-1</v>
      </c>
      <c r="T480">
        <v>0</v>
      </c>
      <c r="U480">
        <v>0</v>
      </c>
      <c r="V480">
        <v>1</v>
      </c>
      <c r="W480">
        <v>5</v>
      </c>
      <c r="X480">
        <v>-1</v>
      </c>
      <c r="Y480">
        <v>0</v>
      </c>
      <c r="Z480">
        <v>1</v>
      </c>
      <c r="AA480">
        <v>1</v>
      </c>
      <c r="AB480">
        <v>121</v>
      </c>
      <c r="AC480" t="s">
        <v>126</v>
      </c>
    </row>
    <row r="481" spans="1:29" ht="16" customHeight="1" x14ac:dyDescent="0.2">
      <c r="A481" s="1" t="s">
        <v>632</v>
      </c>
      <c r="B481" s="2" t="s">
        <v>199</v>
      </c>
      <c r="C481" s="2">
        <v>80</v>
      </c>
      <c r="D481" s="2" t="s">
        <v>140</v>
      </c>
      <c r="E481" s="2">
        <v>1781</v>
      </c>
      <c r="F481" s="2">
        <v>0</v>
      </c>
      <c r="G481" s="2">
        <v>1</v>
      </c>
      <c r="H481" s="2">
        <v>0</v>
      </c>
      <c r="I481" s="2">
        <v>1</v>
      </c>
      <c r="J481" s="2">
        <v>4</v>
      </c>
      <c r="K481" s="2">
        <v>2</v>
      </c>
      <c r="L481" s="2">
        <v>2</v>
      </c>
      <c r="M481" s="2">
        <v>5</v>
      </c>
      <c r="N481" s="2">
        <v>0</v>
      </c>
      <c r="O481" s="2">
        <v>1</v>
      </c>
      <c r="P481" s="2">
        <v>0</v>
      </c>
      <c r="Q481" s="2">
        <v>0</v>
      </c>
      <c r="R481" s="2">
        <v>1</v>
      </c>
      <c r="S481">
        <v>1</v>
      </c>
      <c r="T481">
        <v>1</v>
      </c>
      <c r="U481">
        <v>1</v>
      </c>
      <c r="V481">
        <v>0</v>
      </c>
      <c r="W481">
        <v>5</v>
      </c>
      <c r="X481">
        <v>1</v>
      </c>
      <c r="Y481">
        <v>1</v>
      </c>
      <c r="Z481">
        <v>0</v>
      </c>
      <c r="AA481">
        <v>0</v>
      </c>
      <c r="AB481">
        <v>73</v>
      </c>
      <c r="AC481" t="s">
        <v>126</v>
      </c>
    </row>
    <row r="482" spans="1:29" ht="16" customHeight="1" x14ac:dyDescent="0.2">
      <c r="A482" s="1" t="s">
        <v>633</v>
      </c>
      <c r="B482" s="2" t="s">
        <v>134</v>
      </c>
      <c r="C482" s="2">
        <v>81</v>
      </c>
      <c r="D482" s="2" t="s">
        <v>125</v>
      </c>
      <c r="E482" s="2">
        <v>271</v>
      </c>
      <c r="F482" s="2">
        <v>0</v>
      </c>
      <c r="G482" s="2">
        <v>0</v>
      </c>
      <c r="H482" s="2">
        <v>0</v>
      </c>
      <c r="I482" s="2">
        <v>-1</v>
      </c>
      <c r="J482" s="2">
        <v>5</v>
      </c>
      <c r="K482" s="2">
        <v>2</v>
      </c>
      <c r="L482" s="2">
        <v>3</v>
      </c>
      <c r="M482" s="2">
        <v>4</v>
      </c>
      <c r="N482" s="2">
        <v>1</v>
      </c>
      <c r="O482" s="2">
        <v>0</v>
      </c>
      <c r="P482" s="2">
        <v>0</v>
      </c>
      <c r="Q482" s="2">
        <v>1</v>
      </c>
      <c r="R482" s="2">
        <v>1</v>
      </c>
      <c r="S482">
        <v>0</v>
      </c>
      <c r="T482">
        <v>0</v>
      </c>
      <c r="U482">
        <v>0</v>
      </c>
      <c r="V482">
        <v>1</v>
      </c>
      <c r="W482">
        <v>5</v>
      </c>
      <c r="X482">
        <v>1</v>
      </c>
      <c r="Y482">
        <v>1</v>
      </c>
      <c r="Z482">
        <v>0</v>
      </c>
      <c r="AA482">
        <v>0</v>
      </c>
      <c r="AB482">
        <v>70</v>
      </c>
      <c r="AC482" t="s">
        <v>126</v>
      </c>
    </row>
    <row r="483" spans="1:29" ht="16" customHeight="1" x14ac:dyDescent="0.2">
      <c r="A483" s="1" t="s">
        <v>634</v>
      </c>
      <c r="B483" s="2" t="s">
        <v>176</v>
      </c>
      <c r="C483" s="2">
        <v>81</v>
      </c>
      <c r="D483" s="2" t="s">
        <v>129</v>
      </c>
      <c r="E483" s="2">
        <v>3044</v>
      </c>
      <c r="F483" s="2">
        <v>0</v>
      </c>
      <c r="G483" s="2">
        <v>1</v>
      </c>
      <c r="H483" s="2">
        <v>1</v>
      </c>
      <c r="I483" s="2">
        <v>1</v>
      </c>
      <c r="J483" s="2">
        <v>5</v>
      </c>
      <c r="K483" s="2">
        <v>3</v>
      </c>
      <c r="L483" s="2">
        <v>3</v>
      </c>
      <c r="M483" s="2">
        <v>1</v>
      </c>
      <c r="N483" s="2">
        <v>1</v>
      </c>
      <c r="O483" s="2">
        <v>0</v>
      </c>
      <c r="P483" s="2">
        <v>1</v>
      </c>
      <c r="Q483" s="2">
        <v>1</v>
      </c>
      <c r="R483" s="2">
        <v>1</v>
      </c>
      <c r="S483">
        <v>-1</v>
      </c>
      <c r="T483">
        <v>0</v>
      </c>
      <c r="U483">
        <v>0</v>
      </c>
      <c r="V483">
        <v>1</v>
      </c>
      <c r="W483">
        <v>3</v>
      </c>
      <c r="X483">
        <v>-1</v>
      </c>
      <c r="Y483">
        <v>1</v>
      </c>
      <c r="Z483">
        <v>1</v>
      </c>
      <c r="AA483">
        <v>1</v>
      </c>
      <c r="AB483">
        <v>234</v>
      </c>
      <c r="AC483" t="s">
        <v>126</v>
      </c>
    </row>
    <row r="484" spans="1:29" ht="16" customHeight="1" x14ac:dyDescent="0.2">
      <c r="A484" s="1" t="s">
        <v>635</v>
      </c>
      <c r="B484" s="2" t="s">
        <v>181</v>
      </c>
      <c r="C484" s="2">
        <v>81</v>
      </c>
      <c r="D484" s="2" t="s">
        <v>132</v>
      </c>
      <c r="E484" s="2">
        <v>3951</v>
      </c>
      <c r="F484" s="2">
        <v>0</v>
      </c>
      <c r="G484" s="2">
        <v>0</v>
      </c>
      <c r="H484" s="2">
        <v>1</v>
      </c>
      <c r="I484" s="2">
        <v>-1</v>
      </c>
      <c r="J484" s="2">
        <v>3</v>
      </c>
      <c r="K484" s="2">
        <v>2</v>
      </c>
      <c r="L484" s="2">
        <v>3</v>
      </c>
      <c r="M484" s="2">
        <v>5</v>
      </c>
      <c r="N484" s="2">
        <v>1</v>
      </c>
      <c r="O484" s="2">
        <v>1</v>
      </c>
      <c r="P484" s="2">
        <v>0</v>
      </c>
      <c r="Q484" s="2">
        <v>1</v>
      </c>
      <c r="R484" s="2">
        <v>1</v>
      </c>
      <c r="S484">
        <v>0</v>
      </c>
      <c r="T484">
        <v>1</v>
      </c>
      <c r="U484">
        <v>1</v>
      </c>
      <c r="V484">
        <v>0</v>
      </c>
      <c r="W484">
        <v>5</v>
      </c>
      <c r="X484">
        <v>-1</v>
      </c>
      <c r="Y484">
        <v>0</v>
      </c>
      <c r="Z484">
        <v>1</v>
      </c>
      <c r="AA484">
        <v>1</v>
      </c>
      <c r="AB484">
        <v>28</v>
      </c>
      <c r="AC484" t="s">
        <v>126</v>
      </c>
    </row>
    <row r="485" spans="1:29" ht="16" customHeight="1" x14ac:dyDescent="0.2">
      <c r="A485" s="1" t="s">
        <v>636</v>
      </c>
      <c r="B485" s="2" t="s">
        <v>124</v>
      </c>
      <c r="C485" s="2">
        <v>81</v>
      </c>
      <c r="D485" s="2" t="s">
        <v>135</v>
      </c>
      <c r="E485" s="2">
        <v>2228</v>
      </c>
      <c r="F485" s="2">
        <v>0</v>
      </c>
      <c r="G485" s="2">
        <v>0</v>
      </c>
      <c r="H485" s="2">
        <v>0</v>
      </c>
      <c r="I485" s="2">
        <v>0</v>
      </c>
      <c r="J485" s="2">
        <v>5</v>
      </c>
      <c r="K485" s="2">
        <v>3</v>
      </c>
      <c r="L485" s="2">
        <v>3</v>
      </c>
      <c r="M485" s="2">
        <v>1</v>
      </c>
      <c r="N485" s="2">
        <v>0</v>
      </c>
      <c r="O485" s="2">
        <v>1</v>
      </c>
      <c r="P485" s="2">
        <v>1</v>
      </c>
      <c r="Q485" s="2">
        <v>1</v>
      </c>
      <c r="R485" s="2">
        <v>1</v>
      </c>
      <c r="S485">
        <v>-1</v>
      </c>
      <c r="T485">
        <v>0</v>
      </c>
      <c r="U485">
        <v>0</v>
      </c>
      <c r="V485">
        <v>0</v>
      </c>
      <c r="W485">
        <v>4</v>
      </c>
      <c r="X485">
        <v>-1</v>
      </c>
      <c r="Y485">
        <v>1</v>
      </c>
      <c r="Z485">
        <v>1</v>
      </c>
      <c r="AA485">
        <v>1</v>
      </c>
      <c r="AB485">
        <v>219</v>
      </c>
      <c r="AC485" t="s">
        <v>126</v>
      </c>
    </row>
    <row r="486" spans="1:29" ht="16" customHeight="1" x14ac:dyDescent="0.2">
      <c r="A486" s="1" t="s">
        <v>637</v>
      </c>
      <c r="B486" s="2" t="s">
        <v>137</v>
      </c>
      <c r="C486" s="2">
        <v>81</v>
      </c>
      <c r="D486" s="2" t="s">
        <v>138</v>
      </c>
      <c r="E486" s="2">
        <v>4930</v>
      </c>
      <c r="F486" s="2">
        <v>0</v>
      </c>
      <c r="G486" s="2">
        <v>0</v>
      </c>
      <c r="H486" s="2">
        <v>0</v>
      </c>
      <c r="I486" s="2">
        <v>0</v>
      </c>
      <c r="J486" s="2">
        <v>1</v>
      </c>
      <c r="K486" s="2">
        <v>3</v>
      </c>
      <c r="L486" s="2">
        <v>3</v>
      </c>
      <c r="M486" s="2">
        <v>5</v>
      </c>
      <c r="N486" s="2">
        <v>1</v>
      </c>
      <c r="O486" s="2">
        <v>1</v>
      </c>
      <c r="P486" s="2">
        <v>1</v>
      </c>
      <c r="Q486" s="2">
        <v>1</v>
      </c>
      <c r="R486" s="2">
        <v>0</v>
      </c>
      <c r="S486">
        <v>2</v>
      </c>
      <c r="T486">
        <v>1</v>
      </c>
      <c r="U486">
        <v>0</v>
      </c>
      <c r="V486">
        <v>1</v>
      </c>
      <c r="W486">
        <v>3</v>
      </c>
      <c r="X486">
        <v>1</v>
      </c>
      <c r="Y486">
        <v>1</v>
      </c>
      <c r="Z486">
        <v>0</v>
      </c>
      <c r="AA486">
        <v>1</v>
      </c>
      <c r="AB486">
        <v>252</v>
      </c>
      <c r="AC486" t="s">
        <v>126</v>
      </c>
    </row>
    <row r="487" spans="1:29" ht="16" customHeight="1" x14ac:dyDescent="0.2">
      <c r="A487" s="1" t="s">
        <v>638</v>
      </c>
      <c r="B487" s="2" t="s">
        <v>166</v>
      </c>
      <c r="C487" s="2">
        <v>81</v>
      </c>
      <c r="D487" s="2" t="s">
        <v>140</v>
      </c>
      <c r="E487" s="2">
        <v>3173</v>
      </c>
      <c r="F487" s="2">
        <v>0</v>
      </c>
      <c r="G487" s="2">
        <v>0</v>
      </c>
      <c r="H487" s="2">
        <v>0</v>
      </c>
      <c r="I487" s="2">
        <v>-1</v>
      </c>
      <c r="J487" s="2">
        <v>1</v>
      </c>
      <c r="K487" s="2">
        <v>2</v>
      </c>
      <c r="L487" s="2">
        <v>2</v>
      </c>
      <c r="M487" s="2">
        <v>1</v>
      </c>
      <c r="N487" s="2">
        <v>0</v>
      </c>
      <c r="O487" s="2">
        <v>0</v>
      </c>
      <c r="P487" s="2">
        <v>1</v>
      </c>
      <c r="Q487" s="2">
        <v>1</v>
      </c>
      <c r="R487" s="2">
        <v>1</v>
      </c>
      <c r="S487">
        <v>3</v>
      </c>
      <c r="T487">
        <v>0</v>
      </c>
      <c r="U487">
        <v>0</v>
      </c>
      <c r="V487">
        <v>1</v>
      </c>
      <c r="W487">
        <v>4</v>
      </c>
      <c r="X487">
        <v>0</v>
      </c>
      <c r="Y487">
        <v>1</v>
      </c>
      <c r="Z487">
        <v>1</v>
      </c>
      <c r="AA487">
        <v>1</v>
      </c>
      <c r="AB487">
        <v>174</v>
      </c>
      <c r="AC487" t="s">
        <v>126</v>
      </c>
    </row>
    <row r="488" spans="1:29" ht="16" customHeight="1" x14ac:dyDescent="0.2">
      <c r="A488" s="1" t="s">
        <v>639</v>
      </c>
      <c r="B488" s="2" t="s">
        <v>168</v>
      </c>
      <c r="C488" s="2">
        <v>82</v>
      </c>
      <c r="D488" s="2" t="s">
        <v>125</v>
      </c>
      <c r="E488" s="2">
        <v>564</v>
      </c>
      <c r="F488" s="2">
        <v>1</v>
      </c>
      <c r="G488" s="2">
        <v>0</v>
      </c>
      <c r="H488" s="2">
        <v>0</v>
      </c>
      <c r="I488" s="2">
        <v>-1</v>
      </c>
      <c r="J488" s="2">
        <v>3</v>
      </c>
      <c r="K488" s="2">
        <v>3</v>
      </c>
      <c r="L488" s="2">
        <v>3</v>
      </c>
      <c r="M488" s="2">
        <v>5</v>
      </c>
      <c r="N488" s="2">
        <v>0</v>
      </c>
      <c r="O488" s="2">
        <v>1</v>
      </c>
      <c r="P488" s="2">
        <v>1</v>
      </c>
      <c r="Q488" s="2">
        <v>1</v>
      </c>
      <c r="R488" s="2">
        <v>0</v>
      </c>
      <c r="S488">
        <v>1</v>
      </c>
      <c r="T488">
        <v>0</v>
      </c>
      <c r="U488">
        <v>0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189</v>
      </c>
      <c r="AC488" t="s">
        <v>126</v>
      </c>
    </row>
    <row r="489" spans="1:29" ht="16" customHeight="1" x14ac:dyDescent="0.2">
      <c r="A489" s="1" t="s">
        <v>640</v>
      </c>
      <c r="B489" s="2" t="s">
        <v>201</v>
      </c>
      <c r="C489" s="2">
        <v>82</v>
      </c>
      <c r="D489" s="2" t="s">
        <v>129</v>
      </c>
      <c r="E489" s="2">
        <v>8503</v>
      </c>
      <c r="F489" s="2">
        <v>0</v>
      </c>
      <c r="G489" s="2">
        <v>1</v>
      </c>
      <c r="H489" s="2">
        <v>0</v>
      </c>
      <c r="I489" s="2">
        <v>0</v>
      </c>
      <c r="J489" s="2">
        <v>5</v>
      </c>
      <c r="K489" s="2">
        <v>3</v>
      </c>
      <c r="L489" s="2">
        <v>2</v>
      </c>
      <c r="M489" s="2">
        <v>4</v>
      </c>
      <c r="N489" s="2">
        <v>0</v>
      </c>
      <c r="O489" s="2">
        <v>0</v>
      </c>
      <c r="P489" s="2">
        <v>0</v>
      </c>
      <c r="Q489" s="2">
        <v>1</v>
      </c>
      <c r="R489" s="2">
        <v>1</v>
      </c>
      <c r="S489">
        <v>3</v>
      </c>
      <c r="T489">
        <v>0</v>
      </c>
      <c r="U489">
        <v>1</v>
      </c>
      <c r="V489">
        <v>1</v>
      </c>
      <c r="W489">
        <v>3</v>
      </c>
      <c r="X489">
        <v>0</v>
      </c>
      <c r="Y489">
        <v>0</v>
      </c>
      <c r="Z489">
        <v>1</v>
      </c>
      <c r="AA489">
        <v>0</v>
      </c>
      <c r="AB489">
        <v>141</v>
      </c>
      <c r="AC489" t="s">
        <v>126</v>
      </c>
    </row>
    <row r="490" spans="1:29" ht="16" customHeight="1" x14ac:dyDescent="0.2">
      <c r="A490" s="1" t="s">
        <v>641</v>
      </c>
      <c r="B490" s="2" t="s">
        <v>181</v>
      </c>
      <c r="C490" s="2">
        <v>82</v>
      </c>
      <c r="D490" s="2" t="s">
        <v>132</v>
      </c>
      <c r="E490" s="2">
        <v>1507</v>
      </c>
      <c r="F490" s="2">
        <v>0</v>
      </c>
      <c r="G490" s="2">
        <v>1</v>
      </c>
      <c r="H490" s="2">
        <v>1</v>
      </c>
      <c r="I490" s="2">
        <v>-1</v>
      </c>
      <c r="J490" s="2">
        <v>4</v>
      </c>
      <c r="K490" s="2">
        <v>2</v>
      </c>
      <c r="L490" s="2">
        <v>1</v>
      </c>
      <c r="M490" s="2">
        <v>1</v>
      </c>
      <c r="N490" s="2">
        <v>1</v>
      </c>
      <c r="O490" s="2">
        <v>1</v>
      </c>
      <c r="P490" s="2">
        <v>0</v>
      </c>
      <c r="Q490" s="2">
        <v>0</v>
      </c>
      <c r="R490" s="2">
        <v>1</v>
      </c>
      <c r="S490">
        <v>0</v>
      </c>
      <c r="T490">
        <v>1</v>
      </c>
      <c r="U490">
        <v>1</v>
      </c>
      <c r="V490">
        <v>1</v>
      </c>
      <c r="W490">
        <v>3</v>
      </c>
      <c r="X490">
        <v>-1</v>
      </c>
      <c r="Y490">
        <v>0</v>
      </c>
      <c r="Z490">
        <v>0</v>
      </c>
      <c r="AA490">
        <v>1</v>
      </c>
      <c r="AB490">
        <v>211</v>
      </c>
      <c r="AC490" t="s">
        <v>126</v>
      </c>
    </row>
    <row r="491" spans="1:29" ht="16" customHeight="1" x14ac:dyDescent="0.2">
      <c r="A491" s="1" t="s">
        <v>642</v>
      </c>
      <c r="B491" s="2" t="s">
        <v>128</v>
      </c>
      <c r="C491" s="2">
        <v>82</v>
      </c>
      <c r="D491" s="2" t="s">
        <v>135</v>
      </c>
      <c r="E491" s="2">
        <v>378</v>
      </c>
      <c r="F491" s="2">
        <v>0</v>
      </c>
      <c r="G491" s="2">
        <v>1</v>
      </c>
      <c r="H491" s="2">
        <v>1</v>
      </c>
      <c r="I491" s="2">
        <v>1</v>
      </c>
      <c r="J491" s="2">
        <v>3</v>
      </c>
      <c r="K491" s="2">
        <v>3</v>
      </c>
      <c r="L491" s="2">
        <v>1</v>
      </c>
      <c r="M491" s="2">
        <v>4</v>
      </c>
      <c r="N491" s="2">
        <v>0</v>
      </c>
      <c r="O491" s="2">
        <v>0</v>
      </c>
      <c r="P491" s="2">
        <v>0</v>
      </c>
      <c r="Q491" s="2">
        <v>1</v>
      </c>
      <c r="R491" s="2">
        <v>0</v>
      </c>
      <c r="S491">
        <v>3</v>
      </c>
      <c r="T491">
        <v>0</v>
      </c>
      <c r="U491">
        <v>1</v>
      </c>
      <c r="V491">
        <v>0</v>
      </c>
      <c r="W491">
        <v>1</v>
      </c>
      <c r="X491">
        <v>1</v>
      </c>
      <c r="Y491">
        <v>1</v>
      </c>
      <c r="Z491">
        <v>0</v>
      </c>
      <c r="AA491">
        <v>0</v>
      </c>
      <c r="AB491">
        <v>56</v>
      </c>
      <c r="AC491" t="s">
        <v>126</v>
      </c>
    </row>
    <row r="492" spans="1:29" ht="16" customHeight="1" x14ac:dyDescent="0.2">
      <c r="A492" s="1" t="s">
        <v>643</v>
      </c>
      <c r="B492" s="2" t="s">
        <v>176</v>
      </c>
      <c r="C492" s="2">
        <v>82</v>
      </c>
      <c r="D492" s="2" t="s">
        <v>138</v>
      </c>
      <c r="E492" s="2">
        <v>325</v>
      </c>
      <c r="F492" s="2">
        <v>0</v>
      </c>
      <c r="G492" s="2">
        <v>1</v>
      </c>
      <c r="H492" s="2">
        <v>0</v>
      </c>
      <c r="I492" s="2">
        <v>0</v>
      </c>
      <c r="J492" s="2">
        <v>3</v>
      </c>
      <c r="K492" s="2">
        <v>1</v>
      </c>
      <c r="L492" s="2">
        <v>2</v>
      </c>
      <c r="M492" s="2">
        <v>3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>
        <v>-1</v>
      </c>
      <c r="T492">
        <v>1</v>
      </c>
      <c r="U492">
        <v>0</v>
      </c>
      <c r="V492">
        <v>1</v>
      </c>
      <c r="W492">
        <v>2</v>
      </c>
      <c r="X492">
        <v>-1</v>
      </c>
      <c r="Y492">
        <v>1</v>
      </c>
      <c r="Z492">
        <v>1</v>
      </c>
      <c r="AA492">
        <v>1</v>
      </c>
      <c r="AB492">
        <v>189</v>
      </c>
      <c r="AC492" t="s">
        <v>126</v>
      </c>
    </row>
    <row r="493" spans="1:29" ht="16" customHeight="1" x14ac:dyDescent="0.2">
      <c r="A493" s="1" t="s">
        <v>644</v>
      </c>
      <c r="B493" s="2" t="s">
        <v>143</v>
      </c>
      <c r="C493" s="2">
        <v>82</v>
      </c>
      <c r="D493" s="2" t="s">
        <v>140</v>
      </c>
      <c r="E493" s="2">
        <v>4253</v>
      </c>
      <c r="F493" s="2">
        <v>1</v>
      </c>
      <c r="G493" s="2">
        <v>1</v>
      </c>
      <c r="H493" s="2">
        <v>1</v>
      </c>
      <c r="I493" s="2">
        <v>0</v>
      </c>
      <c r="J493" s="2">
        <v>5</v>
      </c>
      <c r="K493" s="2">
        <v>3</v>
      </c>
      <c r="L493" s="2">
        <v>3</v>
      </c>
      <c r="M493" s="2">
        <v>3</v>
      </c>
      <c r="N493" s="2">
        <v>1</v>
      </c>
      <c r="O493" s="2">
        <v>0</v>
      </c>
      <c r="P493" s="2">
        <v>1</v>
      </c>
      <c r="Q493" s="2">
        <v>0</v>
      </c>
      <c r="R493" s="2">
        <v>0</v>
      </c>
      <c r="S493">
        <v>3</v>
      </c>
      <c r="T493">
        <v>1</v>
      </c>
      <c r="U493">
        <v>0</v>
      </c>
      <c r="V493">
        <v>0</v>
      </c>
      <c r="W493">
        <v>3</v>
      </c>
      <c r="X493">
        <v>0</v>
      </c>
      <c r="Y493">
        <v>0</v>
      </c>
      <c r="Z493">
        <v>1</v>
      </c>
      <c r="AA493">
        <v>0</v>
      </c>
      <c r="AB493">
        <v>112</v>
      </c>
      <c r="AC493" t="s">
        <v>126</v>
      </c>
    </row>
    <row r="494" spans="1:29" ht="16" customHeight="1" x14ac:dyDescent="0.2">
      <c r="A494" s="1" t="s">
        <v>645</v>
      </c>
      <c r="B494" s="2" t="s">
        <v>199</v>
      </c>
      <c r="C494" s="2">
        <v>83</v>
      </c>
      <c r="D494" s="2" t="s">
        <v>125</v>
      </c>
      <c r="E494" s="2">
        <v>432</v>
      </c>
      <c r="F494" s="2">
        <v>1</v>
      </c>
      <c r="G494" s="2">
        <v>1</v>
      </c>
      <c r="H494" s="2">
        <v>0</v>
      </c>
      <c r="I494" s="2">
        <v>0</v>
      </c>
      <c r="J494" s="2">
        <v>5</v>
      </c>
      <c r="K494" s="2">
        <v>2</v>
      </c>
      <c r="L494" s="2">
        <v>1</v>
      </c>
      <c r="M494" s="2">
        <v>3</v>
      </c>
      <c r="N494" s="2">
        <v>1</v>
      </c>
      <c r="O494" s="2">
        <v>1</v>
      </c>
      <c r="P494" s="2">
        <v>1</v>
      </c>
      <c r="Q494" s="2">
        <v>0</v>
      </c>
      <c r="R494" s="2">
        <v>0</v>
      </c>
      <c r="S494">
        <v>0</v>
      </c>
      <c r="T494">
        <v>0</v>
      </c>
      <c r="U494">
        <v>0</v>
      </c>
      <c r="V494">
        <v>1</v>
      </c>
      <c r="W494">
        <v>3</v>
      </c>
      <c r="X494">
        <v>0</v>
      </c>
      <c r="Y494">
        <v>1</v>
      </c>
      <c r="Z494">
        <v>0</v>
      </c>
      <c r="AA494">
        <v>0</v>
      </c>
      <c r="AB494">
        <v>94</v>
      </c>
      <c r="AC494" t="s">
        <v>126</v>
      </c>
    </row>
    <row r="495" spans="1:29" ht="16" customHeight="1" x14ac:dyDescent="0.2">
      <c r="A495" s="1" t="s">
        <v>646</v>
      </c>
      <c r="B495" s="2" t="s">
        <v>149</v>
      </c>
      <c r="C495" s="2">
        <v>83</v>
      </c>
      <c r="D495" s="2" t="s">
        <v>129</v>
      </c>
      <c r="E495" s="2">
        <v>3838</v>
      </c>
      <c r="F495" s="2">
        <v>1</v>
      </c>
      <c r="G495" s="2">
        <v>1</v>
      </c>
      <c r="H495" s="2">
        <v>1</v>
      </c>
      <c r="I495" s="2">
        <v>-1</v>
      </c>
      <c r="J495" s="2">
        <v>2</v>
      </c>
      <c r="K495" s="2">
        <v>2</v>
      </c>
      <c r="L495" s="2">
        <v>3</v>
      </c>
      <c r="M495" s="2">
        <v>1</v>
      </c>
      <c r="N495" s="2">
        <v>1</v>
      </c>
      <c r="O495" s="2">
        <v>1</v>
      </c>
      <c r="P495" s="2">
        <v>1</v>
      </c>
      <c r="Q495" s="2">
        <v>1</v>
      </c>
      <c r="R495" s="2">
        <v>1</v>
      </c>
      <c r="S495">
        <v>0</v>
      </c>
      <c r="T495">
        <v>0</v>
      </c>
      <c r="U495">
        <v>0</v>
      </c>
      <c r="V495">
        <v>1</v>
      </c>
      <c r="W495">
        <v>5</v>
      </c>
      <c r="X495">
        <v>1</v>
      </c>
      <c r="Y495">
        <v>0</v>
      </c>
      <c r="Z495">
        <v>1</v>
      </c>
      <c r="AA495">
        <v>1</v>
      </c>
      <c r="AB495">
        <v>157</v>
      </c>
      <c r="AC495" t="s">
        <v>126</v>
      </c>
    </row>
    <row r="496" spans="1:29" ht="16" customHeight="1" x14ac:dyDescent="0.2">
      <c r="A496" s="1" t="s">
        <v>647</v>
      </c>
      <c r="B496" s="2" t="s">
        <v>131</v>
      </c>
      <c r="C496" s="2">
        <v>83</v>
      </c>
      <c r="D496" s="2" t="s">
        <v>132</v>
      </c>
      <c r="E496" s="2">
        <v>20</v>
      </c>
      <c r="F496" s="2">
        <v>1</v>
      </c>
      <c r="G496" s="2">
        <v>0</v>
      </c>
      <c r="H496" s="2">
        <v>1</v>
      </c>
      <c r="I496" s="2">
        <v>1</v>
      </c>
      <c r="J496" s="2">
        <v>3</v>
      </c>
      <c r="K496" s="2">
        <v>2</v>
      </c>
      <c r="L496" s="2">
        <v>1</v>
      </c>
      <c r="M496" s="2">
        <v>3</v>
      </c>
      <c r="N496" s="2">
        <v>1</v>
      </c>
      <c r="O496" s="2">
        <v>1</v>
      </c>
      <c r="P496" s="2">
        <v>0</v>
      </c>
      <c r="Q496" s="2">
        <v>1</v>
      </c>
      <c r="R496" s="2">
        <v>0</v>
      </c>
      <c r="S496">
        <v>-1</v>
      </c>
      <c r="T496">
        <v>1</v>
      </c>
      <c r="U496">
        <v>1</v>
      </c>
      <c r="V496">
        <v>0</v>
      </c>
      <c r="W496">
        <v>3</v>
      </c>
      <c r="X496">
        <v>0</v>
      </c>
      <c r="Y496">
        <v>1</v>
      </c>
      <c r="Z496">
        <v>0</v>
      </c>
      <c r="AA496">
        <v>0</v>
      </c>
      <c r="AB496">
        <v>201</v>
      </c>
      <c r="AC496" t="s">
        <v>126</v>
      </c>
    </row>
    <row r="497" spans="1:29" ht="16" customHeight="1" x14ac:dyDescent="0.2">
      <c r="A497" s="1" t="s">
        <v>648</v>
      </c>
      <c r="B497" s="2" t="s">
        <v>168</v>
      </c>
      <c r="C497" s="2">
        <v>83</v>
      </c>
      <c r="D497" s="2" t="s">
        <v>135</v>
      </c>
      <c r="E497" s="2">
        <v>1056</v>
      </c>
      <c r="F497" s="2">
        <v>1</v>
      </c>
      <c r="G497" s="2">
        <v>0</v>
      </c>
      <c r="H497" s="2">
        <v>0</v>
      </c>
      <c r="I497" s="2">
        <v>0</v>
      </c>
      <c r="J497" s="2">
        <v>5</v>
      </c>
      <c r="K497" s="2">
        <v>1</v>
      </c>
      <c r="L497" s="2">
        <v>2</v>
      </c>
      <c r="M497" s="2">
        <v>2</v>
      </c>
      <c r="N497" s="2">
        <v>0</v>
      </c>
      <c r="O497" s="2">
        <v>1</v>
      </c>
      <c r="P497" s="2">
        <v>0</v>
      </c>
      <c r="Q497" s="2">
        <v>1</v>
      </c>
      <c r="R497" s="2">
        <v>1</v>
      </c>
      <c r="S497">
        <v>2</v>
      </c>
      <c r="T497">
        <v>1</v>
      </c>
      <c r="U497">
        <v>0</v>
      </c>
      <c r="V497">
        <v>1</v>
      </c>
      <c r="W497">
        <v>3</v>
      </c>
      <c r="X497">
        <v>0</v>
      </c>
      <c r="Y497">
        <v>0</v>
      </c>
      <c r="Z497">
        <v>0</v>
      </c>
      <c r="AA497">
        <v>0</v>
      </c>
      <c r="AB497">
        <v>239</v>
      </c>
      <c r="AC497" t="s">
        <v>126</v>
      </c>
    </row>
    <row r="498" spans="1:29" ht="16" customHeight="1" x14ac:dyDescent="0.2">
      <c r="A498" s="1" t="s">
        <v>649</v>
      </c>
      <c r="B498" s="2" t="s">
        <v>161</v>
      </c>
      <c r="C498" s="2">
        <v>83</v>
      </c>
      <c r="D498" s="2" t="s">
        <v>138</v>
      </c>
      <c r="E498" s="2">
        <v>639</v>
      </c>
      <c r="F498" s="2">
        <v>0</v>
      </c>
      <c r="G498" s="2">
        <v>1</v>
      </c>
      <c r="H498" s="2">
        <v>1</v>
      </c>
      <c r="I498" s="2">
        <v>-1</v>
      </c>
      <c r="J498" s="2">
        <v>3</v>
      </c>
      <c r="K498" s="2">
        <v>2</v>
      </c>
      <c r="L498" s="2">
        <v>3</v>
      </c>
      <c r="M498" s="2">
        <v>3</v>
      </c>
      <c r="N498" s="2">
        <v>1</v>
      </c>
      <c r="O498" s="2">
        <v>0</v>
      </c>
      <c r="P498" s="2">
        <v>0</v>
      </c>
      <c r="Q498" s="2">
        <v>1</v>
      </c>
      <c r="R498" s="2">
        <v>1</v>
      </c>
      <c r="S498">
        <v>3</v>
      </c>
      <c r="T498">
        <v>1</v>
      </c>
      <c r="U498">
        <v>0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0</v>
      </c>
      <c r="AB498">
        <v>157</v>
      </c>
      <c r="AC498" t="s">
        <v>126</v>
      </c>
    </row>
    <row r="499" spans="1:29" ht="16" customHeight="1" x14ac:dyDescent="0.2">
      <c r="A499" s="1" t="s">
        <v>650</v>
      </c>
      <c r="B499" s="2" t="s">
        <v>208</v>
      </c>
      <c r="C499" s="2">
        <v>83</v>
      </c>
      <c r="D499" s="2" t="s">
        <v>140</v>
      </c>
      <c r="E499" s="2">
        <v>7903</v>
      </c>
      <c r="F499" s="2">
        <v>1</v>
      </c>
      <c r="G499" s="2">
        <v>0</v>
      </c>
      <c r="H499" s="2">
        <v>0</v>
      </c>
      <c r="I499" s="2">
        <v>-1</v>
      </c>
      <c r="J499" s="2">
        <v>4</v>
      </c>
      <c r="K499" s="2">
        <v>1</v>
      </c>
      <c r="L499" s="2">
        <v>3</v>
      </c>
      <c r="M499" s="2">
        <v>1</v>
      </c>
      <c r="N499" s="2">
        <v>0</v>
      </c>
      <c r="O499" s="2">
        <v>0</v>
      </c>
      <c r="P499" s="2">
        <v>1</v>
      </c>
      <c r="Q499" s="2">
        <v>0</v>
      </c>
      <c r="R499" s="2">
        <v>1</v>
      </c>
      <c r="S499">
        <v>-1</v>
      </c>
      <c r="T499">
        <v>1</v>
      </c>
      <c r="U499">
        <v>0</v>
      </c>
      <c r="V499">
        <v>0</v>
      </c>
      <c r="W499">
        <v>2</v>
      </c>
      <c r="X499">
        <v>-1</v>
      </c>
      <c r="Y499">
        <v>0</v>
      </c>
      <c r="Z499">
        <v>1</v>
      </c>
      <c r="AA499">
        <v>0</v>
      </c>
      <c r="AB499">
        <v>59</v>
      </c>
      <c r="AC499" t="s">
        <v>126</v>
      </c>
    </row>
    <row r="500" spans="1:29" ht="16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29" ht="16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29" ht="16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29" ht="16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29" ht="16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29" ht="16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29" ht="16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29" ht="16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29" ht="16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29" ht="16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29" ht="16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29" ht="16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29" ht="16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6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6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6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6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6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6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6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6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6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6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6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6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6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6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6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6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6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6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6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6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6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6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6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6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6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6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6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6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6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6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6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6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6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6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6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6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6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6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6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6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6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6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6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6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6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6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6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6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6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6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6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6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6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6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6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6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6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6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6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6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6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6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6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6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6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6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6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6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6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6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6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6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6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6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6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6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6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6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6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6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6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6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6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6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6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6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6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6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6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6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6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6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6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6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6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6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6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6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6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6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6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6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6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6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6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6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6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6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6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6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6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6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6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6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6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6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6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6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6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6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6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6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6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6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6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6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6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6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6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6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6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6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6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6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6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6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6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6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6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6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6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6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6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6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6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6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6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6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6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6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6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6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6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6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6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6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6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6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6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6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6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6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6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6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6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6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6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6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6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6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6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6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6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6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6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6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6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6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6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6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6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6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6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6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6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6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6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6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6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6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6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6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6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6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6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6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6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6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6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6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6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6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6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6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6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6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6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6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6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6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6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6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6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6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6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6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6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6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6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6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6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6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6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6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6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6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6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6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6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6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6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6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6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6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6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6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6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6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6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6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6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6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6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6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6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6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6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6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6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6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6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6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6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6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6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6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6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6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6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6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6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6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6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6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6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6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6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6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6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6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6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6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6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6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6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6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6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6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6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6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6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6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6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6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6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6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6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6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6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6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6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6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6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6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6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6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6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6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6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6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6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6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6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6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6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6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6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6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6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6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6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6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6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6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6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6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6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6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6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6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6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6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6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6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6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6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6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6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6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6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6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6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6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6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6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6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6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6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6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6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6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6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6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6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6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6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6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6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6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6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6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6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6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6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6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6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6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6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6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6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6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6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6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6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6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6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6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6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6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6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6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6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6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6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6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6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6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6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6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6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6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6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6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6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6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6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6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6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6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6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6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6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6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6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6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6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6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6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6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6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6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6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6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6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6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6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6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6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6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6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6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6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6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6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6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6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6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6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6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6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6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6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6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6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6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6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6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6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6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6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6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6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6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6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6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6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6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6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6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6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6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6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6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6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6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6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6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6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6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6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6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6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6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6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6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6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6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6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6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6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6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6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6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6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6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6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6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6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6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6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6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6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6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6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6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6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6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6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6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6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</sheetData>
  <autoFilter ref="A1:A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customHeight="1" x14ac:dyDescent="0.2">
      <c r="A1" s="3" t="s">
        <v>651</v>
      </c>
      <c r="B1" s="20" t="s">
        <v>652</v>
      </c>
    </row>
    <row r="2" spans="1:2" ht="16" customHeight="1" x14ac:dyDescent="0.2">
      <c r="A2" s="3" t="s">
        <v>653</v>
      </c>
      <c r="B2" s="20" t="s">
        <v>654</v>
      </c>
    </row>
    <row r="3" spans="1:2" ht="16" customHeight="1" x14ac:dyDescent="0.2">
      <c r="A3" s="3" t="s">
        <v>655</v>
      </c>
      <c r="B3" s="20" t="s">
        <v>656</v>
      </c>
    </row>
    <row r="4" spans="1:2" ht="16" customHeight="1" x14ac:dyDescent="0.2">
      <c r="A4" s="3" t="s">
        <v>657</v>
      </c>
      <c r="B4" s="20" t="s">
        <v>658</v>
      </c>
    </row>
    <row r="5" spans="1:2" ht="16" customHeight="1" x14ac:dyDescent="0.2">
      <c r="A5" s="3" t="s">
        <v>659</v>
      </c>
      <c r="B5" s="20" t="s">
        <v>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6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4" width="20" customWidth="1"/>
    <col min="5" max="5" width="15" customWidth="1"/>
  </cols>
  <sheetData>
    <row r="1" spans="1:31" ht="20" customHeight="1" x14ac:dyDescent="0.2">
      <c r="A1" s="4" t="s">
        <v>661</v>
      </c>
      <c r="B1" s="4" t="s">
        <v>662</v>
      </c>
      <c r="C1" s="4" t="s">
        <v>663</v>
      </c>
      <c r="D1" s="4" t="s">
        <v>664</v>
      </c>
      <c r="E1" s="4" t="s">
        <v>651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6" customHeight="1" x14ac:dyDescent="0.2">
      <c r="A2" s="20">
        <v>20</v>
      </c>
      <c r="B2" t="s">
        <v>665</v>
      </c>
      <c r="C2" t="s">
        <v>666</v>
      </c>
      <c r="D2">
        <v>1992</v>
      </c>
      <c r="E2" t="s">
        <v>667</v>
      </c>
    </row>
    <row r="3" spans="1:31" ht="16" customHeight="1" x14ac:dyDescent="0.2">
      <c r="A3" s="20">
        <v>48</v>
      </c>
      <c r="B3" t="s">
        <v>668</v>
      </c>
      <c r="C3" t="s">
        <v>669</v>
      </c>
      <c r="D3">
        <v>1998</v>
      </c>
      <c r="E3" t="s">
        <v>670</v>
      </c>
    </row>
    <row r="4" spans="1:31" ht="16" customHeight="1" x14ac:dyDescent="0.2">
      <c r="A4" s="20">
        <v>144</v>
      </c>
      <c r="B4" t="s">
        <v>671</v>
      </c>
      <c r="C4" t="s">
        <v>672</v>
      </c>
      <c r="D4">
        <v>1994</v>
      </c>
      <c r="E4" t="s">
        <v>673</v>
      </c>
    </row>
    <row r="5" spans="1:31" ht="16" customHeight="1" x14ac:dyDescent="0.2">
      <c r="A5" s="20">
        <v>191</v>
      </c>
      <c r="B5" t="s">
        <v>674</v>
      </c>
      <c r="C5" t="s">
        <v>675</v>
      </c>
      <c r="D5">
        <v>1992</v>
      </c>
      <c r="E5" t="s">
        <v>676</v>
      </c>
    </row>
    <row r="6" spans="1:31" ht="16" customHeight="1" x14ac:dyDescent="0.2">
      <c r="A6" s="20">
        <v>271</v>
      </c>
      <c r="B6" t="s">
        <v>677</v>
      </c>
      <c r="C6" t="s">
        <v>678</v>
      </c>
      <c r="D6">
        <v>1999</v>
      </c>
      <c r="E6" t="s">
        <v>679</v>
      </c>
    </row>
    <row r="7" spans="1:31" ht="16" customHeight="1" x14ac:dyDescent="0.2">
      <c r="A7" s="20">
        <v>325</v>
      </c>
      <c r="B7" t="s">
        <v>680</v>
      </c>
      <c r="C7" t="s">
        <v>681</v>
      </c>
      <c r="D7">
        <v>1998</v>
      </c>
      <c r="E7" t="s">
        <v>682</v>
      </c>
    </row>
    <row r="8" spans="1:31" ht="16" customHeight="1" x14ac:dyDescent="0.2">
      <c r="A8" s="20">
        <v>340</v>
      </c>
      <c r="B8" t="s">
        <v>683</v>
      </c>
      <c r="C8" t="s">
        <v>684</v>
      </c>
      <c r="D8">
        <v>2000</v>
      </c>
      <c r="E8" t="s">
        <v>685</v>
      </c>
    </row>
    <row r="9" spans="1:31" ht="16" customHeight="1" x14ac:dyDescent="0.2">
      <c r="A9" s="20">
        <v>353</v>
      </c>
      <c r="B9" t="s">
        <v>686</v>
      </c>
      <c r="C9" t="s">
        <v>687</v>
      </c>
      <c r="D9">
        <v>2000</v>
      </c>
      <c r="E9" t="s">
        <v>688</v>
      </c>
    </row>
    <row r="10" spans="1:31" ht="16" customHeight="1" x14ac:dyDescent="0.2">
      <c r="A10" s="20">
        <v>378</v>
      </c>
      <c r="B10" t="s">
        <v>689</v>
      </c>
      <c r="C10" t="s">
        <v>690</v>
      </c>
      <c r="D10">
        <v>2000</v>
      </c>
      <c r="E10" t="s">
        <v>691</v>
      </c>
    </row>
    <row r="11" spans="1:31" ht="16" customHeight="1" x14ac:dyDescent="0.2">
      <c r="A11" s="20">
        <v>424</v>
      </c>
      <c r="B11" t="s">
        <v>692</v>
      </c>
      <c r="C11" t="s">
        <v>693</v>
      </c>
      <c r="D11">
        <v>2000</v>
      </c>
      <c r="E11" t="s">
        <v>694</v>
      </c>
    </row>
    <row r="12" spans="1:31" ht="16" customHeight="1" x14ac:dyDescent="0.2">
      <c r="A12" s="20">
        <v>432</v>
      </c>
      <c r="B12" t="s">
        <v>695</v>
      </c>
      <c r="C12" t="s">
        <v>696</v>
      </c>
      <c r="D12">
        <v>1994</v>
      </c>
      <c r="E12" t="s">
        <v>697</v>
      </c>
    </row>
    <row r="13" spans="1:31" ht="16" customHeight="1" x14ac:dyDescent="0.2">
      <c r="A13" s="20">
        <v>564</v>
      </c>
      <c r="B13" t="s">
        <v>698</v>
      </c>
      <c r="C13" t="s">
        <v>699</v>
      </c>
      <c r="D13">
        <v>2001</v>
      </c>
      <c r="E13" t="s">
        <v>700</v>
      </c>
    </row>
    <row r="14" spans="1:31" ht="16" customHeight="1" x14ac:dyDescent="0.2">
      <c r="A14" s="20">
        <v>578</v>
      </c>
      <c r="B14" t="s">
        <v>701</v>
      </c>
      <c r="C14" t="s">
        <v>702</v>
      </c>
      <c r="D14">
        <v>2001</v>
      </c>
      <c r="E14" t="s">
        <v>703</v>
      </c>
    </row>
    <row r="15" spans="1:31" ht="16" customHeight="1" x14ac:dyDescent="0.2">
      <c r="A15" s="20">
        <v>639</v>
      </c>
      <c r="B15" t="s">
        <v>704</v>
      </c>
      <c r="C15" t="s">
        <v>705</v>
      </c>
      <c r="D15">
        <v>2001</v>
      </c>
      <c r="E15" t="s">
        <v>706</v>
      </c>
    </row>
    <row r="16" spans="1:31" ht="16" customHeight="1" x14ac:dyDescent="0.2">
      <c r="A16" s="20">
        <v>694</v>
      </c>
      <c r="B16" t="s">
        <v>707</v>
      </c>
      <c r="C16" t="s">
        <v>708</v>
      </c>
      <c r="D16">
        <v>2001</v>
      </c>
      <c r="E16" t="s">
        <v>709</v>
      </c>
    </row>
    <row r="17" spans="1:5" ht="16" customHeight="1" x14ac:dyDescent="0.2">
      <c r="A17" s="20">
        <v>810</v>
      </c>
      <c r="B17" t="s">
        <v>710</v>
      </c>
      <c r="C17" t="s">
        <v>711</v>
      </c>
      <c r="D17">
        <v>2002</v>
      </c>
      <c r="E17" t="s">
        <v>712</v>
      </c>
    </row>
    <row r="18" spans="1:5" ht="16" customHeight="1" x14ac:dyDescent="0.2">
      <c r="A18" s="20">
        <v>1056</v>
      </c>
      <c r="B18" t="s">
        <v>713</v>
      </c>
      <c r="C18" t="s">
        <v>714</v>
      </c>
      <c r="D18">
        <v>2003</v>
      </c>
      <c r="E18" t="s">
        <v>715</v>
      </c>
    </row>
    <row r="19" spans="1:5" ht="16" customHeight="1" x14ac:dyDescent="0.2">
      <c r="A19" s="20">
        <v>1126</v>
      </c>
      <c r="B19" t="s">
        <v>716</v>
      </c>
      <c r="C19" t="s">
        <v>717</v>
      </c>
      <c r="D19">
        <v>2003</v>
      </c>
      <c r="E19" t="s">
        <v>718</v>
      </c>
    </row>
    <row r="20" spans="1:5" ht="16" customHeight="1" x14ac:dyDescent="0.2">
      <c r="A20" s="20">
        <v>1405</v>
      </c>
      <c r="B20" t="s">
        <v>719</v>
      </c>
      <c r="C20" t="s">
        <v>720</v>
      </c>
      <c r="D20">
        <v>2004</v>
      </c>
      <c r="E20" t="s">
        <v>721</v>
      </c>
    </row>
    <row r="21" spans="1:5" ht="16" customHeight="1" x14ac:dyDescent="0.2">
      <c r="A21" s="20">
        <v>1450</v>
      </c>
      <c r="B21" t="s">
        <v>722</v>
      </c>
      <c r="C21" t="s">
        <v>723</v>
      </c>
      <c r="D21">
        <v>2004</v>
      </c>
      <c r="E21" t="s">
        <v>724</v>
      </c>
    </row>
    <row r="22" spans="1:5" ht="16" customHeight="1" x14ac:dyDescent="0.2">
      <c r="A22" s="20">
        <v>1468</v>
      </c>
      <c r="B22" t="s">
        <v>725</v>
      </c>
      <c r="C22" t="s">
        <v>726</v>
      </c>
      <c r="D22">
        <v>2004</v>
      </c>
      <c r="E22" t="s">
        <v>727</v>
      </c>
    </row>
    <row r="23" spans="1:5" ht="16" customHeight="1" x14ac:dyDescent="0.2">
      <c r="A23" s="20">
        <v>1507</v>
      </c>
      <c r="B23" t="s">
        <v>728</v>
      </c>
      <c r="C23" t="s">
        <v>729</v>
      </c>
      <c r="D23">
        <v>2005</v>
      </c>
      <c r="E23" t="s">
        <v>730</v>
      </c>
    </row>
    <row r="24" spans="1:5" ht="16" customHeight="1" x14ac:dyDescent="0.2">
      <c r="A24" s="20">
        <v>1511</v>
      </c>
      <c r="B24" t="s">
        <v>731</v>
      </c>
      <c r="C24" t="s">
        <v>732</v>
      </c>
      <c r="D24">
        <v>2005</v>
      </c>
      <c r="E24" t="s">
        <v>733</v>
      </c>
    </row>
    <row r="25" spans="1:5" ht="16" customHeight="1" x14ac:dyDescent="0.2">
      <c r="A25" s="20">
        <v>1518</v>
      </c>
      <c r="B25" t="s">
        <v>734</v>
      </c>
      <c r="C25" t="s">
        <v>735</v>
      </c>
      <c r="D25">
        <v>2005</v>
      </c>
      <c r="E25" t="s">
        <v>736</v>
      </c>
    </row>
    <row r="26" spans="1:5" ht="16" customHeight="1" x14ac:dyDescent="0.2">
      <c r="A26" s="20">
        <v>1559</v>
      </c>
      <c r="B26" t="s">
        <v>737</v>
      </c>
      <c r="C26" t="s">
        <v>738</v>
      </c>
      <c r="D26">
        <v>2005</v>
      </c>
      <c r="E26" t="s">
        <v>739</v>
      </c>
    </row>
    <row r="27" spans="1:5" ht="16" customHeight="1" x14ac:dyDescent="0.2">
      <c r="A27" s="20">
        <v>1585</v>
      </c>
      <c r="B27" t="s">
        <v>740</v>
      </c>
      <c r="C27" t="s">
        <v>741</v>
      </c>
      <c r="D27">
        <v>2005</v>
      </c>
      <c r="E27" t="s">
        <v>742</v>
      </c>
    </row>
    <row r="28" spans="1:5" ht="16" customHeight="1" x14ac:dyDescent="0.2">
      <c r="A28" s="20">
        <v>1591</v>
      </c>
      <c r="B28" t="s">
        <v>743</v>
      </c>
      <c r="C28" t="s">
        <v>744</v>
      </c>
      <c r="D28">
        <v>2005</v>
      </c>
      <c r="E28" t="s">
        <v>745</v>
      </c>
    </row>
    <row r="29" spans="1:5" ht="16" customHeight="1" x14ac:dyDescent="0.2">
      <c r="A29" s="20">
        <v>1781</v>
      </c>
      <c r="B29" t="s">
        <v>746</v>
      </c>
      <c r="C29" t="s">
        <v>747</v>
      </c>
      <c r="D29">
        <v>2006</v>
      </c>
      <c r="E29" t="s">
        <v>748</v>
      </c>
    </row>
    <row r="30" spans="1:5" ht="16" customHeight="1" x14ac:dyDescent="0.2">
      <c r="A30" s="20">
        <v>1787</v>
      </c>
      <c r="B30" t="s">
        <v>749</v>
      </c>
      <c r="C30" t="s">
        <v>750</v>
      </c>
      <c r="D30">
        <v>2006</v>
      </c>
      <c r="E30" t="s">
        <v>751</v>
      </c>
    </row>
    <row r="31" spans="1:5" ht="16" customHeight="1" x14ac:dyDescent="0.2">
      <c r="A31" s="20">
        <v>2228</v>
      </c>
      <c r="B31" t="s">
        <v>752</v>
      </c>
      <c r="C31" t="s">
        <v>753</v>
      </c>
      <c r="D31">
        <v>2007</v>
      </c>
      <c r="E31" t="s">
        <v>754</v>
      </c>
    </row>
    <row r="32" spans="1:5" ht="16" customHeight="1" x14ac:dyDescent="0.2">
      <c r="A32" s="20">
        <v>2340</v>
      </c>
      <c r="B32" t="s">
        <v>755</v>
      </c>
      <c r="C32" t="s">
        <v>756</v>
      </c>
      <c r="D32">
        <v>2008</v>
      </c>
      <c r="E32" t="s">
        <v>757</v>
      </c>
    </row>
    <row r="33" spans="1:5" ht="16" x14ac:dyDescent="0.2">
      <c r="A33" s="20">
        <v>3003</v>
      </c>
      <c r="B33" t="s">
        <v>758</v>
      </c>
      <c r="C33" t="s">
        <v>759</v>
      </c>
      <c r="D33">
        <v>2009</v>
      </c>
      <c r="E33" t="s">
        <v>760</v>
      </c>
    </row>
    <row r="34" spans="1:5" ht="16" x14ac:dyDescent="0.2">
      <c r="A34" s="20">
        <v>3015</v>
      </c>
      <c r="B34" t="s">
        <v>761</v>
      </c>
      <c r="C34" t="s">
        <v>762</v>
      </c>
      <c r="D34">
        <v>2009</v>
      </c>
      <c r="E34" t="s">
        <v>763</v>
      </c>
    </row>
    <row r="35" spans="1:5" ht="16" x14ac:dyDescent="0.2">
      <c r="A35" s="20">
        <v>3044</v>
      </c>
      <c r="B35" t="s">
        <v>764</v>
      </c>
      <c r="C35" t="s">
        <v>765</v>
      </c>
      <c r="D35">
        <v>2009</v>
      </c>
      <c r="E35" t="s">
        <v>766</v>
      </c>
    </row>
    <row r="36" spans="1:5" ht="16" x14ac:dyDescent="0.2">
      <c r="A36" s="20">
        <v>3173</v>
      </c>
      <c r="B36" t="s">
        <v>767</v>
      </c>
      <c r="C36" t="s">
        <v>768</v>
      </c>
      <c r="D36">
        <v>2010</v>
      </c>
      <c r="E36" t="s">
        <v>769</v>
      </c>
    </row>
    <row r="37" spans="1:5" ht="16" x14ac:dyDescent="0.2">
      <c r="A37" s="20">
        <v>3181</v>
      </c>
      <c r="B37" t="s">
        <v>770</v>
      </c>
      <c r="C37" t="s">
        <v>771</v>
      </c>
      <c r="D37">
        <v>2010</v>
      </c>
      <c r="E37" t="s">
        <v>772</v>
      </c>
    </row>
    <row r="38" spans="1:5" ht="16" x14ac:dyDescent="0.2">
      <c r="A38" s="20">
        <v>3799</v>
      </c>
      <c r="B38" t="s">
        <v>773</v>
      </c>
      <c r="C38" t="s">
        <v>774</v>
      </c>
      <c r="D38">
        <v>2011</v>
      </c>
      <c r="E38" t="s">
        <v>775</v>
      </c>
    </row>
    <row r="39" spans="1:5" ht="16" x14ac:dyDescent="0.2">
      <c r="A39" s="20">
        <v>3838</v>
      </c>
      <c r="B39" t="s">
        <v>776</v>
      </c>
      <c r="C39" t="s">
        <v>777</v>
      </c>
      <c r="D39">
        <v>2011</v>
      </c>
      <c r="E39" t="s">
        <v>778</v>
      </c>
    </row>
    <row r="40" spans="1:5" ht="16" x14ac:dyDescent="0.2">
      <c r="A40" s="20">
        <v>3951</v>
      </c>
      <c r="B40" t="s">
        <v>779</v>
      </c>
      <c r="C40" t="s">
        <v>690</v>
      </c>
      <c r="D40">
        <v>2012</v>
      </c>
      <c r="E40" t="s">
        <v>780</v>
      </c>
    </row>
    <row r="41" spans="1:5" ht="16" x14ac:dyDescent="0.2">
      <c r="A41" s="20">
        <v>4093</v>
      </c>
      <c r="B41" t="s">
        <v>781</v>
      </c>
      <c r="C41" t="s">
        <v>690</v>
      </c>
      <c r="D41">
        <v>2012</v>
      </c>
      <c r="E41" t="s">
        <v>782</v>
      </c>
    </row>
    <row r="42" spans="1:5" ht="16" x14ac:dyDescent="0.2">
      <c r="A42" s="20">
        <v>4253</v>
      </c>
      <c r="B42" t="s">
        <v>783</v>
      </c>
      <c r="C42" t="s">
        <v>784</v>
      </c>
      <c r="D42">
        <v>2012</v>
      </c>
      <c r="E42" t="s">
        <v>785</v>
      </c>
    </row>
    <row r="43" spans="1:5" ht="16" x14ac:dyDescent="0.2">
      <c r="A43" s="20">
        <v>4458</v>
      </c>
      <c r="B43" t="s">
        <v>786</v>
      </c>
      <c r="C43" t="s">
        <v>787</v>
      </c>
      <c r="D43">
        <v>2013</v>
      </c>
      <c r="E43" t="s">
        <v>788</v>
      </c>
    </row>
    <row r="44" spans="1:5" ht="16" x14ac:dyDescent="0.2">
      <c r="A44" s="20">
        <v>4930</v>
      </c>
      <c r="B44" t="s">
        <v>789</v>
      </c>
      <c r="C44" t="s">
        <v>790</v>
      </c>
      <c r="D44">
        <v>2014</v>
      </c>
      <c r="E44" t="s">
        <v>791</v>
      </c>
    </row>
    <row r="45" spans="1:5" ht="16" x14ac:dyDescent="0.2">
      <c r="A45" s="20">
        <v>5528</v>
      </c>
      <c r="B45" t="s">
        <v>792</v>
      </c>
      <c r="C45" t="s">
        <v>793</v>
      </c>
      <c r="D45">
        <v>2015</v>
      </c>
      <c r="E45" t="s">
        <v>794</v>
      </c>
    </row>
    <row r="46" spans="1:5" ht="16" x14ac:dyDescent="0.2">
      <c r="A46" s="20">
        <v>5590</v>
      </c>
      <c r="B46" t="s">
        <v>795</v>
      </c>
      <c r="C46" t="s">
        <v>796</v>
      </c>
      <c r="D46">
        <v>2015</v>
      </c>
      <c r="E46" t="s">
        <v>797</v>
      </c>
    </row>
    <row r="47" spans="1:5" ht="16" x14ac:dyDescent="0.2">
      <c r="A47" s="20">
        <v>6423</v>
      </c>
      <c r="B47" t="s">
        <v>798</v>
      </c>
      <c r="C47" t="s">
        <v>799</v>
      </c>
      <c r="D47">
        <v>2017</v>
      </c>
      <c r="E47" t="s">
        <v>800</v>
      </c>
    </row>
    <row r="48" spans="1:5" ht="16" x14ac:dyDescent="0.2">
      <c r="A48" s="20">
        <v>6868</v>
      </c>
      <c r="B48" t="s">
        <v>801</v>
      </c>
      <c r="C48" t="s">
        <v>802</v>
      </c>
      <c r="D48">
        <v>2018</v>
      </c>
      <c r="E48" t="s">
        <v>803</v>
      </c>
    </row>
    <row r="49" spans="1:5" ht="16" x14ac:dyDescent="0.2">
      <c r="A49" s="20">
        <v>6947</v>
      </c>
      <c r="B49" t="s">
        <v>804</v>
      </c>
      <c r="C49" t="s">
        <v>805</v>
      </c>
      <c r="D49">
        <v>2018</v>
      </c>
      <c r="E49" t="s">
        <v>806</v>
      </c>
    </row>
    <row r="50" spans="1:5" ht="16" x14ac:dyDescent="0.2">
      <c r="A50" s="20">
        <v>7030</v>
      </c>
      <c r="B50" t="s">
        <v>807</v>
      </c>
      <c r="C50" t="s">
        <v>808</v>
      </c>
      <c r="D50">
        <v>2018</v>
      </c>
      <c r="E50" t="s">
        <v>809</v>
      </c>
    </row>
    <row r="51" spans="1:5" ht="16" x14ac:dyDescent="0.2">
      <c r="A51" s="20">
        <v>7903</v>
      </c>
      <c r="B51" t="s">
        <v>810</v>
      </c>
      <c r="C51" t="s">
        <v>811</v>
      </c>
      <c r="D51">
        <v>2019</v>
      </c>
      <c r="E51" t="s">
        <v>812</v>
      </c>
    </row>
    <row r="52" spans="1:5" ht="16" x14ac:dyDescent="0.2">
      <c r="A52" s="20">
        <v>8503</v>
      </c>
      <c r="B52" t="s">
        <v>813</v>
      </c>
      <c r="C52" t="s">
        <v>784</v>
      </c>
      <c r="D52">
        <v>2021</v>
      </c>
      <c r="E52" t="s">
        <v>814</v>
      </c>
    </row>
    <row r="53" spans="1:5" ht="16" x14ac:dyDescent="0.2">
      <c r="A53" s="20">
        <v>9016</v>
      </c>
      <c r="B53" t="s">
        <v>815</v>
      </c>
      <c r="C53" t="s">
        <v>816</v>
      </c>
      <c r="D53">
        <v>2023</v>
      </c>
      <c r="E53" t="s">
        <v>817</v>
      </c>
    </row>
    <row r="54" spans="1:5" ht="16" x14ac:dyDescent="0.2">
      <c r="A54" s="20">
        <v>9767</v>
      </c>
      <c r="B54" t="s">
        <v>818</v>
      </c>
      <c r="C54" t="s">
        <v>819</v>
      </c>
      <c r="D54">
        <v>2024</v>
      </c>
      <c r="E54" t="s">
        <v>820</v>
      </c>
    </row>
    <row r="55" spans="1:5" ht="16" x14ac:dyDescent="0.2">
      <c r="A55" s="20">
        <v>10223</v>
      </c>
      <c r="B55" t="s">
        <v>821</v>
      </c>
      <c r="C55" t="s">
        <v>822</v>
      </c>
      <c r="D55">
        <v>2025</v>
      </c>
      <c r="E55" t="s">
        <v>823</v>
      </c>
    </row>
    <row r="56" spans="1:5" ht="16" x14ac:dyDescent="0.2">
      <c r="A56" s="20">
        <v>10922</v>
      </c>
      <c r="B56" t="s">
        <v>824</v>
      </c>
      <c r="C56" t="s">
        <v>825</v>
      </c>
      <c r="D56">
        <v>2026</v>
      </c>
      <c r="E56" t="s">
        <v>826</v>
      </c>
    </row>
  </sheetData>
  <autoFilter ref="A1:E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4"/>
  <sheetViews>
    <sheetView zoomScale="150" zoomScaleNormal="150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  <col min="10" max="10" width="35.83203125" customWidth="1"/>
  </cols>
  <sheetData>
    <row r="1" spans="1:10" ht="20" customHeight="1" x14ac:dyDescent="0.2">
      <c r="A1" s="21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3" t="s">
        <v>6</v>
      </c>
      <c r="H1" s="23" t="s">
        <v>7</v>
      </c>
    </row>
    <row r="2" spans="1:10" ht="16" x14ac:dyDescent="0.2">
      <c r="A2" s="24">
        <v>1</v>
      </c>
      <c r="B2" s="24" t="s">
        <v>8</v>
      </c>
      <c r="C2" s="24">
        <v>5528</v>
      </c>
      <c r="D2" s="24">
        <v>1405</v>
      </c>
      <c r="E2" s="24">
        <v>7030</v>
      </c>
      <c r="F2" s="24">
        <v>810</v>
      </c>
      <c r="G2" s="24">
        <v>564</v>
      </c>
      <c r="H2" s="24">
        <v>10922</v>
      </c>
      <c r="J2" t="s">
        <v>9</v>
      </c>
    </row>
    <row r="3" spans="1:10" ht="16" x14ac:dyDescent="0.2">
      <c r="A3" s="24">
        <v>2</v>
      </c>
      <c r="B3" s="24" t="s">
        <v>10</v>
      </c>
      <c r="C3" s="24">
        <v>1591</v>
      </c>
      <c r="D3" s="24">
        <v>432</v>
      </c>
      <c r="E3" s="24">
        <v>1468</v>
      </c>
      <c r="F3" s="24">
        <v>1559</v>
      </c>
      <c r="G3" s="24">
        <v>4253</v>
      </c>
      <c r="H3" s="24">
        <v>271</v>
      </c>
      <c r="J3" s="25" t="s">
        <v>11</v>
      </c>
    </row>
    <row r="4" spans="1:10" ht="16" x14ac:dyDescent="0.2">
      <c r="A4" s="24">
        <v>3</v>
      </c>
      <c r="B4" s="24" t="s">
        <v>12</v>
      </c>
      <c r="C4" s="24">
        <v>10223</v>
      </c>
      <c r="D4" s="24">
        <v>191</v>
      </c>
      <c r="E4" s="24">
        <v>578</v>
      </c>
      <c r="F4" s="24">
        <v>3173</v>
      </c>
      <c r="G4" s="24">
        <v>7903</v>
      </c>
      <c r="H4" s="24">
        <v>3015</v>
      </c>
      <c r="J4" s="26" t="s">
        <v>13</v>
      </c>
    </row>
    <row r="5" spans="1:10" ht="16" x14ac:dyDescent="0.2">
      <c r="A5" s="24">
        <v>4</v>
      </c>
      <c r="B5" s="24" t="s">
        <v>14</v>
      </c>
      <c r="C5" s="24">
        <v>1511</v>
      </c>
      <c r="D5" s="24">
        <v>3951</v>
      </c>
      <c r="E5" s="24">
        <v>4458</v>
      </c>
      <c r="F5" s="24">
        <v>1518</v>
      </c>
      <c r="G5" s="24">
        <v>3799</v>
      </c>
      <c r="H5" s="24">
        <v>378</v>
      </c>
      <c r="J5" s="27" t="s">
        <v>15</v>
      </c>
    </row>
    <row r="6" spans="1:10" ht="16" x14ac:dyDescent="0.2">
      <c r="A6" s="24">
        <v>5</v>
      </c>
      <c r="B6" s="24" t="s">
        <v>16</v>
      </c>
      <c r="C6" s="24">
        <v>5590</v>
      </c>
      <c r="D6" s="24">
        <v>6423</v>
      </c>
      <c r="E6" s="24">
        <v>325</v>
      </c>
      <c r="F6" s="24">
        <v>3181</v>
      </c>
      <c r="G6" s="24">
        <v>1126</v>
      </c>
      <c r="H6" s="24">
        <v>20</v>
      </c>
    </row>
    <row r="7" spans="1:10" ht="16" x14ac:dyDescent="0.2">
      <c r="A7" s="24">
        <v>6</v>
      </c>
      <c r="B7" s="24" t="s">
        <v>17</v>
      </c>
      <c r="C7" s="24">
        <v>1507</v>
      </c>
      <c r="D7" s="24">
        <v>144</v>
      </c>
      <c r="E7" s="24">
        <v>424</v>
      </c>
      <c r="F7" s="24">
        <v>3003</v>
      </c>
      <c r="G7" s="24">
        <v>4093</v>
      </c>
      <c r="H7" s="24">
        <v>9767</v>
      </c>
    </row>
    <row r="8" spans="1:10" ht="16" customHeight="1" x14ac:dyDescent="0.2">
      <c r="A8" s="24">
        <v>7</v>
      </c>
      <c r="B8" s="24" t="s">
        <v>18</v>
      </c>
      <c r="C8" s="24">
        <v>4930</v>
      </c>
      <c r="D8" s="24">
        <v>1056</v>
      </c>
      <c r="E8" s="24">
        <v>3044</v>
      </c>
      <c r="F8" s="24">
        <v>1781</v>
      </c>
      <c r="G8" s="24">
        <v>1450</v>
      </c>
      <c r="H8" s="24">
        <v>8503</v>
      </c>
      <c r="J8" s="19"/>
    </row>
    <row r="9" spans="1:10" ht="16" x14ac:dyDescent="0.2">
      <c r="A9" s="24">
        <v>8</v>
      </c>
      <c r="B9" s="24" t="s">
        <v>19</v>
      </c>
      <c r="C9" s="24">
        <v>9016</v>
      </c>
      <c r="D9" s="24">
        <v>6947</v>
      </c>
      <c r="E9" s="24">
        <v>6868</v>
      </c>
      <c r="F9" s="24">
        <v>340</v>
      </c>
      <c r="G9" s="24">
        <v>1787</v>
      </c>
      <c r="H9" s="24">
        <v>3838</v>
      </c>
    </row>
    <row r="10" spans="1:10" ht="16" x14ac:dyDescent="0.2">
      <c r="A10" s="24">
        <v>9</v>
      </c>
      <c r="B10" s="24" t="s">
        <v>20</v>
      </c>
      <c r="C10" s="24">
        <v>2340</v>
      </c>
      <c r="D10" s="24">
        <v>639</v>
      </c>
      <c r="E10" s="24">
        <v>2228</v>
      </c>
      <c r="F10" s="24">
        <v>1585</v>
      </c>
      <c r="G10" s="24">
        <v>353</v>
      </c>
      <c r="H10" s="24">
        <v>694</v>
      </c>
    </row>
    <row r="11" spans="1:10" ht="16" x14ac:dyDescent="0.2">
      <c r="A11" s="24">
        <v>10</v>
      </c>
      <c r="B11" s="24" t="s">
        <v>21</v>
      </c>
      <c r="C11" s="24">
        <v>48</v>
      </c>
      <c r="D11" s="24">
        <v>7030</v>
      </c>
      <c r="E11" s="24">
        <v>7903</v>
      </c>
      <c r="F11" s="24">
        <v>271</v>
      </c>
      <c r="G11" s="24">
        <v>1405</v>
      </c>
      <c r="H11" s="24">
        <v>4458</v>
      </c>
    </row>
    <row r="12" spans="1:10" ht="16" x14ac:dyDescent="0.2">
      <c r="A12" s="24">
        <v>11</v>
      </c>
      <c r="B12" s="24" t="s">
        <v>22</v>
      </c>
      <c r="C12" s="24">
        <v>3173</v>
      </c>
      <c r="D12" s="24">
        <v>578</v>
      </c>
      <c r="E12" s="24">
        <v>432</v>
      </c>
      <c r="F12" s="24">
        <v>20</v>
      </c>
      <c r="G12" s="24">
        <v>10922</v>
      </c>
      <c r="H12" s="24">
        <v>1468</v>
      </c>
    </row>
    <row r="13" spans="1:10" ht="16" x14ac:dyDescent="0.2">
      <c r="A13" s="24">
        <v>12</v>
      </c>
      <c r="B13" s="24" t="s">
        <v>23</v>
      </c>
      <c r="C13" s="24">
        <v>9767</v>
      </c>
      <c r="D13" s="24">
        <v>6423</v>
      </c>
      <c r="E13" s="24">
        <v>1126</v>
      </c>
      <c r="F13" s="24">
        <v>564</v>
      </c>
      <c r="G13" s="24">
        <v>4093</v>
      </c>
      <c r="H13" s="24">
        <v>1518</v>
      </c>
    </row>
    <row r="14" spans="1:10" ht="16" x14ac:dyDescent="0.2">
      <c r="A14" s="24">
        <v>13</v>
      </c>
      <c r="B14" s="24" t="s">
        <v>24</v>
      </c>
      <c r="C14" s="24">
        <v>3799</v>
      </c>
      <c r="D14" s="24">
        <v>3003</v>
      </c>
      <c r="E14" s="24">
        <v>4253</v>
      </c>
      <c r="F14" s="24">
        <v>1056</v>
      </c>
      <c r="G14" s="24">
        <v>10223</v>
      </c>
      <c r="H14" s="24">
        <v>3181</v>
      </c>
    </row>
    <row r="15" spans="1:10" ht="16" x14ac:dyDescent="0.2">
      <c r="A15" s="24">
        <v>14</v>
      </c>
      <c r="B15" s="24" t="s">
        <v>25</v>
      </c>
      <c r="C15" s="24">
        <v>3838</v>
      </c>
      <c r="D15" s="24">
        <v>3951</v>
      </c>
      <c r="E15" s="24">
        <v>8503</v>
      </c>
      <c r="F15" s="24">
        <v>810</v>
      </c>
      <c r="G15" s="24">
        <v>144</v>
      </c>
      <c r="H15" s="24">
        <v>5590</v>
      </c>
    </row>
    <row r="16" spans="1:10" ht="16" x14ac:dyDescent="0.2">
      <c r="A16" s="24">
        <v>15</v>
      </c>
      <c r="B16" s="24" t="s">
        <v>26</v>
      </c>
      <c r="C16" s="24">
        <v>1450</v>
      </c>
      <c r="D16" s="24">
        <v>3015</v>
      </c>
      <c r="E16" s="24">
        <v>9016</v>
      </c>
      <c r="F16" s="24">
        <v>639</v>
      </c>
      <c r="G16" s="24">
        <v>5528</v>
      </c>
      <c r="H16" s="24">
        <v>1591</v>
      </c>
    </row>
    <row r="17" spans="1:8" ht="16" x14ac:dyDescent="0.2">
      <c r="A17" s="24">
        <v>16</v>
      </c>
      <c r="B17" s="24" t="s">
        <v>27</v>
      </c>
      <c r="C17" s="24">
        <v>378</v>
      </c>
      <c r="D17" s="24">
        <v>1585</v>
      </c>
      <c r="E17" s="24">
        <v>6947</v>
      </c>
      <c r="F17" s="24">
        <v>353</v>
      </c>
      <c r="G17" s="24">
        <v>4930</v>
      </c>
      <c r="H17" s="24">
        <v>48</v>
      </c>
    </row>
    <row r="18" spans="1:8" ht="16" x14ac:dyDescent="0.2">
      <c r="A18" s="24">
        <v>17</v>
      </c>
      <c r="B18" s="24" t="s">
        <v>28</v>
      </c>
      <c r="C18" s="24">
        <v>424</v>
      </c>
      <c r="D18" s="24">
        <v>2228</v>
      </c>
      <c r="E18" s="24">
        <v>1787</v>
      </c>
      <c r="F18" s="24">
        <v>1781</v>
      </c>
      <c r="G18" s="24">
        <v>1507</v>
      </c>
      <c r="H18" s="24">
        <v>2340</v>
      </c>
    </row>
    <row r="19" spans="1:8" ht="16" x14ac:dyDescent="0.2">
      <c r="A19" s="24">
        <v>18</v>
      </c>
      <c r="B19" s="24" t="s">
        <v>29</v>
      </c>
      <c r="C19" s="24">
        <v>325</v>
      </c>
      <c r="D19" s="24">
        <v>694</v>
      </c>
      <c r="E19" s="24">
        <v>1559</v>
      </c>
      <c r="F19" s="24">
        <v>191</v>
      </c>
      <c r="G19" s="24">
        <v>340</v>
      </c>
      <c r="H19" s="24">
        <v>3044</v>
      </c>
    </row>
    <row r="20" spans="1:8" ht="16" x14ac:dyDescent="0.2">
      <c r="A20" s="24">
        <v>19</v>
      </c>
      <c r="B20" s="24" t="s">
        <v>30</v>
      </c>
      <c r="C20" s="24">
        <v>4253</v>
      </c>
      <c r="D20" s="24">
        <v>3173</v>
      </c>
      <c r="E20" s="24">
        <v>6868</v>
      </c>
      <c r="F20" s="24">
        <v>1511</v>
      </c>
      <c r="G20" s="24">
        <v>1126</v>
      </c>
      <c r="H20" s="24">
        <v>1405</v>
      </c>
    </row>
    <row r="21" spans="1:8" ht="16" x14ac:dyDescent="0.2">
      <c r="A21" s="24">
        <v>20</v>
      </c>
      <c r="B21" s="24" t="s">
        <v>31</v>
      </c>
      <c r="C21" s="24">
        <v>7903</v>
      </c>
      <c r="D21" s="24">
        <v>3003</v>
      </c>
      <c r="E21" s="24">
        <v>3181</v>
      </c>
      <c r="F21" s="24">
        <v>9767</v>
      </c>
      <c r="G21" s="24">
        <v>10922</v>
      </c>
      <c r="H21" s="24">
        <v>3838</v>
      </c>
    </row>
    <row r="22" spans="1:8" ht="16" x14ac:dyDescent="0.2">
      <c r="A22" s="24">
        <v>21</v>
      </c>
      <c r="B22" s="24" t="s">
        <v>32</v>
      </c>
      <c r="C22" s="24">
        <v>9016</v>
      </c>
      <c r="D22" s="24">
        <v>144</v>
      </c>
      <c r="E22" s="24">
        <v>3799</v>
      </c>
      <c r="F22" s="24">
        <v>7030</v>
      </c>
      <c r="G22" s="24">
        <v>20</v>
      </c>
      <c r="H22" s="24">
        <v>3015</v>
      </c>
    </row>
    <row r="23" spans="1:8" ht="16" x14ac:dyDescent="0.2">
      <c r="A23" s="24">
        <v>22</v>
      </c>
      <c r="B23" s="24" t="s">
        <v>33</v>
      </c>
      <c r="C23" s="24">
        <v>1585</v>
      </c>
      <c r="D23" s="24">
        <v>432</v>
      </c>
      <c r="E23" s="24">
        <v>564</v>
      </c>
      <c r="F23" s="24">
        <v>3951</v>
      </c>
      <c r="G23" s="24">
        <v>1450</v>
      </c>
      <c r="H23" s="24">
        <v>6947</v>
      </c>
    </row>
    <row r="24" spans="1:8" ht="16" x14ac:dyDescent="0.2">
      <c r="A24" s="24">
        <v>23</v>
      </c>
      <c r="B24" s="24" t="s">
        <v>34</v>
      </c>
      <c r="C24" s="24">
        <v>4093</v>
      </c>
      <c r="D24" s="24">
        <v>2228</v>
      </c>
      <c r="E24" s="24">
        <v>578</v>
      </c>
      <c r="F24" s="24">
        <v>1787</v>
      </c>
      <c r="G24" s="24">
        <v>378</v>
      </c>
      <c r="H24" s="24">
        <v>1056</v>
      </c>
    </row>
    <row r="25" spans="1:8" ht="16" x14ac:dyDescent="0.2">
      <c r="A25" s="24">
        <v>24</v>
      </c>
      <c r="B25" s="24" t="s">
        <v>35</v>
      </c>
      <c r="C25" s="24">
        <v>48</v>
      </c>
      <c r="D25" s="24">
        <v>1781</v>
      </c>
      <c r="E25" s="24">
        <v>810</v>
      </c>
      <c r="F25" s="24">
        <v>639</v>
      </c>
      <c r="G25" s="24">
        <v>325</v>
      </c>
      <c r="H25" s="24">
        <v>1518</v>
      </c>
    </row>
    <row r="26" spans="1:8" ht="16" x14ac:dyDescent="0.2">
      <c r="A26" s="24">
        <v>25</v>
      </c>
      <c r="B26" s="24" t="s">
        <v>36</v>
      </c>
      <c r="C26" s="24">
        <v>2340</v>
      </c>
      <c r="D26" s="24">
        <v>5590</v>
      </c>
      <c r="E26" s="24">
        <v>191</v>
      </c>
      <c r="F26" s="24">
        <v>1559</v>
      </c>
      <c r="G26" s="24">
        <v>1507</v>
      </c>
      <c r="H26" s="24">
        <v>4930</v>
      </c>
    </row>
    <row r="27" spans="1:8" ht="16" x14ac:dyDescent="0.2">
      <c r="A27" s="24">
        <v>26</v>
      </c>
      <c r="B27" s="24" t="s">
        <v>37</v>
      </c>
      <c r="C27" s="24">
        <v>694</v>
      </c>
      <c r="D27" s="24">
        <v>271</v>
      </c>
      <c r="E27" s="24">
        <v>1591</v>
      </c>
      <c r="F27" s="24">
        <v>6868</v>
      </c>
      <c r="G27" s="24">
        <v>8503</v>
      </c>
      <c r="H27" s="24">
        <v>424</v>
      </c>
    </row>
    <row r="28" spans="1:8" ht="16" x14ac:dyDescent="0.2">
      <c r="A28" s="24">
        <v>27</v>
      </c>
      <c r="B28" s="24" t="s">
        <v>38</v>
      </c>
      <c r="C28" s="24">
        <v>353</v>
      </c>
      <c r="D28" s="24">
        <v>1511</v>
      </c>
      <c r="E28" s="24">
        <v>340</v>
      </c>
      <c r="F28" s="24">
        <v>4458</v>
      </c>
      <c r="G28" s="24">
        <v>3044</v>
      </c>
      <c r="H28" s="24">
        <v>10223</v>
      </c>
    </row>
    <row r="29" spans="1:8" ht="16" x14ac:dyDescent="0.2">
      <c r="A29" s="24">
        <v>28</v>
      </c>
      <c r="B29" s="24" t="s">
        <v>39</v>
      </c>
      <c r="C29" s="24">
        <v>7903</v>
      </c>
      <c r="D29" s="24">
        <v>6947</v>
      </c>
      <c r="E29" s="24">
        <v>6423</v>
      </c>
      <c r="F29" s="24">
        <v>5528</v>
      </c>
      <c r="G29" s="24">
        <v>1468</v>
      </c>
      <c r="H29" s="24">
        <v>144</v>
      </c>
    </row>
    <row r="30" spans="1:8" ht="16" x14ac:dyDescent="0.2">
      <c r="A30" s="24">
        <v>29</v>
      </c>
      <c r="B30" s="24" t="s">
        <v>40</v>
      </c>
      <c r="C30" s="24">
        <v>20</v>
      </c>
      <c r="D30" s="24">
        <v>1405</v>
      </c>
      <c r="E30" s="24">
        <v>4093</v>
      </c>
      <c r="F30" s="24">
        <v>3951</v>
      </c>
      <c r="G30" s="24">
        <v>3015</v>
      </c>
      <c r="H30" s="24">
        <v>2228</v>
      </c>
    </row>
    <row r="31" spans="1:8" ht="16" x14ac:dyDescent="0.2">
      <c r="A31" s="24">
        <v>30</v>
      </c>
      <c r="B31" s="24" t="s">
        <v>41</v>
      </c>
      <c r="C31" s="24">
        <v>1126</v>
      </c>
      <c r="D31" s="24">
        <v>7030</v>
      </c>
      <c r="E31" s="24">
        <v>1781</v>
      </c>
      <c r="F31" s="24">
        <v>1450</v>
      </c>
      <c r="G31" s="24">
        <v>578</v>
      </c>
      <c r="H31" s="24">
        <v>3003</v>
      </c>
    </row>
    <row r="32" spans="1:8" ht="16" x14ac:dyDescent="0.2">
      <c r="A32" s="24">
        <v>31</v>
      </c>
      <c r="B32" s="24" t="s">
        <v>42</v>
      </c>
      <c r="C32" s="24">
        <v>9767</v>
      </c>
      <c r="D32" s="24">
        <v>1787</v>
      </c>
      <c r="E32" s="24">
        <v>564</v>
      </c>
      <c r="F32" s="24">
        <v>1559</v>
      </c>
      <c r="G32" s="24">
        <v>639</v>
      </c>
      <c r="H32" s="24">
        <v>191</v>
      </c>
    </row>
    <row r="33" spans="1:8" ht="16" x14ac:dyDescent="0.2">
      <c r="A33" s="24">
        <v>32</v>
      </c>
      <c r="B33" s="24" t="s">
        <v>43</v>
      </c>
      <c r="C33" s="24">
        <v>1518</v>
      </c>
      <c r="D33" s="24">
        <v>4253</v>
      </c>
      <c r="E33" s="24">
        <v>1585</v>
      </c>
      <c r="F33" s="24">
        <v>271</v>
      </c>
      <c r="G33" s="24">
        <v>5590</v>
      </c>
      <c r="H33" s="24">
        <v>10922</v>
      </c>
    </row>
    <row r="34" spans="1:8" ht="16" x14ac:dyDescent="0.2">
      <c r="A34" s="24">
        <v>33</v>
      </c>
      <c r="B34" s="24" t="s">
        <v>44</v>
      </c>
      <c r="C34" s="24">
        <v>3181</v>
      </c>
      <c r="D34" s="24">
        <v>3838</v>
      </c>
      <c r="E34" s="24">
        <v>810</v>
      </c>
      <c r="F34" s="24">
        <v>3044</v>
      </c>
      <c r="G34" s="24">
        <v>424</v>
      </c>
      <c r="H34" s="24">
        <v>1511</v>
      </c>
    </row>
    <row r="35" spans="1:8" ht="16" x14ac:dyDescent="0.2">
      <c r="A35" s="24">
        <v>34</v>
      </c>
      <c r="B35" s="24" t="s">
        <v>45</v>
      </c>
      <c r="C35" s="24">
        <v>1468</v>
      </c>
      <c r="D35" s="24">
        <v>4458</v>
      </c>
      <c r="E35" s="24">
        <v>8503</v>
      </c>
      <c r="F35" s="24">
        <v>2340</v>
      </c>
      <c r="G35" s="24">
        <v>10223</v>
      </c>
      <c r="H35" s="24">
        <v>9016</v>
      </c>
    </row>
    <row r="36" spans="1:8" ht="16" x14ac:dyDescent="0.2">
      <c r="A36" s="24">
        <v>35</v>
      </c>
      <c r="B36" s="24" t="s">
        <v>46</v>
      </c>
      <c r="C36" s="24">
        <v>694</v>
      </c>
      <c r="D36" s="24">
        <v>6423</v>
      </c>
      <c r="E36" s="24">
        <v>1056</v>
      </c>
      <c r="F36" s="24">
        <v>48</v>
      </c>
      <c r="G36" s="24">
        <v>378</v>
      </c>
      <c r="H36" s="24">
        <v>1591</v>
      </c>
    </row>
    <row r="37" spans="1:8" ht="16" x14ac:dyDescent="0.2">
      <c r="A37" s="24">
        <v>36</v>
      </c>
      <c r="B37" s="24" t="s">
        <v>47</v>
      </c>
      <c r="C37" s="24">
        <v>340</v>
      </c>
      <c r="D37" s="24">
        <v>3173</v>
      </c>
      <c r="E37" s="24">
        <v>3799</v>
      </c>
      <c r="F37" s="24">
        <v>1507</v>
      </c>
      <c r="G37" s="24">
        <v>353</v>
      </c>
      <c r="H37" s="24">
        <v>5528</v>
      </c>
    </row>
    <row r="38" spans="1:8" ht="16" x14ac:dyDescent="0.2">
      <c r="A38" s="24">
        <v>37</v>
      </c>
      <c r="B38" s="24" t="s">
        <v>48</v>
      </c>
      <c r="C38" s="24">
        <v>6868</v>
      </c>
      <c r="D38" s="24">
        <v>4930</v>
      </c>
      <c r="E38" s="24">
        <v>4093</v>
      </c>
      <c r="F38" s="24">
        <v>432</v>
      </c>
      <c r="G38" s="24">
        <v>7030</v>
      </c>
      <c r="H38" s="24">
        <v>325</v>
      </c>
    </row>
    <row r="39" spans="1:8" ht="16" x14ac:dyDescent="0.2">
      <c r="A39" s="24">
        <v>38</v>
      </c>
      <c r="B39" s="24" t="s">
        <v>49</v>
      </c>
      <c r="C39" s="24">
        <v>3015</v>
      </c>
      <c r="D39" s="24">
        <v>1559</v>
      </c>
      <c r="E39" s="24">
        <v>1787</v>
      </c>
      <c r="F39" s="24">
        <v>10922</v>
      </c>
      <c r="G39" s="24">
        <v>3951</v>
      </c>
      <c r="H39" s="24">
        <v>1585</v>
      </c>
    </row>
    <row r="40" spans="1:8" ht="16" x14ac:dyDescent="0.2">
      <c r="A40" s="24">
        <v>39</v>
      </c>
      <c r="B40" s="24" t="s">
        <v>50</v>
      </c>
      <c r="C40" s="24">
        <v>578</v>
      </c>
      <c r="D40" s="24">
        <v>1781</v>
      </c>
      <c r="E40" s="24">
        <v>144</v>
      </c>
      <c r="F40" s="24">
        <v>191</v>
      </c>
      <c r="G40" s="24">
        <v>1511</v>
      </c>
      <c r="H40" s="24">
        <v>271</v>
      </c>
    </row>
    <row r="41" spans="1:8" ht="16" x14ac:dyDescent="0.2">
      <c r="A41" s="24">
        <v>40</v>
      </c>
      <c r="B41" s="24" t="s">
        <v>51</v>
      </c>
      <c r="C41" s="24">
        <v>4253</v>
      </c>
      <c r="D41" s="24">
        <v>3044</v>
      </c>
      <c r="E41" s="24">
        <v>2340</v>
      </c>
      <c r="F41" s="24">
        <v>3003</v>
      </c>
      <c r="G41" s="24">
        <v>20</v>
      </c>
      <c r="H41" s="24">
        <v>9016</v>
      </c>
    </row>
    <row r="42" spans="1:8" ht="16" x14ac:dyDescent="0.2">
      <c r="A42" s="24">
        <v>41</v>
      </c>
      <c r="B42" s="24" t="s">
        <v>52</v>
      </c>
      <c r="C42" s="24">
        <v>2228</v>
      </c>
      <c r="D42" s="24">
        <v>9767</v>
      </c>
      <c r="E42" s="24">
        <v>48</v>
      </c>
      <c r="F42" s="24">
        <v>3838</v>
      </c>
      <c r="G42" s="24">
        <v>1468</v>
      </c>
      <c r="H42" s="24">
        <v>5590</v>
      </c>
    </row>
    <row r="43" spans="1:8" ht="16" x14ac:dyDescent="0.2">
      <c r="A43" s="24">
        <v>42</v>
      </c>
      <c r="B43" s="24" t="s">
        <v>53</v>
      </c>
      <c r="C43" s="24">
        <v>424</v>
      </c>
      <c r="D43" s="24">
        <v>340</v>
      </c>
      <c r="E43" s="24">
        <v>4458</v>
      </c>
      <c r="F43" s="24">
        <v>1450</v>
      </c>
      <c r="G43" s="24">
        <v>564</v>
      </c>
      <c r="H43" s="24">
        <v>1056</v>
      </c>
    </row>
    <row r="44" spans="1:8" ht="16" x14ac:dyDescent="0.2">
      <c r="A44" s="24">
        <v>43</v>
      </c>
      <c r="B44" s="24" t="s">
        <v>54</v>
      </c>
      <c r="C44" s="24">
        <v>378</v>
      </c>
      <c r="D44" s="24">
        <v>1507</v>
      </c>
      <c r="E44" s="24">
        <v>10223</v>
      </c>
      <c r="F44" s="24">
        <v>6868</v>
      </c>
      <c r="G44" s="24">
        <v>5528</v>
      </c>
      <c r="H44" s="24">
        <v>432</v>
      </c>
    </row>
    <row r="45" spans="1:8" ht="16" x14ac:dyDescent="0.2">
      <c r="A45" s="24">
        <v>44</v>
      </c>
      <c r="B45" s="24" t="s">
        <v>55</v>
      </c>
      <c r="C45" s="24">
        <v>3173</v>
      </c>
      <c r="D45" s="24">
        <v>3181</v>
      </c>
      <c r="E45" s="24">
        <v>325</v>
      </c>
      <c r="F45" s="24">
        <v>1518</v>
      </c>
      <c r="G45" s="24">
        <v>6947</v>
      </c>
      <c r="H45" s="24">
        <v>694</v>
      </c>
    </row>
    <row r="46" spans="1:8" ht="16" x14ac:dyDescent="0.2">
      <c r="A46" s="24">
        <v>45</v>
      </c>
      <c r="B46" s="24" t="s">
        <v>56</v>
      </c>
      <c r="C46" s="24">
        <v>4930</v>
      </c>
      <c r="D46" s="24">
        <v>1591</v>
      </c>
      <c r="E46" s="24">
        <v>7903</v>
      </c>
      <c r="F46" s="24">
        <v>1126</v>
      </c>
      <c r="G46" s="24">
        <v>3799</v>
      </c>
      <c r="H46" s="24">
        <v>810</v>
      </c>
    </row>
    <row r="47" spans="1:8" ht="16" x14ac:dyDescent="0.2">
      <c r="A47" s="24">
        <v>46</v>
      </c>
      <c r="B47" s="24" t="s">
        <v>57</v>
      </c>
      <c r="C47" s="24">
        <v>639</v>
      </c>
      <c r="D47" s="24">
        <v>353</v>
      </c>
      <c r="E47" s="24">
        <v>3003</v>
      </c>
      <c r="F47" s="24">
        <v>1405</v>
      </c>
      <c r="G47" s="24">
        <v>8503</v>
      </c>
      <c r="H47" s="24">
        <v>6423</v>
      </c>
    </row>
    <row r="48" spans="1:8" ht="16" x14ac:dyDescent="0.2">
      <c r="A48" s="24">
        <v>47</v>
      </c>
      <c r="B48" s="24" t="s">
        <v>58</v>
      </c>
      <c r="C48" s="24">
        <v>191</v>
      </c>
      <c r="D48" s="24">
        <v>1585</v>
      </c>
      <c r="E48" s="24">
        <v>3838</v>
      </c>
      <c r="F48" s="24">
        <v>4253</v>
      </c>
      <c r="G48" s="24">
        <v>4093</v>
      </c>
      <c r="H48" s="24">
        <v>7030</v>
      </c>
    </row>
    <row r="49" spans="1:8" ht="16" x14ac:dyDescent="0.2">
      <c r="A49" s="24">
        <v>48</v>
      </c>
      <c r="B49" s="24" t="s">
        <v>59</v>
      </c>
      <c r="C49" s="24">
        <v>1787</v>
      </c>
      <c r="D49" s="24">
        <v>10922</v>
      </c>
      <c r="E49" s="24">
        <v>48</v>
      </c>
      <c r="F49" s="24">
        <v>144</v>
      </c>
      <c r="G49" s="24">
        <v>20</v>
      </c>
      <c r="H49" s="24">
        <v>3044</v>
      </c>
    </row>
    <row r="50" spans="1:8" ht="16" x14ac:dyDescent="0.2">
      <c r="A50" s="24">
        <v>49</v>
      </c>
      <c r="B50" s="24" t="s">
        <v>60</v>
      </c>
      <c r="C50" s="24">
        <v>4458</v>
      </c>
      <c r="D50" s="24">
        <v>5528</v>
      </c>
      <c r="E50" s="24">
        <v>1781</v>
      </c>
      <c r="F50" s="24">
        <v>5590</v>
      </c>
      <c r="G50" s="24">
        <v>6868</v>
      </c>
      <c r="H50" s="24">
        <v>9767</v>
      </c>
    </row>
    <row r="51" spans="1:8" ht="16" x14ac:dyDescent="0.2">
      <c r="A51" s="24">
        <v>50</v>
      </c>
      <c r="B51" s="24" t="s">
        <v>61</v>
      </c>
      <c r="C51" s="24">
        <v>10223</v>
      </c>
      <c r="D51" s="24">
        <v>1518</v>
      </c>
      <c r="E51" s="24">
        <v>1450</v>
      </c>
      <c r="F51" s="24">
        <v>6947</v>
      </c>
      <c r="G51" s="24">
        <v>2228</v>
      </c>
      <c r="H51" s="24">
        <v>1559</v>
      </c>
    </row>
    <row r="52" spans="1:8" ht="16" x14ac:dyDescent="0.2">
      <c r="A52" s="24">
        <v>51</v>
      </c>
      <c r="B52" s="24" t="s">
        <v>62</v>
      </c>
      <c r="C52" s="24">
        <v>1126</v>
      </c>
      <c r="D52" s="24">
        <v>1056</v>
      </c>
      <c r="E52" s="24">
        <v>271</v>
      </c>
      <c r="F52" s="24">
        <v>3015</v>
      </c>
      <c r="G52" s="24">
        <v>3181</v>
      </c>
      <c r="H52" s="24">
        <v>1507</v>
      </c>
    </row>
    <row r="53" spans="1:8" ht="16" x14ac:dyDescent="0.2">
      <c r="A53" s="24">
        <v>52</v>
      </c>
      <c r="B53" s="24" t="s">
        <v>63</v>
      </c>
      <c r="C53" s="24">
        <v>1468</v>
      </c>
      <c r="D53" s="24">
        <v>9016</v>
      </c>
      <c r="E53" s="24">
        <v>1405</v>
      </c>
      <c r="F53" s="24">
        <v>4930</v>
      </c>
      <c r="G53" s="24">
        <v>694</v>
      </c>
      <c r="H53" s="24">
        <v>1511</v>
      </c>
    </row>
    <row r="54" spans="1:8" ht="16" x14ac:dyDescent="0.2">
      <c r="A54" s="24">
        <v>53</v>
      </c>
      <c r="B54" s="24" t="s">
        <v>64</v>
      </c>
      <c r="C54" s="24">
        <v>1591</v>
      </c>
      <c r="D54" s="24">
        <v>2340</v>
      </c>
      <c r="E54" s="24">
        <v>353</v>
      </c>
      <c r="F54" s="24">
        <v>7903</v>
      </c>
      <c r="G54" s="24">
        <v>564</v>
      </c>
      <c r="H54" s="24">
        <v>3951</v>
      </c>
    </row>
    <row r="55" spans="1:8" ht="16" x14ac:dyDescent="0.2">
      <c r="A55" s="24">
        <v>54</v>
      </c>
      <c r="B55" s="24" t="s">
        <v>65</v>
      </c>
      <c r="C55" s="24">
        <v>8503</v>
      </c>
      <c r="D55" s="24">
        <v>810</v>
      </c>
      <c r="E55" s="24">
        <v>3173</v>
      </c>
      <c r="F55" s="24">
        <v>6423</v>
      </c>
      <c r="G55" s="24">
        <v>340</v>
      </c>
      <c r="H55" s="24">
        <v>432</v>
      </c>
    </row>
    <row r="56" spans="1:8" ht="16" x14ac:dyDescent="0.2">
      <c r="A56" s="24">
        <v>55</v>
      </c>
      <c r="B56" s="24" t="s">
        <v>66</v>
      </c>
      <c r="C56" s="24">
        <v>578</v>
      </c>
      <c r="D56" s="24">
        <v>378</v>
      </c>
      <c r="E56" s="24">
        <v>639</v>
      </c>
      <c r="F56" s="24">
        <v>325</v>
      </c>
      <c r="G56" s="24">
        <v>424</v>
      </c>
      <c r="H56" s="24">
        <v>3799</v>
      </c>
    </row>
    <row r="57" spans="1:8" ht="16" x14ac:dyDescent="0.2">
      <c r="A57" s="24">
        <v>56</v>
      </c>
      <c r="B57" s="24" t="s">
        <v>67</v>
      </c>
      <c r="C57" s="24">
        <v>5528</v>
      </c>
      <c r="D57" s="24">
        <v>1518</v>
      </c>
      <c r="E57" s="24">
        <v>1559</v>
      </c>
      <c r="F57" s="24">
        <v>2228</v>
      </c>
      <c r="G57" s="24">
        <v>3838</v>
      </c>
      <c r="H57" s="24">
        <v>3003</v>
      </c>
    </row>
    <row r="58" spans="1:8" ht="16" x14ac:dyDescent="0.2">
      <c r="A58" s="24">
        <v>57</v>
      </c>
      <c r="B58" s="24" t="s">
        <v>68</v>
      </c>
      <c r="C58" s="24">
        <v>7030</v>
      </c>
      <c r="D58" s="24">
        <v>271</v>
      </c>
      <c r="E58" s="24">
        <v>1450</v>
      </c>
      <c r="F58" s="24">
        <v>10223</v>
      </c>
      <c r="G58" s="24">
        <v>5590</v>
      </c>
      <c r="H58" s="24">
        <v>1787</v>
      </c>
    </row>
    <row r="59" spans="1:8" ht="16" x14ac:dyDescent="0.2">
      <c r="A59" s="24">
        <v>58</v>
      </c>
      <c r="B59" s="24" t="s">
        <v>69</v>
      </c>
      <c r="C59" s="24">
        <v>10922</v>
      </c>
      <c r="D59" s="24">
        <v>4458</v>
      </c>
      <c r="E59" s="24">
        <v>6947</v>
      </c>
      <c r="F59" s="24">
        <v>694</v>
      </c>
      <c r="G59" s="24">
        <v>191</v>
      </c>
      <c r="H59" s="24">
        <v>1126</v>
      </c>
    </row>
    <row r="60" spans="1:8" ht="16" x14ac:dyDescent="0.2">
      <c r="A60" s="24">
        <v>59</v>
      </c>
      <c r="B60" s="24" t="s">
        <v>70</v>
      </c>
      <c r="C60" s="24">
        <v>20</v>
      </c>
      <c r="D60" s="24">
        <v>7903</v>
      </c>
      <c r="E60" s="24">
        <v>1511</v>
      </c>
      <c r="F60" s="24">
        <v>1507</v>
      </c>
      <c r="G60" s="24">
        <v>1591</v>
      </c>
      <c r="H60" s="24">
        <v>1585</v>
      </c>
    </row>
    <row r="61" spans="1:8" ht="16" x14ac:dyDescent="0.2">
      <c r="A61" s="24">
        <v>60</v>
      </c>
      <c r="B61" s="24" t="s">
        <v>71</v>
      </c>
      <c r="C61" s="24">
        <v>340</v>
      </c>
      <c r="D61" s="24">
        <v>9767</v>
      </c>
      <c r="E61" s="24">
        <v>4930</v>
      </c>
      <c r="F61" s="24">
        <v>3015</v>
      </c>
      <c r="G61" s="24">
        <v>48</v>
      </c>
      <c r="H61" s="24">
        <v>4253</v>
      </c>
    </row>
    <row r="62" spans="1:8" ht="16" x14ac:dyDescent="0.2">
      <c r="A62" s="24">
        <v>61</v>
      </c>
      <c r="B62" s="24" t="s">
        <v>72</v>
      </c>
      <c r="C62" s="24">
        <v>3799</v>
      </c>
      <c r="D62" s="24">
        <v>432</v>
      </c>
      <c r="E62" s="24">
        <v>3951</v>
      </c>
      <c r="F62" s="24">
        <v>6423</v>
      </c>
      <c r="G62" s="24">
        <v>1781</v>
      </c>
      <c r="H62" s="24">
        <v>424</v>
      </c>
    </row>
    <row r="63" spans="1:8" ht="16" x14ac:dyDescent="0.2">
      <c r="A63" s="24">
        <v>62</v>
      </c>
      <c r="B63" s="24" t="s">
        <v>73</v>
      </c>
      <c r="C63" s="24">
        <v>353</v>
      </c>
      <c r="D63" s="24">
        <v>9016</v>
      </c>
      <c r="E63" s="24">
        <v>564</v>
      </c>
      <c r="F63" s="24">
        <v>3181</v>
      </c>
      <c r="G63" s="24">
        <v>6868</v>
      </c>
      <c r="H63" s="24">
        <v>578</v>
      </c>
    </row>
    <row r="64" spans="1:8" ht="16" x14ac:dyDescent="0.2">
      <c r="A64" s="24">
        <v>63</v>
      </c>
      <c r="B64" s="24" t="s">
        <v>74</v>
      </c>
      <c r="C64" s="24">
        <v>1056</v>
      </c>
      <c r="D64" s="24">
        <v>325</v>
      </c>
      <c r="E64" s="24">
        <v>144</v>
      </c>
      <c r="F64" s="24">
        <v>1405</v>
      </c>
      <c r="G64" s="24">
        <v>3173</v>
      </c>
      <c r="H64" s="24">
        <v>2340</v>
      </c>
    </row>
    <row r="65" spans="1:8" ht="16" x14ac:dyDescent="0.2">
      <c r="A65" s="24">
        <v>64</v>
      </c>
      <c r="B65" s="24" t="s">
        <v>75</v>
      </c>
      <c r="C65" s="24">
        <v>3044</v>
      </c>
      <c r="D65" s="24">
        <v>810</v>
      </c>
      <c r="E65" s="24">
        <v>639</v>
      </c>
      <c r="F65" s="24">
        <v>4093</v>
      </c>
      <c r="G65" s="24">
        <v>1468</v>
      </c>
      <c r="H65" s="24">
        <v>378</v>
      </c>
    </row>
    <row r="66" spans="1:8" ht="16" x14ac:dyDescent="0.2">
      <c r="A66" s="24">
        <v>65</v>
      </c>
      <c r="B66" s="24" t="s">
        <v>76</v>
      </c>
      <c r="C66" s="24">
        <v>7903</v>
      </c>
      <c r="D66" s="24">
        <v>1126</v>
      </c>
      <c r="E66" s="24">
        <v>1518</v>
      </c>
      <c r="F66" s="24">
        <v>8503</v>
      </c>
      <c r="G66" s="24">
        <v>1559</v>
      </c>
      <c r="H66" s="24">
        <v>7030</v>
      </c>
    </row>
    <row r="67" spans="1:8" ht="16" x14ac:dyDescent="0.2">
      <c r="A67" s="24">
        <v>66</v>
      </c>
      <c r="B67" s="24" t="s">
        <v>77</v>
      </c>
      <c r="C67" s="24">
        <v>6947</v>
      </c>
      <c r="D67" s="24">
        <v>3003</v>
      </c>
      <c r="E67" s="24">
        <v>340</v>
      </c>
      <c r="F67" s="24">
        <v>1591</v>
      </c>
      <c r="G67" s="24">
        <v>20</v>
      </c>
      <c r="H67" s="24">
        <v>2228</v>
      </c>
    </row>
    <row r="68" spans="1:8" ht="16" x14ac:dyDescent="0.2">
      <c r="A68" s="24">
        <v>67</v>
      </c>
      <c r="B68" s="24" t="s">
        <v>78</v>
      </c>
      <c r="C68" s="24">
        <v>1511</v>
      </c>
      <c r="D68" s="24">
        <v>3015</v>
      </c>
      <c r="E68" s="24">
        <v>5590</v>
      </c>
      <c r="F68" s="24">
        <v>432</v>
      </c>
      <c r="G68" s="24">
        <v>424</v>
      </c>
      <c r="H68" s="24">
        <v>694</v>
      </c>
    </row>
    <row r="69" spans="1:8" ht="16" x14ac:dyDescent="0.2">
      <c r="A69" s="24">
        <v>68</v>
      </c>
      <c r="B69" s="24" t="s">
        <v>79</v>
      </c>
      <c r="C69" s="24">
        <v>3838</v>
      </c>
      <c r="D69" s="24">
        <v>578</v>
      </c>
      <c r="E69" s="24">
        <v>1507</v>
      </c>
      <c r="F69" s="24">
        <v>6423</v>
      </c>
      <c r="G69" s="24">
        <v>1585</v>
      </c>
      <c r="H69" s="24">
        <v>10223</v>
      </c>
    </row>
    <row r="70" spans="1:8" ht="16" x14ac:dyDescent="0.2">
      <c r="A70" s="24">
        <v>69</v>
      </c>
      <c r="B70" s="24" t="s">
        <v>80</v>
      </c>
      <c r="C70" s="24">
        <v>1405</v>
      </c>
      <c r="D70" s="24">
        <v>6868</v>
      </c>
      <c r="E70" s="24">
        <v>10922</v>
      </c>
      <c r="F70" s="24">
        <v>3799</v>
      </c>
      <c r="G70" s="24">
        <v>2340</v>
      </c>
      <c r="H70" s="24">
        <v>1450</v>
      </c>
    </row>
    <row r="71" spans="1:8" ht="16" x14ac:dyDescent="0.2">
      <c r="A71" s="24">
        <v>70</v>
      </c>
      <c r="B71" s="24" t="s">
        <v>81</v>
      </c>
      <c r="C71" s="24">
        <v>810</v>
      </c>
      <c r="D71" s="24">
        <v>9767</v>
      </c>
      <c r="E71" s="24">
        <v>378</v>
      </c>
      <c r="F71" s="24">
        <v>9016</v>
      </c>
      <c r="G71" s="24">
        <v>271</v>
      </c>
      <c r="H71" s="24">
        <v>3173</v>
      </c>
    </row>
    <row r="72" spans="1:8" ht="16" x14ac:dyDescent="0.2">
      <c r="A72" s="24">
        <v>71</v>
      </c>
      <c r="B72" s="24" t="s">
        <v>82</v>
      </c>
      <c r="C72" s="24">
        <v>144</v>
      </c>
      <c r="D72" s="24">
        <v>1787</v>
      </c>
      <c r="E72" s="24">
        <v>639</v>
      </c>
      <c r="F72" s="24">
        <v>4458</v>
      </c>
      <c r="G72" s="24">
        <v>4253</v>
      </c>
      <c r="H72" s="24">
        <v>4930</v>
      </c>
    </row>
    <row r="73" spans="1:8" ht="16" x14ac:dyDescent="0.2">
      <c r="A73" s="24">
        <v>72</v>
      </c>
      <c r="B73" s="24" t="s">
        <v>83</v>
      </c>
      <c r="C73" s="24">
        <v>3044</v>
      </c>
      <c r="D73" s="24">
        <v>3181</v>
      </c>
      <c r="E73" s="24">
        <v>4093</v>
      </c>
      <c r="F73" s="24">
        <v>8503</v>
      </c>
      <c r="G73" s="24">
        <v>48</v>
      </c>
      <c r="H73" s="24">
        <v>5528</v>
      </c>
    </row>
    <row r="74" spans="1:8" ht="16" x14ac:dyDescent="0.2">
      <c r="A74" s="24">
        <v>73</v>
      </c>
      <c r="B74" s="24" t="s">
        <v>84</v>
      </c>
      <c r="C74" s="24">
        <v>325</v>
      </c>
      <c r="D74" s="24">
        <v>191</v>
      </c>
      <c r="E74" s="24">
        <v>1468</v>
      </c>
      <c r="F74" s="24">
        <v>3951</v>
      </c>
      <c r="G74" s="24">
        <v>1056</v>
      </c>
      <c r="H74" s="24">
        <v>353</v>
      </c>
    </row>
    <row r="75" spans="1:8" ht="16" x14ac:dyDescent="0.2">
      <c r="A75" s="24">
        <v>74</v>
      </c>
      <c r="B75" s="24" t="s">
        <v>85</v>
      </c>
      <c r="C75" s="24">
        <v>564</v>
      </c>
      <c r="D75" s="24">
        <v>694</v>
      </c>
      <c r="E75" s="24">
        <v>20</v>
      </c>
      <c r="F75" s="24">
        <v>1781</v>
      </c>
      <c r="G75" s="24">
        <v>7903</v>
      </c>
      <c r="H75" s="24">
        <v>3838</v>
      </c>
    </row>
    <row r="76" spans="1:8" ht="16" x14ac:dyDescent="0.2">
      <c r="A76" s="24">
        <v>75</v>
      </c>
      <c r="B76" s="24" t="s">
        <v>86</v>
      </c>
      <c r="C76" s="24">
        <v>5590</v>
      </c>
      <c r="D76" s="24">
        <v>1518</v>
      </c>
      <c r="E76" s="24">
        <v>1405</v>
      </c>
      <c r="F76" s="24">
        <v>578</v>
      </c>
      <c r="G76" s="24">
        <v>1591</v>
      </c>
      <c r="H76" s="24">
        <v>340</v>
      </c>
    </row>
    <row r="77" spans="1:8" ht="16" x14ac:dyDescent="0.2">
      <c r="A77" s="24">
        <v>76</v>
      </c>
      <c r="B77" s="24" t="s">
        <v>87</v>
      </c>
      <c r="C77" s="24">
        <v>7030</v>
      </c>
      <c r="D77" s="24">
        <v>2340</v>
      </c>
      <c r="E77" s="24">
        <v>6423</v>
      </c>
      <c r="F77" s="24">
        <v>6947</v>
      </c>
      <c r="G77" s="24">
        <v>1511</v>
      </c>
      <c r="H77" s="24">
        <v>9767</v>
      </c>
    </row>
    <row r="78" spans="1:8" ht="16" x14ac:dyDescent="0.2">
      <c r="A78" s="24">
        <v>77</v>
      </c>
      <c r="B78" s="24" t="s">
        <v>88</v>
      </c>
      <c r="C78" s="24">
        <v>1585</v>
      </c>
      <c r="D78" s="24">
        <v>810</v>
      </c>
      <c r="E78" s="24">
        <v>3015</v>
      </c>
      <c r="F78" s="24">
        <v>3003</v>
      </c>
      <c r="G78" s="24">
        <v>4458</v>
      </c>
      <c r="H78" s="24">
        <v>6868</v>
      </c>
    </row>
    <row r="79" spans="1:8" ht="16" x14ac:dyDescent="0.2">
      <c r="A79" s="24">
        <v>78</v>
      </c>
      <c r="B79" s="24" t="s">
        <v>89</v>
      </c>
      <c r="C79" s="24">
        <v>424</v>
      </c>
      <c r="D79" s="24">
        <v>10223</v>
      </c>
      <c r="E79" s="24">
        <v>5528</v>
      </c>
      <c r="F79" s="24">
        <v>144</v>
      </c>
      <c r="G79" s="24">
        <v>48</v>
      </c>
      <c r="H79" s="24">
        <v>1126</v>
      </c>
    </row>
    <row r="80" spans="1:8" ht="16" x14ac:dyDescent="0.2">
      <c r="A80" s="24">
        <v>79</v>
      </c>
      <c r="B80" s="24" t="s">
        <v>90</v>
      </c>
      <c r="C80" s="24">
        <v>1468</v>
      </c>
      <c r="D80" s="24">
        <v>3799</v>
      </c>
      <c r="E80" s="24">
        <v>3181</v>
      </c>
      <c r="F80" s="24">
        <v>1787</v>
      </c>
      <c r="G80" s="24">
        <v>1450</v>
      </c>
      <c r="H80" s="24">
        <v>191</v>
      </c>
    </row>
    <row r="81" spans="1:8" ht="16" x14ac:dyDescent="0.2">
      <c r="A81" s="24">
        <v>80</v>
      </c>
      <c r="B81" s="24" t="s">
        <v>91</v>
      </c>
      <c r="C81" s="24">
        <v>10922</v>
      </c>
      <c r="D81" s="24">
        <v>1559</v>
      </c>
      <c r="E81" s="24">
        <v>353</v>
      </c>
      <c r="F81" s="24">
        <v>4093</v>
      </c>
      <c r="G81" s="24">
        <v>9016</v>
      </c>
      <c r="H81" s="24">
        <v>1781</v>
      </c>
    </row>
    <row r="82" spans="1:8" ht="16" x14ac:dyDescent="0.2">
      <c r="A82" s="24">
        <v>81</v>
      </c>
      <c r="B82" s="24" t="s">
        <v>92</v>
      </c>
      <c r="C82" s="24">
        <v>271</v>
      </c>
      <c r="D82" s="24">
        <v>3044</v>
      </c>
      <c r="E82" s="24">
        <v>3951</v>
      </c>
      <c r="F82" s="24">
        <v>2228</v>
      </c>
      <c r="G82" s="24">
        <v>4930</v>
      </c>
      <c r="H82" s="24">
        <v>3173</v>
      </c>
    </row>
    <row r="83" spans="1:8" ht="16" x14ac:dyDescent="0.2">
      <c r="A83" s="24">
        <v>82</v>
      </c>
      <c r="B83" s="24" t="s">
        <v>93</v>
      </c>
      <c r="C83" s="24">
        <v>564</v>
      </c>
      <c r="D83" s="24">
        <v>8503</v>
      </c>
      <c r="E83" s="24">
        <v>1507</v>
      </c>
      <c r="F83" s="24">
        <v>378</v>
      </c>
      <c r="G83" s="24">
        <v>325</v>
      </c>
      <c r="H83" s="24">
        <v>4253</v>
      </c>
    </row>
    <row r="84" spans="1:8" ht="16" x14ac:dyDescent="0.2">
      <c r="A84" s="24">
        <v>83</v>
      </c>
      <c r="B84" s="24" t="s">
        <v>94</v>
      </c>
      <c r="C84" s="24">
        <v>432</v>
      </c>
      <c r="D84" s="24">
        <v>3838</v>
      </c>
      <c r="E84" s="24">
        <v>20</v>
      </c>
      <c r="F84" s="24">
        <v>1056</v>
      </c>
      <c r="G84" s="24">
        <v>639</v>
      </c>
      <c r="H84" s="24">
        <v>7903</v>
      </c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300-000001000000}">
            <xm:f>IF(VLOOKUP(CONCATENATE($A2, ".", $C$1),MatchScoutingData!$A$2:$E$1000, 5, FALSE) = $C2,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C2:C84</xm:sqref>
        </x14:conditionalFormatting>
        <x14:conditionalFormatting xmlns:xm="http://schemas.microsoft.com/office/excel/2006/main">
          <x14:cfRule type="expression" priority="500" id="{00000000-000E-0000-0300-0000F4010000}">
            <xm:f>COUNTIF(MatchScoutingData!$A$2:$A$1000, CONCATENATE($A2,".",C$1)) &gt; 1</xm:f>
            <x14:dxf>
              <fill>
                <patternFill patternType="solid">
                  <fgColor rgb="FFFFFF54"/>
                  <bgColor rgb="FFFFFF54"/>
                </patternFill>
              </fill>
            </x14:dxf>
          </x14:cfRule>
          <x14:cfRule type="expression" priority="499" id="{00000000-000E-0000-0300-0000F3010000}">
            <xm:f>COUNTIF(MatchScoutingData!$A$2:$A$1000, 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m:sqref>C2:H1000</xm:sqref>
        </x14:conditionalFormatting>
        <x14:conditionalFormatting xmlns:xm="http://schemas.microsoft.com/office/excel/2006/main">
          <x14:cfRule type="expression" priority="2" id="{00000000-000E-0000-0300-000002000000}">
            <xm:f>IF(VLOOKUP(CONCATENATE($A2, ".", $D$1),MatchScoutingData!$A$2:$E$1000, 5, FALSE) = $D2,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D2:D84</xm:sqref>
        </x14:conditionalFormatting>
        <x14:conditionalFormatting xmlns:xm="http://schemas.microsoft.com/office/excel/2006/main">
          <x14:cfRule type="expression" priority="3" id="{00000000-000E-0000-0300-000003000000}">
            <xm:f>IF(VLOOKUP(CONCATENATE($A2, ".", $E$1),MatchScoutingData!$A$2:$E$1000, 5, FALSE) = $E2,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E2:E84</xm:sqref>
        </x14:conditionalFormatting>
        <x14:conditionalFormatting xmlns:xm="http://schemas.microsoft.com/office/excel/2006/main">
          <x14:cfRule type="expression" priority="4" id="{00000000-000E-0000-0300-000004000000}">
            <xm:f>IF(VLOOKUP(CONCATENATE($A2, ".", $F$1),MatchScoutingData!$A$2:$E$1000, 5, FALSE) = $F2,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F2:F84</xm:sqref>
        </x14:conditionalFormatting>
        <x14:conditionalFormatting xmlns:xm="http://schemas.microsoft.com/office/excel/2006/main">
          <x14:cfRule type="expression" priority="5" id="{00000000-000E-0000-0300-000005000000}">
            <xm:f>IF(VLOOKUP(CONCATENATE($A2, ".", $G$1),MatchScoutingData!$A$2:$E$1000, 5, FALSE) = $G2,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G2:G84</xm:sqref>
        </x14:conditionalFormatting>
        <x14:conditionalFormatting xmlns:xm="http://schemas.microsoft.com/office/excel/2006/main">
          <x14:cfRule type="expression" priority="6" id="{00000000-000E-0000-0300-000006000000}">
            <xm:f>IF(VLOOKUP(CONCATENATE($A2, ".", $H$1),MatchScoutingData!$A$2:$E$1000, 5, FALSE) = $H2, FALSE, TRUE)</xm:f>
            <x14:dxf>
              <fill>
                <patternFill patternType="solid">
                  <fgColor rgb="FFF5C242"/>
                  <bgColor rgb="FFF5C242"/>
                </patternFill>
              </fill>
            </x14:dxf>
          </x14:cfRule>
          <xm:sqref>H2:H84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99"/>
  <sheetViews>
    <sheetView zoomScale="150" zoomScaleNormal="150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baseColWidth="10" defaultColWidth="8.83203125" defaultRowHeight="15" x14ac:dyDescent="0.2"/>
  <cols>
    <col min="2" max="26" width="6.83203125" customWidth="1"/>
  </cols>
  <sheetData>
    <row r="1" spans="1:26" ht="17" customHeight="1" thickBot="1" x14ac:dyDescent="0.25">
      <c r="A1" s="5"/>
      <c r="B1" s="5"/>
      <c r="C1" s="32" t="s">
        <v>827</v>
      </c>
      <c r="D1" s="33"/>
      <c r="E1" s="33"/>
      <c r="F1" s="33"/>
      <c r="G1" s="33"/>
      <c r="H1" s="34" t="s">
        <v>828</v>
      </c>
      <c r="I1" s="33"/>
      <c r="J1" s="33"/>
      <c r="K1" s="33"/>
      <c r="L1" s="33"/>
      <c r="M1" s="33"/>
      <c r="N1" s="33"/>
      <c r="O1" s="33"/>
      <c r="P1" s="37" t="s">
        <v>829</v>
      </c>
      <c r="Q1" s="33"/>
      <c r="R1" s="33"/>
      <c r="S1" s="33"/>
      <c r="T1" s="33"/>
      <c r="U1" s="35" t="s">
        <v>830</v>
      </c>
      <c r="V1" s="33"/>
      <c r="W1" s="33"/>
      <c r="X1" s="33"/>
      <c r="Y1" s="33"/>
      <c r="Z1" s="36"/>
    </row>
    <row r="2" spans="1:26" ht="130" customHeight="1" thickBot="1" x14ac:dyDescent="0.25">
      <c r="A2" s="10" t="s">
        <v>98</v>
      </c>
      <c r="B2" s="11" t="s">
        <v>831</v>
      </c>
      <c r="C2" s="12" t="s">
        <v>832</v>
      </c>
      <c r="D2" s="12" t="s">
        <v>833</v>
      </c>
      <c r="E2" s="12" t="s">
        <v>834</v>
      </c>
      <c r="F2" s="12" t="s">
        <v>835</v>
      </c>
      <c r="G2" s="12" t="s">
        <v>836</v>
      </c>
      <c r="H2" s="13" t="s">
        <v>837</v>
      </c>
      <c r="I2" s="13" t="s">
        <v>838</v>
      </c>
      <c r="J2" s="13" t="s">
        <v>839</v>
      </c>
      <c r="K2" s="13" t="s">
        <v>840</v>
      </c>
      <c r="L2" s="13" t="s">
        <v>841</v>
      </c>
      <c r="M2" s="13" t="s">
        <v>842</v>
      </c>
      <c r="N2" s="13" t="s">
        <v>843</v>
      </c>
      <c r="O2" s="13" t="s">
        <v>111</v>
      </c>
      <c r="P2" s="14" t="s">
        <v>844</v>
      </c>
      <c r="Q2" s="14" t="s">
        <v>845</v>
      </c>
      <c r="R2" s="14" t="s">
        <v>114</v>
      </c>
      <c r="S2" s="14" t="s">
        <v>846</v>
      </c>
      <c r="T2" s="14" t="s">
        <v>847</v>
      </c>
      <c r="U2" s="15" t="s">
        <v>848</v>
      </c>
      <c r="V2" s="15" t="s">
        <v>849</v>
      </c>
      <c r="W2" s="15" t="s">
        <v>850</v>
      </c>
      <c r="X2" s="15" t="s">
        <v>851</v>
      </c>
      <c r="Y2" s="15" t="s">
        <v>852</v>
      </c>
      <c r="Z2" s="16" t="s">
        <v>853</v>
      </c>
    </row>
    <row r="3" spans="1:26" ht="16" x14ac:dyDescent="0.2">
      <c r="A3" s="8">
        <v>20</v>
      </c>
      <c r="B3" s="28">
        <f>COUNTIF(MatchScoutingData!E$2:E$1000, $A3)</f>
        <v>10</v>
      </c>
      <c r="C3" s="28">
        <f>SUMIF(MatchScoutingData!$E$2:$E$1000, $A3, MatchScoutingData!F$2:F$1000)</f>
        <v>3</v>
      </c>
      <c r="D3" s="28">
        <f>SUMIF(MatchScoutingData!$E$2:$E$1000, $A3, MatchScoutingData!G$2:G$1000)</f>
        <v>2</v>
      </c>
      <c r="E3" s="28">
        <f>SUMIF(MatchScoutingData!$E$2:$E$1000, $A3, MatchScoutingData!H$2:H$1000)</f>
        <v>8</v>
      </c>
      <c r="F3" s="28">
        <f>SUMIF(MatchScoutingData!$E$2:$E$1000, $A3, MatchScoutingData!I$2:I$1000)</f>
        <v>0</v>
      </c>
      <c r="G3" s="28">
        <f>SUMIF(MatchScoutingData!$E$2:$E$1000, $A3, MatchScoutingData!J$2:J$1000)</f>
        <v>37</v>
      </c>
      <c r="H3" s="28">
        <f>SUMIF(MatchScoutingData!$E$2:$E$1000, $A3, MatchScoutingData!K$2:K$1000)</f>
        <v>20</v>
      </c>
      <c r="I3" s="28">
        <f>SUMIF(MatchScoutingData!$E$2:$E$1000, $A3, MatchScoutingData!L$2:L$1000)</f>
        <v>18</v>
      </c>
      <c r="J3" s="28">
        <f>SUMIF(MatchScoutingData!$E$2:$E$1000, $A3, MatchScoutingData!M$2:M$1000)</f>
        <v>31</v>
      </c>
      <c r="K3" s="28">
        <f>SUMIF(MatchScoutingData!$E$2:$E$1000, $A3, MatchScoutingData!N$2:N$1000)</f>
        <v>9</v>
      </c>
      <c r="L3" s="28">
        <f>SUMIF(MatchScoutingData!$E$2:$E$1000, $A3, MatchScoutingData!O$2:O$1000)</f>
        <v>5</v>
      </c>
      <c r="M3" s="28">
        <f>SUMIF(MatchScoutingData!$E$2:$E$1000, $A3, MatchScoutingData!P$2:P$1000)</f>
        <v>6</v>
      </c>
      <c r="N3" s="28">
        <f>SUMIF(MatchScoutingData!$E$2:$E$1000, $A3, MatchScoutingData!Q$2:Q$1000)</f>
        <v>9</v>
      </c>
      <c r="O3" s="28">
        <f>SUMIF(MatchScoutingData!$E$2:$E$1000, $A3, MatchScoutingData!R$2:R$1000)</f>
        <v>6</v>
      </c>
      <c r="P3" s="28">
        <f>SUMIF(MatchScoutingData!$E$2:$E$1000, $A3, MatchScoutingData!S$2:S$1000)</f>
        <v>6</v>
      </c>
      <c r="Q3" s="28">
        <f>SUMIF(MatchScoutingData!$E$2:$E$1000, $A3, MatchScoutingData!T$2:T$1000)</f>
        <v>4</v>
      </c>
      <c r="R3" s="28">
        <f>SUMIF(MatchScoutingData!$E$2:$E$1000, $A3, MatchScoutingData!U$2:U$1000)</f>
        <v>8</v>
      </c>
      <c r="S3" s="28">
        <f>SUMIF(MatchScoutingData!$E$2:$E$1000, $A3, MatchScoutingData!V$2:V$1000)</f>
        <v>4</v>
      </c>
      <c r="T3" s="28">
        <f>SUMIF(MatchScoutingData!$E$2:$E$1000, $A3, MatchScoutingData!W$2:W$1000)</f>
        <v>31</v>
      </c>
      <c r="U3" s="28">
        <f>SUMIF(MatchScoutingData!$E$2:$E$1000, $A3, MatchScoutingData!X$2:X$1000)</f>
        <v>-1</v>
      </c>
      <c r="V3" s="28">
        <f>SUMIF(MatchScoutingData!$E$2:$E$1000, $A3, MatchScoutingData!AB$2:AB$1000)</f>
        <v>1935</v>
      </c>
      <c r="W3" s="28">
        <f>SUMIF(MatchScoutingData!$E$2:$E$1000, $A3, MatchScoutingData!Y$2:Y$1000)</f>
        <v>7</v>
      </c>
      <c r="X3" s="28">
        <f>SUMIF(MatchScoutingData!$E$2:$E$1000, $A3, MatchScoutingData!Z$2:Z$1000)</f>
        <v>3</v>
      </c>
      <c r="Y3" s="28">
        <f>SUMIF(MatchScoutingData!$E$2:$E$1000, $A3, MatchScoutingData!AA$2:AA$1000)</f>
        <v>8</v>
      </c>
      <c r="Z3" s="28">
        <f t="shared" ref="Z3:Z34" si="0">SUM(W3:Y3)</f>
        <v>18</v>
      </c>
    </row>
    <row r="4" spans="1:26" ht="16" x14ac:dyDescent="0.2">
      <c r="A4" s="8">
        <v>48</v>
      </c>
      <c r="B4" s="28">
        <f>COUNTIF(MatchScoutingData!E$2:E$1000, $A4)</f>
        <v>9</v>
      </c>
      <c r="C4" s="28">
        <f>SUMIF(MatchScoutingData!$E$2:$E$1000, $A4, MatchScoutingData!F$2:F$1000)</f>
        <v>3</v>
      </c>
      <c r="D4" s="28">
        <f>SUMIF(MatchScoutingData!$E$2:$E$1000, $A4, MatchScoutingData!G$2:G$1000)</f>
        <v>5</v>
      </c>
      <c r="E4" s="28">
        <f>SUMIF(MatchScoutingData!$E$2:$E$1000, $A4, MatchScoutingData!H$2:H$1000)</f>
        <v>7</v>
      </c>
      <c r="F4" s="28">
        <f>SUMIF(MatchScoutingData!$E$2:$E$1000, $A4, MatchScoutingData!I$2:I$1000)</f>
        <v>0</v>
      </c>
      <c r="G4" s="28">
        <f>SUMIF(MatchScoutingData!$E$2:$E$1000, $A4, MatchScoutingData!J$2:J$1000)</f>
        <v>33</v>
      </c>
      <c r="H4" s="28">
        <f>SUMIF(MatchScoutingData!$E$2:$E$1000, $A4, MatchScoutingData!K$2:K$1000)</f>
        <v>17</v>
      </c>
      <c r="I4" s="28">
        <f>SUMIF(MatchScoutingData!$E$2:$E$1000, $A4, MatchScoutingData!L$2:L$1000)</f>
        <v>19</v>
      </c>
      <c r="J4" s="28">
        <f>SUMIF(MatchScoutingData!$E$2:$E$1000, $A4, MatchScoutingData!M$2:M$1000)</f>
        <v>27</v>
      </c>
      <c r="K4" s="28">
        <f>SUMIF(MatchScoutingData!$E$2:$E$1000, $A4, MatchScoutingData!N$2:N$1000)</f>
        <v>4</v>
      </c>
      <c r="L4" s="28">
        <f>SUMIF(MatchScoutingData!$E$2:$E$1000, $A4, MatchScoutingData!O$2:O$1000)</f>
        <v>4</v>
      </c>
      <c r="M4" s="28">
        <f>SUMIF(MatchScoutingData!$E$2:$E$1000, $A4, MatchScoutingData!P$2:P$1000)</f>
        <v>4</v>
      </c>
      <c r="N4" s="28">
        <f>SUMIF(MatchScoutingData!$E$2:$E$1000, $A4, MatchScoutingData!Q$2:Q$1000)</f>
        <v>5</v>
      </c>
      <c r="O4" s="28">
        <f>SUMIF(MatchScoutingData!$E$2:$E$1000, $A4, MatchScoutingData!R$2:R$1000)</f>
        <v>7</v>
      </c>
      <c r="P4" s="28">
        <f>SUMIF(MatchScoutingData!$E$2:$E$1000, $A4, MatchScoutingData!S$2:S$1000)</f>
        <v>6</v>
      </c>
      <c r="Q4" s="28">
        <f>SUMIF(MatchScoutingData!$E$2:$E$1000, $A4, MatchScoutingData!T$2:T$1000)</f>
        <v>5</v>
      </c>
      <c r="R4" s="28">
        <f>SUMIF(MatchScoutingData!$E$2:$E$1000, $A4, MatchScoutingData!U$2:U$1000)</f>
        <v>1</v>
      </c>
      <c r="S4" s="28">
        <f>SUMIF(MatchScoutingData!$E$2:$E$1000, $A4, MatchScoutingData!V$2:V$1000)</f>
        <v>6</v>
      </c>
      <c r="T4" s="28">
        <f>SUMIF(MatchScoutingData!$E$2:$E$1000, $A4, MatchScoutingData!W$2:W$1000)</f>
        <v>22</v>
      </c>
      <c r="U4" s="28">
        <f>SUMIF(MatchScoutingData!$E$2:$E$1000, $A4, MatchScoutingData!X$2:X$1000)</f>
        <v>1</v>
      </c>
      <c r="V4" s="28">
        <f>SUMIF(MatchScoutingData!$E$2:$E$1000, $A4, MatchScoutingData!AB$2:AB$1000)</f>
        <v>1045</v>
      </c>
      <c r="W4" s="28">
        <f>SUMIF(MatchScoutingData!$E$2:$E$1000, $A4, MatchScoutingData!Y$2:Y$1000)</f>
        <v>6</v>
      </c>
      <c r="X4" s="28">
        <f>SUMIF(MatchScoutingData!$E$2:$E$1000, $A4, MatchScoutingData!Z$2:Z$1000)</f>
        <v>5</v>
      </c>
      <c r="Y4" s="28">
        <f>SUMIF(MatchScoutingData!$E$2:$E$1000, $A4, MatchScoutingData!AA$2:AA$1000)</f>
        <v>5</v>
      </c>
      <c r="Z4" s="28">
        <f t="shared" si="0"/>
        <v>16</v>
      </c>
    </row>
    <row r="5" spans="1:26" ht="16" x14ac:dyDescent="0.2">
      <c r="A5" s="8">
        <v>144</v>
      </c>
      <c r="B5" s="28">
        <f>COUNTIF(MatchScoutingData!E$2:E$1000, $A5)</f>
        <v>9</v>
      </c>
      <c r="C5" s="28">
        <f>SUMIF(MatchScoutingData!$E$2:$E$1000, $A5, MatchScoutingData!F$2:F$1000)</f>
        <v>7</v>
      </c>
      <c r="D5" s="28">
        <f>SUMIF(MatchScoutingData!$E$2:$E$1000, $A5, MatchScoutingData!G$2:G$1000)</f>
        <v>5</v>
      </c>
      <c r="E5" s="28">
        <f>SUMIF(MatchScoutingData!$E$2:$E$1000, $A5, MatchScoutingData!H$2:H$1000)</f>
        <v>4</v>
      </c>
      <c r="F5" s="28">
        <f>SUMIF(MatchScoutingData!$E$2:$E$1000, $A5, MatchScoutingData!I$2:I$1000)</f>
        <v>-1</v>
      </c>
      <c r="G5" s="28">
        <f>SUMIF(MatchScoutingData!$E$2:$E$1000, $A5, MatchScoutingData!J$2:J$1000)</f>
        <v>22</v>
      </c>
      <c r="H5" s="28">
        <f>SUMIF(MatchScoutingData!$E$2:$E$1000, $A5, MatchScoutingData!K$2:K$1000)</f>
        <v>17</v>
      </c>
      <c r="I5" s="28">
        <f>SUMIF(MatchScoutingData!$E$2:$E$1000, $A5, MatchScoutingData!L$2:L$1000)</f>
        <v>17</v>
      </c>
      <c r="J5" s="28">
        <f>SUMIF(MatchScoutingData!$E$2:$E$1000, $A5, MatchScoutingData!M$2:M$1000)</f>
        <v>24</v>
      </c>
      <c r="K5" s="28">
        <f>SUMIF(MatchScoutingData!$E$2:$E$1000, $A5, MatchScoutingData!N$2:N$1000)</f>
        <v>3</v>
      </c>
      <c r="L5" s="28">
        <f>SUMIF(MatchScoutingData!$E$2:$E$1000, $A5, MatchScoutingData!O$2:O$1000)</f>
        <v>3</v>
      </c>
      <c r="M5" s="28">
        <f>SUMIF(MatchScoutingData!$E$2:$E$1000, $A5, MatchScoutingData!P$2:P$1000)</f>
        <v>4</v>
      </c>
      <c r="N5" s="28">
        <f>SUMIF(MatchScoutingData!$E$2:$E$1000, $A5, MatchScoutingData!Q$2:Q$1000)</f>
        <v>5</v>
      </c>
      <c r="O5" s="28">
        <f>SUMIF(MatchScoutingData!$E$2:$E$1000, $A5, MatchScoutingData!R$2:R$1000)</f>
        <v>7</v>
      </c>
      <c r="P5" s="28">
        <f>SUMIF(MatchScoutingData!$E$2:$E$1000, $A5, MatchScoutingData!S$2:S$1000)</f>
        <v>4</v>
      </c>
      <c r="Q5" s="28">
        <f>SUMIF(MatchScoutingData!$E$2:$E$1000, $A5, MatchScoutingData!T$2:T$1000)</f>
        <v>5</v>
      </c>
      <c r="R5" s="28">
        <f>SUMIF(MatchScoutingData!$E$2:$E$1000, $A5, MatchScoutingData!U$2:U$1000)</f>
        <v>6</v>
      </c>
      <c r="S5" s="28">
        <f>SUMIF(MatchScoutingData!$E$2:$E$1000, $A5, MatchScoutingData!V$2:V$1000)</f>
        <v>3</v>
      </c>
      <c r="T5" s="28">
        <f>SUMIF(MatchScoutingData!$E$2:$E$1000, $A5, MatchScoutingData!W$2:W$1000)</f>
        <v>33</v>
      </c>
      <c r="U5" s="28">
        <f>SUMIF(MatchScoutingData!$E$2:$E$1000, $A5, MatchScoutingData!X$2:X$1000)</f>
        <v>2</v>
      </c>
      <c r="V5" s="28">
        <f>SUMIF(MatchScoutingData!$E$2:$E$1000, $A5, MatchScoutingData!AB$2:AB$1000)</f>
        <v>1198</v>
      </c>
      <c r="W5" s="28">
        <f>SUMIF(MatchScoutingData!$E$2:$E$1000, $A5, MatchScoutingData!Y$2:Y$1000)</f>
        <v>4</v>
      </c>
      <c r="X5" s="28">
        <f>SUMIF(MatchScoutingData!$E$2:$E$1000, $A5, MatchScoutingData!Z$2:Z$1000)</f>
        <v>6</v>
      </c>
      <c r="Y5" s="28">
        <f>SUMIF(MatchScoutingData!$E$2:$E$1000, $A5, MatchScoutingData!AA$2:AA$1000)</f>
        <v>3</v>
      </c>
      <c r="Z5" s="28">
        <f t="shared" si="0"/>
        <v>13</v>
      </c>
    </row>
    <row r="6" spans="1:26" ht="16" x14ac:dyDescent="0.2">
      <c r="A6" s="8">
        <v>191</v>
      </c>
      <c r="B6" s="28">
        <f>COUNTIF(MatchScoutingData!E$2:E$1000, $A6)</f>
        <v>9</v>
      </c>
      <c r="C6" s="28">
        <f>SUMIF(MatchScoutingData!$E$2:$E$1000, $A6, MatchScoutingData!F$2:F$1000)</f>
        <v>4</v>
      </c>
      <c r="D6" s="28">
        <f>SUMIF(MatchScoutingData!$E$2:$E$1000, $A6, MatchScoutingData!G$2:G$1000)</f>
        <v>6</v>
      </c>
      <c r="E6" s="28">
        <f>SUMIF(MatchScoutingData!$E$2:$E$1000, $A6, MatchScoutingData!H$2:H$1000)</f>
        <v>6</v>
      </c>
      <c r="F6" s="28">
        <f>SUMIF(MatchScoutingData!$E$2:$E$1000, $A6, MatchScoutingData!I$2:I$1000)</f>
        <v>-1</v>
      </c>
      <c r="G6" s="28">
        <f>SUMIF(MatchScoutingData!$E$2:$E$1000, $A6, MatchScoutingData!J$2:J$1000)</f>
        <v>22</v>
      </c>
      <c r="H6" s="28">
        <f>SUMIF(MatchScoutingData!$E$2:$E$1000, $A6, MatchScoutingData!K$2:K$1000)</f>
        <v>19</v>
      </c>
      <c r="I6" s="28">
        <f>SUMIF(MatchScoutingData!$E$2:$E$1000, $A6, MatchScoutingData!L$2:L$1000)</f>
        <v>20</v>
      </c>
      <c r="J6" s="28">
        <f>SUMIF(MatchScoutingData!$E$2:$E$1000, $A6, MatchScoutingData!M$2:M$1000)</f>
        <v>31</v>
      </c>
      <c r="K6" s="28">
        <f>SUMIF(MatchScoutingData!$E$2:$E$1000, $A6, MatchScoutingData!N$2:N$1000)</f>
        <v>4</v>
      </c>
      <c r="L6" s="28">
        <f>SUMIF(MatchScoutingData!$E$2:$E$1000, $A6, MatchScoutingData!O$2:O$1000)</f>
        <v>4</v>
      </c>
      <c r="M6" s="28">
        <f>SUMIF(MatchScoutingData!$E$2:$E$1000, $A6, MatchScoutingData!P$2:P$1000)</f>
        <v>4</v>
      </c>
      <c r="N6" s="28">
        <f>SUMIF(MatchScoutingData!$E$2:$E$1000, $A6, MatchScoutingData!Q$2:Q$1000)</f>
        <v>3</v>
      </c>
      <c r="O6" s="28">
        <f>SUMIF(MatchScoutingData!$E$2:$E$1000, $A6, MatchScoutingData!R$2:R$1000)</f>
        <v>5</v>
      </c>
      <c r="P6" s="28">
        <f>SUMIF(MatchScoutingData!$E$2:$E$1000, $A6, MatchScoutingData!S$2:S$1000)</f>
        <v>10</v>
      </c>
      <c r="Q6" s="28">
        <f>SUMIF(MatchScoutingData!$E$2:$E$1000, $A6, MatchScoutingData!T$2:T$1000)</f>
        <v>6</v>
      </c>
      <c r="R6" s="28">
        <f>SUMIF(MatchScoutingData!$E$2:$E$1000, $A6, MatchScoutingData!U$2:U$1000)</f>
        <v>4</v>
      </c>
      <c r="S6" s="28">
        <f>SUMIF(MatchScoutingData!$E$2:$E$1000, $A6, MatchScoutingData!V$2:V$1000)</f>
        <v>3</v>
      </c>
      <c r="T6" s="28">
        <f>SUMIF(MatchScoutingData!$E$2:$E$1000, $A6, MatchScoutingData!W$2:W$1000)</f>
        <v>24</v>
      </c>
      <c r="U6" s="28">
        <f>SUMIF(MatchScoutingData!$E$2:$E$1000, $A6, MatchScoutingData!X$2:X$1000)</f>
        <v>0</v>
      </c>
      <c r="V6" s="28">
        <f>SUMIF(MatchScoutingData!$E$2:$E$1000, $A6, MatchScoutingData!AB$2:AB$1000)</f>
        <v>1164</v>
      </c>
      <c r="W6" s="28">
        <f>SUMIF(MatchScoutingData!$E$2:$E$1000, $A6, MatchScoutingData!Y$2:Y$1000)</f>
        <v>3</v>
      </c>
      <c r="X6" s="28">
        <f>SUMIF(MatchScoutingData!$E$2:$E$1000, $A6, MatchScoutingData!Z$2:Z$1000)</f>
        <v>5</v>
      </c>
      <c r="Y6" s="28">
        <f>SUMIF(MatchScoutingData!$E$2:$E$1000, $A6, MatchScoutingData!AA$2:AA$1000)</f>
        <v>8</v>
      </c>
      <c r="Z6" s="28">
        <f t="shared" si="0"/>
        <v>16</v>
      </c>
    </row>
    <row r="7" spans="1:26" ht="16" x14ac:dyDescent="0.2">
      <c r="A7" s="8">
        <v>271</v>
      </c>
      <c r="B7" s="28">
        <f>COUNTIF(MatchScoutingData!E$2:E$1000, $A7)</f>
        <v>9</v>
      </c>
      <c r="C7" s="28">
        <f>SUMIF(MatchScoutingData!$E$2:$E$1000, $A7, MatchScoutingData!F$2:F$1000)</f>
        <v>3</v>
      </c>
      <c r="D7" s="28">
        <f>SUMIF(MatchScoutingData!$E$2:$E$1000, $A7, MatchScoutingData!G$2:G$1000)</f>
        <v>3</v>
      </c>
      <c r="E7" s="28">
        <f>SUMIF(MatchScoutingData!$E$2:$E$1000, $A7, MatchScoutingData!H$2:H$1000)</f>
        <v>2</v>
      </c>
      <c r="F7" s="28">
        <f>SUMIF(MatchScoutingData!$E$2:$E$1000, $A7, MatchScoutingData!I$2:I$1000)</f>
        <v>0</v>
      </c>
      <c r="G7" s="28">
        <f>SUMIF(MatchScoutingData!$E$2:$E$1000, $A7, MatchScoutingData!J$2:J$1000)</f>
        <v>28</v>
      </c>
      <c r="H7" s="28">
        <f>SUMIF(MatchScoutingData!$E$2:$E$1000, $A7, MatchScoutingData!K$2:K$1000)</f>
        <v>19</v>
      </c>
      <c r="I7" s="28">
        <f>SUMIF(MatchScoutingData!$E$2:$E$1000, $A7, MatchScoutingData!L$2:L$1000)</f>
        <v>22</v>
      </c>
      <c r="J7" s="28">
        <f>SUMIF(MatchScoutingData!$E$2:$E$1000, $A7, MatchScoutingData!M$2:M$1000)</f>
        <v>20</v>
      </c>
      <c r="K7" s="28">
        <f>SUMIF(MatchScoutingData!$E$2:$E$1000, $A7, MatchScoutingData!N$2:N$1000)</f>
        <v>5</v>
      </c>
      <c r="L7" s="28">
        <f>SUMIF(MatchScoutingData!$E$2:$E$1000, $A7, MatchScoutingData!O$2:O$1000)</f>
        <v>5</v>
      </c>
      <c r="M7" s="28">
        <f>SUMIF(MatchScoutingData!$E$2:$E$1000, $A7, MatchScoutingData!P$2:P$1000)</f>
        <v>3</v>
      </c>
      <c r="N7" s="28">
        <f>SUMIF(MatchScoutingData!$E$2:$E$1000, $A7, MatchScoutingData!Q$2:Q$1000)</f>
        <v>4</v>
      </c>
      <c r="O7" s="28">
        <f>SUMIF(MatchScoutingData!$E$2:$E$1000, $A7, MatchScoutingData!R$2:R$1000)</f>
        <v>4</v>
      </c>
      <c r="P7" s="28">
        <f>SUMIF(MatchScoutingData!$E$2:$E$1000, $A7, MatchScoutingData!S$2:S$1000)</f>
        <v>9</v>
      </c>
      <c r="Q7" s="28">
        <f>SUMIF(MatchScoutingData!$E$2:$E$1000, $A7, MatchScoutingData!T$2:T$1000)</f>
        <v>6</v>
      </c>
      <c r="R7" s="28">
        <f>SUMIF(MatchScoutingData!$E$2:$E$1000, $A7, MatchScoutingData!U$2:U$1000)</f>
        <v>5</v>
      </c>
      <c r="S7" s="28">
        <f>SUMIF(MatchScoutingData!$E$2:$E$1000, $A7, MatchScoutingData!V$2:V$1000)</f>
        <v>8</v>
      </c>
      <c r="T7" s="28">
        <f>SUMIF(MatchScoutingData!$E$2:$E$1000, $A7, MatchScoutingData!W$2:W$1000)</f>
        <v>31</v>
      </c>
      <c r="U7" s="28">
        <f>SUMIF(MatchScoutingData!$E$2:$E$1000, $A7, MatchScoutingData!X$2:X$1000)</f>
        <v>2</v>
      </c>
      <c r="V7" s="28">
        <f>SUMIF(MatchScoutingData!$E$2:$E$1000, $A7, MatchScoutingData!AB$2:AB$1000)</f>
        <v>1196</v>
      </c>
      <c r="W7" s="28">
        <f>SUMIF(MatchScoutingData!$E$2:$E$1000, $A7, MatchScoutingData!Y$2:Y$1000)</f>
        <v>7</v>
      </c>
      <c r="X7" s="28">
        <f>SUMIF(MatchScoutingData!$E$2:$E$1000, $A7, MatchScoutingData!Z$2:Z$1000)</f>
        <v>5</v>
      </c>
      <c r="Y7" s="28">
        <f>SUMIF(MatchScoutingData!$E$2:$E$1000, $A7, MatchScoutingData!AA$2:AA$1000)</f>
        <v>3</v>
      </c>
      <c r="Z7" s="28">
        <f t="shared" si="0"/>
        <v>15</v>
      </c>
    </row>
    <row r="8" spans="1:26" ht="16" x14ac:dyDescent="0.2">
      <c r="A8" s="8">
        <v>325</v>
      </c>
      <c r="B8" s="28">
        <f>COUNTIF(MatchScoutingData!E$2:E$1000, $A8)</f>
        <v>9</v>
      </c>
      <c r="C8" s="28">
        <f>SUMIF(MatchScoutingData!$E$2:$E$1000, $A8, MatchScoutingData!F$2:F$1000)</f>
        <v>4</v>
      </c>
      <c r="D8" s="28">
        <f>SUMIF(MatchScoutingData!$E$2:$E$1000, $A8, MatchScoutingData!G$2:G$1000)</f>
        <v>5</v>
      </c>
      <c r="E8" s="28">
        <f>SUMIF(MatchScoutingData!$E$2:$E$1000, $A8, MatchScoutingData!H$2:H$1000)</f>
        <v>5</v>
      </c>
      <c r="F8" s="28">
        <f>SUMIF(MatchScoutingData!$E$2:$E$1000, $A8, MatchScoutingData!I$2:I$1000)</f>
        <v>2</v>
      </c>
      <c r="G8" s="28">
        <f>SUMIF(MatchScoutingData!$E$2:$E$1000, $A8, MatchScoutingData!J$2:J$1000)</f>
        <v>31</v>
      </c>
      <c r="H8" s="28">
        <f>SUMIF(MatchScoutingData!$E$2:$E$1000, $A8, MatchScoutingData!K$2:K$1000)</f>
        <v>21</v>
      </c>
      <c r="I8" s="28">
        <f>SUMIF(MatchScoutingData!$E$2:$E$1000, $A8, MatchScoutingData!L$2:L$1000)</f>
        <v>20</v>
      </c>
      <c r="J8" s="28">
        <f>SUMIF(MatchScoutingData!$E$2:$E$1000, $A8, MatchScoutingData!M$2:M$1000)</f>
        <v>29</v>
      </c>
      <c r="K8" s="28">
        <f>SUMIF(MatchScoutingData!$E$2:$E$1000, $A8, MatchScoutingData!N$2:N$1000)</f>
        <v>5</v>
      </c>
      <c r="L8" s="28">
        <f>SUMIF(MatchScoutingData!$E$2:$E$1000, $A8, MatchScoutingData!O$2:O$1000)</f>
        <v>3</v>
      </c>
      <c r="M8" s="28">
        <f>SUMIF(MatchScoutingData!$E$2:$E$1000, $A8, MatchScoutingData!P$2:P$1000)</f>
        <v>4</v>
      </c>
      <c r="N8" s="28">
        <f>SUMIF(MatchScoutingData!$E$2:$E$1000, $A8, MatchScoutingData!Q$2:Q$1000)</f>
        <v>4</v>
      </c>
      <c r="O8" s="28">
        <f>SUMIF(MatchScoutingData!$E$2:$E$1000, $A8, MatchScoutingData!R$2:R$1000)</f>
        <v>3</v>
      </c>
      <c r="P8" s="28">
        <f>SUMIF(MatchScoutingData!$E$2:$E$1000, $A8, MatchScoutingData!S$2:S$1000)</f>
        <v>8</v>
      </c>
      <c r="Q8" s="28">
        <f>SUMIF(MatchScoutingData!$E$2:$E$1000, $A8, MatchScoutingData!T$2:T$1000)</f>
        <v>5</v>
      </c>
      <c r="R8" s="28">
        <f>SUMIF(MatchScoutingData!$E$2:$E$1000, $A8, MatchScoutingData!U$2:U$1000)</f>
        <v>5</v>
      </c>
      <c r="S8" s="28">
        <f>SUMIF(MatchScoutingData!$E$2:$E$1000, $A8, MatchScoutingData!V$2:V$1000)</f>
        <v>8</v>
      </c>
      <c r="T8" s="28">
        <f>SUMIF(MatchScoutingData!$E$2:$E$1000, $A8, MatchScoutingData!W$2:W$1000)</f>
        <v>25</v>
      </c>
      <c r="U8" s="28">
        <f>SUMIF(MatchScoutingData!$E$2:$E$1000, $A8, MatchScoutingData!X$2:X$1000)</f>
        <v>4</v>
      </c>
      <c r="V8" s="28">
        <f>SUMIF(MatchScoutingData!$E$2:$E$1000, $A8, MatchScoutingData!AB$2:AB$1000)</f>
        <v>1315</v>
      </c>
      <c r="W8" s="28">
        <f>SUMIF(MatchScoutingData!$E$2:$E$1000, $A8, MatchScoutingData!Y$2:Y$1000)</f>
        <v>7</v>
      </c>
      <c r="X8" s="28">
        <f>SUMIF(MatchScoutingData!$E$2:$E$1000, $A8, MatchScoutingData!Z$2:Z$1000)</f>
        <v>2</v>
      </c>
      <c r="Y8" s="28">
        <f>SUMIF(MatchScoutingData!$E$2:$E$1000, $A8, MatchScoutingData!AA$2:AA$1000)</f>
        <v>6</v>
      </c>
      <c r="Z8" s="28">
        <f t="shared" si="0"/>
        <v>15</v>
      </c>
    </row>
    <row r="9" spans="1:26" ht="16" x14ac:dyDescent="0.2">
      <c r="A9" s="8">
        <v>340</v>
      </c>
      <c r="B9" s="28">
        <f>COUNTIF(MatchScoutingData!E$2:E$1000, $A9)</f>
        <v>9</v>
      </c>
      <c r="C9" s="28">
        <f>SUMIF(MatchScoutingData!$E$2:$E$1000, $A9, MatchScoutingData!F$2:F$1000)</f>
        <v>3</v>
      </c>
      <c r="D9" s="28">
        <f>SUMIF(MatchScoutingData!$E$2:$E$1000, $A9, MatchScoutingData!G$2:G$1000)</f>
        <v>5</v>
      </c>
      <c r="E9" s="28">
        <f>SUMIF(MatchScoutingData!$E$2:$E$1000, $A9, MatchScoutingData!H$2:H$1000)</f>
        <v>3</v>
      </c>
      <c r="F9" s="28">
        <f>SUMIF(MatchScoutingData!$E$2:$E$1000, $A9, MatchScoutingData!I$2:I$1000)</f>
        <v>2</v>
      </c>
      <c r="G9" s="28">
        <f>SUMIF(MatchScoutingData!$E$2:$E$1000, $A9, MatchScoutingData!J$2:J$1000)</f>
        <v>28</v>
      </c>
      <c r="H9" s="28">
        <f>SUMIF(MatchScoutingData!$E$2:$E$1000, $A9, MatchScoutingData!K$2:K$1000)</f>
        <v>19</v>
      </c>
      <c r="I9" s="28">
        <f>SUMIF(MatchScoutingData!$E$2:$E$1000, $A9, MatchScoutingData!L$2:L$1000)</f>
        <v>13</v>
      </c>
      <c r="J9" s="28">
        <f>SUMIF(MatchScoutingData!$E$2:$E$1000, $A9, MatchScoutingData!M$2:M$1000)</f>
        <v>23</v>
      </c>
      <c r="K9" s="28">
        <f>SUMIF(MatchScoutingData!$E$2:$E$1000, $A9, MatchScoutingData!N$2:N$1000)</f>
        <v>3</v>
      </c>
      <c r="L9" s="28">
        <f>SUMIF(MatchScoutingData!$E$2:$E$1000, $A9, MatchScoutingData!O$2:O$1000)</f>
        <v>3</v>
      </c>
      <c r="M9" s="28">
        <f>SUMIF(MatchScoutingData!$E$2:$E$1000, $A9, MatchScoutingData!P$2:P$1000)</f>
        <v>2</v>
      </c>
      <c r="N9" s="28">
        <f>SUMIF(MatchScoutingData!$E$2:$E$1000, $A9, MatchScoutingData!Q$2:Q$1000)</f>
        <v>7</v>
      </c>
      <c r="O9" s="28">
        <f>SUMIF(MatchScoutingData!$E$2:$E$1000, $A9, MatchScoutingData!R$2:R$1000)</f>
        <v>4</v>
      </c>
      <c r="P9" s="28">
        <f>SUMIF(MatchScoutingData!$E$2:$E$1000, $A9, MatchScoutingData!S$2:S$1000)</f>
        <v>9</v>
      </c>
      <c r="Q9" s="28">
        <f>SUMIF(MatchScoutingData!$E$2:$E$1000, $A9, MatchScoutingData!T$2:T$1000)</f>
        <v>7</v>
      </c>
      <c r="R9" s="28">
        <f>SUMIF(MatchScoutingData!$E$2:$E$1000, $A9, MatchScoutingData!U$2:U$1000)</f>
        <v>4</v>
      </c>
      <c r="S9" s="28">
        <f>SUMIF(MatchScoutingData!$E$2:$E$1000, $A9, MatchScoutingData!V$2:V$1000)</f>
        <v>6</v>
      </c>
      <c r="T9" s="28">
        <f>SUMIF(MatchScoutingData!$E$2:$E$1000, $A9, MatchScoutingData!W$2:W$1000)</f>
        <v>31</v>
      </c>
      <c r="U9" s="28">
        <f>SUMIF(MatchScoutingData!$E$2:$E$1000, $A9, MatchScoutingData!X$2:X$1000)</f>
        <v>0</v>
      </c>
      <c r="V9" s="28">
        <f>SUMIF(MatchScoutingData!$E$2:$E$1000, $A9, MatchScoutingData!AB$2:AB$1000)</f>
        <v>1504</v>
      </c>
      <c r="W9" s="28">
        <f>SUMIF(MatchScoutingData!$E$2:$E$1000, $A9, MatchScoutingData!Y$2:Y$1000)</f>
        <v>4</v>
      </c>
      <c r="X9" s="28">
        <f>SUMIF(MatchScoutingData!$E$2:$E$1000, $A9, MatchScoutingData!Z$2:Z$1000)</f>
        <v>3</v>
      </c>
      <c r="Y9" s="28">
        <f>SUMIF(MatchScoutingData!$E$2:$E$1000, $A9, MatchScoutingData!AA$2:AA$1000)</f>
        <v>4</v>
      </c>
      <c r="Z9" s="28">
        <f t="shared" si="0"/>
        <v>11</v>
      </c>
    </row>
    <row r="10" spans="1:26" ht="16" x14ac:dyDescent="0.2">
      <c r="A10" s="8">
        <v>353</v>
      </c>
      <c r="B10" s="28">
        <f>COUNTIF(MatchScoutingData!E$2:E$1000, $A10)</f>
        <v>9</v>
      </c>
      <c r="C10" s="28">
        <f>SUMIF(MatchScoutingData!$E$2:$E$1000, $A10, MatchScoutingData!F$2:F$1000)</f>
        <v>6</v>
      </c>
      <c r="D10" s="28">
        <f>SUMIF(MatchScoutingData!$E$2:$E$1000, $A10, MatchScoutingData!G$2:G$1000)</f>
        <v>3</v>
      </c>
      <c r="E10" s="28">
        <f>SUMIF(MatchScoutingData!$E$2:$E$1000, $A10, MatchScoutingData!H$2:H$1000)</f>
        <v>6</v>
      </c>
      <c r="F10" s="28">
        <f>SUMIF(MatchScoutingData!$E$2:$E$1000, $A10, MatchScoutingData!I$2:I$1000)</f>
        <v>-1</v>
      </c>
      <c r="G10" s="28">
        <f>SUMIF(MatchScoutingData!$E$2:$E$1000, $A10, MatchScoutingData!J$2:J$1000)</f>
        <v>37</v>
      </c>
      <c r="H10" s="28">
        <f>SUMIF(MatchScoutingData!$E$2:$E$1000, $A10, MatchScoutingData!K$2:K$1000)</f>
        <v>18</v>
      </c>
      <c r="I10" s="28">
        <f>SUMIF(MatchScoutingData!$E$2:$E$1000, $A10, MatchScoutingData!L$2:L$1000)</f>
        <v>16</v>
      </c>
      <c r="J10" s="28">
        <f>SUMIF(MatchScoutingData!$E$2:$E$1000, $A10, MatchScoutingData!M$2:M$1000)</f>
        <v>21</v>
      </c>
      <c r="K10" s="28">
        <f>SUMIF(MatchScoutingData!$E$2:$E$1000, $A10, MatchScoutingData!N$2:N$1000)</f>
        <v>4</v>
      </c>
      <c r="L10" s="28">
        <f>SUMIF(MatchScoutingData!$E$2:$E$1000, $A10, MatchScoutingData!O$2:O$1000)</f>
        <v>7</v>
      </c>
      <c r="M10" s="28">
        <f>SUMIF(MatchScoutingData!$E$2:$E$1000, $A10, MatchScoutingData!P$2:P$1000)</f>
        <v>4</v>
      </c>
      <c r="N10" s="28">
        <f>SUMIF(MatchScoutingData!$E$2:$E$1000, $A10, MatchScoutingData!Q$2:Q$1000)</f>
        <v>3</v>
      </c>
      <c r="O10" s="28">
        <f>SUMIF(MatchScoutingData!$E$2:$E$1000, $A10, MatchScoutingData!R$2:R$1000)</f>
        <v>4</v>
      </c>
      <c r="P10" s="28">
        <f>SUMIF(MatchScoutingData!$E$2:$E$1000, $A10, MatchScoutingData!S$2:S$1000)</f>
        <v>15</v>
      </c>
      <c r="Q10" s="28">
        <f>SUMIF(MatchScoutingData!$E$2:$E$1000, $A10, MatchScoutingData!T$2:T$1000)</f>
        <v>3</v>
      </c>
      <c r="R10" s="28">
        <f>SUMIF(MatchScoutingData!$E$2:$E$1000, $A10, MatchScoutingData!U$2:U$1000)</f>
        <v>5</v>
      </c>
      <c r="S10" s="28">
        <f>SUMIF(MatchScoutingData!$E$2:$E$1000, $A10, MatchScoutingData!V$2:V$1000)</f>
        <v>4</v>
      </c>
      <c r="T10" s="28">
        <f>SUMIF(MatchScoutingData!$E$2:$E$1000, $A10, MatchScoutingData!W$2:W$1000)</f>
        <v>27</v>
      </c>
      <c r="U10" s="28">
        <f>SUMIF(MatchScoutingData!$E$2:$E$1000, $A10, MatchScoutingData!X$2:X$1000)</f>
        <v>1</v>
      </c>
      <c r="V10" s="28">
        <f>SUMIF(MatchScoutingData!$E$2:$E$1000, $A10, MatchScoutingData!AB$2:AB$1000)</f>
        <v>1495</v>
      </c>
      <c r="W10" s="28">
        <f>SUMIF(MatchScoutingData!$E$2:$E$1000, $A10, MatchScoutingData!Y$2:Y$1000)</f>
        <v>5</v>
      </c>
      <c r="X10" s="28">
        <f>SUMIF(MatchScoutingData!$E$2:$E$1000, $A10, MatchScoutingData!Z$2:Z$1000)</f>
        <v>6</v>
      </c>
      <c r="Y10" s="28">
        <f>SUMIF(MatchScoutingData!$E$2:$E$1000, $A10, MatchScoutingData!AA$2:AA$1000)</f>
        <v>6</v>
      </c>
      <c r="Z10" s="28">
        <f t="shared" si="0"/>
        <v>17</v>
      </c>
    </row>
    <row r="11" spans="1:26" ht="16" x14ac:dyDescent="0.2">
      <c r="A11" s="8">
        <v>378</v>
      </c>
      <c r="B11" s="28">
        <f>COUNTIF(MatchScoutingData!E$2:E$1000, $A11)</f>
        <v>9</v>
      </c>
      <c r="C11" s="28">
        <f>SUMIF(MatchScoutingData!$E$2:$E$1000, $A11, MatchScoutingData!F$2:F$1000)</f>
        <v>3</v>
      </c>
      <c r="D11" s="28">
        <f>SUMIF(MatchScoutingData!$E$2:$E$1000, $A11, MatchScoutingData!G$2:G$1000)</f>
        <v>6</v>
      </c>
      <c r="E11" s="28">
        <f>SUMIF(MatchScoutingData!$E$2:$E$1000, $A11, MatchScoutingData!H$2:H$1000)</f>
        <v>4</v>
      </c>
      <c r="F11" s="28">
        <f>SUMIF(MatchScoutingData!$E$2:$E$1000, $A11, MatchScoutingData!I$2:I$1000)</f>
        <v>1</v>
      </c>
      <c r="G11" s="28">
        <f>SUMIF(MatchScoutingData!$E$2:$E$1000, $A11, MatchScoutingData!J$2:J$1000)</f>
        <v>25</v>
      </c>
      <c r="H11" s="28">
        <f>SUMIF(MatchScoutingData!$E$2:$E$1000, $A11, MatchScoutingData!K$2:K$1000)</f>
        <v>19</v>
      </c>
      <c r="I11" s="28">
        <f>SUMIF(MatchScoutingData!$E$2:$E$1000, $A11, MatchScoutingData!L$2:L$1000)</f>
        <v>13</v>
      </c>
      <c r="J11" s="28">
        <f>SUMIF(MatchScoutingData!$E$2:$E$1000, $A11, MatchScoutingData!M$2:M$1000)</f>
        <v>28</v>
      </c>
      <c r="K11" s="28">
        <f>SUMIF(MatchScoutingData!$E$2:$E$1000, $A11, MatchScoutingData!N$2:N$1000)</f>
        <v>3</v>
      </c>
      <c r="L11" s="28">
        <f>SUMIF(MatchScoutingData!$E$2:$E$1000, $A11, MatchScoutingData!O$2:O$1000)</f>
        <v>4</v>
      </c>
      <c r="M11" s="28">
        <f>SUMIF(MatchScoutingData!$E$2:$E$1000, $A11, MatchScoutingData!P$2:P$1000)</f>
        <v>5</v>
      </c>
      <c r="N11" s="28">
        <f>SUMIF(MatchScoutingData!$E$2:$E$1000, $A11, MatchScoutingData!Q$2:Q$1000)</f>
        <v>3</v>
      </c>
      <c r="O11" s="28">
        <f>SUMIF(MatchScoutingData!$E$2:$E$1000, $A11, MatchScoutingData!R$2:R$1000)</f>
        <v>3</v>
      </c>
      <c r="P11" s="28">
        <f>SUMIF(MatchScoutingData!$E$2:$E$1000, $A11, MatchScoutingData!S$2:S$1000)</f>
        <v>12</v>
      </c>
      <c r="Q11" s="28">
        <f>SUMIF(MatchScoutingData!$E$2:$E$1000, $A11, MatchScoutingData!T$2:T$1000)</f>
        <v>4</v>
      </c>
      <c r="R11" s="28">
        <f>SUMIF(MatchScoutingData!$E$2:$E$1000, $A11, MatchScoutingData!U$2:U$1000)</f>
        <v>7</v>
      </c>
      <c r="S11" s="28">
        <f>SUMIF(MatchScoutingData!$E$2:$E$1000, $A11, MatchScoutingData!V$2:V$1000)</f>
        <v>4</v>
      </c>
      <c r="T11" s="28">
        <f>SUMIF(MatchScoutingData!$E$2:$E$1000, $A11, MatchScoutingData!W$2:W$1000)</f>
        <v>30</v>
      </c>
      <c r="U11" s="28">
        <f>SUMIF(MatchScoutingData!$E$2:$E$1000, $A11, MatchScoutingData!X$2:X$1000)</f>
        <v>3</v>
      </c>
      <c r="V11" s="28">
        <f>SUMIF(MatchScoutingData!$E$2:$E$1000, $A11, MatchScoutingData!AB$2:AB$1000)</f>
        <v>1067</v>
      </c>
      <c r="W11" s="28">
        <f>SUMIF(MatchScoutingData!$E$2:$E$1000, $A11, MatchScoutingData!Y$2:Y$1000)</f>
        <v>7</v>
      </c>
      <c r="X11" s="28">
        <f>SUMIF(MatchScoutingData!$E$2:$E$1000, $A11, MatchScoutingData!Z$2:Z$1000)</f>
        <v>3</v>
      </c>
      <c r="Y11" s="28">
        <f>SUMIF(MatchScoutingData!$E$2:$E$1000, $A11, MatchScoutingData!AA$2:AA$1000)</f>
        <v>5</v>
      </c>
      <c r="Z11" s="28">
        <f t="shared" si="0"/>
        <v>15</v>
      </c>
    </row>
    <row r="12" spans="1:26" ht="16" x14ac:dyDescent="0.2">
      <c r="A12" s="8">
        <v>424</v>
      </c>
      <c r="B12" s="28">
        <f>COUNTIF(MatchScoutingData!E$2:E$1000, $A12)</f>
        <v>9</v>
      </c>
      <c r="C12" s="28">
        <f>SUMIF(MatchScoutingData!$E$2:$E$1000, $A12, MatchScoutingData!F$2:F$1000)</f>
        <v>3</v>
      </c>
      <c r="D12" s="28">
        <f>SUMIF(MatchScoutingData!$E$2:$E$1000, $A12, MatchScoutingData!G$2:G$1000)</f>
        <v>5</v>
      </c>
      <c r="E12" s="28">
        <f>SUMIF(MatchScoutingData!$E$2:$E$1000, $A12, MatchScoutingData!H$2:H$1000)</f>
        <v>4</v>
      </c>
      <c r="F12" s="28">
        <f>SUMIF(MatchScoutingData!$E$2:$E$1000, $A12, MatchScoutingData!I$2:I$1000)</f>
        <v>1</v>
      </c>
      <c r="G12" s="28">
        <f>SUMIF(MatchScoutingData!$E$2:$E$1000, $A12, MatchScoutingData!J$2:J$1000)</f>
        <v>28</v>
      </c>
      <c r="H12" s="28">
        <f>SUMIF(MatchScoutingData!$E$2:$E$1000, $A12, MatchScoutingData!K$2:K$1000)</f>
        <v>17</v>
      </c>
      <c r="I12" s="28">
        <f>SUMIF(MatchScoutingData!$E$2:$E$1000, $A12, MatchScoutingData!L$2:L$1000)</f>
        <v>17</v>
      </c>
      <c r="J12" s="28">
        <f>SUMIF(MatchScoutingData!$E$2:$E$1000, $A12, MatchScoutingData!M$2:M$1000)</f>
        <v>26</v>
      </c>
      <c r="K12" s="28">
        <f>SUMIF(MatchScoutingData!$E$2:$E$1000, $A12, MatchScoutingData!N$2:N$1000)</f>
        <v>5</v>
      </c>
      <c r="L12" s="28">
        <f>SUMIF(MatchScoutingData!$E$2:$E$1000, $A12, MatchScoutingData!O$2:O$1000)</f>
        <v>4</v>
      </c>
      <c r="M12" s="28">
        <f>SUMIF(MatchScoutingData!$E$2:$E$1000, $A12, MatchScoutingData!P$2:P$1000)</f>
        <v>4</v>
      </c>
      <c r="N12" s="28">
        <f>SUMIF(MatchScoutingData!$E$2:$E$1000, $A12, MatchScoutingData!Q$2:Q$1000)</f>
        <v>5</v>
      </c>
      <c r="O12" s="28">
        <f>SUMIF(MatchScoutingData!$E$2:$E$1000, $A12, MatchScoutingData!R$2:R$1000)</f>
        <v>4</v>
      </c>
      <c r="P12" s="28">
        <f>SUMIF(MatchScoutingData!$E$2:$E$1000, $A12, MatchScoutingData!S$2:S$1000)</f>
        <v>6</v>
      </c>
      <c r="Q12" s="28">
        <f>SUMIF(MatchScoutingData!$E$2:$E$1000, $A12, MatchScoutingData!T$2:T$1000)</f>
        <v>3</v>
      </c>
      <c r="R12" s="28">
        <f>SUMIF(MatchScoutingData!$E$2:$E$1000, $A12, MatchScoutingData!U$2:U$1000)</f>
        <v>3</v>
      </c>
      <c r="S12" s="28">
        <f>SUMIF(MatchScoutingData!$E$2:$E$1000, $A12, MatchScoutingData!V$2:V$1000)</f>
        <v>6</v>
      </c>
      <c r="T12" s="28">
        <f>SUMIF(MatchScoutingData!$E$2:$E$1000, $A12, MatchScoutingData!W$2:W$1000)</f>
        <v>26</v>
      </c>
      <c r="U12" s="28">
        <f>SUMIF(MatchScoutingData!$E$2:$E$1000, $A12, MatchScoutingData!X$2:X$1000)</f>
        <v>3</v>
      </c>
      <c r="V12" s="28">
        <f>SUMIF(MatchScoutingData!$E$2:$E$1000, $A12, MatchScoutingData!AB$2:AB$1000)</f>
        <v>1466</v>
      </c>
      <c r="W12" s="28">
        <f>SUMIF(MatchScoutingData!$E$2:$E$1000, $A12, MatchScoutingData!Y$2:Y$1000)</f>
        <v>6</v>
      </c>
      <c r="X12" s="28">
        <f>SUMIF(MatchScoutingData!$E$2:$E$1000, $A12, MatchScoutingData!Z$2:Z$1000)</f>
        <v>5</v>
      </c>
      <c r="Y12" s="28">
        <f>SUMIF(MatchScoutingData!$E$2:$E$1000, $A12, MatchScoutingData!AA$2:AA$1000)</f>
        <v>4</v>
      </c>
      <c r="Z12" s="28">
        <f t="shared" si="0"/>
        <v>15</v>
      </c>
    </row>
    <row r="13" spans="1:26" ht="16" x14ac:dyDescent="0.2">
      <c r="A13" s="8">
        <v>432</v>
      </c>
      <c r="B13" s="28">
        <f>COUNTIF(MatchScoutingData!E$2:E$1000, $A13)</f>
        <v>9</v>
      </c>
      <c r="C13" s="28">
        <f>SUMIF(MatchScoutingData!$E$2:$E$1000, $A13, MatchScoutingData!F$2:F$1000)</f>
        <v>3</v>
      </c>
      <c r="D13" s="28">
        <f>SUMIF(MatchScoutingData!$E$2:$E$1000, $A13, MatchScoutingData!G$2:G$1000)</f>
        <v>6</v>
      </c>
      <c r="E13" s="28">
        <f>SUMIF(MatchScoutingData!$E$2:$E$1000, $A13, MatchScoutingData!H$2:H$1000)</f>
        <v>4</v>
      </c>
      <c r="F13" s="28">
        <f>SUMIF(MatchScoutingData!$E$2:$E$1000, $A13, MatchScoutingData!I$2:I$1000)</f>
        <v>2</v>
      </c>
      <c r="G13" s="28">
        <f>SUMIF(MatchScoutingData!$E$2:$E$1000, $A13, MatchScoutingData!J$2:J$1000)</f>
        <v>26</v>
      </c>
      <c r="H13" s="28">
        <f>SUMIF(MatchScoutingData!$E$2:$E$1000, $A13, MatchScoutingData!K$2:K$1000)</f>
        <v>16</v>
      </c>
      <c r="I13" s="28">
        <f>SUMIF(MatchScoutingData!$E$2:$E$1000, $A13, MatchScoutingData!L$2:L$1000)</f>
        <v>18</v>
      </c>
      <c r="J13" s="28">
        <f>SUMIF(MatchScoutingData!$E$2:$E$1000, $A13, MatchScoutingData!M$2:M$1000)</f>
        <v>25</v>
      </c>
      <c r="K13" s="28">
        <f>SUMIF(MatchScoutingData!$E$2:$E$1000, $A13, MatchScoutingData!N$2:N$1000)</f>
        <v>4</v>
      </c>
      <c r="L13" s="28">
        <f>SUMIF(MatchScoutingData!$E$2:$E$1000, $A13, MatchScoutingData!O$2:O$1000)</f>
        <v>7</v>
      </c>
      <c r="M13" s="28">
        <f>SUMIF(MatchScoutingData!$E$2:$E$1000, $A13, MatchScoutingData!P$2:P$1000)</f>
        <v>5</v>
      </c>
      <c r="N13" s="28">
        <f>SUMIF(MatchScoutingData!$E$2:$E$1000, $A13, MatchScoutingData!Q$2:Q$1000)</f>
        <v>6</v>
      </c>
      <c r="O13" s="28">
        <f>SUMIF(MatchScoutingData!$E$2:$E$1000, $A13, MatchScoutingData!R$2:R$1000)</f>
        <v>5</v>
      </c>
      <c r="P13" s="28">
        <f>SUMIF(MatchScoutingData!$E$2:$E$1000, $A13, MatchScoutingData!S$2:S$1000)</f>
        <v>10</v>
      </c>
      <c r="Q13" s="28">
        <f>SUMIF(MatchScoutingData!$E$2:$E$1000, $A13, MatchScoutingData!T$2:T$1000)</f>
        <v>3</v>
      </c>
      <c r="R13" s="28">
        <f>SUMIF(MatchScoutingData!$E$2:$E$1000, $A13, MatchScoutingData!U$2:U$1000)</f>
        <v>3</v>
      </c>
      <c r="S13" s="28">
        <f>SUMIF(MatchScoutingData!$E$2:$E$1000, $A13, MatchScoutingData!V$2:V$1000)</f>
        <v>5</v>
      </c>
      <c r="T13" s="28">
        <f>SUMIF(MatchScoutingData!$E$2:$E$1000, $A13, MatchScoutingData!W$2:W$1000)</f>
        <v>24</v>
      </c>
      <c r="U13" s="28">
        <f>SUMIF(MatchScoutingData!$E$2:$E$1000, $A13, MatchScoutingData!X$2:X$1000)</f>
        <v>-3</v>
      </c>
      <c r="V13" s="28">
        <f>SUMIF(MatchScoutingData!$E$2:$E$1000, $A13, MatchScoutingData!AB$2:AB$1000)</f>
        <v>1019</v>
      </c>
      <c r="W13" s="28">
        <f>SUMIF(MatchScoutingData!$E$2:$E$1000, $A13, MatchScoutingData!Y$2:Y$1000)</f>
        <v>3</v>
      </c>
      <c r="X13" s="28">
        <f>SUMIF(MatchScoutingData!$E$2:$E$1000, $A13, MatchScoutingData!Z$2:Z$1000)</f>
        <v>6</v>
      </c>
      <c r="Y13" s="28">
        <f>SUMIF(MatchScoutingData!$E$2:$E$1000, $A13, MatchScoutingData!AA$2:AA$1000)</f>
        <v>4</v>
      </c>
      <c r="Z13" s="28">
        <f t="shared" si="0"/>
        <v>13</v>
      </c>
    </row>
    <row r="14" spans="1:26" ht="16" x14ac:dyDescent="0.2">
      <c r="A14" s="8">
        <v>564</v>
      </c>
      <c r="B14" s="28">
        <f>COUNTIF(MatchScoutingData!E$2:E$1000, $A14)</f>
        <v>9</v>
      </c>
      <c r="C14" s="28">
        <f>SUMIF(MatchScoutingData!$E$2:$E$1000, $A14, MatchScoutingData!F$2:F$1000)</f>
        <v>3</v>
      </c>
      <c r="D14" s="28">
        <f>SUMIF(MatchScoutingData!$E$2:$E$1000, $A14, MatchScoutingData!G$2:G$1000)</f>
        <v>4</v>
      </c>
      <c r="E14" s="28">
        <f>SUMIF(MatchScoutingData!$E$2:$E$1000, $A14, MatchScoutingData!H$2:H$1000)</f>
        <v>5</v>
      </c>
      <c r="F14" s="28">
        <f>SUMIF(MatchScoutingData!$E$2:$E$1000, $A14, MatchScoutingData!I$2:I$1000)</f>
        <v>0</v>
      </c>
      <c r="G14" s="28">
        <f>SUMIF(MatchScoutingData!$E$2:$E$1000, $A14, MatchScoutingData!J$2:J$1000)</f>
        <v>34</v>
      </c>
      <c r="H14" s="28">
        <f>SUMIF(MatchScoutingData!$E$2:$E$1000, $A14, MatchScoutingData!K$2:K$1000)</f>
        <v>18</v>
      </c>
      <c r="I14" s="28">
        <f>SUMIF(MatchScoutingData!$E$2:$E$1000, $A14, MatchScoutingData!L$2:L$1000)</f>
        <v>22</v>
      </c>
      <c r="J14" s="28">
        <f>SUMIF(MatchScoutingData!$E$2:$E$1000, $A14, MatchScoutingData!M$2:M$1000)</f>
        <v>22</v>
      </c>
      <c r="K14" s="28">
        <f>SUMIF(MatchScoutingData!$E$2:$E$1000, $A14, MatchScoutingData!N$2:N$1000)</f>
        <v>6</v>
      </c>
      <c r="L14" s="28">
        <f>SUMIF(MatchScoutingData!$E$2:$E$1000, $A14, MatchScoutingData!O$2:O$1000)</f>
        <v>4</v>
      </c>
      <c r="M14" s="28">
        <f>SUMIF(MatchScoutingData!$E$2:$E$1000, $A14, MatchScoutingData!P$2:P$1000)</f>
        <v>5</v>
      </c>
      <c r="N14" s="28">
        <f>SUMIF(MatchScoutingData!$E$2:$E$1000, $A14, MatchScoutingData!Q$2:Q$1000)</f>
        <v>4</v>
      </c>
      <c r="O14" s="28">
        <f>SUMIF(MatchScoutingData!$E$2:$E$1000, $A14, MatchScoutingData!R$2:R$1000)</f>
        <v>3</v>
      </c>
      <c r="P14" s="28">
        <f>SUMIF(MatchScoutingData!$E$2:$E$1000, $A14, MatchScoutingData!S$2:S$1000)</f>
        <v>12</v>
      </c>
      <c r="Q14" s="28">
        <f>SUMIF(MatchScoutingData!$E$2:$E$1000, $A14, MatchScoutingData!T$2:T$1000)</f>
        <v>5</v>
      </c>
      <c r="R14" s="28">
        <f>SUMIF(MatchScoutingData!$E$2:$E$1000, $A14, MatchScoutingData!U$2:U$1000)</f>
        <v>4</v>
      </c>
      <c r="S14" s="28">
        <f>SUMIF(MatchScoutingData!$E$2:$E$1000, $A14, MatchScoutingData!V$2:V$1000)</f>
        <v>3</v>
      </c>
      <c r="T14" s="28">
        <f>SUMIF(MatchScoutingData!$E$2:$E$1000, $A14, MatchScoutingData!W$2:W$1000)</f>
        <v>21</v>
      </c>
      <c r="U14" s="28">
        <f>SUMIF(MatchScoutingData!$E$2:$E$1000, $A14, MatchScoutingData!X$2:X$1000)</f>
        <v>-6</v>
      </c>
      <c r="V14" s="28">
        <f>SUMIF(MatchScoutingData!$E$2:$E$1000, $A14, MatchScoutingData!AB$2:AB$1000)</f>
        <v>1818</v>
      </c>
      <c r="W14" s="28">
        <f>SUMIF(MatchScoutingData!$E$2:$E$1000, $A14, MatchScoutingData!Y$2:Y$1000)</f>
        <v>6</v>
      </c>
      <c r="X14" s="28">
        <f>SUMIF(MatchScoutingData!$E$2:$E$1000, $A14, MatchScoutingData!Z$2:Z$1000)</f>
        <v>8</v>
      </c>
      <c r="Y14" s="28">
        <f>SUMIF(MatchScoutingData!$E$2:$E$1000, $A14, MatchScoutingData!AA$2:AA$1000)</f>
        <v>4</v>
      </c>
      <c r="Z14" s="28">
        <f t="shared" si="0"/>
        <v>18</v>
      </c>
    </row>
    <row r="15" spans="1:26" ht="16" x14ac:dyDescent="0.2">
      <c r="A15" s="8">
        <v>578</v>
      </c>
      <c r="B15" s="28">
        <f>COUNTIF(MatchScoutingData!E$2:E$1000, $A15)</f>
        <v>9</v>
      </c>
      <c r="C15" s="28">
        <f>SUMIF(MatchScoutingData!$E$2:$E$1000, $A15, MatchScoutingData!F$2:F$1000)</f>
        <v>5</v>
      </c>
      <c r="D15" s="28">
        <f>SUMIF(MatchScoutingData!$E$2:$E$1000, $A15, MatchScoutingData!G$2:G$1000)</f>
        <v>7</v>
      </c>
      <c r="E15" s="28">
        <f>SUMIF(MatchScoutingData!$E$2:$E$1000, $A15, MatchScoutingData!H$2:H$1000)</f>
        <v>5</v>
      </c>
      <c r="F15" s="28">
        <f>SUMIF(MatchScoutingData!$E$2:$E$1000, $A15, MatchScoutingData!I$2:I$1000)</f>
        <v>3</v>
      </c>
      <c r="G15" s="28">
        <f>SUMIF(MatchScoutingData!$E$2:$E$1000, $A15, MatchScoutingData!J$2:J$1000)</f>
        <v>32</v>
      </c>
      <c r="H15" s="28">
        <f>SUMIF(MatchScoutingData!$E$2:$E$1000, $A15, MatchScoutingData!K$2:K$1000)</f>
        <v>19</v>
      </c>
      <c r="I15" s="28">
        <f>SUMIF(MatchScoutingData!$E$2:$E$1000, $A15, MatchScoutingData!L$2:L$1000)</f>
        <v>18</v>
      </c>
      <c r="J15" s="28">
        <f>SUMIF(MatchScoutingData!$E$2:$E$1000, $A15, MatchScoutingData!M$2:M$1000)</f>
        <v>26</v>
      </c>
      <c r="K15" s="28">
        <f>SUMIF(MatchScoutingData!$E$2:$E$1000, $A15, MatchScoutingData!N$2:N$1000)</f>
        <v>6</v>
      </c>
      <c r="L15" s="28">
        <f>SUMIF(MatchScoutingData!$E$2:$E$1000, $A15, MatchScoutingData!O$2:O$1000)</f>
        <v>3</v>
      </c>
      <c r="M15" s="28">
        <f>SUMIF(MatchScoutingData!$E$2:$E$1000, $A15, MatchScoutingData!P$2:P$1000)</f>
        <v>2</v>
      </c>
      <c r="N15" s="28">
        <f>SUMIF(MatchScoutingData!$E$2:$E$1000, $A15, MatchScoutingData!Q$2:Q$1000)</f>
        <v>5</v>
      </c>
      <c r="O15" s="28">
        <f>SUMIF(MatchScoutingData!$E$2:$E$1000, $A15, MatchScoutingData!R$2:R$1000)</f>
        <v>4</v>
      </c>
      <c r="P15" s="28">
        <f>SUMIF(MatchScoutingData!$E$2:$E$1000, $A15, MatchScoutingData!S$2:S$1000)</f>
        <v>20</v>
      </c>
      <c r="Q15" s="28">
        <f>SUMIF(MatchScoutingData!$E$2:$E$1000, $A15, MatchScoutingData!T$2:T$1000)</f>
        <v>3</v>
      </c>
      <c r="R15" s="28">
        <f>SUMIF(MatchScoutingData!$E$2:$E$1000, $A15, MatchScoutingData!U$2:U$1000)</f>
        <v>4</v>
      </c>
      <c r="S15" s="28">
        <f>SUMIF(MatchScoutingData!$E$2:$E$1000, $A15, MatchScoutingData!V$2:V$1000)</f>
        <v>7</v>
      </c>
      <c r="T15" s="28">
        <f>SUMIF(MatchScoutingData!$E$2:$E$1000, $A15, MatchScoutingData!W$2:W$1000)</f>
        <v>18</v>
      </c>
      <c r="U15" s="28">
        <f>SUMIF(MatchScoutingData!$E$2:$E$1000, $A15, MatchScoutingData!X$2:X$1000)</f>
        <v>-4</v>
      </c>
      <c r="V15" s="28">
        <f>SUMIF(MatchScoutingData!$E$2:$E$1000, $A15, MatchScoutingData!AB$2:AB$1000)</f>
        <v>1627</v>
      </c>
      <c r="W15" s="28">
        <f>SUMIF(MatchScoutingData!$E$2:$E$1000, $A15, MatchScoutingData!Y$2:Y$1000)</f>
        <v>3</v>
      </c>
      <c r="X15" s="28">
        <f>SUMIF(MatchScoutingData!$E$2:$E$1000, $A15, MatchScoutingData!Z$2:Z$1000)</f>
        <v>4</v>
      </c>
      <c r="Y15" s="28">
        <f>SUMIF(MatchScoutingData!$E$2:$E$1000, $A15, MatchScoutingData!AA$2:AA$1000)</f>
        <v>3</v>
      </c>
      <c r="Z15" s="28">
        <f t="shared" si="0"/>
        <v>10</v>
      </c>
    </row>
    <row r="16" spans="1:26" ht="16" x14ac:dyDescent="0.2">
      <c r="A16" s="8">
        <v>639</v>
      </c>
      <c r="B16" s="28">
        <f>COUNTIF(MatchScoutingData!E$2:E$1000, $A16)</f>
        <v>9</v>
      </c>
      <c r="C16" s="28">
        <f>SUMIF(MatchScoutingData!$E$2:$E$1000, $A16, MatchScoutingData!F$2:F$1000)</f>
        <v>5</v>
      </c>
      <c r="D16" s="28">
        <f>SUMIF(MatchScoutingData!$E$2:$E$1000, $A16, MatchScoutingData!G$2:G$1000)</f>
        <v>6</v>
      </c>
      <c r="E16" s="28">
        <f>SUMIF(MatchScoutingData!$E$2:$E$1000, $A16, MatchScoutingData!H$2:H$1000)</f>
        <v>5</v>
      </c>
      <c r="F16" s="28">
        <f>SUMIF(MatchScoutingData!$E$2:$E$1000, $A16, MatchScoutingData!I$2:I$1000)</f>
        <v>3</v>
      </c>
      <c r="G16" s="28">
        <f>SUMIF(MatchScoutingData!$E$2:$E$1000, $A16, MatchScoutingData!J$2:J$1000)</f>
        <v>26</v>
      </c>
      <c r="H16" s="28">
        <f>SUMIF(MatchScoutingData!$E$2:$E$1000, $A16, MatchScoutingData!K$2:K$1000)</f>
        <v>22</v>
      </c>
      <c r="I16" s="28">
        <f>SUMIF(MatchScoutingData!$E$2:$E$1000, $A16, MatchScoutingData!L$2:L$1000)</f>
        <v>20</v>
      </c>
      <c r="J16" s="28">
        <f>SUMIF(MatchScoutingData!$E$2:$E$1000, $A16, MatchScoutingData!M$2:M$1000)</f>
        <v>30</v>
      </c>
      <c r="K16" s="28">
        <f>SUMIF(MatchScoutingData!$E$2:$E$1000, $A16, MatchScoutingData!N$2:N$1000)</f>
        <v>5</v>
      </c>
      <c r="L16" s="28">
        <f>SUMIF(MatchScoutingData!$E$2:$E$1000, $A16, MatchScoutingData!O$2:O$1000)</f>
        <v>5</v>
      </c>
      <c r="M16" s="28">
        <f>SUMIF(MatchScoutingData!$E$2:$E$1000, $A16, MatchScoutingData!P$2:P$1000)</f>
        <v>3</v>
      </c>
      <c r="N16" s="28">
        <f>SUMIF(MatchScoutingData!$E$2:$E$1000, $A16, MatchScoutingData!Q$2:Q$1000)</f>
        <v>6</v>
      </c>
      <c r="O16" s="28">
        <f>SUMIF(MatchScoutingData!$E$2:$E$1000, $A16, MatchScoutingData!R$2:R$1000)</f>
        <v>4</v>
      </c>
      <c r="P16" s="28">
        <f>SUMIF(MatchScoutingData!$E$2:$E$1000, $A16, MatchScoutingData!S$2:S$1000)</f>
        <v>11</v>
      </c>
      <c r="Q16" s="28">
        <f>SUMIF(MatchScoutingData!$E$2:$E$1000, $A16, MatchScoutingData!T$2:T$1000)</f>
        <v>6</v>
      </c>
      <c r="R16" s="28">
        <f>SUMIF(MatchScoutingData!$E$2:$E$1000, $A16, MatchScoutingData!U$2:U$1000)</f>
        <v>5</v>
      </c>
      <c r="S16" s="28">
        <f>SUMIF(MatchScoutingData!$E$2:$E$1000, $A16, MatchScoutingData!V$2:V$1000)</f>
        <v>6</v>
      </c>
      <c r="T16" s="28">
        <f>SUMIF(MatchScoutingData!$E$2:$E$1000, $A16, MatchScoutingData!W$2:W$1000)</f>
        <v>21</v>
      </c>
      <c r="U16" s="28">
        <f>SUMIF(MatchScoutingData!$E$2:$E$1000, $A16, MatchScoutingData!X$2:X$1000)</f>
        <v>-3</v>
      </c>
      <c r="V16" s="28">
        <f>SUMIF(MatchScoutingData!$E$2:$E$1000, $A16, MatchScoutingData!AB$2:AB$1000)</f>
        <v>1110</v>
      </c>
      <c r="W16" s="28">
        <f>SUMIF(MatchScoutingData!$E$2:$E$1000, $A16, MatchScoutingData!Y$2:Y$1000)</f>
        <v>6</v>
      </c>
      <c r="X16" s="28">
        <f>SUMIF(MatchScoutingData!$E$2:$E$1000, $A16, MatchScoutingData!Z$2:Z$1000)</f>
        <v>4</v>
      </c>
      <c r="Y16" s="28">
        <f>SUMIF(MatchScoutingData!$E$2:$E$1000, $A16, MatchScoutingData!AA$2:AA$1000)</f>
        <v>3</v>
      </c>
      <c r="Z16" s="28">
        <f t="shared" si="0"/>
        <v>13</v>
      </c>
    </row>
    <row r="17" spans="1:26" ht="16" x14ac:dyDescent="0.2">
      <c r="A17" s="8">
        <v>694</v>
      </c>
      <c r="B17" s="28">
        <f>COUNTIF(MatchScoutingData!E$2:E$1000, $A17)</f>
        <v>9</v>
      </c>
      <c r="C17" s="28">
        <f>SUMIF(MatchScoutingData!$E$2:$E$1000, $A17, MatchScoutingData!F$2:F$1000)</f>
        <v>4</v>
      </c>
      <c r="D17" s="28">
        <f>SUMIF(MatchScoutingData!$E$2:$E$1000, $A17, MatchScoutingData!G$2:G$1000)</f>
        <v>3</v>
      </c>
      <c r="E17" s="28">
        <f>SUMIF(MatchScoutingData!$E$2:$E$1000, $A17, MatchScoutingData!H$2:H$1000)</f>
        <v>5</v>
      </c>
      <c r="F17" s="28">
        <f>SUMIF(MatchScoutingData!$E$2:$E$1000, $A17, MatchScoutingData!I$2:I$1000)</f>
        <v>2</v>
      </c>
      <c r="G17" s="28">
        <f>SUMIF(MatchScoutingData!$E$2:$E$1000, $A17, MatchScoutingData!J$2:J$1000)</f>
        <v>24</v>
      </c>
      <c r="H17" s="28">
        <f>SUMIF(MatchScoutingData!$E$2:$E$1000, $A17, MatchScoutingData!K$2:K$1000)</f>
        <v>17</v>
      </c>
      <c r="I17" s="28">
        <f>SUMIF(MatchScoutingData!$E$2:$E$1000, $A17, MatchScoutingData!L$2:L$1000)</f>
        <v>19</v>
      </c>
      <c r="J17" s="28">
        <f>SUMIF(MatchScoutingData!$E$2:$E$1000, $A17, MatchScoutingData!M$2:M$1000)</f>
        <v>31</v>
      </c>
      <c r="K17" s="28">
        <f>SUMIF(MatchScoutingData!$E$2:$E$1000, $A17, MatchScoutingData!N$2:N$1000)</f>
        <v>4</v>
      </c>
      <c r="L17" s="28">
        <f>SUMIF(MatchScoutingData!$E$2:$E$1000, $A17, MatchScoutingData!O$2:O$1000)</f>
        <v>4</v>
      </c>
      <c r="M17" s="28">
        <f>SUMIF(MatchScoutingData!$E$2:$E$1000, $A17, MatchScoutingData!P$2:P$1000)</f>
        <v>2</v>
      </c>
      <c r="N17" s="28">
        <f>SUMIF(MatchScoutingData!$E$2:$E$1000, $A17, MatchScoutingData!Q$2:Q$1000)</f>
        <v>4</v>
      </c>
      <c r="O17" s="28">
        <f>SUMIF(MatchScoutingData!$E$2:$E$1000, $A17, MatchScoutingData!R$2:R$1000)</f>
        <v>3</v>
      </c>
      <c r="P17" s="28">
        <f>SUMIF(MatchScoutingData!$E$2:$E$1000, $A17, MatchScoutingData!S$2:S$1000)</f>
        <v>17</v>
      </c>
      <c r="Q17" s="28">
        <f>SUMIF(MatchScoutingData!$E$2:$E$1000, $A17, MatchScoutingData!T$2:T$1000)</f>
        <v>6</v>
      </c>
      <c r="R17" s="28">
        <f>SUMIF(MatchScoutingData!$E$2:$E$1000, $A17, MatchScoutingData!U$2:U$1000)</f>
        <v>4</v>
      </c>
      <c r="S17" s="28">
        <f>SUMIF(MatchScoutingData!$E$2:$E$1000, $A17, MatchScoutingData!V$2:V$1000)</f>
        <v>6</v>
      </c>
      <c r="T17" s="28">
        <f>SUMIF(MatchScoutingData!$E$2:$E$1000, $A17, MatchScoutingData!W$2:W$1000)</f>
        <v>35</v>
      </c>
      <c r="U17" s="28">
        <f>SUMIF(MatchScoutingData!$E$2:$E$1000, $A17, MatchScoutingData!X$2:X$1000)</f>
        <v>3</v>
      </c>
      <c r="V17" s="28">
        <f>SUMIF(MatchScoutingData!$E$2:$E$1000, $A17, MatchScoutingData!AB$2:AB$1000)</f>
        <v>1345</v>
      </c>
      <c r="W17" s="28">
        <f>SUMIF(MatchScoutingData!$E$2:$E$1000, $A17, MatchScoutingData!Y$2:Y$1000)</f>
        <v>4</v>
      </c>
      <c r="X17" s="28">
        <f>SUMIF(MatchScoutingData!$E$2:$E$1000, $A17, MatchScoutingData!Z$2:Z$1000)</f>
        <v>5</v>
      </c>
      <c r="Y17" s="28">
        <f>SUMIF(MatchScoutingData!$E$2:$E$1000, $A17, MatchScoutingData!AA$2:AA$1000)</f>
        <v>6</v>
      </c>
      <c r="Z17" s="28">
        <f t="shared" si="0"/>
        <v>15</v>
      </c>
    </row>
    <row r="18" spans="1:26" ht="16" x14ac:dyDescent="0.2">
      <c r="A18" s="8">
        <v>810</v>
      </c>
      <c r="B18" s="28">
        <f>COUNTIF(MatchScoutingData!E$2:E$1000, $A18)</f>
        <v>9</v>
      </c>
      <c r="C18" s="28">
        <f>SUMIF(MatchScoutingData!$E$2:$E$1000, $A18, MatchScoutingData!F$2:F$1000)</f>
        <v>3</v>
      </c>
      <c r="D18" s="28">
        <f>SUMIF(MatchScoutingData!$E$2:$E$1000, $A18, MatchScoutingData!G$2:G$1000)</f>
        <v>4</v>
      </c>
      <c r="E18" s="28">
        <f>SUMIF(MatchScoutingData!$E$2:$E$1000, $A18, MatchScoutingData!H$2:H$1000)</f>
        <v>4</v>
      </c>
      <c r="F18" s="28">
        <f>SUMIF(MatchScoutingData!$E$2:$E$1000, $A18, MatchScoutingData!I$2:I$1000)</f>
        <v>-3</v>
      </c>
      <c r="G18" s="28">
        <f>SUMIF(MatchScoutingData!$E$2:$E$1000, $A18, MatchScoutingData!J$2:J$1000)</f>
        <v>36</v>
      </c>
      <c r="H18" s="28">
        <f>SUMIF(MatchScoutingData!$E$2:$E$1000, $A18, MatchScoutingData!K$2:K$1000)</f>
        <v>16</v>
      </c>
      <c r="I18" s="28">
        <f>SUMIF(MatchScoutingData!$E$2:$E$1000, $A18, MatchScoutingData!L$2:L$1000)</f>
        <v>21</v>
      </c>
      <c r="J18" s="28">
        <f>SUMIF(MatchScoutingData!$E$2:$E$1000, $A18, MatchScoutingData!M$2:M$1000)</f>
        <v>32</v>
      </c>
      <c r="K18" s="28">
        <f>SUMIF(MatchScoutingData!$E$2:$E$1000, $A18, MatchScoutingData!N$2:N$1000)</f>
        <v>3</v>
      </c>
      <c r="L18" s="28">
        <f>SUMIF(MatchScoutingData!$E$2:$E$1000, $A18, MatchScoutingData!O$2:O$1000)</f>
        <v>4</v>
      </c>
      <c r="M18" s="28">
        <f>SUMIF(MatchScoutingData!$E$2:$E$1000, $A18, MatchScoutingData!P$2:P$1000)</f>
        <v>5</v>
      </c>
      <c r="N18" s="28">
        <f>SUMIF(MatchScoutingData!$E$2:$E$1000, $A18, MatchScoutingData!Q$2:Q$1000)</f>
        <v>3</v>
      </c>
      <c r="O18" s="28">
        <f>SUMIF(MatchScoutingData!$E$2:$E$1000, $A18, MatchScoutingData!R$2:R$1000)</f>
        <v>6</v>
      </c>
      <c r="P18" s="28">
        <f>SUMIF(MatchScoutingData!$E$2:$E$1000, $A18, MatchScoutingData!S$2:S$1000)</f>
        <v>17</v>
      </c>
      <c r="Q18" s="28">
        <f>SUMIF(MatchScoutingData!$E$2:$E$1000, $A18, MatchScoutingData!T$2:T$1000)</f>
        <v>5</v>
      </c>
      <c r="R18" s="28">
        <f>SUMIF(MatchScoutingData!$E$2:$E$1000, $A18, MatchScoutingData!U$2:U$1000)</f>
        <v>3</v>
      </c>
      <c r="S18" s="28">
        <f>SUMIF(MatchScoutingData!$E$2:$E$1000, $A18, MatchScoutingData!V$2:V$1000)</f>
        <v>5</v>
      </c>
      <c r="T18" s="28">
        <f>SUMIF(MatchScoutingData!$E$2:$E$1000, $A18, MatchScoutingData!W$2:W$1000)</f>
        <v>27</v>
      </c>
      <c r="U18" s="28">
        <f>SUMIF(MatchScoutingData!$E$2:$E$1000, $A18, MatchScoutingData!X$2:X$1000)</f>
        <v>0</v>
      </c>
      <c r="V18" s="28">
        <f>SUMIF(MatchScoutingData!$E$2:$E$1000, $A18, MatchScoutingData!AB$2:AB$1000)</f>
        <v>897</v>
      </c>
      <c r="W18" s="28">
        <f>SUMIF(MatchScoutingData!$E$2:$E$1000, $A18, MatchScoutingData!Y$2:Y$1000)</f>
        <v>5</v>
      </c>
      <c r="X18" s="28">
        <f>SUMIF(MatchScoutingData!$E$2:$E$1000, $A18, MatchScoutingData!Z$2:Z$1000)</f>
        <v>4</v>
      </c>
      <c r="Y18" s="28">
        <f>SUMIF(MatchScoutingData!$E$2:$E$1000, $A18, MatchScoutingData!AA$2:AA$1000)</f>
        <v>6</v>
      </c>
      <c r="Z18" s="28">
        <f t="shared" si="0"/>
        <v>15</v>
      </c>
    </row>
    <row r="19" spans="1:26" ht="16" x14ac:dyDescent="0.2">
      <c r="A19" s="8">
        <v>1056</v>
      </c>
      <c r="B19" s="28">
        <f>COUNTIF(MatchScoutingData!E$2:E$1000, $A19)</f>
        <v>9</v>
      </c>
      <c r="C19" s="28">
        <f>SUMIF(MatchScoutingData!$E$2:$E$1000, $A19, MatchScoutingData!F$2:F$1000)</f>
        <v>6</v>
      </c>
      <c r="D19" s="28">
        <f>SUMIF(MatchScoutingData!$E$2:$E$1000, $A19, MatchScoutingData!G$2:G$1000)</f>
        <v>5</v>
      </c>
      <c r="E19" s="28">
        <f>SUMIF(MatchScoutingData!$E$2:$E$1000, $A19, MatchScoutingData!H$2:H$1000)</f>
        <v>4</v>
      </c>
      <c r="F19" s="28">
        <f>SUMIF(MatchScoutingData!$E$2:$E$1000, $A19, MatchScoutingData!I$2:I$1000)</f>
        <v>0</v>
      </c>
      <c r="G19" s="28">
        <f>SUMIF(MatchScoutingData!$E$2:$E$1000, $A19, MatchScoutingData!J$2:J$1000)</f>
        <v>38</v>
      </c>
      <c r="H19" s="28">
        <f>SUMIF(MatchScoutingData!$E$2:$E$1000, $A19, MatchScoutingData!K$2:K$1000)</f>
        <v>18</v>
      </c>
      <c r="I19" s="28">
        <f>SUMIF(MatchScoutingData!$E$2:$E$1000, $A19, MatchScoutingData!L$2:L$1000)</f>
        <v>18</v>
      </c>
      <c r="J19" s="28">
        <f>SUMIF(MatchScoutingData!$E$2:$E$1000, $A19, MatchScoutingData!M$2:M$1000)</f>
        <v>23</v>
      </c>
      <c r="K19" s="28">
        <f>SUMIF(MatchScoutingData!$E$2:$E$1000, $A19, MatchScoutingData!N$2:N$1000)</f>
        <v>5</v>
      </c>
      <c r="L19" s="28">
        <f>SUMIF(MatchScoutingData!$E$2:$E$1000, $A19, MatchScoutingData!O$2:O$1000)</f>
        <v>5</v>
      </c>
      <c r="M19" s="28">
        <f>SUMIF(MatchScoutingData!$E$2:$E$1000, $A19, MatchScoutingData!P$2:P$1000)</f>
        <v>4</v>
      </c>
      <c r="N19" s="28">
        <f>SUMIF(MatchScoutingData!$E$2:$E$1000, $A19, MatchScoutingData!Q$2:Q$1000)</f>
        <v>1</v>
      </c>
      <c r="O19" s="28">
        <f>SUMIF(MatchScoutingData!$E$2:$E$1000, $A19, MatchScoutingData!R$2:R$1000)</f>
        <v>6</v>
      </c>
      <c r="P19" s="28">
        <f>SUMIF(MatchScoutingData!$E$2:$E$1000, $A19, MatchScoutingData!S$2:S$1000)</f>
        <v>10</v>
      </c>
      <c r="Q19" s="28">
        <f>SUMIF(MatchScoutingData!$E$2:$E$1000, $A19, MatchScoutingData!T$2:T$1000)</f>
        <v>6</v>
      </c>
      <c r="R19" s="28">
        <f>SUMIF(MatchScoutingData!$E$2:$E$1000, $A19, MatchScoutingData!U$2:U$1000)</f>
        <v>5</v>
      </c>
      <c r="S19" s="28">
        <f>SUMIF(MatchScoutingData!$E$2:$E$1000, $A19, MatchScoutingData!V$2:V$1000)</f>
        <v>4</v>
      </c>
      <c r="T19" s="28">
        <f>SUMIF(MatchScoutingData!$E$2:$E$1000, $A19, MatchScoutingData!W$2:W$1000)</f>
        <v>30</v>
      </c>
      <c r="U19" s="28">
        <f>SUMIF(MatchScoutingData!$E$2:$E$1000, $A19, MatchScoutingData!X$2:X$1000)</f>
        <v>-1</v>
      </c>
      <c r="V19" s="28">
        <f>SUMIF(MatchScoutingData!$E$2:$E$1000, $A19, MatchScoutingData!AB$2:AB$1000)</f>
        <v>1654</v>
      </c>
      <c r="W19" s="28">
        <f>SUMIF(MatchScoutingData!$E$2:$E$1000, $A19, MatchScoutingData!Y$2:Y$1000)</f>
        <v>4</v>
      </c>
      <c r="X19" s="28">
        <f>SUMIF(MatchScoutingData!$E$2:$E$1000, $A19, MatchScoutingData!Z$2:Z$1000)</f>
        <v>3</v>
      </c>
      <c r="Y19" s="28">
        <f>SUMIF(MatchScoutingData!$E$2:$E$1000, $A19, MatchScoutingData!AA$2:AA$1000)</f>
        <v>3</v>
      </c>
      <c r="Z19" s="28">
        <f t="shared" si="0"/>
        <v>10</v>
      </c>
    </row>
    <row r="20" spans="1:26" ht="16" x14ac:dyDescent="0.2">
      <c r="A20" s="8">
        <v>1126</v>
      </c>
      <c r="B20" s="28">
        <f>COUNTIF(MatchScoutingData!E$2:E$1000, $A20)</f>
        <v>9</v>
      </c>
      <c r="C20" s="28">
        <f>SUMIF(MatchScoutingData!$E$2:$E$1000, $A20, MatchScoutingData!F$2:F$1000)</f>
        <v>3</v>
      </c>
      <c r="D20" s="28">
        <f>SUMIF(MatchScoutingData!$E$2:$E$1000, $A20, MatchScoutingData!G$2:G$1000)</f>
        <v>4</v>
      </c>
      <c r="E20" s="28">
        <f>SUMIF(MatchScoutingData!$E$2:$E$1000, $A20, MatchScoutingData!H$2:H$1000)</f>
        <v>3</v>
      </c>
      <c r="F20" s="28">
        <f>SUMIF(MatchScoutingData!$E$2:$E$1000, $A20, MatchScoutingData!I$2:I$1000)</f>
        <v>5</v>
      </c>
      <c r="G20" s="28">
        <f>SUMIF(MatchScoutingData!$E$2:$E$1000, $A20, MatchScoutingData!J$2:J$1000)</f>
        <v>30</v>
      </c>
      <c r="H20" s="28">
        <f>SUMIF(MatchScoutingData!$E$2:$E$1000, $A20, MatchScoutingData!K$2:K$1000)</f>
        <v>22</v>
      </c>
      <c r="I20" s="28">
        <f>SUMIF(MatchScoutingData!$E$2:$E$1000, $A20, MatchScoutingData!L$2:L$1000)</f>
        <v>15</v>
      </c>
      <c r="J20" s="28">
        <f>SUMIF(MatchScoutingData!$E$2:$E$1000, $A20, MatchScoutingData!M$2:M$1000)</f>
        <v>33</v>
      </c>
      <c r="K20" s="28">
        <f>SUMIF(MatchScoutingData!$E$2:$E$1000, $A20, MatchScoutingData!N$2:N$1000)</f>
        <v>1</v>
      </c>
      <c r="L20" s="28">
        <f>SUMIF(MatchScoutingData!$E$2:$E$1000, $A20, MatchScoutingData!O$2:O$1000)</f>
        <v>5</v>
      </c>
      <c r="M20" s="28">
        <f>SUMIF(MatchScoutingData!$E$2:$E$1000, $A20, MatchScoutingData!P$2:P$1000)</f>
        <v>7</v>
      </c>
      <c r="N20" s="28">
        <f>SUMIF(MatchScoutingData!$E$2:$E$1000, $A20, MatchScoutingData!Q$2:Q$1000)</f>
        <v>6</v>
      </c>
      <c r="O20" s="28">
        <f>SUMIF(MatchScoutingData!$E$2:$E$1000, $A20, MatchScoutingData!R$2:R$1000)</f>
        <v>5</v>
      </c>
      <c r="P20" s="28">
        <f>SUMIF(MatchScoutingData!$E$2:$E$1000, $A20, MatchScoutingData!S$2:S$1000)</f>
        <v>9</v>
      </c>
      <c r="Q20" s="28">
        <f>SUMIF(MatchScoutingData!$E$2:$E$1000, $A20, MatchScoutingData!T$2:T$1000)</f>
        <v>4</v>
      </c>
      <c r="R20" s="28">
        <f>SUMIF(MatchScoutingData!$E$2:$E$1000, $A20, MatchScoutingData!U$2:U$1000)</f>
        <v>4</v>
      </c>
      <c r="S20" s="28">
        <f>SUMIF(MatchScoutingData!$E$2:$E$1000, $A20, MatchScoutingData!V$2:V$1000)</f>
        <v>7</v>
      </c>
      <c r="T20" s="28">
        <f>SUMIF(MatchScoutingData!$E$2:$E$1000, $A20, MatchScoutingData!W$2:W$1000)</f>
        <v>32</v>
      </c>
      <c r="U20" s="28">
        <f>SUMIF(MatchScoutingData!$E$2:$E$1000, $A20, MatchScoutingData!X$2:X$1000)</f>
        <v>1</v>
      </c>
      <c r="V20" s="28">
        <f>SUMIF(MatchScoutingData!$E$2:$E$1000, $A20, MatchScoutingData!AB$2:AB$1000)</f>
        <v>1538</v>
      </c>
      <c r="W20" s="28">
        <f>SUMIF(MatchScoutingData!$E$2:$E$1000, $A20, MatchScoutingData!Y$2:Y$1000)</f>
        <v>7</v>
      </c>
      <c r="X20" s="28">
        <f>SUMIF(MatchScoutingData!$E$2:$E$1000, $A20, MatchScoutingData!Z$2:Z$1000)</f>
        <v>6</v>
      </c>
      <c r="Y20" s="28">
        <f>SUMIF(MatchScoutingData!$E$2:$E$1000, $A20, MatchScoutingData!AA$2:AA$1000)</f>
        <v>5</v>
      </c>
      <c r="Z20" s="28">
        <f t="shared" si="0"/>
        <v>18</v>
      </c>
    </row>
    <row r="21" spans="1:26" ht="16" x14ac:dyDescent="0.2">
      <c r="A21" s="8">
        <v>1405</v>
      </c>
      <c r="B21" s="28">
        <f>COUNTIF(MatchScoutingData!E$2:E$1000, $A21)</f>
        <v>9</v>
      </c>
      <c r="C21" s="28">
        <f>SUMIF(MatchScoutingData!$E$2:$E$1000, $A21, MatchScoutingData!F$2:F$1000)</f>
        <v>5</v>
      </c>
      <c r="D21" s="28">
        <f>SUMIF(MatchScoutingData!$E$2:$E$1000, $A21, MatchScoutingData!G$2:G$1000)</f>
        <v>4</v>
      </c>
      <c r="E21" s="28">
        <f>SUMIF(MatchScoutingData!$E$2:$E$1000, $A21, MatchScoutingData!H$2:H$1000)</f>
        <v>8</v>
      </c>
      <c r="F21" s="28">
        <f>SUMIF(MatchScoutingData!$E$2:$E$1000, $A21, MatchScoutingData!I$2:I$1000)</f>
        <v>-2</v>
      </c>
      <c r="G21" s="28">
        <f>SUMIF(MatchScoutingData!$E$2:$E$1000, $A21, MatchScoutingData!J$2:J$1000)</f>
        <v>34</v>
      </c>
      <c r="H21" s="28">
        <f>SUMIF(MatchScoutingData!$E$2:$E$1000, $A21, MatchScoutingData!K$2:K$1000)</f>
        <v>19</v>
      </c>
      <c r="I21" s="28">
        <f>SUMIF(MatchScoutingData!$E$2:$E$1000, $A21, MatchScoutingData!L$2:L$1000)</f>
        <v>18</v>
      </c>
      <c r="J21" s="28">
        <f>SUMIF(MatchScoutingData!$E$2:$E$1000, $A21, MatchScoutingData!M$2:M$1000)</f>
        <v>30</v>
      </c>
      <c r="K21" s="28">
        <f>SUMIF(MatchScoutingData!$E$2:$E$1000, $A21, MatchScoutingData!N$2:N$1000)</f>
        <v>6</v>
      </c>
      <c r="L21" s="28">
        <f>SUMIF(MatchScoutingData!$E$2:$E$1000, $A21, MatchScoutingData!O$2:O$1000)</f>
        <v>2</v>
      </c>
      <c r="M21" s="28">
        <f>SUMIF(MatchScoutingData!$E$2:$E$1000, $A21, MatchScoutingData!P$2:P$1000)</f>
        <v>2</v>
      </c>
      <c r="N21" s="28">
        <f>SUMIF(MatchScoutingData!$E$2:$E$1000, $A21, MatchScoutingData!Q$2:Q$1000)</f>
        <v>4</v>
      </c>
      <c r="O21" s="28">
        <f>SUMIF(MatchScoutingData!$E$2:$E$1000, $A21, MatchScoutingData!R$2:R$1000)</f>
        <v>7</v>
      </c>
      <c r="P21" s="28">
        <f>SUMIF(MatchScoutingData!$E$2:$E$1000, $A21, MatchScoutingData!S$2:S$1000)</f>
        <v>7</v>
      </c>
      <c r="Q21" s="28">
        <f>SUMIF(MatchScoutingData!$E$2:$E$1000, $A21, MatchScoutingData!T$2:T$1000)</f>
        <v>2</v>
      </c>
      <c r="R21" s="28">
        <f>SUMIF(MatchScoutingData!$E$2:$E$1000, $A21, MatchScoutingData!U$2:U$1000)</f>
        <v>6</v>
      </c>
      <c r="S21" s="28">
        <f>SUMIF(MatchScoutingData!$E$2:$E$1000, $A21, MatchScoutingData!V$2:V$1000)</f>
        <v>6</v>
      </c>
      <c r="T21" s="28">
        <f>SUMIF(MatchScoutingData!$E$2:$E$1000, $A21, MatchScoutingData!W$2:W$1000)</f>
        <v>25</v>
      </c>
      <c r="U21" s="28">
        <f>SUMIF(MatchScoutingData!$E$2:$E$1000, $A21, MatchScoutingData!X$2:X$1000)</f>
        <v>5</v>
      </c>
      <c r="V21" s="28">
        <f>SUMIF(MatchScoutingData!$E$2:$E$1000, $A21, MatchScoutingData!AB$2:AB$1000)</f>
        <v>1532</v>
      </c>
      <c r="W21" s="28">
        <f>SUMIF(MatchScoutingData!$E$2:$E$1000, $A21, MatchScoutingData!Y$2:Y$1000)</f>
        <v>3</v>
      </c>
      <c r="X21" s="28">
        <f>SUMIF(MatchScoutingData!$E$2:$E$1000, $A21, MatchScoutingData!Z$2:Z$1000)</f>
        <v>4</v>
      </c>
      <c r="Y21" s="28">
        <f>SUMIF(MatchScoutingData!$E$2:$E$1000, $A21, MatchScoutingData!AA$2:AA$1000)</f>
        <v>3</v>
      </c>
      <c r="Z21" s="28">
        <f t="shared" si="0"/>
        <v>10</v>
      </c>
    </row>
    <row r="22" spans="1:26" ht="16" x14ac:dyDescent="0.2">
      <c r="A22" s="8">
        <v>1450</v>
      </c>
      <c r="B22" s="28">
        <f>COUNTIF(MatchScoutingData!E$2:E$1000, $A22)</f>
        <v>9</v>
      </c>
      <c r="C22" s="28">
        <f>SUMIF(MatchScoutingData!$E$2:$E$1000, $A22, MatchScoutingData!F$2:F$1000)</f>
        <v>3</v>
      </c>
      <c r="D22" s="28">
        <f>SUMIF(MatchScoutingData!$E$2:$E$1000, $A22, MatchScoutingData!G$2:G$1000)</f>
        <v>4</v>
      </c>
      <c r="E22" s="28">
        <f>SUMIF(MatchScoutingData!$E$2:$E$1000, $A22, MatchScoutingData!H$2:H$1000)</f>
        <v>4</v>
      </c>
      <c r="F22" s="28">
        <f>SUMIF(MatchScoutingData!$E$2:$E$1000, $A22, MatchScoutingData!I$2:I$1000)</f>
        <v>-1</v>
      </c>
      <c r="G22" s="28">
        <f>SUMIF(MatchScoutingData!$E$2:$E$1000, $A22, MatchScoutingData!J$2:J$1000)</f>
        <v>24</v>
      </c>
      <c r="H22" s="28">
        <f>SUMIF(MatchScoutingData!$E$2:$E$1000, $A22, MatchScoutingData!K$2:K$1000)</f>
        <v>13</v>
      </c>
      <c r="I22" s="28">
        <f>SUMIF(MatchScoutingData!$E$2:$E$1000, $A22, MatchScoutingData!L$2:L$1000)</f>
        <v>15</v>
      </c>
      <c r="J22" s="28">
        <f>SUMIF(MatchScoutingData!$E$2:$E$1000, $A22, MatchScoutingData!M$2:M$1000)</f>
        <v>27</v>
      </c>
      <c r="K22" s="28">
        <f>SUMIF(MatchScoutingData!$E$2:$E$1000, $A22, MatchScoutingData!N$2:N$1000)</f>
        <v>6</v>
      </c>
      <c r="L22" s="28">
        <f>SUMIF(MatchScoutingData!$E$2:$E$1000, $A22, MatchScoutingData!O$2:O$1000)</f>
        <v>5</v>
      </c>
      <c r="M22" s="28">
        <f>SUMIF(MatchScoutingData!$E$2:$E$1000, $A22, MatchScoutingData!P$2:P$1000)</f>
        <v>5</v>
      </c>
      <c r="N22" s="28">
        <f>SUMIF(MatchScoutingData!$E$2:$E$1000, $A22, MatchScoutingData!Q$2:Q$1000)</f>
        <v>5</v>
      </c>
      <c r="O22" s="28">
        <f>SUMIF(MatchScoutingData!$E$2:$E$1000, $A22, MatchScoutingData!R$2:R$1000)</f>
        <v>3</v>
      </c>
      <c r="P22" s="28">
        <f>SUMIF(MatchScoutingData!$E$2:$E$1000, $A22, MatchScoutingData!S$2:S$1000)</f>
        <v>12</v>
      </c>
      <c r="Q22" s="28">
        <f>SUMIF(MatchScoutingData!$E$2:$E$1000, $A22, MatchScoutingData!T$2:T$1000)</f>
        <v>6</v>
      </c>
      <c r="R22" s="28">
        <f>SUMIF(MatchScoutingData!$E$2:$E$1000, $A22, MatchScoutingData!U$2:U$1000)</f>
        <v>3</v>
      </c>
      <c r="S22" s="28">
        <f>SUMIF(MatchScoutingData!$E$2:$E$1000, $A22, MatchScoutingData!V$2:V$1000)</f>
        <v>5</v>
      </c>
      <c r="T22" s="28">
        <f>SUMIF(MatchScoutingData!$E$2:$E$1000, $A22, MatchScoutingData!W$2:W$1000)</f>
        <v>26</v>
      </c>
      <c r="U22" s="28">
        <f>SUMIF(MatchScoutingData!$E$2:$E$1000, $A22, MatchScoutingData!X$2:X$1000)</f>
        <v>1</v>
      </c>
      <c r="V22" s="28">
        <f>SUMIF(MatchScoutingData!$E$2:$E$1000, $A22, MatchScoutingData!AB$2:AB$1000)</f>
        <v>1602</v>
      </c>
      <c r="W22" s="28">
        <f>SUMIF(MatchScoutingData!$E$2:$E$1000, $A22, MatchScoutingData!Y$2:Y$1000)</f>
        <v>6</v>
      </c>
      <c r="X22" s="28">
        <f>SUMIF(MatchScoutingData!$E$2:$E$1000, $A22, MatchScoutingData!Z$2:Z$1000)</f>
        <v>5</v>
      </c>
      <c r="Y22" s="28">
        <f>SUMIF(MatchScoutingData!$E$2:$E$1000, $A22, MatchScoutingData!AA$2:AA$1000)</f>
        <v>6</v>
      </c>
      <c r="Z22" s="28">
        <f t="shared" si="0"/>
        <v>17</v>
      </c>
    </row>
    <row r="23" spans="1:26" ht="16" x14ac:dyDescent="0.2">
      <c r="A23" s="8">
        <v>1468</v>
      </c>
      <c r="B23" s="28">
        <f>COUNTIF(MatchScoutingData!E$2:E$1000, $A23)</f>
        <v>9</v>
      </c>
      <c r="C23" s="28">
        <f>SUMIF(MatchScoutingData!$E$2:$E$1000, $A23, MatchScoutingData!F$2:F$1000)</f>
        <v>9</v>
      </c>
      <c r="D23" s="28">
        <f>SUMIF(MatchScoutingData!$E$2:$E$1000, $A23, MatchScoutingData!G$2:G$1000)</f>
        <v>7</v>
      </c>
      <c r="E23" s="28">
        <f>SUMIF(MatchScoutingData!$E$2:$E$1000, $A23, MatchScoutingData!H$2:H$1000)</f>
        <v>6</v>
      </c>
      <c r="F23" s="28">
        <f>SUMIF(MatchScoutingData!$E$2:$E$1000, $A23, MatchScoutingData!I$2:I$1000)</f>
        <v>-2</v>
      </c>
      <c r="G23" s="28">
        <f>SUMIF(MatchScoutingData!$E$2:$E$1000, $A23, MatchScoutingData!J$2:J$1000)</f>
        <v>36</v>
      </c>
      <c r="H23" s="28">
        <f>SUMIF(MatchScoutingData!$E$2:$E$1000, $A23, MatchScoutingData!K$2:K$1000)</f>
        <v>22</v>
      </c>
      <c r="I23" s="28">
        <f>SUMIF(MatchScoutingData!$E$2:$E$1000, $A23, MatchScoutingData!L$2:L$1000)</f>
        <v>16</v>
      </c>
      <c r="J23" s="28">
        <f>SUMIF(MatchScoutingData!$E$2:$E$1000, $A23, MatchScoutingData!M$2:M$1000)</f>
        <v>29</v>
      </c>
      <c r="K23" s="28">
        <f>SUMIF(MatchScoutingData!$E$2:$E$1000, $A23, MatchScoutingData!N$2:N$1000)</f>
        <v>7</v>
      </c>
      <c r="L23" s="28">
        <f>SUMIF(MatchScoutingData!$E$2:$E$1000, $A23, MatchScoutingData!O$2:O$1000)</f>
        <v>3</v>
      </c>
      <c r="M23" s="28">
        <f>SUMIF(MatchScoutingData!$E$2:$E$1000, $A23, MatchScoutingData!P$2:P$1000)</f>
        <v>4</v>
      </c>
      <c r="N23" s="28">
        <f>SUMIF(MatchScoutingData!$E$2:$E$1000, $A23, MatchScoutingData!Q$2:Q$1000)</f>
        <v>3</v>
      </c>
      <c r="O23" s="28">
        <f>SUMIF(MatchScoutingData!$E$2:$E$1000, $A23, MatchScoutingData!R$2:R$1000)</f>
        <v>5</v>
      </c>
      <c r="P23" s="28">
        <f>SUMIF(MatchScoutingData!$E$2:$E$1000, $A23, MatchScoutingData!S$2:S$1000)</f>
        <v>19</v>
      </c>
      <c r="Q23" s="28">
        <f>SUMIF(MatchScoutingData!$E$2:$E$1000, $A23, MatchScoutingData!T$2:T$1000)</f>
        <v>3</v>
      </c>
      <c r="R23" s="28">
        <f>SUMIF(MatchScoutingData!$E$2:$E$1000, $A23, MatchScoutingData!U$2:U$1000)</f>
        <v>4</v>
      </c>
      <c r="S23" s="28">
        <f>SUMIF(MatchScoutingData!$E$2:$E$1000, $A23, MatchScoutingData!V$2:V$1000)</f>
        <v>4</v>
      </c>
      <c r="T23" s="28">
        <f>SUMIF(MatchScoutingData!$E$2:$E$1000, $A23, MatchScoutingData!W$2:W$1000)</f>
        <v>24</v>
      </c>
      <c r="U23" s="28">
        <f>SUMIF(MatchScoutingData!$E$2:$E$1000, $A23, MatchScoutingData!X$2:X$1000)</f>
        <v>0</v>
      </c>
      <c r="V23" s="28">
        <f>SUMIF(MatchScoutingData!$E$2:$E$1000, $A23, MatchScoutingData!AB$2:AB$1000)</f>
        <v>1345</v>
      </c>
      <c r="W23" s="28">
        <f>SUMIF(MatchScoutingData!$E$2:$E$1000, $A23, MatchScoutingData!Y$2:Y$1000)</f>
        <v>4</v>
      </c>
      <c r="X23" s="28">
        <f>SUMIF(MatchScoutingData!$E$2:$E$1000, $A23, MatchScoutingData!Z$2:Z$1000)</f>
        <v>5</v>
      </c>
      <c r="Y23" s="28">
        <f>SUMIF(MatchScoutingData!$E$2:$E$1000, $A23, MatchScoutingData!AA$2:AA$1000)</f>
        <v>5</v>
      </c>
      <c r="Z23" s="28">
        <f t="shared" si="0"/>
        <v>14</v>
      </c>
    </row>
    <row r="24" spans="1:26" ht="16" x14ac:dyDescent="0.2">
      <c r="A24" s="8">
        <v>1507</v>
      </c>
      <c r="B24" s="28">
        <f>COUNTIF(MatchScoutingData!E$2:E$1000, $A24)</f>
        <v>9</v>
      </c>
      <c r="C24" s="28">
        <f>SUMIF(MatchScoutingData!$E$2:$E$1000, $A24, MatchScoutingData!F$2:F$1000)</f>
        <v>4</v>
      </c>
      <c r="D24" s="28">
        <f>SUMIF(MatchScoutingData!$E$2:$E$1000, $A24, MatchScoutingData!G$2:G$1000)</f>
        <v>6</v>
      </c>
      <c r="E24" s="28">
        <f>SUMIF(MatchScoutingData!$E$2:$E$1000, $A24, MatchScoutingData!H$2:H$1000)</f>
        <v>4</v>
      </c>
      <c r="F24" s="28">
        <f>SUMIF(MatchScoutingData!$E$2:$E$1000, $A24, MatchScoutingData!I$2:I$1000)</f>
        <v>-1</v>
      </c>
      <c r="G24" s="28">
        <f>SUMIF(MatchScoutingData!$E$2:$E$1000, $A24, MatchScoutingData!J$2:J$1000)</f>
        <v>28</v>
      </c>
      <c r="H24" s="28">
        <f>SUMIF(MatchScoutingData!$E$2:$E$1000, $A24, MatchScoutingData!K$2:K$1000)</f>
        <v>16</v>
      </c>
      <c r="I24" s="28">
        <f>SUMIF(MatchScoutingData!$E$2:$E$1000, $A24, MatchScoutingData!L$2:L$1000)</f>
        <v>18</v>
      </c>
      <c r="J24" s="28">
        <f>SUMIF(MatchScoutingData!$E$2:$E$1000, $A24, MatchScoutingData!M$2:M$1000)</f>
        <v>20</v>
      </c>
      <c r="K24" s="28">
        <f>SUMIF(MatchScoutingData!$E$2:$E$1000, $A24, MatchScoutingData!N$2:N$1000)</f>
        <v>3</v>
      </c>
      <c r="L24" s="28">
        <f>SUMIF(MatchScoutingData!$E$2:$E$1000, $A24, MatchScoutingData!O$2:O$1000)</f>
        <v>5</v>
      </c>
      <c r="M24" s="28">
        <f>SUMIF(MatchScoutingData!$E$2:$E$1000, $A24, MatchScoutingData!P$2:P$1000)</f>
        <v>2</v>
      </c>
      <c r="N24" s="28">
        <f>SUMIF(MatchScoutingData!$E$2:$E$1000, $A24, MatchScoutingData!Q$2:Q$1000)</f>
        <v>4</v>
      </c>
      <c r="O24" s="28">
        <f>SUMIF(MatchScoutingData!$E$2:$E$1000, $A24, MatchScoutingData!R$2:R$1000)</f>
        <v>2</v>
      </c>
      <c r="P24" s="28">
        <f>SUMIF(MatchScoutingData!$E$2:$E$1000, $A24, MatchScoutingData!S$2:S$1000)</f>
        <v>10</v>
      </c>
      <c r="Q24" s="28">
        <f>SUMIF(MatchScoutingData!$E$2:$E$1000, $A24, MatchScoutingData!T$2:T$1000)</f>
        <v>6</v>
      </c>
      <c r="R24" s="28">
        <f>SUMIF(MatchScoutingData!$E$2:$E$1000, $A24, MatchScoutingData!U$2:U$1000)</f>
        <v>6</v>
      </c>
      <c r="S24" s="28">
        <f>SUMIF(MatchScoutingData!$E$2:$E$1000, $A24, MatchScoutingData!V$2:V$1000)</f>
        <v>3</v>
      </c>
      <c r="T24" s="28">
        <f>SUMIF(MatchScoutingData!$E$2:$E$1000, $A24, MatchScoutingData!W$2:W$1000)</f>
        <v>25</v>
      </c>
      <c r="U24" s="28">
        <f>SUMIF(MatchScoutingData!$E$2:$E$1000, $A24, MatchScoutingData!X$2:X$1000)</f>
        <v>0</v>
      </c>
      <c r="V24" s="28">
        <f>SUMIF(MatchScoutingData!$E$2:$E$1000, $A24, MatchScoutingData!AB$2:AB$1000)</f>
        <v>1623</v>
      </c>
      <c r="W24" s="28">
        <f>SUMIF(MatchScoutingData!$E$2:$E$1000, $A24, MatchScoutingData!Y$2:Y$1000)</f>
        <v>4</v>
      </c>
      <c r="X24" s="28">
        <f>SUMIF(MatchScoutingData!$E$2:$E$1000, $A24, MatchScoutingData!Z$2:Z$1000)</f>
        <v>6</v>
      </c>
      <c r="Y24" s="28">
        <f>SUMIF(MatchScoutingData!$E$2:$E$1000, $A24, MatchScoutingData!AA$2:AA$1000)</f>
        <v>5</v>
      </c>
      <c r="Z24" s="28">
        <f t="shared" si="0"/>
        <v>15</v>
      </c>
    </row>
    <row r="25" spans="1:26" ht="16" x14ac:dyDescent="0.2">
      <c r="A25" s="8">
        <v>1511</v>
      </c>
      <c r="B25" s="28">
        <f>COUNTIF(MatchScoutingData!E$2:E$1000, $A25)</f>
        <v>9</v>
      </c>
      <c r="C25" s="28">
        <f>SUMIF(MatchScoutingData!$E$2:$E$1000, $A25, MatchScoutingData!F$2:F$1000)</f>
        <v>2</v>
      </c>
      <c r="D25" s="28">
        <f>SUMIF(MatchScoutingData!$E$2:$E$1000, $A25, MatchScoutingData!G$2:G$1000)</f>
        <v>3</v>
      </c>
      <c r="E25" s="28">
        <f>SUMIF(MatchScoutingData!$E$2:$E$1000, $A25, MatchScoutingData!H$2:H$1000)</f>
        <v>2</v>
      </c>
      <c r="F25" s="28">
        <f>SUMIF(MatchScoutingData!$E$2:$E$1000, $A25, MatchScoutingData!I$2:I$1000)</f>
        <v>1</v>
      </c>
      <c r="G25" s="28">
        <f>SUMIF(MatchScoutingData!$E$2:$E$1000, $A25, MatchScoutingData!J$2:J$1000)</f>
        <v>31</v>
      </c>
      <c r="H25" s="28">
        <f>SUMIF(MatchScoutingData!$E$2:$E$1000, $A25, MatchScoutingData!K$2:K$1000)</f>
        <v>18</v>
      </c>
      <c r="I25" s="28">
        <f>SUMIF(MatchScoutingData!$E$2:$E$1000, $A25, MatchScoutingData!L$2:L$1000)</f>
        <v>14</v>
      </c>
      <c r="J25" s="28">
        <f>SUMIF(MatchScoutingData!$E$2:$E$1000, $A25, MatchScoutingData!M$2:M$1000)</f>
        <v>27</v>
      </c>
      <c r="K25" s="28">
        <f>SUMIF(MatchScoutingData!$E$2:$E$1000, $A25, MatchScoutingData!N$2:N$1000)</f>
        <v>5</v>
      </c>
      <c r="L25" s="28">
        <f>SUMIF(MatchScoutingData!$E$2:$E$1000, $A25, MatchScoutingData!O$2:O$1000)</f>
        <v>6</v>
      </c>
      <c r="M25" s="28">
        <f>SUMIF(MatchScoutingData!$E$2:$E$1000, $A25, MatchScoutingData!P$2:P$1000)</f>
        <v>4</v>
      </c>
      <c r="N25" s="28">
        <f>SUMIF(MatchScoutingData!$E$2:$E$1000, $A25, MatchScoutingData!Q$2:Q$1000)</f>
        <v>4</v>
      </c>
      <c r="O25" s="28">
        <f>SUMIF(MatchScoutingData!$E$2:$E$1000, $A25, MatchScoutingData!R$2:R$1000)</f>
        <v>3</v>
      </c>
      <c r="P25" s="28">
        <f>SUMIF(MatchScoutingData!$E$2:$E$1000, $A25, MatchScoutingData!S$2:S$1000)</f>
        <v>11</v>
      </c>
      <c r="Q25" s="28">
        <f>SUMIF(MatchScoutingData!$E$2:$E$1000, $A25, MatchScoutingData!T$2:T$1000)</f>
        <v>4</v>
      </c>
      <c r="R25" s="28">
        <f>SUMIF(MatchScoutingData!$E$2:$E$1000, $A25, MatchScoutingData!U$2:U$1000)</f>
        <v>4</v>
      </c>
      <c r="S25" s="28">
        <f>SUMIF(MatchScoutingData!$E$2:$E$1000, $A25, MatchScoutingData!V$2:V$1000)</f>
        <v>5</v>
      </c>
      <c r="T25" s="28">
        <f>SUMIF(MatchScoutingData!$E$2:$E$1000, $A25, MatchScoutingData!W$2:W$1000)</f>
        <v>33</v>
      </c>
      <c r="U25" s="28">
        <f>SUMIF(MatchScoutingData!$E$2:$E$1000, $A25, MatchScoutingData!X$2:X$1000)</f>
        <v>1</v>
      </c>
      <c r="V25" s="28">
        <f>SUMIF(MatchScoutingData!$E$2:$E$1000, $A25, MatchScoutingData!AB$2:AB$1000)</f>
        <v>1218</v>
      </c>
      <c r="W25" s="28">
        <f>SUMIF(MatchScoutingData!$E$2:$E$1000, $A25, MatchScoutingData!Y$2:Y$1000)</f>
        <v>5</v>
      </c>
      <c r="X25" s="28">
        <f>SUMIF(MatchScoutingData!$E$2:$E$1000, $A25, MatchScoutingData!Z$2:Z$1000)</f>
        <v>8</v>
      </c>
      <c r="Y25" s="28">
        <f>SUMIF(MatchScoutingData!$E$2:$E$1000, $A25, MatchScoutingData!AA$2:AA$1000)</f>
        <v>6</v>
      </c>
      <c r="Z25" s="28">
        <f t="shared" si="0"/>
        <v>19</v>
      </c>
    </row>
    <row r="26" spans="1:26" ht="16" x14ac:dyDescent="0.2">
      <c r="A26" s="8">
        <v>1518</v>
      </c>
      <c r="B26" s="28">
        <f>COUNTIF(MatchScoutingData!E$2:E$1000, $A26)</f>
        <v>9</v>
      </c>
      <c r="C26" s="28">
        <f>SUMIF(MatchScoutingData!$E$2:$E$1000, $A26, MatchScoutingData!F$2:F$1000)</f>
        <v>5</v>
      </c>
      <c r="D26" s="28">
        <f>SUMIF(MatchScoutingData!$E$2:$E$1000, $A26, MatchScoutingData!G$2:G$1000)</f>
        <v>2</v>
      </c>
      <c r="E26" s="28">
        <f>SUMIF(MatchScoutingData!$E$2:$E$1000, $A26, MatchScoutingData!H$2:H$1000)</f>
        <v>6</v>
      </c>
      <c r="F26" s="28">
        <f>SUMIF(MatchScoutingData!$E$2:$E$1000, $A26, MatchScoutingData!I$2:I$1000)</f>
        <v>-4</v>
      </c>
      <c r="G26" s="28">
        <f>SUMIF(MatchScoutingData!$E$2:$E$1000, $A26, MatchScoutingData!J$2:J$1000)</f>
        <v>24</v>
      </c>
      <c r="H26" s="28">
        <f>SUMIF(MatchScoutingData!$E$2:$E$1000, $A26, MatchScoutingData!K$2:K$1000)</f>
        <v>20</v>
      </c>
      <c r="I26" s="28">
        <f>SUMIF(MatchScoutingData!$E$2:$E$1000, $A26, MatchScoutingData!L$2:L$1000)</f>
        <v>18</v>
      </c>
      <c r="J26" s="28">
        <f>SUMIF(MatchScoutingData!$E$2:$E$1000, $A26, MatchScoutingData!M$2:M$1000)</f>
        <v>29</v>
      </c>
      <c r="K26" s="28">
        <f>SUMIF(MatchScoutingData!$E$2:$E$1000, $A26, MatchScoutingData!N$2:N$1000)</f>
        <v>6</v>
      </c>
      <c r="L26" s="28">
        <f>SUMIF(MatchScoutingData!$E$2:$E$1000, $A26, MatchScoutingData!O$2:O$1000)</f>
        <v>6</v>
      </c>
      <c r="M26" s="28">
        <f>SUMIF(MatchScoutingData!$E$2:$E$1000, $A26, MatchScoutingData!P$2:P$1000)</f>
        <v>2</v>
      </c>
      <c r="N26" s="28">
        <f>SUMIF(MatchScoutingData!$E$2:$E$1000, $A26, MatchScoutingData!Q$2:Q$1000)</f>
        <v>6</v>
      </c>
      <c r="O26" s="28">
        <f>SUMIF(MatchScoutingData!$E$2:$E$1000, $A26, MatchScoutingData!R$2:R$1000)</f>
        <v>2</v>
      </c>
      <c r="P26" s="28">
        <f>SUMIF(MatchScoutingData!$E$2:$E$1000, $A26, MatchScoutingData!S$2:S$1000)</f>
        <v>7</v>
      </c>
      <c r="Q26" s="28">
        <f>SUMIF(MatchScoutingData!$E$2:$E$1000, $A26, MatchScoutingData!T$2:T$1000)</f>
        <v>5</v>
      </c>
      <c r="R26" s="28">
        <f>SUMIF(MatchScoutingData!$E$2:$E$1000, $A26, MatchScoutingData!U$2:U$1000)</f>
        <v>5</v>
      </c>
      <c r="S26" s="28">
        <f>SUMIF(MatchScoutingData!$E$2:$E$1000, $A26, MatchScoutingData!V$2:V$1000)</f>
        <v>6</v>
      </c>
      <c r="T26" s="28">
        <f>SUMIF(MatchScoutingData!$E$2:$E$1000, $A26, MatchScoutingData!W$2:W$1000)</f>
        <v>26</v>
      </c>
      <c r="U26" s="28">
        <f>SUMIF(MatchScoutingData!$E$2:$E$1000, $A26, MatchScoutingData!X$2:X$1000)</f>
        <v>-4</v>
      </c>
      <c r="V26" s="28">
        <f>SUMIF(MatchScoutingData!$E$2:$E$1000, $A26, MatchScoutingData!AB$2:AB$1000)</f>
        <v>1039</v>
      </c>
      <c r="W26" s="28">
        <f>SUMIF(MatchScoutingData!$E$2:$E$1000, $A26, MatchScoutingData!Y$2:Y$1000)</f>
        <v>6</v>
      </c>
      <c r="X26" s="28">
        <f>SUMIF(MatchScoutingData!$E$2:$E$1000, $A26, MatchScoutingData!Z$2:Z$1000)</f>
        <v>4</v>
      </c>
      <c r="Y26" s="28">
        <f>SUMIF(MatchScoutingData!$E$2:$E$1000, $A26, MatchScoutingData!AA$2:AA$1000)</f>
        <v>7</v>
      </c>
      <c r="Z26" s="28">
        <f t="shared" si="0"/>
        <v>17</v>
      </c>
    </row>
    <row r="27" spans="1:26" ht="16" x14ac:dyDescent="0.2">
      <c r="A27" s="8">
        <v>1559</v>
      </c>
      <c r="B27" s="28">
        <f>COUNTIF(MatchScoutingData!E$2:E$1000, $A27)</f>
        <v>9</v>
      </c>
      <c r="C27" s="28">
        <f>SUMIF(MatchScoutingData!$E$2:$E$1000, $A27, MatchScoutingData!F$2:F$1000)</f>
        <v>6</v>
      </c>
      <c r="D27" s="28">
        <f>SUMIF(MatchScoutingData!$E$2:$E$1000, $A27, MatchScoutingData!G$2:G$1000)</f>
        <v>4</v>
      </c>
      <c r="E27" s="28">
        <f>SUMIF(MatchScoutingData!$E$2:$E$1000, $A27, MatchScoutingData!H$2:H$1000)</f>
        <v>4</v>
      </c>
      <c r="F27" s="28">
        <f>SUMIF(MatchScoutingData!$E$2:$E$1000, $A27, MatchScoutingData!I$2:I$1000)</f>
        <v>1</v>
      </c>
      <c r="G27" s="28">
        <f>SUMIF(MatchScoutingData!$E$2:$E$1000, $A27, MatchScoutingData!J$2:J$1000)</f>
        <v>26</v>
      </c>
      <c r="H27" s="28">
        <f>SUMIF(MatchScoutingData!$E$2:$E$1000, $A27, MatchScoutingData!K$2:K$1000)</f>
        <v>15</v>
      </c>
      <c r="I27" s="28">
        <f>SUMIF(MatchScoutingData!$E$2:$E$1000, $A27, MatchScoutingData!L$2:L$1000)</f>
        <v>16</v>
      </c>
      <c r="J27" s="28">
        <f>SUMIF(MatchScoutingData!$E$2:$E$1000, $A27, MatchScoutingData!M$2:M$1000)</f>
        <v>33</v>
      </c>
      <c r="K27" s="28">
        <f>SUMIF(MatchScoutingData!$E$2:$E$1000, $A27, MatchScoutingData!N$2:N$1000)</f>
        <v>8</v>
      </c>
      <c r="L27" s="28">
        <f>SUMIF(MatchScoutingData!$E$2:$E$1000, $A27, MatchScoutingData!O$2:O$1000)</f>
        <v>2</v>
      </c>
      <c r="M27" s="28">
        <f>SUMIF(MatchScoutingData!$E$2:$E$1000, $A27, MatchScoutingData!P$2:P$1000)</f>
        <v>4</v>
      </c>
      <c r="N27" s="28">
        <f>SUMIF(MatchScoutingData!$E$2:$E$1000, $A27, MatchScoutingData!Q$2:Q$1000)</f>
        <v>4</v>
      </c>
      <c r="O27" s="28">
        <f>SUMIF(MatchScoutingData!$E$2:$E$1000, $A27, MatchScoutingData!R$2:R$1000)</f>
        <v>4</v>
      </c>
      <c r="P27" s="28">
        <f>SUMIF(MatchScoutingData!$E$2:$E$1000, $A27, MatchScoutingData!S$2:S$1000)</f>
        <v>15</v>
      </c>
      <c r="Q27" s="28">
        <f>SUMIF(MatchScoutingData!$E$2:$E$1000, $A27, MatchScoutingData!T$2:T$1000)</f>
        <v>3</v>
      </c>
      <c r="R27" s="28">
        <f>SUMIF(MatchScoutingData!$E$2:$E$1000, $A27, MatchScoutingData!U$2:U$1000)</f>
        <v>5</v>
      </c>
      <c r="S27" s="28">
        <f>SUMIF(MatchScoutingData!$E$2:$E$1000, $A27, MatchScoutingData!V$2:V$1000)</f>
        <v>2</v>
      </c>
      <c r="T27" s="28">
        <f>SUMIF(MatchScoutingData!$E$2:$E$1000, $A27, MatchScoutingData!W$2:W$1000)</f>
        <v>26</v>
      </c>
      <c r="U27" s="28">
        <f>SUMIF(MatchScoutingData!$E$2:$E$1000, $A27, MatchScoutingData!X$2:X$1000)</f>
        <v>-1</v>
      </c>
      <c r="V27" s="28">
        <f>SUMIF(MatchScoutingData!$E$2:$E$1000, $A27, MatchScoutingData!AB$2:AB$1000)</f>
        <v>994</v>
      </c>
      <c r="W27" s="28">
        <f>SUMIF(MatchScoutingData!$E$2:$E$1000, $A27, MatchScoutingData!Y$2:Y$1000)</f>
        <v>4</v>
      </c>
      <c r="X27" s="28">
        <f>SUMIF(MatchScoutingData!$E$2:$E$1000, $A27, MatchScoutingData!Z$2:Z$1000)</f>
        <v>2</v>
      </c>
      <c r="Y27" s="28">
        <f>SUMIF(MatchScoutingData!$E$2:$E$1000, $A27, MatchScoutingData!AA$2:AA$1000)</f>
        <v>3</v>
      </c>
      <c r="Z27" s="28">
        <f t="shared" si="0"/>
        <v>9</v>
      </c>
    </row>
    <row r="28" spans="1:26" ht="16" x14ac:dyDescent="0.2">
      <c r="A28" s="8">
        <v>1585</v>
      </c>
      <c r="B28" s="28">
        <f>COUNTIF(MatchScoutingData!E$2:E$1000, $A28)</f>
        <v>9</v>
      </c>
      <c r="C28" s="28">
        <f>SUMIF(MatchScoutingData!$E$2:$E$1000, $A28, MatchScoutingData!F$2:F$1000)</f>
        <v>3</v>
      </c>
      <c r="D28" s="28">
        <f>SUMIF(MatchScoutingData!$E$2:$E$1000, $A28, MatchScoutingData!G$2:G$1000)</f>
        <v>6</v>
      </c>
      <c r="E28" s="28">
        <f>SUMIF(MatchScoutingData!$E$2:$E$1000, $A28, MatchScoutingData!H$2:H$1000)</f>
        <v>7</v>
      </c>
      <c r="F28" s="28">
        <f>SUMIF(MatchScoutingData!$E$2:$E$1000, $A28, MatchScoutingData!I$2:I$1000)</f>
        <v>-3</v>
      </c>
      <c r="G28" s="28">
        <f>SUMIF(MatchScoutingData!$E$2:$E$1000, $A28, MatchScoutingData!J$2:J$1000)</f>
        <v>22</v>
      </c>
      <c r="H28" s="28">
        <f>SUMIF(MatchScoutingData!$E$2:$E$1000, $A28, MatchScoutingData!K$2:K$1000)</f>
        <v>14</v>
      </c>
      <c r="I28" s="28">
        <f>SUMIF(MatchScoutingData!$E$2:$E$1000, $A28, MatchScoutingData!L$2:L$1000)</f>
        <v>16</v>
      </c>
      <c r="J28" s="28">
        <f>SUMIF(MatchScoutingData!$E$2:$E$1000, $A28, MatchScoutingData!M$2:M$1000)</f>
        <v>31</v>
      </c>
      <c r="K28" s="28">
        <f>SUMIF(MatchScoutingData!$E$2:$E$1000, $A28, MatchScoutingData!N$2:N$1000)</f>
        <v>5</v>
      </c>
      <c r="L28" s="28">
        <f>SUMIF(MatchScoutingData!$E$2:$E$1000, $A28, MatchScoutingData!O$2:O$1000)</f>
        <v>6</v>
      </c>
      <c r="M28" s="28">
        <f>SUMIF(MatchScoutingData!$E$2:$E$1000, $A28, MatchScoutingData!P$2:P$1000)</f>
        <v>6</v>
      </c>
      <c r="N28" s="28">
        <f>SUMIF(MatchScoutingData!$E$2:$E$1000, $A28, MatchScoutingData!Q$2:Q$1000)</f>
        <v>4</v>
      </c>
      <c r="O28" s="28">
        <f>SUMIF(MatchScoutingData!$E$2:$E$1000, $A28, MatchScoutingData!R$2:R$1000)</f>
        <v>5</v>
      </c>
      <c r="P28" s="28">
        <f>SUMIF(MatchScoutingData!$E$2:$E$1000, $A28, MatchScoutingData!S$2:S$1000)</f>
        <v>11</v>
      </c>
      <c r="Q28" s="28">
        <f>SUMIF(MatchScoutingData!$E$2:$E$1000, $A28, MatchScoutingData!T$2:T$1000)</f>
        <v>4</v>
      </c>
      <c r="R28" s="28">
        <f>SUMIF(MatchScoutingData!$E$2:$E$1000, $A28, MatchScoutingData!U$2:U$1000)</f>
        <v>3</v>
      </c>
      <c r="S28" s="28">
        <f>SUMIF(MatchScoutingData!$E$2:$E$1000, $A28, MatchScoutingData!V$2:V$1000)</f>
        <v>3</v>
      </c>
      <c r="T28" s="28">
        <f>SUMIF(MatchScoutingData!$E$2:$E$1000, $A28, MatchScoutingData!W$2:W$1000)</f>
        <v>27</v>
      </c>
      <c r="U28" s="28">
        <f>SUMIF(MatchScoutingData!$E$2:$E$1000, $A28, MatchScoutingData!X$2:X$1000)</f>
        <v>1</v>
      </c>
      <c r="V28" s="28">
        <f>SUMIF(MatchScoutingData!$E$2:$E$1000, $A28, MatchScoutingData!AB$2:AB$1000)</f>
        <v>951</v>
      </c>
      <c r="W28" s="28">
        <f>SUMIF(MatchScoutingData!$E$2:$E$1000, $A28, MatchScoutingData!Y$2:Y$1000)</f>
        <v>5</v>
      </c>
      <c r="X28" s="28">
        <f>SUMIF(MatchScoutingData!$E$2:$E$1000, $A28, MatchScoutingData!Z$2:Z$1000)</f>
        <v>4</v>
      </c>
      <c r="Y28" s="28">
        <f>SUMIF(MatchScoutingData!$E$2:$E$1000, $A28, MatchScoutingData!AA$2:AA$1000)</f>
        <v>7</v>
      </c>
      <c r="Z28" s="28">
        <f t="shared" si="0"/>
        <v>16</v>
      </c>
    </row>
    <row r="29" spans="1:26" ht="16" x14ac:dyDescent="0.2">
      <c r="A29" s="8">
        <v>1591</v>
      </c>
      <c r="B29" s="28">
        <f>COUNTIF(MatchScoutingData!E$2:E$1000, $A29)</f>
        <v>9</v>
      </c>
      <c r="C29" s="28">
        <f>SUMIF(MatchScoutingData!$E$2:$E$1000, $A29, MatchScoutingData!F$2:F$1000)</f>
        <v>6</v>
      </c>
      <c r="D29" s="28">
        <f>SUMIF(MatchScoutingData!$E$2:$E$1000, $A29, MatchScoutingData!G$2:G$1000)</f>
        <v>5</v>
      </c>
      <c r="E29" s="28">
        <f>SUMIF(MatchScoutingData!$E$2:$E$1000, $A29, MatchScoutingData!H$2:H$1000)</f>
        <v>3</v>
      </c>
      <c r="F29" s="28">
        <f>SUMIF(MatchScoutingData!$E$2:$E$1000, $A29, MatchScoutingData!I$2:I$1000)</f>
        <v>-1</v>
      </c>
      <c r="G29" s="28">
        <f>SUMIF(MatchScoutingData!$E$2:$E$1000, $A29, MatchScoutingData!J$2:J$1000)</f>
        <v>26</v>
      </c>
      <c r="H29" s="28">
        <f>SUMIF(MatchScoutingData!$E$2:$E$1000, $A29, MatchScoutingData!K$2:K$1000)</f>
        <v>18</v>
      </c>
      <c r="I29" s="28">
        <f>SUMIF(MatchScoutingData!$E$2:$E$1000, $A29, MatchScoutingData!L$2:L$1000)</f>
        <v>21</v>
      </c>
      <c r="J29" s="28">
        <f>SUMIF(MatchScoutingData!$E$2:$E$1000, $A29, MatchScoutingData!M$2:M$1000)</f>
        <v>33</v>
      </c>
      <c r="K29" s="28">
        <f>SUMIF(MatchScoutingData!$E$2:$E$1000, $A29, MatchScoutingData!N$2:N$1000)</f>
        <v>2</v>
      </c>
      <c r="L29" s="28">
        <f>SUMIF(MatchScoutingData!$E$2:$E$1000, $A29, MatchScoutingData!O$2:O$1000)</f>
        <v>4</v>
      </c>
      <c r="M29" s="28">
        <f>SUMIF(MatchScoutingData!$E$2:$E$1000, $A29, MatchScoutingData!P$2:P$1000)</f>
        <v>7</v>
      </c>
      <c r="N29" s="28">
        <f>SUMIF(MatchScoutingData!$E$2:$E$1000, $A29, MatchScoutingData!Q$2:Q$1000)</f>
        <v>4</v>
      </c>
      <c r="O29" s="28">
        <f>SUMIF(MatchScoutingData!$E$2:$E$1000, $A29, MatchScoutingData!R$2:R$1000)</f>
        <v>4</v>
      </c>
      <c r="P29" s="28">
        <f>SUMIF(MatchScoutingData!$E$2:$E$1000, $A29, MatchScoutingData!S$2:S$1000)</f>
        <v>6</v>
      </c>
      <c r="Q29" s="28">
        <f>SUMIF(MatchScoutingData!$E$2:$E$1000, $A29, MatchScoutingData!T$2:T$1000)</f>
        <v>5</v>
      </c>
      <c r="R29" s="28">
        <f>SUMIF(MatchScoutingData!$E$2:$E$1000, $A29, MatchScoutingData!U$2:U$1000)</f>
        <v>5</v>
      </c>
      <c r="S29" s="28">
        <f>SUMIF(MatchScoutingData!$E$2:$E$1000, $A29, MatchScoutingData!V$2:V$1000)</f>
        <v>4</v>
      </c>
      <c r="T29" s="28">
        <f>SUMIF(MatchScoutingData!$E$2:$E$1000, $A29, MatchScoutingData!W$2:W$1000)</f>
        <v>26</v>
      </c>
      <c r="U29" s="28">
        <f>SUMIF(MatchScoutingData!$E$2:$E$1000, $A29, MatchScoutingData!X$2:X$1000)</f>
        <v>5</v>
      </c>
      <c r="V29" s="28">
        <f>SUMIF(MatchScoutingData!$E$2:$E$1000, $A29, MatchScoutingData!AB$2:AB$1000)</f>
        <v>1604</v>
      </c>
      <c r="W29" s="28">
        <f>SUMIF(MatchScoutingData!$E$2:$E$1000, $A29, MatchScoutingData!Y$2:Y$1000)</f>
        <v>7</v>
      </c>
      <c r="X29" s="28">
        <f>SUMIF(MatchScoutingData!$E$2:$E$1000, $A29, MatchScoutingData!Z$2:Z$1000)</f>
        <v>5</v>
      </c>
      <c r="Y29" s="28">
        <f>SUMIF(MatchScoutingData!$E$2:$E$1000, $A29, MatchScoutingData!AA$2:AA$1000)</f>
        <v>4</v>
      </c>
      <c r="Z29" s="28">
        <f t="shared" si="0"/>
        <v>16</v>
      </c>
    </row>
    <row r="30" spans="1:26" ht="16" x14ac:dyDescent="0.2">
      <c r="A30" s="8">
        <v>1781</v>
      </c>
      <c r="B30" s="28">
        <f>COUNTIF(MatchScoutingData!E$2:E$1000, $A30)</f>
        <v>9</v>
      </c>
      <c r="C30" s="28">
        <f>SUMIF(MatchScoutingData!$E$2:$E$1000, $A30, MatchScoutingData!F$2:F$1000)</f>
        <v>5</v>
      </c>
      <c r="D30" s="28">
        <f>SUMIF(MatchScoutingData!$E$2:$E$1000, $A30, MatchScoutingData!G$2:G$1000)</f>
        <v>4</v>
      </c>
      <c r="E30" s="28">
        <f>SUMIF(MatchScoutingData!$E$2:$E$1000, $A30, MatchScoutingData!H$2:H$1000)</f>
        <v>3</v>
      </c>
      <c r="F30" s="28">
        <f>SUMIF(MatchScoutingData!$E$2:$E$1000, $A30, MatchScoutingData!I$2:I$1000)</f>
        <v>3</v>
      </c>
      <c r="G30" s="28">
        <f>SUMIF(MatchScoutingData!$E$2:$E$1000, $A30, MatchScoutingData!J$2:J$1000)</f>
        <v>34</v>
      </c>
      <c r="H30" s="28">
        <f>SUMIF(MatchScoutingData!$E$2:$E$1000, $A30, MatchScoutingData!K$2:K$1000)</f>
        <v>21</v>
      </c>
      <c r="I30" s="28">
        <f>SUMIF(MatchScoutingData!$E$2:$E$1000, $A30, MatchScoutingData!L$2:L$1000)</f>
        <v>19</v>
      </c>
      <c r="J30" s="28">
        <f>SUMIF(MatchScoutingData!$E$2:$E$1000, $A30, MatchScoutingData!M$2:M$1000)</f>
        <v>23</v>
      </c>
      <c r="K30" s="28">
        <f>SUMIF(MatchScoutingData!$E$2:$E$1000, $A30, MatchScoutingData!N$2:N$1000)</f>
        <v>1</v>
      </c>
      <c r="L30" s="28">
        <f>SUMIF(MatchScoutingData!$E$2:$E$1000, $A30, MatchScoutingData!O$2:O$1000)</f>
        <v>5</v>
      </c>
      <c r="M30" s="28">
        <f>SUMIF(MatchScoutingData!$E$2:$E$1000, $A30, MatchScoutingData!P$2:P$1000)</f>
        <v>5</v>
      </c>
      <c r="N30" s="28">
        <f>SUMIF(MatchScoutingData!$E$2:$E$1000, $A30, MatchScoutingData!Q$2:Q$1000)</f>
        <v>5</v>
      </c>
      <c r="O30" s="28">
        <f>SUMIF(MatchScoutingData!$E$2:$E$1000, $A30, MatchScoutingData!R$2:R$1000)</f>
        <v>5</v>
      </c>
      <c r="P30" s="28">
        <f>SUMIF(MatchScoutingData!$E$2:$E$1000, $A30, MatchScoutingData!S$2:S$1000)</f>
        <v>3</v>
      </c>
      <c r="Q30" s="28">
        <f>SUMIF(MatchScoutingData!$E$2:$E$1000, $A30, MatchScoutingData!T$2:T$1000)</f>
        <v>6</v>
      </c>
      <c r="R30" s="28">
        <f>SUMIF(MatchScoutingData!$E$2:$E$1000, $A30, MatchScoutingData!U$2:U$1000)</f>
        <v>5</v>
      </c>
      <c r="S30" s="28">
        <f>SUMIF(MatchScoutingData!$E$2:$E$1000, $A30, MatchScoutingData!V$2:V$1000)</f>
        <v>3</v>
      </c>
      <c r="T30" s="28">
        <f>SUMIF(MatchScoutingData!$E$2:$E$1000, $A30, MatchScoutingData!W$2:W$1000)</f>
        <v>31</v>
      </c>
      <c r="U30" s="28">
        <f>SUMIF(MatchScoutingData!$E$2:$E$1000, $A30, MatchScoutingData!X$2:X$1000)</f>
        <v>0</v>
      </c>
      <c r="V30" s="28">
        <f>SUMIF(MatchScoutingData!$E$2:$E$1000, $A30, MatchScoutingData!AB$2:AB$1000)</f>
        <v>1512</v>
      </c>
      <c r="W30" s="28">
        <f>SUMIF(MatchScoutingData!$E$2:$E$1000, $A30, MatchScoutingData!Y$2:Y$1000)</f>
        <v>4</v>
      </c>
      <c r="X30" s="28">
        <f>SUMIF(MatchScoutingData!$E$2:$E$1000, $A30, MatchScoutingData!Z$2:Z$1000)</f>
        <v>2</v>
      </c>
      <c r="Y30" s="28">
        <f>SUMIF(MatchScoutingData!$E$2:$E$1000, $A30, MatchScoutingData!AA$2:AA$1000)</f>
        <v>3</v>
      </c>
      <c r="Z30" s="28">
        <f t="shared" si="0"/>
        <v>9</v>
      </c>
    </row>
    <row r="31" spans="1:26" ht="16" x14ac:dyDescent="0.2">
      <c r="A31" s="8">
        <v>1787</v>
      </c>
      <c r="B31" s="28">
        <f>COUNTIF(MatchScoutingData!E$2:E$1000, $A31)</f>
        <v>9</v>
      </c>
      <c r="C31" s="28">
        <f>SUMIF(MatchScoutingData!$E$2:$E$1000, $A31, MatchScoutingData!F$2:F$1000)</f>
        <v>5</v>
      </c>
      <c r="D31" s="28">
        <f>SUMIF(MatchScoutingData!$E$2:$E$1000, $A31, MatchScoutingData!G$2:G$1000)</f>
        <v>4</v>
      </c>
      <c r="E31" s="28">
        <f>SUMIF(MatchScoutingData!$E$2:$E$1000, $A31, MatchScoutingData!H$2:H$1000)</f>
        <v>4</v>
      </c>
      <c r="F31" s="28">
        <f>SUMIF(MatchScoutingData!$E$2:$E$1000, $A31, MatchScoutingData!I$2:I$1000)</f>
        <v>-2</v>
      </c>
      <c r="G31" s="28">
        <f>SUMIF(MatchScoutingData!$E$2:$E$1000, $A31, MatchScoutingData!J$2:J$1000)</f>
        <v>29</v>
      </c>
      <c r="H31" s="28">
        <f>SUMIF(MatchScoutingData!$E$2:$E$1000, $A31, MatchScoutingData!K$2:K$1000)</f>
        <v>21</v>
      </c>
      <c r="I31" s="28">
        <f>SUMIF(MatchScoutingData!$E$2:$E$1000, $A31, MatchScoutingData!L$2:L$1000)</f>
        <v>19</v>
      </c>
      <c r="J31" s="28">
        <f>SUMIF(MatchScoutingData!$E$2:$E$1000, $A31, MatchScoutingData!M$2:M$1000)</f>
        <v>30</v>
      </c>
      <c r="K31" s="28">
        <f>SUMIF(MatchScoutingData!$E$2:$E$1000, $A31, MatchScoutingData!N$2:N$1000)</f>
        <v>3</v>
      </c>
      <c r="L31" s="28">
        <f>SUMIF(MatchScoutingData!$E$2:$E$1000, $A31, MatchScoutingData!O$2:O$1000)</f>
        <v>5</v>
      </c>
      <c r="M31" s="28">
        <f>SUMIF(MatchScoutingData!$E$2:$E$1000, $A31, MatchScoutingData!P$2:P$1000)</f>
        <v>1</v>
      </c>
      <c r="N31" s="28">
        <f>SUMIF(MatchScoutingData!$E$2:$E$1000, $A31, MatchScoutingData!Q$2:Q$1000)</f>
        <v>3</v>
      </c>
      <c r="O31" s="28">
        <f>SUMIF(MatchScoutingData!$E$2:$E$1000, $A31, MatchScoutingData!R$2:R$1000)</f>
        <v>3</v>
      </c>
      <c r="P31" s="28">
        <f>SUMIF(MatchScoutingData!$E$2:$E$1000, $A31, MatchScoutingData!S$2:S$1000)</f>
        <v>12</v>
      </c>
      <c r="Q31" s="28">
        <f>SUMIF(MatchScoutingData!$E$2:$E$1000, $A31, MatchScoutingData!T$2:T$1000)</f>
        <v>4</v>
      </c>
      <c r="R31" s="28">
        <f>SUMIF(MatchScoutingData!$E$2:$E$1000, $A31, MatchScoutingData!U$2:U$1000)</f>
        <v>5</v>
      </c>
      <c r="S31" s="28">
        <f>SUMIF(MatchScoutingData!$E$2:$E$1000, $A31, MatchScoutingData!V$2:V$1000)</f>
        <v>2</v>
      </c>
      <c r="T31" s="28">
        <f>SUMIF(MatchScoutingData!$E$2:$E$1000, $A31, MatchScoutingData!W$2:W$1000)</f>
        <v>28</v>
      </c>
      <c r="U31" s="28">
        <f>SUMIF(MatchScoutingData!$E$2:$E$1000, $A31, MatchScoutingData!X$2:X$1000)</f>
        <v>-1</v>
      </c>
      <c r="V31" s="28">
        <f>SUMIF(MatchScoutingData!$E$2:$E$1000, $A31, MatchScoutingData!AB$2:AB$1000)</f>
        <v>1544</v>
      </c>
      <c r="W31" s="28">
        <f>SUMIF(MatchScoutingData!$E$2:$E$1000, $A31, MatchScoutingData!Y$2:Y$1000)</f>
        <v>2</v>
      </c>
      <c r="X31" s="28">
        <f>SUMIF(MatchScoutingData!$E$2:$E$1000, $A31, MatchScoutingData!Z$2:Z$1000)</f>
        <v>5</v>
      </c>
      <c r="Y31" s="28">
        <f>SUMIF(MatchScoutingData!$E$2:$E$1000, $A31, MatchScoutingData!AA$2:AA$1000)</f>
        <v>8</v>
      </c>
      <c r="Z31" s="28">
        <f t="shared" si="0"/>
        <v>15</v>
      </c>
    </row>
    <row r="32" spans="1:26" ht="16" x14ac:dyDescent="0.2">
      <c r="A32" s="8">
        <v>2228</v>
      </c>
      <c r="B32" s="28">
        <f>COUNTIF(MatchScoutingData!E$2:E$1000, $A32)</f>
        <v>9</v>
      </c>
      <c r="C32" s="28">
        <f>SUMIF(MatchScoutingData!$E$2:$E$1000, $A32, MatchScoutingData!F$2:F$1000)</f>
        <v>3</v>
      </c>
      <c r="D32" s="28">
        <f>SUMIF(MatchScoutingData!$E$2:$E$1000, $A32, MatchScoutingData!G$2:G$1000)</f>
        <v>7</v>
      </c>
      <c r="E32" s="28">
        <f>SUMIF(MatchScoutingData!$E$2:$E$1000, $A32, MatchScoutingData!H$2:H$1000)</f>
        <v>4</v>
      </c>
      <c r="F32" s="28">
        <f>SUMIF(MatchScoutingData!$E$2:$E$1000, $A32, MatchScoutingData!I$2:I$1000)</f>
        <v>1</v>
      </c>
      <c r="G32" s="28">
        <f>SUMIF(MatchScoutingData!$E$2:$E$1000, $A32, MatchScoutingData!J$2:J$1000)</f>
        <v>27</v>
      </c>
      <c r="H32" s="28">
        <f>SUMIF(MatchScoutingData!$E$2:$E$1000, $A32, MatchScoutingData!K$2:K$1000)</f>
        <v>13</v>
      </c>
      <c r="I32" s="28">
        <f>SUMIF(MatchScoutingData!$E$2:$E$1000, $A32, MatchScoutingData!L$2:L$1000)</f>
        <v>14</v>
      </c>
      <c r="J32" s="28">
        <f>SUMIF(MatchScoutingData!$E$2:$E$1000, $A32, MatchScoutingData!M$2:M$1000)</f>
        <v>26</v>
      </c>
      <c r="K32" s="28">
        <f>SUMIF(MatchScoutingData!$E$2:$E$1000, $A32, MatchScoutingData!N$2:N$1000)</f>
        <v>5</v>
      </c>
      <c r="L32" s="28">
        <f>SUMIF(MatchScoutingData!$E$2:$E$1000, $A32, MatchScoutingData!O$2:O$1000)</f>
        <v>6</v>
      </c>
      <c r="M32" s="28">
        <f>SUMIF(MatchScoutingData!$E$2:$E$1000, $A32, MatchScoutingData!P$2:P$1000)</f>
        <v>5</v>
      </c>
      <c r="N32" s="28">
        <f>SUMIF(MatchScoutingData!$E$2:$E$1000, $A32, MatchScoutingData!Q$2:Q$1000)</f>
        <v>6</v>
      </c>
      <c r="O32" s="28">
        <f>SUMIF(MatchScoutingData!$E$2:$E$1000, $A32, MatchScoutingData!R$2:R$1000)</f>
        <v>5</v>
      </c>
      <c r="P32" s="28">
        <f>SUMIF(MatchScoutingData!$E$2:$E$1000, $A32, MatchScoutingData!S$2:S$1000)</f>
        <v>8</v>
      </c>
      <c r="Q32" s="28">
        <f>SUMIF(MatchScoutingData!$E$2:$E$1000, $A32, MatchScoutingData!T$2:T$1000)</f>
        <v>3</v>
      </c>
      <c r="R32" s="28">
        <f>SUMIF(MatchScoutingData!$E$2:$E$1000, $A32, MatchScoutingData!U$2:U$1000)</f>
        <v>5</v>
      </c>
      <c r="S32" s="28">
        <f>SUMIF(MatchScoutingData!$E$2:$E$1000, $A32, MatchScoutingData!V$2:V$1000)</f>
        <v>2</v>
      </c>
      <c r="T32" s="28">
        <f>SUMIF(MatchScoutingData!$E$2:$E$1000, $A32, MatchScoutingData!W$2:W$1000)</f>
        <v>30</v>
      </c>
      <c r="U32" s="28">
        <f>SUMIF(MatchScoutingData!$E$2:$E$1000, $A32, MatchScoutingData!X$2:X$1000)</f>
        <v>-2</v>
      </c>
      <c r="V32" s="28">
        <f>SUMIF(MatchScoutingData!$E$2:$E$1000, $A32, MatchScoutingData!AB$2:AB$1000)</f>
        <v>1867</v>
      </c>
      <c r="W32" s="28">
        <f>SUMIF(MatchScoutingData!$E$2:$E$1000, $A32, MatchScoutingData!Y$2:Y$1000)</f>
        <v>3</v>
      </c>
      <c r="X32" s="28">
        <f>SUMIF(MatchScoutingData!$E$2:$E$1000, $A32, MatchScoutingData!Z$2:Z$1000)</f>
        <v>6</v>
      </c>
      <c r="Y32" s="28">
        <f>SUMIF(MatchScoutingData!$E$2:$E$1000, $A32, MatchScoutingData!AA$2:AA$1000)</f>
        <v>3</v>
      </c>
      <c r="Z32" s="28">
        <f t="shared" si="0"/>
        <v>12</v>
      </c>
    </row>
    <row r="33" spans="1:26" ht="16" x14ac:dyDescent="0.2">
      <c r="A33" s="8">
        <v>2340</v>
      </c>
      <c r="B33" s="28">
        <f>COUNTIF(MatchScoutingData!E$2:E$1000, $A33)</f>
        <v>9</v>
      </c>
      <c r="C33" s="28">
        <f>SUMIF(MatchScoutingData!$E$2:$E$1000, $A33, MatchScoutingData!F$2:F$1000)</f>
        <v>6</v>
      </c>
      <c r="D33" s="28">
        <f>SUMIF(MatchScoutingData!$E$2:$E$1000, $A33, MatchScoutingData!G$2:G$1000)</f>
        <v>6</v>
      </c>
      <c r="E33" s="28">
        <f>SUMIF(MatchScoutingData!$E$2:$E$1000, $A33, MatchScoutingData!H$2:H$1000)</f>
        <v>5</v>
      </c>
      <c r="F33" s="28">
        <f>SUMIF(MatchScoutingData!$E$2:$E$1000, $A33, MatchScoutingData!I$2:I$1000)</f>
        <v>4</v>
      </c>
      <c r="G33" s="28">
        <f>SUMIF(MatchScoutingData!$E$2:$E$1000, $A33, MatchScoutingData!J$2:J$1000)</f>
        <v>26</v>
      </c>
      <c r="H33" s="28">
        <f>SUMIF(MatchScoutingData!$E$2:$E$1000, $A33, MatchScoutingData!K$2:K$1000)</f>
        <v>13</v>
      </c>
      <c r="I33" s="28">
        <f>SUMIF(MatchScoutingData!$E$2:$E$1000, $A33, MatchScoutingData!L$2:L$1000)</f>
        <v>15</v>
      </c>
      <c r="J33" s="28">
        <f>SUMIF(MatchScoutingData!$E$2:$E$1000, $A33, MatchScoutingData!M$2:M$1000)</f>
        <v>34</v>
      </c>
      <c r="K33" s="28">
        <f>SUMIF(MatchScoutingData!$E$2:$E$1000, $A33, MatchScoutingData!N$2:N$1000)</f>
        <v>5</v>
      </c>
      <c r="L33" s="28">
        <f>SUMIF(MatchScoutingData!$E$2:$E$1000, $A33, MatchScoutingData!O$2:O$1000)</f>
        <v>6</v>
      </c>
      <c r="M33" s="28">
        <f>SUMIF(MatchScoutingData!$E$2:$E$1000, $A33, MatchScoutingData!P$2:P$1000)</f>
        <v>2</v>
      </c>
      <c r="N33" s="28">
        <f>SUMIF(MatchScoutingData!$E$2:$E$1000, $A33, MatchScoutingData!Q$2:Q$1000)</f>
        <v>4</v>
      </c>
      <c r="O33" s="28">
        <f>SUMIF(MatchScoutingData!$E$2:$E$1000, $A33, MatchScoutingData!R$2:R$1000)</f>
        <v>3</v>
      </c>
      <c r="P33" s="28">
        <f>SUMIF(MatchScoutingData!$E$2:$E$1000, $A33, MatchScoutingData!S$2:S$1000)</f>
        <v>12</v>
      </c>
      <c r="Q33" s="28">
        <f>SUMIF(MatchScoutingData!$E$2:$E$1000, $A33, MatchScoutingData!T$2:T$1000)</f>
        <v>1</v>
      </c>
      <c r="R33" s="28">
        <f>SUMIF(MatchScoutingData!$E$2:$E$1000, $A33, MatchScoutingData!U$2:U$1000)</f>
        <v>5</v>
      </c>
      <c r="S33" s="28">
        <f>SUMIF(MatchScoutingData!$E$2:$E$1000, $A33, MatchScoutingData!V$2:V$1000)</f>
        <v>5</v>
      </c>
      <c r="T33" s="28">
        <f>SUMIF(MatchScoutingData!$E$2:$E$1000, $A33, MatchScoutingData!W$2:W$1000)</f>
        <v>29</v>
      </c>
      <c r="U33" s="28">
        <f>SUMIF(MatchScoutingData!$E$2:$E$1000, $A33, MatchScoutingData!X$2:X$1000)</f>
        <v>-6</v>
      </c>
      <c r="V33" s="28">
        <f>SUMIF(MatchScoutingData!$E$2:$E$1000, $A33, MatchScoutingData!AB$2:AB$1000)</f>
        <v>1515</v>
      </c>
      <c r="W33" s="28">
        <f>SUMIF(MatchScoutingData!$E$2:$E$1000, $A33, MatchScoutingData!Y$2:Y$1000)</f>
        <v>3</v>
      </c>
      <c r="X33" s="28">
        <f>SUMIF(MatchScoutingData!$E$2:$E$1000, $A33, MatchScoutingData!Z$2:Z$1000)</f>
        <v>4</v>
      </c>
      <c r="Y33" s="28">
        <f>SUMIF(MatchScoutingData!$E$2:$E$1000, $A33, MatchScoutingData!AA$2:AA$1000)</f>
        <v>3</v>
      </c>
      <c r="Z33" s="28">
        <f t="shared" si="0"/>
        <v>10</v>
      </c>
    </row>
    <row r="34" spans="1:26" ht="16" x14ac:dyDescent="0.2">
      <c r="A34" s="8">
        <v>3003</v>
      </c>
      <c r="B34" s="28">
        <f>COUNTIF(MatchScoutingData!E$2:E$1000, $A34)</f>
        <v>9</v>
      </c>
      <c r="C34" s="28">
        <f>SUMIF(MatchScoutingData!$E$2:$E$1000, $A34, MatchScoutingData!F$2:F$1000)</f>
        <v>5</v>
      </c>
      <c r="D34" s="28">
        <f>SUMIF(MatchScoutingData!$E$2:$E$1000, $A34, MatchScoutingData!G$2:G$1000)</f>
        <v>3</v>
      </c>
      <c r="E34" s="28">
        <f>SUMIF(MatchScoutingData!$E$2:$E$1000, $A34, MatchScoutingData!H$2:H$1000)</f>
        <v>2</v>
      </c>
      <c r="F34" s="28">
        <f>SUMIF(MatchScoutingData!$E$2:$E$1000, $A34, MatchScoutingData!I$2:I$1000)</f>
        <v>1</v>
      </c>
      <c r="G34" s="28">
        <f>SUMIF(MatchScoutingData!$E$2:$E$1000, $A34, MatchScoutingData!J$2:J$1000)</f>
        <v>21</v>
      </c>
      <c r="H34" s="28">
        <f>SUMIF(MatchScoutingData!$E$2:$E$1000, $A34, MatchScoutingData!K$2:K$1000)</f>
        <v>18</v>
      </c>
      <c r="I34" s="28">
        <f>SUMIF(MatchScoutingData!$E$2:$E$1000, $A34, MatchScoutingData!L$2:L$1000)</f>
        <v>23</v>
      </c>
      <c r="J34" s="28">
        <f>SUMIF(MatchScoutingData!$E$2:$E$1000, $A34, MatchScoutingData!M$2:M$1000)</f>
        <v>27</v>
      </c>
      <c r="K34" s="28">
        <f>SUMIF(MatchScoutingData!$E$2:$E$1000, $A34, MatchScoutingData!N$2:N$1000)</f>
        <v>7</v>
      </c>
      <c r="L34" s="28">
        <f>SUMIF(MatchScoutingData!$E$2:$E$1000, $A34, MatchScoutingData!O$2:O$1000)</f>
        <v>3</v>
      </c>
      <c r="M34" s="28">
        <f>SUMIF(MatchScoutingData!$E$2:$E$1000, $A34, MatchScoutingData!P$2:P$1000)</f>
        <v>3</v>
      </c>
      <c r="N34" s="28">
        <f>SUMIF(MatchScoutingData!$E$2:$E$1000, $A34, MatchScoutingData!Q$2:Q$1000)</f>
        <v>6</v>
      </c>
      <c r="O34" s="28">
        <f>SUMIF(MatchScoutingData!$E$2:$E$1000, $A34, MatchScoutingData!R$2:R$1000)</f>
        <v>5</v>
      </c>
      <c r="P34" s="28">
        <f>SUMIF(MatchScoutingData!$E$2:$E$1000, $A34, MatchScoutingData!S$2:S$1000)</f>
        <v>6</v>
      </c>
      <c r="Q34" s="28">
        <f>SUMIF(MatchScoutingData!$E$2:$E$1000, $A34, MatchScoutingData!T$2:T$1000)</f>
        <v>4</v>
      </c>
      <c r="R34" s="28">
        <f>SUMIF(MatchScoutingData!$E$2:$E$1000, $A34, MatchScoutingData!U$2:U$1000)</f>
        <v>2</v>
      </c>
      <c r="S34" s="28">
        <f>SUMIF(MatchScoutingData!$E$2:$E$1000, $A34, MatchScoutingData!V$2:V$1000)</f>
        <v>8</v>
      </c>
      <c r="T34" s="28">
        <f>SUMIF(MatchScoutingData!$E$2:$E$1000, $A34, MatchScoutingData!W$2:W$1000)</f>
        <v>23</v>
      </c>
      <c r="U34" s="28">
        <f>SUMIF(MatchScoutingData!$E$2:$E$1000, $A34, MatchScoutingData!X$2:X$1000)</f>
        <v>1</v>
      </c>
      <c r="V34" s="28">
        <f>SUMIF(MatchScoutingData!$E$2:$E$1000, $A34, MatchScoutingData!AB$2:AB$1000)</f>
        <v>1329</v>
      </c>
      <c r="W34" s="28">
        <f>SUMIF(MatchScoutingData!$E$2:$E$1000, $A34, MatchScoutingData!Y$2:Y$1000)</f>
        <v>2</v>
      </c>
      <c r="X34" s="28">
        <f>SUMIF(MatchScoutingData!$E$2:$E$1000, $A34, MatchScoutingData!Z$2:Z$1000)</f>
        <v>4</v>
      </c>
      <c r="Y34" s="28">
        <f>SUMIF(MatchScoutingData!$E$2:$E$1000, $A34, MatchScoutingData!AA$2:AA$1000)</f>
        <v>3</v>
      </c>
      <c r="Z34" s="28">
        <f t="shared" si="0"/>
        <v>9</v>
      </c>
    </row>
    <row r="35" spans="1:26" ht="16" x14ac:dyDescent="0.2">
      <c r="A35" s="8">
        <v>3015</v>
      </c>
      <c r="B35" s="28">
        <f>COUNTIF(MatchScoutingData!E$2:E$1000, $A35)</f>
        <v>9</v>
      </c>
      <c r="C35" s="28">
        <f>SUMIF(MatchScoutingData!$E$2:$E$1000, $A35, MatchScoutingData!F$2:F$1000)</f>
        <v>5</v>
      </c>
      <c r="D35" s="28">
        <f>SUMIF(MatchScoutingData!$E$2:$E$1000, $A35, MatchScoutingData!G$2:G$1000)</f>
        <v>5</v>
      </c>
      <c r="E35" s="28">
        <f>SUMIF(MatchScoutingData!$E$2:$E$1000, $A35, MatchScoutingData!H$2:H$1000)</f>
        <v>4</v>
      </c>
      <c r="F35" s="28">
        <f>SUMIF(MatchScoutingData!$E$2:$E$1000, $A35, MatchScoutingData!I$2:I$1000)</f>
        <v>-4</v>
      </c>
      <c r="G35" s="28">
        <f>SUMIF(MatchScoutingData!$E$2:$E$1000, $A35, MatchScoutingData!J$2:J$1000)</f>
        <v>27</v>
      </c>
      <c r="H35" s="28">
        <f>SUMIF(MatchScoutingData!$E$2:$E$1000, $A35, MatchScoutingData!K$2:K$1000)</f>
        <v>19</v>
      </c>
      <c r="I35" s="28">
        <f>SUMIF(MatchScoutingData!$E$2:$E$1000, $A35, MatchScoutingData!L$2:L$1000)</f>
        <v>14</v>
      </c>
      <c r="J35" s="28">
        <f>SUMIF(MatchScoutingData!$E$2:$E$1000, $A35, MatchScoutingData!M$2:M$1000)</f>
        <v>30</v>
      </c>
      <c r="K35" s="28">
        <f>SUMIF(MatchScoutingData!$E$2:$E$1000, $A35, MatchScoutingData!N$2:N$1000)</f>
        <v>4</v>
      </c>
      <c r="L35" s="28">
        <f>SUMIF(MatchScoutingData!$E$2:$E$1000, $A35, MatchScoutingData!O$2:O$1000)</f>
        <v>3</v>
      </c>
      <c r="M35" s="28">
        <f>SUMIF(MatchScoutingData!$E$2:$E$1000, $A35, MatchScoutingData!P$2:P$1000)</f>
        <v>3</v>
      </c>
      <c r="N35" s="28">
        <f>SUMIF(MatchScoutingData!$E$2:$E$1000, $A35, MatchScoutingData!Q$2:Q$1000)</f>
        <v>3</v>
      </c>
      <c r="O35" s="28">
        <f>SUMIF(MatchScoutingData!$E$2:$E$1000, $A35, MatchScoutingData!R$2:R$1000)</f>
        <v>4</v>
      </c>
      <c r="P35" s="28">
        <f>SUMIF(MatchScoutingData!$E$2:$E$1000, $A35, MatchScoutingData!S$2:S$1000)</f>
        <v>11</v>
      </c>
      <c r="Q35" s="28">
        <f>SUMIF(MatchScoutingData!$E$2:$E$1000, $A35, MatchScoutingData!T$2:T$1000)</f>
        <v>4</v>
      </c>
      <c r="R35" s="28">
        <f>SUMIF(MatchScoutingData!$E$2:$E$1000, $A35, MatchScoutingData!U$2:U$1000)</f>
        <v>4</v>
      </c>
      <c r="S35" s="28">
        <f>SUMIF(MatchScoutingData!$E$2:$E$1000, $A35, MatchScoutingData!V$2:V$1000)</f>
        <v>3</v>
      </c>
      <c r="T35" s="28">
        <f>SUMIF(MatchScoutingData!$E$2:$E$1000, $A35, MatchScoutingData!W$2:W$1000)</f>
        <v>26</v>
      </c>
      <c r="U35" s="28">
        <f>SUMIF(MatchScoutingData!$E$2:$E$1000, $A35, MatchScoutingData!X$2:X$1000)</f>
        <v>0</v>
      </c>
      <c r="V35" s="28">
        <f>SUMIF(MatchScoutingData!$E$2:$E$1000, $A35, MatchScoutingData!AB$2:AB$1000)</f>
        <v>1962</v>
      </c>
      <c r="W35" s="28">
        <f>SUMIF(MatchScoutingData!$E$2:$E$1000, $A35, MatchScoutingData!Y$2:Y$1000)</f>
        <v>4</v>
      </c>
      <c r="X35" s="28">
        <f>SUMIF(MatchScoutingData!$E$2:$E$1000, $A35, MatchScoutingData!Z$2:Z$1000)</f>
        <v>2</v>
      </c>
      <c r="Y35" s="28">
        <f>SUMIF(MatchScoutingData!$E$2:$E$1000, $A35, MatchScoutingData!AA$2:AA$1000)</f>
        <v>4</v>
      </c>
      <c r="Z35" s="28">
        <f t="shared" ref="Z35:Z66" si="1">SUM(W35:Y35)</f>
        <v>10</v>
      </c>
    </row>
    <row r="36" spans="1:26" ht="16" x14ac:dyDescent="0.2">
      <c r="A36" s="8">
        <v>3044</v>
      </c>
      <c r="B36" s="28">
        <f>COUNTIF(MatchScoutingData!E$2:E$1000, $A36)</f>
        <v>9</v>
      </c>
      <c r="C36" s="28">
        <f>SUMIF(MatchScoutingData!$E$2:$E$1000, $A36, MatchScoutingData!F$2:F$1000)</f>
        <v>4</v>
      </c>
      <c r="D36" s="28">
        <f>SUMIF(MatchScoutingData!$E$2:$E$1000, $A36, MatchScoutingData!G$2:G$1000)</f>
        <v>5</v>
      </c>
      <c r="E36" s="28">
        <f>SUMIF(MatchScoutingData!$E$2:$E$1000, $A36, MatchScoutingData!H$2:H$1000)</f>
        <v>5</v>
      </c>
      <c r="F36" s="28">
        <f>SUMIF(MatchScoutingData!$E$2:$E$1000, $A36, MatchScoutingData!I$2:I$1000)</f>
        <v>-2</v>
      </c>
      <c r="G36" s="28">
        <f>SUMIF(MatchScoutingData!$E$2:$E$1000, $A36, MatchScoutingData!J$2:J$1000)</f>
        <v>23</v>
      </c>
      <c r="H36" s="28">
        <f>SUMIF(MatchScoutingData!$E$2:$E$1000, $A36, MatchScoutingData!K$2:K$1000)</f>
        <v>20</v>
      </c>
      <c r="I36" s="28">
        <f>SUMIF(MatchScoutingData!$E$2:$E$1000, $A36, MatchScoutingData!L$2:L$1000)</f>
        <v>16</v>
      </c>
      <c r="J36" s="28">
        <f>SUMIF(MatchScoutingData!$E$2:$E$1000, $A36, MatchScoutingData!M$2:M$1000)</f>
        <v>20</v>
      </c>
      <c r="K36" s="28">
        <f>SUMIF(MatchScoutingData!$E$2:$E$1000, $A36, MatchScoutingData!N$2:N$1000)</f>
        <v>4</v>
      </c>
      <c r="L36" s="28">
        <f>SUMIF(MatchScoutingData!$E$2:$E$1000, $A36, MatchScoutingData!O$2:O$1000)</f>
        <v>7</v>
      </c>
      <c r="M36" s="28">
        <f>SUMIF(MatchScoutingData!$E$2:$E$1000, $A36, MatchScoutingData!P$2:P$1000)</f>
        <v>6</v>
      </c>
      <c r="N36" s="28">
        <f>SUMIF(MatchScoutingData!$E$2:$E$1000, $A36, MatchScoutingData!Q$2:Q$1000)</f>
        <v>6</v>
      </c>
      <c r="O36" s="28">
        <f>SUMIF(MatchScoutingData!$E$2:$E$1000, $A36, MatchScoutingData!R$2:R$1000)</f>
        <v>5</v>
      </c>
      <c r="P36" s="28">
        <f>SUMIF(MatchScoutingData!$E$2:$E$1000, $A36, MatchScoutingData!S$2:S$1000)</f>
        <v>5</v>
      </c>
      <c r="Q36" s="28">
        <f>SUMIF(MatchScoutingData!$E$2:$E$1000, $A36, MatchScoutingData!T$2:T$1000)</f>
        <v>3</v>
      </c>
      <c r="R36" s="28">
        <f>SUMIF(MatchScoutingData!$E$2:$E$1000, $A36, MatchScoutingData!U$2:U$1000)</f>
        <v>3</v>
      </c>
      <c r="S36" s="28">
        <f>SUMIF(MatchScoutingData!$E$2:$E$1000, $A36, MatchScoutingData!V$2:V$1000)</f>
        <v>3</v>
      </c>
      <c r="T36" s="28">
        <f>SUMIF(MatchScoutingData!$E$2:$E$1000, $A36, MatchScoutingData!W$2:W$1000)</f>
        <v>27</v>
      </c>
      <c r="U36" s="28">
        <f>SUMIF(MatchScoutingData!$E$2:$E$1000, $A36, MatchScoutingData!X$2:X$1000)</f>
        <v>1</v>
      </c>
      <c r="V36" s="28">
        <f>SUMIF(MatchScoutingData!$E$2:$E$1000, $A36, MatchScoutingData!AB$2:AB$1000)</f>
        <v>1324</v>
      </c>
      <c r="W36" s="28">
        <f>SUMIF(MatchScoutingData!$E$2:$E$1000, $A36, MatchScoutingData!Y$2:Y$1000)</f>
        <v>4</v>
      </c>
      <c r="X36" s="28">
        <f>SUMIF(MatchScoutingData!$E$2:$E$1000, $A36, MatchScoutingData!Z$2:Z$1000)</f>
        <v>6</v>
      </c>
      <c r="Y36" s="28">
        <f>SUMIF(MatchScoutingData!$E$2:$E$1000, $A36, MatchScoutingData!AA$2:AA$1000)</f>
        <v>8</v>
      </c>
      <c r="Z36" s="28">
        <f t="shared" si="1"/>
        <v>18</v>
      </c>
    </row>
    <row r="37" spans="1:26" ht="16" x14ac:dyDescent="0.2">
      <c r="A37" s="8">
        <v>3173</v>
      </c>
      <c r="B37" s="28">
        <f>COUNTIF(MatchScoutingData!E$2:E$1000, $A37)</f>
        <v>9</v>
      </c>
      <c r="C37" s="28">
        <f>SUMIF(MatchScoutingData!$E$2:$E$1000, $A37, MatchScoutingData!F$2:F$1000)</f>
        <v>3</v>
      </c>
      <c r="D37" s="28">
        <f>SUMIF(MatchScoutingData!$E$2:$E$1000, $A37, MatchScoutingData!G$2:G$1000)</f>
        <v>4</v>
      </c>
      <c r="E37" s="28">
        <f>SUMIF(MatchScoutingData!$E$2:$E$1000, $A37, MatchScoutingData!H$2:H$1000)</f>
        <v>2</v>
      </c>
      <c r="F37" s="28">
        <f>SUMIF(MatchScoutingData!$E$2:$E$1000, $A37, MatchScoutingData!I$2:I$1000)</f>
        <v>-1</v>
      </c>
      <c r="G37" s="28">
        <f>SUMIF(MatchScoutingData!$E$2:$E$1000, $A37, MatchScoutingData!J$2:J$1000)</f>
        <v>27</v>
      </c>
      <c r="H37" s="28">
        <f>SUMIF(MatchScoutingData!$E$2:$E$1000, $A37, MatchScoutingData!K$2:K$1000)</f>
        <v>14</v>
      </c>
      <c r="I37" s="28">
        <f>SUMIF(MatchScoutingData!$E$2:$E$1000, $A37, MatchScoutingData!L$2:L$1000)</f>
        <v>17</v>
      </c>
      <c r="J37" s="28">
        <f>SUMIF(MatchScoutingData!$E$2:$E$1000, $A37, MatchScoutingData!M$2:M$1000)</f>
        <v>19</v>
      </c>
      <c r="K37" s="28">
        <f>SUMIF(MatchScoutingData!$E$2:$E$1000, $A37, MatchScoutingData!N$2:N$1000)</f>
        <v>6</v>
      </c>
      <c r="L37" s="28">
        <f>SUMIF(MatchScoutingData!$E$2:$E$1000, $A37, MatchScoutingData!O$2:O$1000)</f>
        <v>2</v>
      </c>
      <c r="M37" s="28">
        <f>SUMIF(MatchScoutingData!$E$2:$E$1000, $A37, MatchScoutingData!P$2:P$1000)</f>
        <v>4</v>
      </c>
      <c r="N37" s="28">
        <f>SUMIF(MatchScoutingData!$E$2:$E$1000, $A37, MatchScoutingData!Q$2:Q$1000)</f>
        <v>3</v>
      </c>
      <c r="O37" s="28">
        <f>SUMIF(MatchScoutingData!$E$2:$E$1000, $A37, MatchScoutingData!R$2:R$1000)</f>
        <v>5</v>
      </c>
      <c r="P37" s="28">
        <f>SUMIF(MatchScoutingData!$E$2:$E$1000, $A37, MatchScoutingData!S$2:S$1000)</f>
        <v>14</v>
      </c>
      <c r="Q37" s="28">
        <f>SUMIF(MatchScoutingData!$E$2:$E$1000, $A37, MatchScoutingData!T$2:T$1000)</f>
        <v>4</v>
      </c>
      <c r="R37" s="28">
        <f>SUMIF(MatchScoutingData!$E$2:$E$1000, $A37, MatchScoutingData!U$2:U$1000)</f>
        <v>4</v>
      </c>
      <c r="S37" s="28">
        <f>SUMIF(MatchScoutingData!$E$2:$E$1000, $A37, MatchScoutingData!V$2:V$1000)</f>
        <v>5</v>
      </c>
      <c r="T37" s="28">
        <f>SUMIF(MatchScoutingData!$E$2:$E$1000, $A37, MatchScoutingData!W$2:W$1000)</f>
        <v>22</v>
      </c>
      <c r="U37" s="28">
        <f>SUMIF(MatchScoutingData!$E$2:$E$1000, $A37, MatchScoutingData!X$2:X$1000)</f>
        <v>0</v>
      </c>
      <c r="V37" s="28">
        <f>SUMIF(MatchScoutingData!$E$2:$E$1000, $A37, MatchScoutingData!AB$2:AB$1000)</f>
        <v>1773</v>
      </c>
      <c r="W37" s="28">
        <f>SUMIF(MatchScoutingData!$E$2:$E$1000, $A37, MatchScoutingData!Y$2:Y$1000)</f>
        <v>2</v>
      </c>
      <c r="X37" s="28">
        <f>SUMIF(MatchScoutingData!$E$2:$E$1000, $A37, MatchScoutingData!Z$2:Z$1000)</f>
        <v>5</v>
      </c>
      <c r="Y37" s="28">
        <f>SUMIF(MatchScoutingData!$E$2:$E$1000, $A37, MatchScoutingData!AA$2:AA$1000)</f>
        <v>5</v>
      </c>
      <c r="Z37" s="28">
        <f t="shared" si="1"/>
        <v>12</v>
      </c>
    </row>
    <row r="38" spans="1:26" ht="16" x14ac:dyDescent="0.2">
      <c r="A38" s="8">
        <v>3181</v>
      </c>
      <c r="B38" s="28">
        <f>COUNTIF(MatchScoutingData!E$2:E$1000, $A38)</f>
        <v>9</v>
      </c>
      <c r="C38" s="28">
        <f>SUMIF(MatchScoutingData!$E$2:$E$1000, $A38, MatchScoutingData!F$2:F$1000)</f>
        <v>2</v>
      </c>
      <c r="D38" s="28">
        <f>SUMIF(MatchScoutingData!$E$2:$E$1000, $A38, MatchScoutingData!G$2:G$1000)</f>
        <v>4</v>
      </c>
      <c r="E38" s="28">
        <f>SUMIF(MatchScoutingData!$E$2:$E$1000, $A38, MatchScoutingData!H$2:H$1000)</f>
        <v>5</v>
      </c>
      <c r="F38" s="28">
        <f>SUMIF(MatchScoutingData!$E$2:$E$1000, $A38, MatchScoutingData!I$2:I$1000)</f>
        <v>-2</v>
      </c>
      <c r="G38" s="28">
        <f>SUMIF(MatchScoutingData!$E$2:$E$1000, $A38, MatchScoutingData!J$2:J$1000)</f>
        <v>25</v>
      </c>
      <c r="H38" s="28">
        <f>SUMIF(MatchScoutingData!$E$2:$E$1000, $A38, MatchScoutingData!K$2:K$1000)</f>
        <v>20</v>
      </c>
      <c r="I38" s="28">
        <f>SUMIF(MatchScoutingData!$E$2:$E$1000, $A38, MatchScoutingData!L$2:L$1000)</f>
        <v>15</v>
      </c>
      <c r="J38" s="28">
        <f>SUMIF(MatchScoutingData!$E$2:$E$1000, $A38, MatchScoutingData!M$2:M$1000)</f>
        <v>23</v>
      </c>
      <c r="K38" s="28">
        <f>SUMIF(MatchScoutingData!$E$2:$E$1000, $A38, MatchScoutingData!N$2:N$1000)</f>
        <v>3</v>
      </c>
      <c r="L38" s="28">
        <f>SUMIF(MatchScoutingData!$E$2:$E$1000, $A38, MatchScoutingData!O$2:O$1000)</f>
        <v>4</v>
      </c>
      <c r="M38" s="28">
        <f>SUMIF(MatchScoutingData!$E$2:$E$1000, $A38, MatchScoutingData!P$2:P$1000)</f>
        <v>4</v>
      </c>
      <c r="N38" s="28">
        <f>SUMIF(MatchScoutingData!$E$2:$E$1000, $A38, MatchScoutingData!Q$2:Q$1000)</f>
        <v>4</v>
      </c>
      <c r="O38" s="28">
        <f>SUMIF(MatchScoutingData!$E$2:$E$1000, $A38, MatchScoutingData!R$2:R$1000)</f>
        <v>5</v>
      </c>
      <c r="P38" s="28">
        <f>SUMIF(MatchScoutingData!$E$2:$E$1000, $A38, MatchScoutingData!S$2:S$1000)</f>
        <v>10</v>
      </c>
      <c r="Q38" s="28">
        <f>SUMIF(MatchScoutingData!$E$2:$E$1000, $A38, MatchScoutingData!T$2:T$1000)</f>
        <v>6</v>
      </c>
      <c r="R38" s="28">
        <f>SUMIF(MatchScoutingData!$E$2:$E$1000, $A38, MatchScoutingData!U$2:U$1000)</f>
        <v>4</v>
      </c>
      <c r="S38" s="28">
        <f>SUMIF(MatchScoutingData!$E$2:$E$1000, $A38, MatchScoutingData!V$2:V$1000)</f>
        <v>4</v>
      </c>
      <c r="T38" s="28">
        <f>SUMIF(MatchScoutingData!$E$2:$E$1000, $A38, MatchScoutingData!W$2:W$1000)</f>
        <v>24</v>
      </c>
      <c r="U38" s="28">
        <f>SUMIF(MatchScoutingData!$E$2:$E$1000, $A38, MatchScoutingData!X$2:X$1000)</f>
        <v>1</v>
      </c>
      <c r="V38" s="28">
        <f>SUMIF(MatchScoutingData!$E$2:$E$1000, $A38, MatchScoutingData!AB$2:AB$1000)</f>
        <v>1609</v>
      </c>
      <c r="W38" s="28">
        <f>SUMIF(MatchScoutingData!$E$2:$E$1000, $A38, MatchScoutingData!Y$2:Y$1000)</f>
        <v>5</v>
      </c>
      <c r="X38" s="28">
        <f>SUMIF(MatchScoutingData!$E$2:$E$1000, $A38, MatchScoutingData!Z$2:Z$1000)</f>
        <v>0</v>
      </c>
      <c r="Y38" s="28">
        <f>SUMIF(MatchScoutingData!$E$2:$E$1000, $A38, MatchScoutingData!AA$2:AA$1000)</f>
        <v>3</v>
      </c>
      <c r="Z38" s="28">
        <f t="shared" si="1"/>
        <v>8</v>
      </c>
    </row>
    <row r="39" spans="1:26" ht="16" x14ac:dyDescent="0.2">
      <c r="A39" s="8">
        <v>3799</v>
      </c>
      <c r="B39" s="28">
        <f>COUNTIF(MatchScoutingData!E$2:E$1000, $A39)</f>
        <v>9</v>
      </c>
      <c r="C39" s="28">
        <f>SUMIF(MatchScoutingData!$E$2:$E$1000, $A39, MatchScoutingData!F$2:F$1000)</f>
        <v>6</v>
      </c>
      <c r="D39" s="28">
        <f>SUMIF(MatchScoutingData!$E$2:$E$1000, $A39, MatchScoutingData!G$2:G$1000)</f>
        <v>2</v>
      </c>
      <c r="E39" s="28">
        <f>SUMIF(MatchScoutingData!$E$2:$E$1000, $A39, MatchScoutingData!H$2:H$1000)</f>
        <v>2</v>
      </c>
      <c r="F39" s="28">
        <f>SUMIF(MatchScoutingData!$E$2:$E$1000, $A39, MatchScoutingData!I$2:I$1000)</f>
        <v>2</v>
      </c>
      <c r="G39" s="28">
        <f>SUMIF(MatchScoutingData!$E$2:$E$1000, $A39, MatchScoutingData!J$2:J$1000)</f>
        <v>24</v>
      </c>
      <c r="H39" s="28">
        <f>SUMIF(MatchScoutingData!$E$2:$E$1000, $A39, MatchScoutingData!K$2:K$1000)</f>
        <v>16</v>
      </c>
      <c r="I39" s="28">
        <f>SUMIF(MatchScoutingData!$E$2:$E$1000, $A39, MatchScoutingData!L$2:L$1000)</f>
        <v>20</v>
      </c>
      <c r="J39" s="28">
        <f>SUMIF(MatchScoutingData!$E$2:$E$1000, $A39, MatchScoutingData!M$2:M$1000)</f>
        <v>26</v>
      </c>
      <c r="K39" s="28">
        <f>SUMIF(MatchScoutingData!$E$2:$E$1000, $A39, MatchScoutingData!N$2:N$1000)</f>
        <v>8</v>
      </c>
      <c r="L39" s="28">
        <f>SUMIF(MatchScoutingData!$E$2:$E$1000, $A39, MatchScoutingData!O$2:O$1000)</f>
        <v>3</v>
      </c>
      <c r="M39" s="28">
        <f>SUMIF(MatchScoutingData!$E$2:$E$1000, $A39, MatchScoutingData!P$2:P$1000)</f>
        <v>3</v>
      </c>
      <c r="N39" s="28">
        <f>SUMIF(MatchScoutingData!$E$2:$E$1000, $A39, MatchScoutingData!Q$2:Q$1000)</f>
        <v>5</v>
      </c>
      <c r="O39" s="28">
        <f>SUMIF(MatchScoutingData!$E$2:$E$1000, $A39, MatchScoutingData!R$2:R$1000)</f>
        <v>5</v>
      </c>
      <c r="P39" s="28">
        <f>SUMIF(MatchScoutingData!$E$2:$E$1000, $A39, MatchScoutingData!S$2:S$1000)</f>
        <v>14</v>
      </c>
      <c r="Q39" s="28">
        <f>SUMIF(MatchScoutingData!$E$2:$E$1000, $A39, MatchScoutingData!T$2:T$1000)</f>
        <v>4</v>
      </c>
      <c r="R39" s="28">
        <f>SUMIF(MatchScoutingData!$E$2:$E$1000, $A39, MatchScoutingData!U$2:U$1000)</f>
        <v>4</v>
      </c>
      <c r="S39" s="28">
        <f>SUMIF(MatchScoutingData!$E$2:$E$1000, $A39, MatchScoutingData!V$2:V$1000)</f>
        <v>3</v>
      </c>
      <c r="T39" s="28">
        <f>SUMIF(MatchScoutingData!$E$2:$E$1000, $A39, MatchScoutingData!W$2:W$1000)</f>
        <v>31</v>
      </c>
      <c r="U39" s="28">
        <f>SUMIF(MatchScoutingData!$E$2:$E$1000, $A39, MatchScoutingData!X$2:X$1000)</f>
        <v>6</v>
      </c>
      <c r="V39" s="28">
        <f>SUMIF(MatchScoutingData!$E$2:$E$1000, $A39, MatchScoutingData!AB$2:AB$1000)</f>
        <v>1502</v>
      </c>
      <c r="W39" s="28">
        <f>SUMIF(MatchScoutingData!$E$2:$E$1000, $A39, MatchScoutingData!Y$2:Y$1000)</f>
        <v>5</v>
      </c>
      <c r="X39" s="28">
        <f>SUMIF(MatchScoutingData!$E$2:$E$1000, $A39, MatchScoutingData!Z$2:Z$1000)</f>
        <v>5</v>
      </c>
      <c r="Y39" s="28">
        <f>SUMIF(MatchScoutingData!$E$2:$E$1000, $A39, MatchScoutingData!AA$2:AA$1000)</f>
        <v>3</v>
      </c>
      <c r="Z39" s="28">
        <f t="shared" si="1"/>
        <v>13</v>
      </c>
    </row>
    <row r="40" spans="1:26" ht="16" x14ac:dyDescent="0.2">
      <c r="A40" s="8">
        <v>3838</v>
      </c>
      <c r="B40" s="28">
        <f>COUNTIF(MatchScoutingData!E$2:E$1000, $A40)</f>
        <v>10</v>
      </c>
      <c r="C40" s="28">
        <f>SUMIF(MatchScoutingData!$E$2:$E$1000, $A40, MatchScoutingData!F$2:F$1000)</f>
        <v>4</v>
      </c>
      <c r="D40" s="28">
        <f>SUMIF(MatchScoutingData!$E$2:$E$1000, $A40, MatchScoutingData!G$2:G$1000)</f>
        <v>3</v>
      </c>
      <c r="E40" s="28">
        <f>SUMIF(MatchScoutingData!$E$2:$E$1000, $A40, MatchScoutingData!H$2:H$1000)</f>
        <v>3</v>
      </c>
      <c r="F40" s="28">
        <f>SUMIF(MatchScoutingData!$E$2:$E$1000, $A40, MatchScoutingData!I$2:I$1000)</f>
        <v>-1</v>
      </c>
      <c r="G40" s="28">
        <f>SUMIF(MatchScoutingData!$E$2:$E$1000, $A40, MatchScoutingData!J$2:J$1000)</f>
        <v>23</v>
      </c>
      <c r="H40" s="28">
        <f>SUMIF(MatchScoutingData!$E$2:$E$1000, $A40, MatchScoutingData!K$2:K$1000)</f>
        <v>21</v>
      </c>
      <c r="I40" s="28">
        <f>SUMIF(MatchScoutingData!$E$2:$E$1000, $A40, MatchScoutingData!L$2:L$1000)</f>
        <v>19</v>
      </c>
      <c r="J40" s="28">
        <f>SUMIF(MatchScoutingData!$E$2:$E$1000, $A40, MatchScoutingData!M$2:M$1000)</f>
        <v>23</v>
      </c>
      <c r="K40" s="28">
        <f>SUMIF(MatchScoutingData!$E$2:$E$1000, $A40, MatchScoutingData!N$2:N$1000)</f>
        <v>6</v>
      </c>
      <c r="L40" s="28">
        <f>SUMIF(MatchScoutingData!$E$2:$E$1000, $A40, MatchScoutingData!O$2:O$1000)</f>
        <v>5</v>
      </c>
      <c r="M40" s="28">
        <f>SUMIF(MatchScoutingData!$E$2:$E$1000, $A40, MatchScoutingData!P$2:P$1000)</f>
        <v>6</v>
      </c>
      <c r="N40" s="28">
        <f>SUMIF(MatchScoutingData!$E$2:$E$1000, $A40, MatchScoutingData!Q$2:Q$1000)</f>
        <v>4</v>
      </c>
      <c r="O40" s="28">
        <f>SUMIF(MatchScoutingData!$E$2:$E$1000, $A40, MatchScoutingData!R$2:R$1000)</f>
        <v>4</v>
      </c>
      <c r="P40" s="28">
        <f>SUMIF(MatchScoutingData!$E$2:$E$1000, $A40, MatchScoutingData!S$2:S$1000)</f>
        <v>11</v>
      </c>
      <c r="Q40" s="28">
        <f>SUMIF(MatchScoutingData!$E$2:$E$1000, $A40, MatchScoutingData!T$2:T$1000)</f>
        <v>7</v>
      </c>
      <c r="R40" s="28">
        <f>SUMIF(MatchScoutingData!$E$2:$E$1000, $A40, MatchScoutingData!U$2:U$1000)</f>
        <v>3</v>
      </c>
      <c r="S40" s="28">
        <f>SUMIF(MatchScoutingData!$E$2:$E$1000, $A40, MatchScoutingData!V$2:V$1000)</f>
        <v>8</v>
      </c>
      <c r="T40" s="28">
        <f>SUMIF(MatchScoutingData!$E$2:$E$1000, $A40, MatchScoutingData!W$2:W$1000)</f>
        <v>40</v>
      </c>
      <c r="U40" s="28">
        <f>SUMIF(MatchScoutingData!$E$2:$E$1000, $A40, MatchScoutingData!X$2:X$1000)</f>
        <v>4</v>
      </c>
      <c r="V40" s="28">
        <f>SUMIF(MatchScoutingData!$E$2:$E$1000, $A40, MatchScoutingData!AB$2:AB$1000)</f>
        <v>1566</v>
      </c>
      <c r="W40" s="28">
        <f>SUMIF(MatchScoutingData!$E$2:$E$1000, $A40, MatchScoutingData!Y$2:Y$1000)</f>
        <v>4</v>
      </c>
      <c r="X40" s="28">
        <f>SUMIF(MatchScoutingData!$E$2:$E$1000, $A40, MatchScoutingData!Z$2:Z$1000)</f>
        <v>3</v>
      </c>
      <c r="Y40" s="28">
        <f>SUMIF(MatchScoutingData!$E$2:$E$1000, $A40, MatchScoutingData!AA$2:AA$1000)</f>
        <v>6</v>
      </c>
      <c r="Z40" s="28">
        <f t="shared" si="1"/>
        <v>13</v>
      </c>
    </row>
    <row r="41" spans="1:26" ht="16" x14ac:dyDescent="0.2">
      <c r="A41" s="8">
        <v>3951</v>
      </c>
      <c r="B41" s="28">
        <f>COUNTIF(MatchScoutingData!E$2:E$1000, $A41)</f>
        <v>9</v>
      </c>
      <c r="C41" s="28">
        <f>SUMIF(MatchScoutingData!$E$2:$E$1000, $A41, MatchScoutingData!F$2:F$1000)</f>
        <v>5</v>
      </c>
      <c r="D41" s="28">
        <f>SUMIF(MatchScoutingData!$E$2:$E$1000, $A41, MatchScoutingData!G$2:G$1000)</f>
        <v>3</v>
      </c>
      <c r="E41" s="28">
        <f>SUMIF(MatchScoutingData!$E$2:$E$1000, $A41, MatchScoutingData!H$2:H$1000)</f>
        <v>5</v>
      </c>
      <c r="F41" s="28">
        <f>SUMIF(MatchScoutingData!$E$2:$E$1000, $A41, MatchScoutingData!I$2:I$1000)</f>
        <v>-4</v>
      </c>
      <c r="G41" s="28">
        <f>SUMIF(MatchScoutingData!$E$2:$E$1000, $A41, MatchScoutingData!J$2:J$1000)</f>
        <v>23</v>
      </c>
      <c r="H41" s="28">
        <f>SUMIF(MatchScoutingData!$E$2:$E$1000, $A41, MatchScoutingData!K$2:K$1000)</f>
        <v>19</v>
      </c>
      <c r="I41" s="28">
        <f>SUMIF(MatchScoutingData!$E$2:$E$1000, $A41, MatchScoutingData!L$2:L$1000)</f>
        <v>20</v>
      </c>
      <c r="J41" s="28">
        <f>SUMIF(MatchScoutingData!$E$2:$E$1000, $A41, MatchScoutingData!M$2:M$1000)</f>
        <v>31</v>
      </c>
      <c r="K41" s="28">
        <f>SUMIF(MatchScoutingData!$E$2:$E$1000, $A41, MatchScoutingData!N$2:N$1000)</f>
        <v>5</v>
      </c>
      <c r="L41" s="28">
        <f>SUMIF(MatchScoutingData!$E$2:$E$1000, $A41, MatchScoutingData!O$2:O$1000)</f>
        <v>5</v>
      </c>
      <c r="M41" s="28">
        <f>SUMIF(MatchScoutingData!$E$2:$E$1000, $A41, MatchScoutingData!P$2:P$1000)</f>
        <v>6</v>
      </c>
      <c r="N41" s="28">
        <f>SUMIF(MatchScoutingData!$E$2:$E$1000, $A41, MatchScoutingData!Q$2:Q$1000)</f>
        <v>5</v>
      </c>
      <c r="O41" s="28">
        <f>SUMIF(MatchScoutingData!$E$2:$E$1000, $A41, MatchScoutingData!R$2:R$1000)</f>
        <v>4</v>
      </c>
      <c r="P41" s="28">
        <f>SUMIF(MatchScoutingData!$E$2:$E$1000, $A41, MatchScoutingData!S$2:S$1000)</f>
        <v>14</v>
      </c>
      <c r="Q41" s="28">
        <f>SUMIF(MatchScoutingData!$E$2:$E$1000, $A41, MatchScoutingData!T$2:T$1000)</f>
        <v>5</v>
      </c>
      <c r="R41" s="28">
        <f>SUMIF(MatchScoutingData!$E$2:$E$1000, $A41, MatchScoutingData!U$2:U$1000)</f>
        <v>4</v>
      </c>
      <c r="S41" s="28">
        <f>SUMIF(MatchScoutingData!$E$2:$E$1000, $A41, MatchScoutingData!V$2:V$1000)</f>
        <v>4</v>
      </c>
      <c r="T41" s="28">
        <f>SUMIF(MatchScoutingData!$E$2:$E$1000, $A41, MatchScoutingData!W$2:W$1000)</f>
        <v>27</v>
      </c>
      <c r="U41" s="28">
        <f>SUMIF(MatchScoutingData!$E$2:$E$1000, $A41, MatchScoutingData!X$2:X$1000)</f>
        <v>-2</v>
      </c>
      <c r="V41" s="28">
        <f>SUMIF(MatchScoutingData!$E$2:$E$1000, $A41, MatchScoutingData!AB$2:AB$1000)</f>
        <v>1197</v>
      </c>
      <c r="W41" s="28">
        <f>SUMIF(MatchScoutingData!$E$2:$E$1000, $A41, MatchScoutingData!Y$2:Y$1000)</f>
        <v>5</v>
      </c>
      <c r="X41" s="28">
        <f>SUMIF(MatchScoutingData!$E$2:$E$1000, $A41, MatchScoutingData!Z$2:Z$1000)</f>
        <v>8</v>
      </c>
      <c r="Y41" s="28">
        <f>SUMIF(MatchScoutingData!$E$2:$E$1000, $A41, MatchScoutingData!AA$2:AA$1000)</f>
        <v>3</v>
      </c>
      <c r="Z41" s="28">
        <f t="shared" si="1"/>
        <v>16</v>
      </c>
    </row>
    <row r="42" spans="1:26" ht="16" x14ac:dyDescent="0.2">
      <c r="A42" s="8">
        <v>4093</v>
      </c>
      <c r="B42" s="28">
        <f>COUNTIF(MatchScoutingData!E$2:E$1000, $A42)</f>
        <v>9</v>
      </c>
      <c r="C42" s="28">
        <f>SUMIF(MatchScoutingData!$E$2:$E$1000, $A42, MatchScoutingData!F$2:F$1000)</f>
        <v>4</v>
      </c>
      <c r="D42" s="28">
        <f>SUMIF(MatchScoutingData!$E$2:$E$1000, $A42, MatchScoutingData!G$2:G$1000)</f>
        <v>2</v>
      </c>
      <c r="E42" s="28">
        <f>SUMIF(MatchScoutingData!$E$2:$E$1000, $A42, MatchScoutingData!H$2:H$1000)</f>
        <v>3</v>
      </c>
      <c r="F42" s="28">
        <f>SUMIF(MatchScoutingData!$E$2:$E$1000, $A42, MatchScoutingData!I$2:I$1000)</f>
        <v>1</v>
      </c>
      <c r="G42" s="28">
        <f>SUMIF(MatchScoutingData!$E$2:$E$1000, $A42, MatchScoutingData!J$2:J$1000)</f>
        <v>29</v>
      </c>
      <c r="H42" s="28">
        <f>SUMIF(MatchScoutingData!$E$2:$E$1000, $A42, MatchScoutingData!K$2:K$1000)</f>
        <v>22</v>
      </c>
      <c r="I42" s="28">
        <f>SUMIF(MatchScoutingData!$E$2:$E$1000, $A42, MatchScoutingData!L$2:L$1000)</f>
        <v>17</v>
      </c>
      <c r="J42" s="28">
        <f>SUMIF(MatchScoutingData!$E$2:$E$1000, $A42, MatchScoutingData!M$2:M$1000)</f>
        <v>25</v>
      </c>
      <c r="K42" s="28">
        <f>SUMIF(MatchScoutingData!$E$2:$E$1000, $A42, MatchScoutingData!N$2:N$1000)</f>
        <v>4</v>
      </c>
      <c r="L42" s="28">
        <f>SUMIF(MatchScoutingData!$E$2:$E$1000, $A42, MatchScoutingData!O$2:O$1000)</f>
        <v>4</v>
      </c>
      <c r="M42" s="28">
        <f>SUMIF(MatchScoutingData!$E$2:$E$1000, $A42, MatchScoutingData!P$2:P$1000)</f>
        <v>4</v>
      </c>
      <c r="N42" s="28">
        <f>SUMIF(MatchScoutingData!$E$2:$E$1000, $A42, MatchScoutingData!Q$2:Q$1000)</f>
        <v>6</v>
      </c>
      <c r="O42" s="28">
        <f>SUMIF(MatchScoutingData!$E$2:$E$1000, $A42, MatchScoutingData!R$2:R$1000)</f>
        <v>7</v>
      </c>
      <c r="P42" s="28">
        <f>SUMIF(MatchScoutingData!$E$2:$E$1000, $A42, MatchScoutingData!S$2:S$1000)</f>
        <v>15</v>
      </c>
      <c r="Q42" s="28">
        <f>SUMIF(MatchScoutingData!$E$2:$E$1000, $A42, MatchScoutingData!T$2:T$1000)</f>
        <v>5</v>
      </c>
      <c r="R42" s="28">
        <f>SUMIF(MatchScoutingData!$E$2:$E$1000, $A42, MatchScoutingData!U$2:U$1000)</f>
        <v>6</v>
      </c>
      <c r="S42" s="28">
        <f>SUMIF(MatchScoutingData!$E$2:$E$1000, $A42, MatchScoutingData!V$2:V$1000)</f>
        <v>4</v>
      </c>
      <c r="T42" s="28">
        <f>SUMIF(MatchScoutingData!$E$2:$E$1000, $A42, MatchScoutingData!W$2:W$1000)</f>
        <v>28</v>
      </c>
      <c r="U42" s="28">
        <f>SUMIF(MatchScoutingData!$E$2:$E$1000, $A42, MatchScoutingData!X$2:X$1000)</f>
        <v>-4</v>
      </c>
      <c r="V42" s="28">
        <f>SUMIF(MatchScoutingData!$E$2:$E$1000, $A42, MatchScoutingData!AB$2:AB$1000)</f>
        <v>881</v>
      </c>
      <c r="W42" s="28">
        <f>SUMIF(MatchScoutingData!$E$2:$E$1000, $A42, MatchScoutingData!Y$2:Y$1000)</f>
        <v>5</v>
      </c>
      <c r="X42" s="28">
        <f>SUMIF(MatchScoutingData!$E$2:$E$1000, $A42, MatchScoutingData!Z$2:Z$1000)</f>
        <v>1</v>
      </c>
      <c r="Y42" s="28">
        <f>SUMIF(MatchScoutingData!$E$2:$E$1000, $A42, MatchScoutingData!AA$2:AA$1000)</f>
        <v>5</v>
      </c>
      <c r="Z42" s="28">
        <f t="shared" si="1"/>
        <v>11</v>
      </c>
    </row>
    <row r="43" spans="1:26" ht="16" x14ac:dyDescent="0.2">
      <c r="A43" s="8">
        <v>4253</v>
      </c>
      <c r="B43" s="28">
        <f>COUNTIF(MatchScoutingData!E$2:E$1000, $A43)</f>
        <v>9</v>
      </c>
      <c r="C43" s="28">
        <f>SUMIF(MatchScoutingData!$E$2:$E$1000, $A43, MatchScoutingData!F$2:F$1000)</f>
        <v>3</v>
      </c>
      <c r="D43" s="28">
        <f>SUMIF(MatchScoutingData!$E$2:$E$1000, $A43, MatchScoutingData!G$2:G$1000)</f>
        <v>5</v>
      </c>
      <c r="E43" s="28">
        <f>SUMIF(MatchScoutingData!$E$2:$E$1000, $A43, MatchScoutingData!H$2:H$1000)</f>
        <v>5</v>
      </c>
      <c r="F43" s="28">
        <f>SUMIF(MatchScoutingData!$E$2:$E$1000, $A43, MatchScoutingData!I$2:I$1000)</f>
        <v>-3</v>
      </c>
      <c r="G43" s="28">
        <f>SUMIF(MatchScoutingData!$E$2:$E$1000, $A43, MatchScoutingData!J$2:J$1000)</f>
        <v>27</v>
      </c>
      <c r="H43" s="28">
        <f>SUMIF(MatchScoutingData!$E$2:$E$1000, $A43, MatchScoutingData!K$2:K$1000)</f>
        <v>14</v>
      </c>
      <c r="I43" s="28">
        <f>SUMIF(MatchScoutingData!$E$2:$E$1000, $A43, MatchScoutingData!L$2:L$1000)</f>
        <v>24</v>
      </c>
      <c r="J43" s="28">
        <f>SUMIF(MatchScoutingData!$E$2:$E$1000, $A43, MatchScoutingData!M$2:M$1000)</f>
        <v>25</v>
      </c>
      <c r="K43" s="28">
        <f>SUMIF(MatchScoutingData!$E$2:$E$1000, $A43, MatchScoutingData!N$2:N$1000)</f>
        <v>2</v>
      </c>
      <c r="L43" s="28">
        <f>SUMIF(MatchScoutingData!$E$2:$E$1000, $A43, MatchScoutingData!O$2:O$1000)</f>
        <v>5</v>
      </c>
      <c r="M43" s="28">
        <f>SUMIF(MatchScoutingData!$E$2:$E$1000, $A43, MatchScoutingData!P$2:P$1000)</f>
        <v>4</v>
      </c>
      <c r="N43" s="28">
        <f>SUMIF(MatchScoutingData!$E$2:$E$1000, $A43, MatchScoutingData!Q$2:Q$1000)</f>
        <v>4</v>
      </c>
      <c r="O43" s="28">
        <f>SUMIF(MatchScoutingData!$E$2:$E$1000, $A43, MatchScoutingData!R$2:R$1000)</f>
        <v>3</v>
      </c>
      <c r="P43" s="28">
        <f>SUMIF(MatchScoutingData!$E$2:$E$1000, $A43, MatchScoutingData!S$2:S$1000)</f>
        <v>9</v>
      </c>
      <c r="Q43" s="28">
        <f>SUMIF(MatchScoutingData!$E$2:$E$1000, $A43, MatchScoutingData!T$2:T$1000)</f>
        <v>4</v>
      </c>
      <c r="R43" s="28">
        <f>SUMIF(MatchScoutingData!$E$2:$E$1000, $A43, MatchScoutingData!U$2:U$1000)</f>
        <v>4</v>
      </c>
      <c r="S43" s="28">
        <f>SUMIF(MatchScoutingData!$E$2:$E$1000, $A43, MatchScoutingData!V$2:V$1000)</f>
        <v>1</v>
      </c>
      <c r="T43" s="28">
        <f>SUMIF(MatchScoutingData!$E$2:$E$1000, $A43, MatchScoutingData!W$2:W$1000)</f>
        <v>27</v>
      </c>
      <c r="U43" s="28">
        <f>SUMIF(MatchScoutingData!$E$2:$E$1000, $A43, MatchScoutingData!X$2:X$1000)</f>
        <v>6</v>
      </c>
      <c r="V43" s="28">
        <f>SUMIF(MatchScoutingData!$E$2:$E$1000, $A43, MatchScoutingData!AB$2:AB$1000)</f>
        <v>1440</v>
      </c>
      <c r="W43" s="28">
        <f>SUMIF(MatchScoutingData!$E$2:$E$1000, $A43, MatchScoutingData!Y$2:Y$1000)</f>
        <v>3</v>
      </c>
      <c r="X43" s="28">
        <f>SUMIF(MatchScoutingData!$E$2:$E$1000, $A43, MatchScoutingData!Z$2:Z$1000)</f>
        <v>4</v>
      </c>
      <c r="Y43" s="28">
        <f>SUMIF(MatchScoutingData!$E$2:$E$1000, $A43, MatchScoutingData!AA$2:AA$1000)</f>
        <v>4</v>
      </c>
      <c r="Z43" s="28">
        <f t="shared" si="1"/>
        <v>11</v>
      </c>
    </row>
    <row r="44" spans="1:26" ht="16" x14ac:dyDescent="0.2">
      <c r="A44" s="8">
        <v>4458</v>
      </c>
      <c r="B44" s="28">
        <f>COUNTIF(MatchScoutingData!E$2:E$1000, $A44)</f>
        <v>9</v>
      </c>
      <c r="C44" s="28">
        <f>SUMIF(MatchScoutingData!$E$2:$E$1000, $A44, MatchScoutingData!F$2:F$1000)</f>
        <v>4</v>
      </c>
      <c r="D44" s="28">
        <f>SUMIF(MatchScoutingData!$E$2:$E$1000, $A44, MatchScoutingData!G$2:G$1000)</f>
        <v>7</v>
      </c>
      <c r="E44" s="28">
        <f>SUMIF(MatchScoutingData!$E$2:$E$1000, $A44, MatchScoutingData!H$2:H$1000)</f>
        <v>4</v>
      </c>
      <c r="F44" s="28">
        <f>SUMIF(MatchScoutingData!$E$2:$E$1000, $A44, MatchScoutingData!I$2:I$1000)</f>
        <v>-3</v>
      </c>
      <c r="G44" s="28">
        <f>SUMIF(MatchScoutingData!$E$2:$E$1000, $A44, MatchScoutingData!J$2:J$1000)</f>
        <v>27</v>
      </c>
      <c r="H44" s="28">
        <f>SUMIF(MatchScoutingData!$E$2:$E$1000, $A44, MatchScoutingData!K$2:K$1000)</f>
        <v>18</v>
      </c>
      <c r="I44" s="28">
        <f>SUMIF(MatchScoutingData!$E$2:$E$1000, $A44, MatchScoutingData!L$2:L$1000)</f>
        <v>14</v>
      </c>
      <c r="J44" s="28">
        <f>SUMIF(MatchScoutingData!$E$2:$E$1000, $A44, MatchScoutingData!M$2:M$1000)</f>
        <v>19</v>
      </c>
      <c r="K44" s="28">
        <f>SUMIF(MatchScoutingData!$E$2:$E$1000, $A44, MatchScoutingData!N$2:N$1000)</f>
        <v>6</v>
      </c>
      <c r="L44" s="28">
        <f>SUMIF(MatchScoutingData!$E$2:$E$1000, $A44, MatchScoutingData!O$2:O$1000)</f>
        <v>5</v>
      </c>
      <c r="M44" s="28">
        <f>SUMIF(MatchScoutingData!$E$2:$E$1000, $A44, MatchScoutingData!P$2:P$1000)</f>
        <v>5</v>
      </c>
      <c r="N44" s="28">
        <f>SUMIF(MatchScoutingData!$E$2:$E$1000, $A44, MatchScoutingData!Q$2:Q$1000)</f>
        <v>6</v>
      </c>
      <c r="O44" s="28">
        <f>SUMIF(MatchScoutingData!$E$2:$E$1000, $A44, MatchScoutingData!R$2:R$1000)</f>
        <v>7</v>
      </c>
      <c r="P44" s="28">
        <f>SUMIF(MatchScoutingData!$E$2:$E$1000, $A44, MatchScoutingData!S$2:S$1000)</f>
        <v>14</v>
      </c>
      <c r="Q44" s="28">
        <f>SUMIF(MatchScoutingData!$E$2:$E$1000, $A44, MatchScoutingData!T$2:T$1000)</f>
        <v>4</v>
      </c>
      <c r="R44" s="28">
        <f>SUMIF(MatchScoutingData!$E$2:$E$1000, $A44, MatchScoutingData!U$2:U$1000)</f>
        <v>5</v>
      </c>
      <c r="S44" s="28">
        <f>SUMIF(MatchScoutingData!$E$2:$E$1000, $A44, MatchScoutingData!V$2:V$1000)</f>
        <v>7</v>
      </c>
      <c r="T44" s="28">
        <f>SUMIF(MatchScoutingData!$E$2:$E$1000, $A44, MatchScoutingData!W$2:W$1000)</f>
        <v>25</v>
      </c>
      <c r="U44" s="28">
        <f>SUMIF(MatchScoutingData!$E$2:$E$1000, $A44, MatchScoutingData!X$2:X$1000)</f>
        <v>-4</v>
      </c>
      <c r="V44" s="28">
        <f>SUMIF(MatchScoutingData!$E$2:$E$1000, $A44, MatchScoutingData!AB$2:AB$1000)</f>
        <v>896</v>
      </c>
      <c r="W44" s="28">
        <f>SUMIF(MatchScoutingData!$E$2:$E$1000, $A44, MatchScoutingData!Y$2:Y$1000)</f>
        <v>6</v>
      </c>
      <c r="X44" s="28">
        <f>SUMIF(MatchScoutingData!$E$2:$E$1000, $A44, MatchScoutingData!Z$2:Z$1000)</f>
        <v>7</v>
      </c>
      <c r="Y44" s="28">
        <f>SUMIF(MatchScoutingData!$E$2:$E$1000, $A44, MatchScoutingData!AA$2:AA$1000)</f>
        <v>5</v>
      </c>
      <c r="Z44" s="28">
        <f t="shared" si="1"/>
        <v>18</v>
      </c>
    </row>
    <row r="45" spans="1:26" ht="16" x14ac:dyDescent="0.2">
      <c r="A45" s="8">
        <v>4930</v>
      </c>
      <c r="B45" s="28">
        <f>COUNTIF(MatchScoutingData!E$2:E$1000, $A45)</f>
        <v>9</v>
      </c>
      <c r="C45" s="28">
        <f>SUMIF(MatchScoutingData!$E$2:$E$1000, $A45, MatchScoutingData!F$2:F$1000)</f>
        <v>3</v>
      </c>
      <c r="D45" s="28">
        <f>SUMIF(MatchScoutingData!$E$2:$E$1000, $A45, MatchScoutingData!G$2:G$1000)</f>
        <v>6</v>
      </c>
      <c r="E45" s="28">
        <f>SUMIF(MatchScoutingData!$E$2:$E$1000, $A45, MatchScoutingData!H$2:H$1000)</f>
        <v>2</v>
      </c>
      <c r="F45" s="28">
        <f>SUMIF(MatchScoutingData!$E$2:$E$1000, $A45, MatchScoutingData!I$2:I$1000)</f>
        <v>1</v>
      </c>
      <c r="G45" s="28">
        <f>SUMIF(MatchScoutingData!$E$2:$E$1000, $A45, MatchScoutingData!J$2:J$1000)</f>
        <v>20</v>
      </c>
      <c r="H45" s="28">
        <f>SUMIF(MatchScoutingData!$E$2:$E$1000, $A45, MatchScoutingData!K$2:K$1000)</f>
        <v>22</v>
      </c>
      <c r="I45" s="28">
        <f>SUMIF(MatchScoutingData!$E$2:$E$1000, $A45, MatchScoutingData!L$2:L$1000)</f>
        <v>17</v>
      </c>
      <c r="J45" s="28">
        <f>SUMIF(MatchScoutingData!$E$2:$E$1000, $A45, MatchScoutingData!M$2:M$1000)</f>
        <v>23</v>
      </c>
      <c r="K45" s="28">
        <f>SUMIF(MatchScoutingData!$E$2:$E$1000, $A45, MatchScoutingData!N$2:N$1000)</f>
        <v>3</v>
      </c>
      <c r="L45" s="28">
        <f>SUMIF(MatchScoutingData!$E$2:$E$1000, $A45, MatchScoutingData!O$2:O$1000)</f>
        <v>5</v>
      </c>
      <c r="M45" s="28">
        <f>SUMIF(MatchScoutingData!$E$2:$E$1000, $A45, MatchScoutingData!P$2:P$1000)</f>
        <v>6</v>
      </c>
      <c r="N45" s="28">
        <f>SUMIF(MatchScoutingData!$E$2:$E$1000, $A45, MatchScoutingData!Q$2:Q$1000)</f>
        <v>5</v>
      </c>
      <c r="O45" s="28">
        <f>SUMIF(MatchScoutingData!$E$2:$E$1000, $A45, MatchScoutingData!R$2:R$1000)</f>
        <v>4</v>
      </c>
      <c r="P45" s="28">
        <f>SUMIF(MatchScoutingData!$E$2:$E$1000, $A45, MatchScoutingData!S$2:S$1000)</f>
        <v>10</v>
      </c>
      <c r="Q45" s="28">
        <f>SUMIF(MatchScoutingData!$E$2:$E$1000, $A45, MatchScoutingData!T$2:T$1000)</f>
        <v>3</v>
      </c>
      <c r="R45" s="28">
        <f>SUMIF(MatchScoutingData!$E$2:$E$1000, $A45, MatchScoutingData!U$2:U$1000)</f>
        <v>4</v>
      </c>
      <c r="S45" s="28">
        <f>SUMIF(MatchScoutingData!$E$2:$E$1000, $A45, MatchScoutingData!V$2:V$1000)</f>
        <v>5</v>
      </c>
      <c r="T45" s="28">
        <f>SUMIF(MatchScoutingData!$E$2:$E$1000, $A45, MatchScoutingData!W$2:W$1000)</f>
        <v>22</v>
      </c>
      <c r="U45" s="28">
        <f>SUMIF(MatchScoutingData!$E$2:$E$1000, $A45, MatchScoutingData!X$2:X$1000)</f>
        <v>4</v>
      </c>
      <c r="V45" s="28">
        <f>SUMIF(MatchScoutingData!$E$2:$E$1000, $A45, MatchScoutingData!AB$2:AB$1000)</f>
        <v>1233</v>
      </c>
      <c r="W45" s="28">
        <f>SUMIF(MatchScoutingData!$E$2:$E$1000, $A45, MatchScoutingData!Y$2:Y$1000)</f>
        <v>4</v>
      </c>
      <c r="X45" s="28">
        <f>SUMIF(MatchScoutingData!$E$2:$E$1000, $A45, MatchScoutingData!Z$2:Z$1000)</f>
        <v>0</v>
      </c>
      <c r="Y45" s="28">
        <f>SUMIF(MatchScoutingData!$E$2:$E$1000, $A45, MatchScoutingData!AA$2:AA$1000)</f>
        <v>6</v>
      </c>
      <c r="Z45" s="28">
        <f t="shared" si="1"/>
        <v>10</v>
      </c>
    </row>
    <row r="46" spans="1:26" ht="16" x14ac:dyDescent="0.2">
      <c r="A46" s="8">
        <v>5528</v>
      </c>
      <c r="B46" s="28">
        <f>COUNTIF(MatchScoutingData!E$2:E$1000, $A46)</f>
        <v>9</v>
      </c>
      <c r="C46" s="28">
        <f>SUMIF(MatchScoutingData!$E$2:$E$1000, $A46, MatchScoutingData!F$2:F$1000)</f>
        <v>4</v>
      </c>
      <c r="D46" s="28">
        <f>SUMIF(MatchScoutingData!$E$2:$E$1000, $A46, MatchScoutingData!G$2:G$1000)</f>
        <v>3</v>
      </c>
      <c r="E46" s="28">
        <f>SUMIF(MatchScoutingData!$E$2:$E$1000, $A46, MatchScoutingData!H$2:H$1000)</f>
        <v>5</v>
      </c>
      <c r="F46" s="28">
        <f>SUMIF(MatchScoutingData!$E$2:$E$1000, $A46, MatchScoutingData!I$2:I$1000)</f>
        <v>1</v>
      </c>
      <c r="G46" s="28">
        <f>SUMIF(MatchScoutingData!$E$2:$E$1000, $A46, MatchScoutingData!J$2:J$1000)</f>
        <v>24</v>
      </c>
      <c r="H46" s="28">
        <f>SUMIF(MatchScoutingData!$E$2:$E$1000, $A46, MatchScoutingData!K$2:K$1000)</f>
        <v>22</v>
      </c>
      <c r="I46" s="28">
        <f>SUMIF(MatchScoutingData!$E$2:$E$1000, $A46, MatchScoutingData!L$2:L$1000)</f>
        <v>17</v>
      </c>
      <c r="J46" s="28">
        <f>SUMIF(MatchScoutingData!$E$2:$E$1000, $A46, MatchScoutingData!M$2:M$1000)</f>
        <v>24</v>
      </c>
      <c r="K46" s="28">
        <f>SUMIF(MatchScoutingData!$E$2:$E$1000, $A46, MatchScoutingData!N$2:N$1000)</f>
        <v>6</v>
      </c>
      <c r="L46" s="28">
        <f>SUMIF(MatchScoutingData!$E$2:$E$1000, $A46, MatchScoutingData!O$2:O$1000)</f>
        <v>6</v>
      </c>
      <c r="M46" s="28">
        <f>SUMIF(MatchScoutingData!$E$2:$E$1000, $A46, MatchScoutingData!P$2:P$1000)</f>
        <v>4</v>
      </c>
      <c r="N46" s="28">
        <f>SUMIF(MatchScoutingData!$E$2:$E$1000, $A46, MatchScoutingData!Q$2:Q$1000)</f>
        <v>7</v>
      </c>
      <c r="O46" s="28">
        <f>SUMIF(MatchScoutingData!$E$2:$E$1000, $A46, MatchScoutingData!R$2:R$1000)</f>
        <v>4</v>
      </c>
      <c r="P46" s="28">
        <f>SUMIF(MatchScoutingData!$E$2:$E$1000, $A46, MatchScoutingData!S$2:S$1000)</f>
        <v>15</v>
      </c>
      <c r="Q46" s="28">
        <f>SUMIF(MatchScoutingData!$E$2:$E$1000, $A46, MatchScoutingData!T$2:T$1000)</f>
        <v>5</v>
      </c>
      <c r="R46" s="28">
        <f>SUMIF(MatchScoutingData!$E$2:$E$1000, $A46, MatchScoutingData!U$2:U$1000)</f>
        <v>3</v>
      </c>
      <c r="S46" s="28">
        <f>SUMIF(MatchScoutingData!$E$2:$E$1000, $A46, MatchScoutingData!V$2:V$1000)</f>
        <v>3</v>
      </c>
      <c r="T46" s="28">
        <f>SUMIF(MatchScoutingData!$E$2:$E$1000, $A46, MatchScoutingData!W$2:W$1000)</f>
        <v>29</v>
      </c>
      <c r="U46" s="28">
        <f>SUMIF(MatchScoutingData!$E$2:$E$1000, $A46, MatchScoutingData!X$2:X$1000)</f>
        <v>0</v>
      </c>
      <c r="V46" s="28">
        <f>SUMIF(MatchScoutingData!$E$2:$E$1000, $A46, MatchScoutingData!AB$2:AB$1000)</f>
        <v>1488</v>
      </c>
      <c r="W46" s="28">
        <f>SUMIF(MatchScoutingData!$E$2:$E$1000, $A46, MatchScoutingData!Y$2:Y$1000)</f>
        <v>4</v>
      </c>
      <c r="X46" s="28">
        <f>SUMIF(MatchScoutingData!$E$2:$E$1000, $A46, MatchScoutingData!Z$2:Z$1000)</f>
        <v>4</v>
      </c>
      <c r="Y46" s="28">
        <f>SUMIF(MatchScoutingData!$E$2:$E$1000, $A46, MatchScoutingData!AA$2:AA$1000)</f>
        <v>3</v>
      </c>
      <c r="Z46" s="28">
        <f t="shared" si="1"/>
        <v>11</v>
      </c>
    </row>
    <row r="47" spans="1:26" ht="16" x14ac:dyDescent="0.2">
      <c r="A47" s="8">
        <v>5590</v>
      </c>
      <c r="B47" s="28">
        <f>COUNTIF(MatchScoutingData!E$2:E$1000, $A47)</f>
        <v>9</v>
      </c>
      <c r="C47" s="28">
        <f>SUMIF(MatchScoutingData!$E$2:$E$1000, $A47, MatchScoutingData!F$2:F$1000)</f>
        <v>5</v>
      </c>
      <c r="D47" s="28">
        <f>SUMIF(MatchScoutingData!$E$2:$E$1000, $A47, MatchScoutingData!G$2:G$1000)</f>
        <v>3</v>
      </c>
      <c r="E47" s="28">
        <f>SUMIF(MatchScoutingData!$E$2:$E$1000, $A47, MatchScoutingData!H$2:H$1000)</f>
        <v>7</v>
      </c>
      <c r="F47" s="28">
        <f>SUMIF(MatchScoutingData!$E$2:$E$1000, $A47, MatchScoutingData!I$2:I$1000)</f>
        <v>-1</v>
      </c>
      <c r="G47" s="28">
        <f>SUMIF(MatchScoutingData!$E$2:$E$1000, $A47, MatchScoutingData!J$2:J$1000)</f>
        <v>23</v>
      </c>
      <c r="H47" s="28">
        <f>SUMIF(MatchScoutingData!$E$2:$E$1000, $A47, MatchScoutingData!K$2:K$1000)</f>
        <v>18</v>
      </c>
      <c r="I47" s="28">
        <f>SUMIF(MatchScoutingData!$E$2:$E$1000, $A47, MatchScoutingData!L$2:L$1000)</f>
        <v>17</v>
      </c>
      <c r="J47" s="28">
        <f>SUMIF(MatchScoutingData!$E$2:$E$1000, $A47, MatchScoutingData!M$2:M$1000)</f>
        <v>27</v>
      </c>
      <c r="K47" s="28">
        <f>SUMIF(MatchScoutingData!$E$2:$E$1000, $A47, MatchScoutingData!N$2:N$1000)</f>
        <v>3</v>
      </c>
      <c r="L47" s="28">
        <f>SUMIF(MatchScoutingData!$E$2:$E$1000, $A47, MatchScoutingData!O$2:O$1000)</f>
        <v>6</v>
      </c>
      <c r="M47" s="28">
        <f>SUMIF(MatchScoutingData!$E$2:$E$1000, $A47, MatchScoutingData!P$2:P$1000)</f>
        <v>5</v>
      </c>
      <c r="N47" s="28">
        <f>SUMIF(MatchScoutingData!$E$2:$E$1000, $A47, MatchScoutingData!Q$2:Q$1000)</f>
        <v>1</v>
      </c>
      <c r="O47" s="28">
        <f>SUMIF(MatchScoutingData!$E$2:$E$1000, $A47, MatchScoutingData!R$2:R$1000)</f>
        <v>6</v>
      </c>
      <c r="P47" s="28">
        <f>SUMIF(MatchScoutingData!$E$2:$E$1000, $A47, MatchScoutingData!S$2:S$1000)</f>
        <v>14</v>
      </c>
      <c r="Q47" s="28">
        <f>SUMIF(MatchScoutingData!$E$2:$E$1000, $A47, MatchScoutingData!T$2:T$1000)</f>
        <v>7</v>
      </c>
      <c r="R47" s="28">
        <f>SUMIF(MatchScoutingData!$E$2:$E$1000, $A47, MatchScoutingData!U$2:U$1000)</f>
        <v>6</v>
      </c>
      <c r="S47" s="28">
        <f>SUMIF(MatchScoutingData!$E$2:$E$1000, $A47, MatchScoutingData!V$2:V$1000)</f>
        <v>3</v>
      </c>
      <c r="T47" s="28">
        <f>SUMIF(MatchScoutingData!$E$2:$E$1000, $A47, MatchScoutingData!W$2:W$1000)</f>
        <v>33</v>
      </c>
      <c r="U47" s="28">
        <f>SUMIF(MatchScoutingData!$E$2:$E$1000, $A47, MatchScoutingData!X$2:X$1000)</f>
        <v>-4</v>
      </c>
      <c r="V47" s="28">
        <f>SUMIF(MatchScoutingData!$E$2:$E$1000, $A47, MatchScoutingData!AB$2:AB$1000)</f>
        <v>1247</v>
      </c>
      <c r="W47" s="28">
        <f>SUMIF(MatchScoutingData!$E$2:$E$1000, $A47, MatchScoutingData!Y$2:Y$1000)</f>
        <v>6</v>
      </c>
      <c r="X47" s="28">
        <f>SUMIF(MatchScoutingData!$E$2:$E$1000, $A47, MatchScoutingData!Z$2:Z$1000)</f>
        <v>6</v>
      </c>
      <c r="Y47" s="28">
        <f>SUMIF(MatchScoutingData!$E$2:$E$1000, $A47, MatchScoutingData!AA$2:AA$1000)</f>
        <v>4</v>
      </c>
      <c r="Z47" s="28">
        <f t="shared" si="1"/>
        <v>16</v>
      </c>
    </row>
    <row r="48" spans="1:26" ht="16" x14ac:dyDescent="0.2">
      <c r="A48" s="8">
        <v>6423</v>
      </c>
      <c r="B48" s="28">
        <f>COUNTIF(MatchScoutingData!E$2:E$1000, $A48)</f>
        <v>9</v>
      </c>
      <c r="C48" s="28">
        <f>SUMIF(MatchScoutingData!$E$2:$E$1000, $A48, MatchScoutingData!F$2:F$1000)</f>
        <v>4</v>
      </c>
      <c r="D48" s="28">
        <f>SUMIF(MatchScoutingData!$E$2:$E$1000, $A48, MatchScoutingData!G$2:G$1000)</f>
        <v>5</v>
      </c>
      <c r="E48" s="28">
        <f>SUMIF(MatchScoutingData!$E$2:$E$1000, $A48, MatchScoutingData!H$2:H$1000)</f>
        <v>3</v>
      </c>
      <c r="F48" s="28">
        <f>SUMIF(MatchScoutingData!$E$2:$E$1000, $A48, MatchScoutingData!I$2:I$1000)</f>
        <v>-1</v>
      </c>
      <c r="G48" s="28">
        <f>SUMIF(MatchScoutingData!$E$2:$E$1000, $A48, MatchScoutingData!J$2:J$1000)</f>
        <v>22</v>
      </c>
      <c r="H48" s="28">
        <f>SUMIF(MatchScoutingData!$E$2:$E$1000, $A48, MatchScoutingData!K$2:K$1000)</f>
        <v>19</v>
      </c>
      <c r="I48" s="28">
        <f>SUMIF(MatchScoutingData!$E$2:$E$1000, $A48, MatchScoutingData!L$2:L$1000)</f>
        <v>19</v>
      </c>
      <c r="J48" s="28">
        <f>SUMIF(MatchScoutingData!$E$2:$E$1000, $A48, MatchScoutingData!M$2:M$1000)</f>
        <v>30</v>
      </c>
      <c r="K48" s="28">
        <f>SUMIF(MatchScoutingData!$E$2:$E$1000, $A48, MatchScoutingData!N$2:N$1000)</f>
        <v>6</v>
      </c>
      <c r="L48" s="28">
        <f>SUMIF(MatchScoutingData!$E$2:$E$1000, $A48, MatchScoutingData!O$2:O$1000)</f>
        <v>5</v>
      </c>
      <c r="M48" s="28">
        <f>SUMIF(MatchScoutingData!$E$2:$E$1000, $A48, MatchScoutingData!P$2:P$1000)</f>
        <v>3</v>
      </c>
      <c r="N48" s="28">
        <f>SUMIF(MatchScoutingData!$E$2:$E$1000, $A48, MatchScoutingData!Q$2:Q$1000)</f>
        <v>4</v>
      </c>
      <c r="O48" s="28">
        <f>SUMIF(MatchScoutingData!$E$2:$E$1000, $A48, MatchScoutingData!R$2:R$1000)</f>
        <v>5</v>
      </c>
      <c r="P48" s="28">
        <f>SUMIF(MatchScoutingData!$E$2:$E$1000, $A48, MatchScoutingData!S$2:S$1000)</f>
        <v>5</v>
      </c>
      <c r="Q48" s="28">
        <f>SUMIF(MatchScoutingData!$E$2:$E$1000, $A48, MatchScoutingData!T$2:T$1000)</f>
        <v>7</v>
      </c>
      <c r="R48" s="28">
        <f>SUMIF(MatchScoutingData!$E$2:$E$1000, $A48, MatchScoutingData!U$2:U$1000)</f>
        <v>5</v>
      </c>
      <c r="S48" s="28">
        <f>SUMIF(MatchScoutingData!$E$2:$E$1000, $A48, MatchScoutingData!V$2:V$1000)</f>
        <v>5</v>
      </c>
      <c r="T48" s="28">
        <f>SUMIF(MatchScoutingData!$E$2:$E$1000, $A48, MatchScoutingData!W$2:W$1000)</f>
        <v>27</v>
      </c>
      <c r="U48" s="28">
        <f>SUMIF(MatchScoutingData!$E$2:$E$1000, $A48, MatchScoutingData!X$2:X$1000)</f>
        <v>1</v>
      </c>
      <c r="V48" s="28">
        <f>SUMIF(MatchScoutingData!$E$2:$E$1000, $A48, MatchScoutingData!AB$2:AB$1000)</f>
        <v>1514</v>
      </c>
      <c r="W48" s="28">
        <f>SUMIF(MatchScoutingData!$E$2:$E$1000, $A48, MatchScoutingData!Y$2:Y$1000)</f>
        <v>4</v>
      </c>
      <c r="X48" s="28">
        <f>SUMIF(MatchScoutingData!$E$2:$E$1000, $A48, MatchScoutingData!Z$2:Z$1000)</f>
        <v>3</v>
      </c>
      <c r="Y48" s="28">
        <f>SUMIF(MatchScoutingData!$E$2:$E$1000, $A48, MatchScoutingData!AA$2:AA$1000)</f>
        <v>6</v>
      </c>
      <c r="Z48" s="28">
        <f t="shared" si="1"/>
        <v>13</v>
      </c>
    </row>
    <row r="49" spans="1:26" ht="16" x14ac:dyDescent="0.2">
      <c r="A49" s="8">
        <v>6868</v>
      </c>
      <c r="B49" s="28">
        <f>COUNTIF(MatchScoutingData!E$2:E$1000, $A49)</f>
        <v>9</v>
      </c>
      <c r="C49" s="28">
        <f>SUMIF(MatchScoutingData!$E$2:$E$1000, $A49, MatchScoutingData!F$2:F$1000)</f>
        <v>4</v>
      </c>
      <c r="D49" s="28">
        <f>SUMIF(MatchScoutingData!$E$2:$E$1000, $A49, MatchScoutingData!G$2:G$1000)</f>
        <v>4</v>
      </c>
      <c r="E49" s="28">
        <f>SUMIF(MatchScoutingData!$E$2:$E$1000, $A49, MatchScoutingData!H$2:H$1000)</f>
        <v>3</v>
      </c>
      <c r="F49" s="28">
        <f>SUMIF(MatchScoutingData!$E$2:$E$1000, $A49, MatchScoutingData!I$2:I$1000)</f>
        <v>-1</v>
      </c>
      <c r="G49" s="28">
        <f>SUMIF(MatchScoutingData!$E$2:$E$1000, $A49, MatchScoutingData!J$2:J$1000)</f>
        <v>33</v>
      </c>
      <c r="H49" s="28">
        <f>SUMIF(MatchScoutingData!$E$2:$E$1000, $A49, MatchScoutingData!K$2:K$1000)</f>
        <v>16</v>
      </c>
      <c r="I49" s="28">
        <f>SUMIF(MatchScoutingData!$E$2:$E$1000, $A49, MatchScoutingData!L$2:L$1000)</f>
        <v>18</v>
      </c>
      <c r="J49" s="28">
        <f>SUMIF(MatchScoutingData!$E$2:$E$1000, $A49, MatchScoutingData!M$2:M$1000)</f>
        <v>24</v>
      </c>
      <c r="K49" s="28">
        <f>SUMIF(MatchScoutingData!$E$2:$E$1000, $A49, MatchScoutingData!N$2:N$1000)</f>
        <v>5</v>
      </c>
      <c r="L49" s="28">
        <f>SUMIF(MatchScoutingData!$E$2:$E$1000, $A49, MatchScoutingData!O$2:O$1000)</f>
        <v>7</v>
      </c>
      <c r="M49" s="28">
        <f>SUMIF(MatchScoutingData!$E$2:$E$1000, $A49, MatchScoutingData!P$2:P$1000)</f>
        <v>4</v>
      </c>
      <c r="N49" s="28">
        <f>SUMIF(MatchScoutingData!$E$2:$E$1000, $A49, MatchScoutingData!Q$2:Q$1000)</f>
        <v>7</v>
      </c>
      <c r="O49" s="28">
        <f>SUMIF(MatchScoutingData!$E$2:$E$1000, $A49, MatchScoutingData!R$2:R$1000)</f>
        <v>3</v>
      </c>
      <c r="P49" s="28">
        <f>SUMIF(MatchScoutingData!$E$2:$E$1000, $A49, MatchScoutingData!S$2:S$1000)</f>
        <v>7</v>
      </c>
      <c r="Q49" s="28">
        <f>SUMIF(MatchScoutingData!$E$2:$E$1000, $A49, MatchScoutingData!T$2:T$1000)</f>
        <v>3</v>
      </c>
      <c r="R49" s="28">
        <f>SUMIF(MatchScoutingData!$E$2:$E$1000, $A49, MatchScoutingData!U$2:U$1000)</f>
        <v>3</v>
      </c>
      <c r="S49" s="28">
        <f>SUMIF(MatchScoutingData!$E$2:$E$1000, $A49, MatchScoutingData!V$2:V$1000)</f>
        <v>2</v>
      </c>
      <c r="T49" s="28">
        <f>SUMIF(MatchScoutingData!$E$2:$E$1000, $A49, MatchScoutingData!W$2:W$1000)</f>
        <v>28</v>
      </c>
      <c r="U49" s="28">
        <f>SUMIF(MatchScoutingData!$E$2:$E$1000, $A49, MatchScoutingData!X$2:X$1000)</f>
        <v>-2</v>
      </c>
      <c r="V49" s="28">
        <f>SUMIF(MatchScoutingData!$E$2:$E$1000, $A49, MatchScoutingData!AB$2:AB$1000)</f>
        <v>1030</v>
      </c>
      <c r="W49" s="28">
        <f>SUMIF(MatchScoutingData!$E$2:$E$1000, $A49, MatchScoutingData!Y$2:Y$1000)</f>
        <v>8</v>
      </c>
      <c r="X49" s="28">
        <f>SUMIF(MatchScoutingData!$E$2:$E$1000, $A49, MatchScoutingData!Z$2:Z$1000)</f>
        <v>4</v>
      </c>
      <c r="Y49" s="28">
        <f>SUMIF(MatchScoutingData!$E$2:$E$1000, $A49, MatchScoutingData!AA$2:AA$1000)</f>
        <v>5</v>
      </c>
      <c r="Z49" s="28">
        <f t="shared" si="1"/>
        <v>17</v>
      </c>
    </row>
    <row r="50" spans="1:26" ht="16" x14ac:dyDescent="0.2">
      <c r="A50" s="8">
        <v>6947</v>
      </c>
      <c r="B50" s="28">
        <f>COUNTIF(MatchScoutingData!E$2:E$1000, $A50)</f>
        <v>9</v>
      </c>
      <c r="C50" s="28">
        <f>SUMIF(MatchScoutingData!$E$2:$E$1000, $A50, MatchScoutingData!F$2:F$1000)</f>
        <v>4</v>
      </c>
      <c r="D50" s="28">
        <f>SUMIF(MatchScoutingData!$E$2:$E$1000, $A50, MatchScoutingData!G$2:G$1000)</f>
        <v>3</v>
      </c>
      <c r="E50" s="28">
        <f>SUMIF(MatchScoutingData!$E$2:$E$1000, $A50, MatchScoutingData!H$2:H$1000)</f>
        <v>4</v>
      </c>
      <c r="F50" s="28">
        <f>SUMIF(MatchScoutingData!$E$2:$E$1000, $A50, MatchScoutingData!I$2:I$1000)</f>
        <v>1</v>
      </c>
      <c r="G50" s="28">
        <f>SUMIF(MatchScoutingData!$E$2:$E$1000, $A50, MatchScoutingData!J$2:J$1000)</f>
        <v>23</v>
      </c>
      <c r="H50" s="28">
        <f>SUMIF(MatchScoutingData!$E$2:$E$1000, $A50, MatchScoutingData!K$2:K$1000)</f>
        <v>22</v>
      </c>
      <c r="I50" s="28">
        <f>SUMIF(MatchScoutingData!$E$2:$E$1000, $A50, MatchScoutingData!L$2:L$1000)</f>
        <v>18</v>
      </c>
      <c r="J50" s="28">
        <f>SUMIF(MatchScoutingData!$E$2:$E$1000, $A50, MatchScoutingData!M$2:M$1000)</f>
        <v>27</v>
      </c>
      <c r="K50" s="28">
        <f>SUMIF(MatchScoutingData!$E$2:$E$1000, $A50, MatchScoutingData!N$2:N$1000)</f>
        <v>2</v>
      </c>
      <c r="L50" s="28">
        <f>SUMIF(MatchScoutingData!$E$2:$E$1000, $A50, MatchScoutingData!O$2:O$1000)</f>
        <v>5</v>
      </c>
      <c r="M50" s="28">
        <f>SUMIF(MatchScoutingData!$E$2:$E$1000, $A50, MatchScoutingData!P$2:P$1000)</f>
        <v>6</v>
      </c>
      <c r="N50" s="28">
        <f>SUMIF(MatchScoutingData!$E$2:$E$1000, $A50, MatchScoutingData!Q$2:Q$1000)</f>
        <v>3</v>
      </c>
      <c r="O50" s="28">
        <f>SUMIF(MatchScoutingData!$E$2:$E$1000, $A50, MatchScoutingData!R$2:R$1000)</f>
        <v>4</v>
      </c>
      <c r="P50" s="28">
        <f>SUMIF(MatchScoutingData!$E$2:$E$1000, $A50, MatchScoutingData!S$2:S$1000)</f>
        <v>8</v>
      </c>
      <c r="Q50" s="28">
        <f>SUMIF(MatchScoutingData!$E$2:$E$1000, $A50, MatchScoutingData!T$2:T$1000)</f>
        <v>3</v>
      </c>
      <c r="R50" s="28">
        <f>SUMIF(MatchScoutingData!$E$2:$E$1000, $A50, MatchScoutingData!U$2:U$1000)</f>
        <v>6</v>
      </c>
      <c r="S50" s="28">
        <f>SUMIF(MatchScoutingData!$E$2:$E$1000, $A50, MatchScoutingData!V$2:V$1000)</f>
        <v>4</v>
      </c>
      <c r="T50" s="28">
        <f>SUMIF(MatchScoutingData!$E$2:$E$1000, $A50, MatchScoutingData!W$2:W$1000)</f>
        <v>27</v>
      </c>
      <c r="U50" s="28">
        <f>SUMIF(MatchScoutingData!$E$2:$E$1000, $A50, MatchScoutingData!X$2:X$1000)</f>
        <v>1</v>
      </c>
      <c r="V50" s="28">
        <f>SUMIF(MatchScoutingData!$E$2:$E$1000, $A50, MatchScoutingData!AB$2:AB$1000)</f>
        <v>1543</v>
      </c>
      <c r="W50" s="28">
        <f>SUMIF(MatchScoutingData!$E$2:$E$1000, $A50, MatchScoutingData!Y$2:Y$1000)</f>
        <v>5</v>
      </c>
      <c r="X50" s="28">
        <f>SUMIF(MatchScoutingData!$E$2:$E$1000, $A50, MatchScoutingData!Z$2:Z$1000)</f>
        <v>7</v>
      </c>
      <c r="Y50" s="28">
        <f>SUMIF(MatchScoutingData!$E$2:$E$1000, $A50, MatchScoutingData!AA$2:AA$1000)</f>
        <v>4</v>
      </c>
      <c r="Z50" s="28">
        <f t="shared" si="1"/>
        <v>16</v>
      </c>
    </row>
    <row r="51" spans="1:26" ht="16" x14ac:dyDescent="0.2">
      <c r="A51" s="8">
        <v>7030</v>
      </c>
      <c r="B51" s="28">
        <f>COUNTIF(MatchScoutingData!E$2:E$1000, $A51)</f>
        <v>9</v>
      </c>
      <c r="C51" s="28">
        <f>SUMIF(MatchScoutingData!$E$2:$E$1000, $A51, MatchScoutingData!F$2:F$1000)</f>
        <v>7</v>
      </c>
      <c r="D51" s="28">
        <f>SUMIF(MatchScoutingData!$E$2:$E$1000, $A51, MatchScoutingData!G$2:G$1000)</f>
        <v>5</v>
      </c>
      <c r="E51" s="28">
        <f>SUMIF(MatchScoutingData!$E$2:$E$1000, $A51, MatchScoutingData!H$2:H$1000)</f>
        <v>6</v>
      </c>
      <c r="F51" s="28">
        <f>SUMIF(MatchScoutingData!$E$2:$E$1000, $A51, MatchScoutingData!I$2:I$1000)</f>
        <v>-1</v>
      </c>
      <c r="G51" s="28">
        <f>SUMIF(MatchScoutingData!$E$2:$E$1000, $A51, MatchScoutingData!J$2:J$1000)</f>
        <v>22</v>
      </c>
      <c r="H51" s="28">
        <f>SUMIF(MatchScoutingData!$E$2:$E$1000, $A51, MatchScoutingData!K$2:K$1000)</f>
        <v>17</v>
      </c>
      <c r="I51" s="28">
        <f>SUMIF(MatchScoutingData!$E$2:$E$1000, $A51, MatchScoutingData!L$2:L$1000)</f>
        <v>15</v>
      </c>
      <c r="J51" s="28">
        <f>SUMIF(MatchScoutingData!$E$2:$E$1000, $A51, MatchScoutingData!M$2:M$1000)</f>
        <v>23</v>
      </c>
      <c r="K51" s="28">
        <f>SUMIF(MatchScoutingData!$E$2:$E$1000, $A51, MatchScoutingData!N$2:N$1000)</f>
        <v>4</v>
      </c>
      <c r="L51" s="28">
        <f>SUMIF(MatchScoutingData!$E$2:$E$1000, $A51, MatchScoutingData!O$2:O$1000)</f>
        <v>6</v>
      </c>
      <c r="M51" s="28">
        <f>SUMIF(MatchScoutingData!$E$2:$E$1000, $A51, MatchScoutingData!P$2:P$1000)</f>
        <v>6</v>
      </c>
      <c r="N51" s="28">
        <f>SUMIF(MatchScoutingData!$E$2:$E$1000, $A51, MatchScoutingData!Q$2:Q$1000)</f>
        <v>5</v>
      </c>
      <c r="O51" s="28">
        <f>SUMIF(MatchScoutingData!$E$2:$E$1000, $A51, MatchScoutingData!R$2:R$1000)</f>
        <v>8</v>
      </c>
      <c r="P51" s="28">
        <f>SUMIF(MatchScoutingData!$E$2:$E$1000, $A51, MatchScoutingData!S$2:S$1000)</f>
        <v>7</v>
      </c>
      <c r="Q51" s="28">
        <f>SUMIF(MatchScoutingData!$E$2:$E$1000, $A51, MatchScoutingData!T$2:T$1000)</f>
        <v>4</v>
      </c>
      <c r="R51" s="28">
        <f>SUMIF(MatchScoutingData!$E$2:$E$1000, $A51, MatchScoutingData!U$2:U$1000)</f>
        <v>3</v>
      </c>
      <c r="S51" s="28">
        <f>SUMIF(MatchScoutingData!$E$2:$E$1000, $A51, MatchScoutingData!V$2:V$1000)</f>
        <v>1</v>
      </c>
      <c r="T51" s="28">
        <f>SUMIF(MatchScoutingData!$E$2:$E$1000, $A51, MatchScoutingData!W$2:W$1000)</f>
        <v>25</v>
      </c>
      <c r="U51" s="28">
        <f>SUMIF(MatchScoutingData!$E$2:$E$1000, $A51, MatchScoutingData!X$2:X$1000)</f>
        <v>-7</v>
      </c>
      <c r="V51" s="28">
        <f>SUMIF(MatchScoutingData!$E$2:$E$1000, $A51, MatchScoutingData!AB$2:AB$1000)</f>
        <v>1318</v>
      </c>
      <c r="W51" s="28">
        <f>SUMIF(MatchScoutingData!$E$2:$E$1000, $A51, MatchScoutingData!Y$2:Y$1000)</f>
        <v>5</v>
      </c>
      <c r="X51" s="28">
        <f>SUMIF(MatchScoutingData!$E$2:$E$1000, $A51, MatchScoutingData!Z$2:Z$1000)</f>
        <v>7</v>
      </c>
      <c r="Y51" s="28">
        <f>SUMIF(MatchScoutingData!$E$2:$E$1000, $A51, MatchScoutingData!AA$2:AA$1000)</f>
        <v>6</v>
      </c>
      <c r="Z51" s="28">
        <f t="shared" si="1"/>
        <v>18</v>
      </c>
    </row>
    <row r="52" spans="1:26" ht="16" x14ac:dyDescent="0.2">
      <c r="A52" s="8">
        <v>7903</v>
      </c>
      <c r="B52" s="28">
        <f>COUNTIF(MatchScoutingData!E$2:E$1000, $A52)</f>
        <v>10</v>
      </c>
      <c r="C52" s="28">
        <f>SUMIF(MatchScoutingData!$E$2:$E$1000, $A52, MatchScoutingData!F$2:F$1000)</f>
        <v>6</v>
      </c>
      <c r="D52" s="28">
        <f>SUMIF(MatchScoutingData!$E$2:$E$1000, $A52, MatchScoutingData!G$2:G$1000)</f>
        <v>7</v>
      </c>
      <c r="E52" s="28">
        <f>SUMIF(MatchScoutingData!$E$2:$E$1000, $A52, MatchScoutingData!H$2:H$1000)</f>
        <v>2</v>
      </c>
      <c r="F52" s="28">
        <f>SUMIF(MatchScoutingData!$E$2:$E$1000, $A52, MatchScoutingData!I$2:I$1000)</f>
        <v>-1</v>
      </c>
      <c r="G52" s="28">
        <f>SUMIF(MatchScoutingData!$E$2:$E$1000, $A52, MatchScoutingData!J$2:J$1000)</f>
        <v>28</v>
      </c>
      <c r="H52" s="28">
        <f>SUMIF(MatchScoutingData!$E$2:$E$1000, $A52, MatchScoutingData!K$2:K$1000)</f>
        <v>14</v>
      </c>
      <c r="I52" s="28">
        <f>SUMIF(MatchScoutingData!$E$2:$E$1000, $A52, MatchScoutingData!L$2:L$1000)</f>
        <v>22</v>
      </c>
      <c r="J52" s="28">
        <f>SUMIF(MatchScoutingData!$E$2:$E$1000, $A52, MatchScoutingData!M$2:M$1000)</f>
        <v>35</v>
      </c>
      <c r="K52" s="28">
        <f>SUMIF(MatchScoutingData!$E$2:$E$1000, $A52, MatchScoutingData!N$2:N$1000)</f>
        <v>3</v>
      </c>
      <c r="L52" s="28">
        <f>SUMIF(MatchScoutingData!$E$2:$E$1000, $A52, MatchScoutingData!O$2:O$1000)</f>
        <v>5</v>
      </c>
      <c r="M52" s="28">
        <f>SUMIF(MatchScoutingData!$E$2:$E$1000, $A52, MatchScoutingData!P$2:P$1000)</f>
        <v>6</v>
      </c>
      <c r="N52" s="28">
        <f>SUMIF(MatchScoutingData!$E$2:$E$1000, $A52, MatchScoutingData!Q$2:Q$1000)</f>
        <v>2</v>
      </c>
      <c r="O52" s="28">
        <f>SUMIF(MatchScoutingData!$E$2:$E$1000, $A52, MatchScoutingData!R$2:R$1000)</f>
        <v>7</v>
      </c>
      <c r="P52" s="28">
        <f>SUMIF(MatchScoutingData!$E$2:$E$1000, $A52, MatchScoutingData!S$2:S$1000)</f>
        <v>8</v>
      </c>
      <c r="Q52" s="28">
        <f>SUMIF(MatchScoutingData!$E$2:$E$1000, $A52, MatchScoutingData!T$2:T$1000)</f>
        <v>7</v>
      </c>
      <c r="R52" s="28">
        <f>SUMIF(MatchScoutingData!$E$2:$E$1000, $A52, MatchScoutingData!U$2:U$1000)</f>
        <v>5</v>
      </c>
      <c r="S52" s="28">
        <f>SUMIF(MatchScoutingData!$E$2:$E$1000, $A52, MatchScoutingData!V$2:V$1000)</f>
        <v>4</v>
      </c>
      <c r="T52" s="28">
        <f>SUMIF(MatchScoutingData!$E$2:$E$1000, $A52, MatchScoutingData!W$2:W$1000)</f>
        <v>25</v>
      </c>
      <c r="U52" s="28">
        <f>SUMIF(MatchScoutingData!$E$2:$E$1000, $A52, MatchScoutingData!X$2:X$1000)</f>
        <v>1</v>
      </c>
      <c r="V52" s="28">
        <f>SUMIF(MatchScoutingData!$E$2:$E$1000, $A52, MatchScoutingData!AB$2:AB$1000)</f>
        <v>1342</v>
      </c>
      <c r="W52" s="28">
        <f>SUMIF(MatchScoutingData!$E$2:$E$1000, $A52, MatchScoutingData!Y$2:Y$1000)</f>
        <v>3</v>
      </c>
      <c r="X52" s="28">
        <f>SUMIF(MatchScoutingData!$E$2:$E$1000, $A52, MatchScoutingData!Z$2:Z$1000)</f>
        <v>6</v>
      </c>
      <c r="Y52" s="28">
        <f>SUMIF(MatchScoutingData!$E$2:$E$1000, $A52, MatchScoutingData!AA$2:AA$1000)</f>
        <v>2</v>
      </c>
      <c r="Z52" s="28">
        <f t="shared" si="1"/>
        <v>11</v>
      </c>
    </row>
    <row r="53" spans="1:26" ht="16" x14ac:dyDescent="0.2">
      <c r="A53" s="8">
        <v>8503</v>
      </c>
      <c r="B53" s="28">
        <f>COUNTIF(MatchScoutingData!E$2:E$1000, $A53)</f>
        <v>9</v>
      </c>
      <c r="C53" s="28">
        <f>SUMIF(MatchScoutingData!$E$2:$E$1000, $A53, MatchScoutingData!F$2:F$1000)</f>
        <v>5</v>
      </c>
      <c r="D53" s="28">
        <f>SUMIF(MatchScoutingData!$E$2:$E$1000, $A53, MatchScoutingData!G$2:G$1000)</f>
        <v>4</v>
      </c>
      <c r="E53" s="28">
        <f>SUMIF(MatchScoutingData!$E$2:$E$1000, $A53, MatchScoutingData!H$2:H$1000)</f>
        <v>4</v>
      </c>
      <c r="F53" s="28">
        <f>SUMIF(MatchScoutingData!$E$2:$E$1000, $A53, MatchScoutingData!I$2:I$1000)</f>
        <v>1</v>
      </c>
      <c r="G53" s="28">
        <f>SUMIF(MatchScoutingData!$E$2:$E$1000, $A53, MatchScoutingData!J$2:J$1000)</f>
        <v>32</v>
      </c>
      <c r="H53" s="28">
        <f>SUMIF(MatchScoutingData!$E$2:$E$1000, $A53, MatchScoutingData!K$2:K$1000)</f>
        <v>16</v>
      </c>
      <c r="I53" s="28">
        <f>SUMIF(MatchScoutingData!$E$2:$E$1000, $A53, MatchScoutingData!L$2:L$1000)</f>
        <v>18</v>
      </c>
      <c r="J53" s="28">
        <f>SUMIF(MatchScoutingData!$E$2:$E$1000, $A53, MatchScoutingData!M$2:M$1000)</f>
        <v>28</v>
      </c>
      <c r="K53" s="28">
        <f>SUMIF(MatchScoutingData!$E$2:$E$1000, $A53, MatchScoutingData!N$2:N$1000)</f>
        <v>5</v>
      </c>
      <c r="L53" s="28">
        <f>SUMIF(MatchScoutingData!$E$2:$E$1000, $A53, MatchScoutingData!O$2:O$1000)</f>
        <v>5</v>
      </c>
      <c r="M53" s="28">
        <f>SUMIF(MatchScoutingData!$E$2:$E$1000, $A53, MatchScoutingData!P$2:P$1000)</f>
        <v>3</v>
      </c>
      <c r="N53" s="28">
        <f>SUMIF(MatchScoutingData!$E$2:$E$1000, $A53, MatchScoutingData!Q$2:Q$1000)</f>
        <v>5</v>
      </c>
      <c r="O53" s="28">
        <f>SUMIF(MatchScoutingData!$E$2:$E$1000, $A53, MatchScoutingData!R$2:R$1000)</f>
        <v>5</v>
      </c>
      <c r="P53" s="28">
        <f>SUMIF(MatchScoutingData!$E$2:$E$1000, $A53, MatchScoutingData!S$2:S$1000)</f>
        <v>9</v>
      </c>
      <c r="Q53" s="28">
        <f>SUMIF(MatchScoutingData!$E$2:$E$1000, $A53, MatchScoutingData!T$2:T$1000)</f>
        <v>5</v>
      </c>
      <c r="R53" s="28">
        <f>SUMIF(MatchScoutingData!$E$2:$E$1000, $A53, MatchScoutingData!U$2:U$1000)</f>
        <v>5</v>
      </c>
      <c r="S53" s="28">
        <f>SUMIF(MatchScoutingData!$E$2:$E$1000, $A53, MatchScoutingData!V$2:V$1000)</f>
        <v>6</v>
      </c>
      <c r="T53" s="28">
        <f>SUMIF(MatchScoutingData!$E$2:$E$1000, $A53, MatchScoutingData!W$2:W$1000)</f>
        <v>25</v>
      </c>
      <c r="U53" s="28">
        <f>SUMIF(MatchScoutingData!$E$2:$E$1000, $A53, MatchScoutingData!X$2:X$1000)</f>
        <v>-1</v>
      </c>
      <c r="V53" s="28">
        <f>SUMIF(MatchScoutingData!$E$2:$E$1000, $A53, MatchScoutingData!AB$2:AB$1000)</f>
        <v>1613</v>
      </c>
      <c r="W53" s="28">
        <f>SUMIF(MatchScoutingData!$E$2:$E$1000, $A53, MatchScoutingData!Y$2:Y$1000)</f>
        <v>6</v>
      </c>
      <c r="X53" s="28">
        <f>SUMIF(MatchScoutingData!$E$2:$E$1000, $A53, MatchScoutingData!Z$2:Z$1000)</f>
        <v>5</v>
      </c>
      <c r="Y53" s="28">
        <f>SUMIF(MatchScoutingData!$E$2:$E$1000, $A53, MatchScoutingData!AA$2:AA$1000)</f>
        <v>2</v>
      </c>
      <c r="Z53" s="28">
        <f t="shared" si="1"/>
        <v>13</v>
      </c>
    </row>
    <row r="54" spans="1:26" ht="16" x14ac:dyDescent="0.2">
      <c r="A54" s="8">
        <v>9016</v>
      </c>
      <c r="B54" s="28">
        <f>COUNTIF(MatchScoutingData!E$2:E$1000, $A54)</f>
        <v>9</v>
      </c>
      <c r="C54" s="28">
        <f>SUMIF(MatchScoutingData!$E$2:$E$1000, $A54, MatchScoutingData!F$2:F$1000)</f>
        <v>3</v>
      </c>
      <c r="D54" s="28">
        <f>SUMIF(MatchScoutingData!$E$2:$E$1000, $A54, MatchScoutingData!G$2:G$1000)</f>
        <v>4</v>
      </c>
      <c r="E54" s="28">
        <f>SUMIF(MatchScoutingData!$E$2:$E$1000, $A54, MatchScoutingData!H$2:H$1000)</f>
        <v>3</v>
      </c>
      <c r="F54" s="28">
        <f>SUMIF(MatchScoutingData!$E$2:$E$1000, $A54, MatchScoutingData!I$2:I$1000)</f>
        <v>-2</v>
      </c>
      <c r="G54" s="28">
        <f>SUMIF(MatchScoutingData!$E$2:$E$1000, $A54, MatchScoutingData!J$2:J$1000)</f>
        <v>19</v>
      </c>
      <c r="H54" s="28">
        <f>SUMIF(MatchScoutingData!$E$2:$E$1000, $A54, MatchScoutingData!K$2:K$1000)</f>
        <v>20</v>
      </c>
      <c r="I54" s="28">
        <f>SUMIF(MatchScoutingData!$E$2:$E$1000, $A54, MatchScoutingData!L$2:L$1000)</f>
        <v>16</v>
      </c>
      <c r="J54" s="28">
        <f>SUMIF(MatchScoutingData!$E$2:$E$1000, $A54, MatchScoutingData!M$2:M$1000)</f>
        <v>23</v>
      </c>
      <c r="K54" s="28">
        <f>SUMIF(MatchScoutingData!$E$2:$E$1000, $A54, MatchScoutingData!N$2:N$1000)</f>
        <v>5</v>
      </c>
      <c r="L54" s="28">
        <f>SUMIF(MatchScoutingData!$E$2:$E$1000, $A54, MatchScoutingData!O$2:O$1000)</f>
        <v>6</v>
      </c>
      <c r="M54" s="28">
        <f>SUMIF(MatchScoutingData!$E$2:$E$1000, $A54, MatchScoutingData!P$2:P$1000)</f>
        <v>3</v>
      </c>
      <c r="N54" s="28">
        <f>SUMIF(MatchScoutingData!$E$2:$E$1000, $A54, MatchScoutingData!Q$2:Q$1000)</f>
        <v>5</v>
      </c>
      <c r="O54" s="28">
        <f>SUMIF(MatchScoutingData!$E$2:$E$1000, $A54, MatchScoutingData!R$2:R$1000)</f>
        <v>7</v>
      </c>
      <c r="P54" s="28">
        <f>SUMIF(MatchScoutingData!$E$2:$E$1000, $A54, MatchScoutingData!S$2:S$1000)</f>
        <v>-1</v>
      </c>
      <c r="Q54" s="28">
        <f>SUMIF(MatchScoutingData!$E$2:$E$1000, $A54, MatchScoutingData!T$2:T$1000)</f>
        <v>1</v>
      </c>
      <c r="R54" s="28">
        <f>SUMIF(MatchScoutingData!$E$2:$E$1000, $A54, MatchScoutingData!U$2:U$1000)</f>
        <v>5</v>
      </c>
      <c r="S54" s="28">
        <f>SUMIF(MatchScoutingData!$E$2:$E$1000, $A54, MatchScoutingData!V$2:V$1000)</f>
        <v>5</v>
      </c>
      <c r="T54" s="28">
        <f>SUMIF(MatchScoutingData!$E$2:$E$1000, $A54, MatchScoutingData!W$2:W$1000)</f>
        <v>24</v>
      </c>
      <c r="U54" s="28">
        <f>SUMIF(MatchScoutingData!$E$2:$E$1000, $A54, MatchScoutingData!X$2:X$1000)</f>
        <v>2</v>
      </c>
      <c r="V54" s="28">
        <f>SUMIF(MatchScoutingData!$E$2:$E$1000, $A54, MatchScoutingData!AB$2:AB$1000)</f>
        <v>1723</v>
      </c>
      <c r="W54" s="28">
        <f>SUMIF(MatchScoutingData!$E$2:$E$1000, $A54, MatchScoutingData!Y$2:Y$1000)</f>
        <v>3</v>
      </c>
      <c r="X54" s="28">
        <f>SUMIF(MatchScoutingData!$E$2:$E$1000, $A54, MatchScoutingData!Z$2:Z$1000)</f>
        <v>3</v>
      </c>
      <c r="Y54" s="28">
        <f>SUMIF(MatchScoutingData!$E$2:$E$1000, $A54, MatchScoutingData!AA$2:AA$1000)</f>
        <v>5</v>
      </c>
      <c r="Z54" s="28">
        <f t="shared" si="1"/>
        <v>11</v>
      </c>
    </row>
    <row r="55" spans="1:26" ht="16" x14ac:dyDescent="0.2">
      <c r="A55" s="8">
        <v>9767</v>
      </c>
      <c r="B55" s="28">
        <f>COUNTIF(MatchScoutingData!E$2:E$1000, $A55)</f>
        <v>9</v>
      </c>
      <c r="C55" s="28">
        <f>SUMIF(MatchScoutingData!$E$2:$E$1000, $A55, MatchScoutingData!F$2:F$1000)</f>
        <v>3</v>
      </c>
      <c r="D55" s="28">
        <f>SUMIF(MatchScoutingData!$E$2:$E$1000, $A55, MatchScoutingData!G$2:G$1000)</f>
        <v>7</v>
      </c>
      <c r="E55" s="28">
        <f>SUMIF(MatchScoutingData!$E$2:$E$1000, $A55, MatchScoutingData!H$2:H$1000)</f>
        <v>4</v>
      </c>
      <c r="F55" s="28">
        <f>SUMIF(MatchScoutingData!$E$2:$E$1000, $A55, MatchScoutingData!I$2:I$1000)</f>
        <v>-4</v>
      </c>
      <c r="G55" s="28">
        <f>SUMIF(MatchScoutingData!$E$2:$E$1000, $A55, MatchScoutingData!J$2:J$1000)</f>
        <v>26</v>
      </c>
      <c r="H55" s="28">
        <f>SUMIF(MatchScoutingData!$E$2:$E$1000, $A55, MatchScoutingData!K$2:K$1000)</f>
        <v>19</v>
      </c>
      <c r="I55" s="28">
        <f>SUMIF(MatchScoutingData!$E$2:$E$1000, $A55, MatchScoutingData!L$2:L$1000)</f>
        <v>20</v>
      </c>
      <c r="J55" s="28">
        <f>SUMIF(MatchScoutingData!$E$2:$E$1000, $A55, MatchScoutingData!M$2:M$1000)</f>
        <v>26</v>
      </c>
      <c r="K55" s="28">
        <f>SUMIF(MatchScoutingData!$E$2:$E$1000, $A55, MatchScoutingData!N$2:N$1000)</f>
        <v>4</v>
      </c>
      <c r="L55" s="28">
        <f>SUMIF(MatchScoutingData!$E$2:$E$1000, $A55, MatchScoutingData!O$2:O$1000)</f>
        <v>4</v>
      </c>
      <c r="M55" s="28">
        <f>SUMIF(MatchScoutingData!$E$2:$E$1000, $A55, MatchScoutingData!P$2:P$1000)</f>
        <v>7</v>
      </c>
      <c r="N55" s="28">
        <f>SUMIF(MatchScoutingData!$E$2:$E$1000, $A55, MatchScoutingData!Q$2:Q$1000)</f>
        <v>3</v>
      </c>
      <c r="O55" s="28">
        <f>SUMIF(MatchScoutingData!$E$2:$E$1000, $A55, MatchScoutingData!R$2:R$1000)</f>
        <v>3</v>
      </c>
      <c r="P55" s="28">
        <f>SUMIF(MatchScoutingData!$E$2:$E$1000, $A55, MatchScoutingData!S$2:S$1000)</f>
        <v>8</v>
      </c>
      <c r="Q55" s="28">
        <f>SUMIF(MatchScoutingData!$E$2:$E$1000, $A55, MatchScoutingData!T$2:T$1000)</f>
        <v>6</v>
      </c>
      <c r="R55" s="28">
        <f>SUMIF(MatchScoutingData!$E$2:$E$1000, $A55, MatchScoutingData!U$2:U$1000)</f>
        <v>6</v>
      </c>
      <c r="S55" s="28">
        <f>SUMIF(MatchScoutingData!$E$2:$E$1000, $A55, MatchScoutingData!V$2:V$1000)</f>
        <v>5</v>
      </c>
      <c r="T55" s="28">
        <f>SUMIF(MatchScoutingData!$E$2:$E$1000, $A55, MatchScoutingData!W$2:W$1000)</f>
        <v>19</v>
      </c>
      <c r="U55" s="28">
        <f>SUMIF(MatchScoutingData!$E$2:$E$1000, $A55, MatchScoutingData!X$2:X$1000)</f>
        <v>1</v>
      </c>
      <c r="V55" s="28">
        <f>SUMIF(MatchScoutingData!$E$2:$E$1000, $A55, MatchScoutingData!AB$2:AB$1000)</f>
        <v>1135</v>
      </c>
      <c r="W55" s="28">
        <f>SUMIF(MatchScoutingData!$E$2:$E$1000, $A55, MatchScoutingData!Y$2:Y$1000)</f>
        <v>2</v>
      </c>
      <c r="X55" s="28">
        <f>SUMIF(MatchScoutingData!$E$2:$E$1000, $A55, MatchScoutingData!Z$2:Z$1000)</f>
        <v>6</v>
      </c>
      <c r="Y55" s="28">
        <f>SUMIF(MatchScoutingData!$E$2:$E$1000, $A55, MatchScoutingData!AA$2:AA$1000)</f>
        <v>4</v>
      </c>
      <c r="Z55" s="28">
        <f t="shared" si="1"/>
        <v>12</v>
      </c>
    </row>
    <row r="56" spans="1:26" ht="16" x14ac:dyDescent="0.2">
      <c r="A56" s="8">
        <v>10223</v>
      </c>
      <c r="B56" s="28">
        <f>COUNTIF(MatchScoutingData!E$2:E$1000, $A56)</f>
        <v>9</v>
      </c>
      <c r="C56" s="28">
        <f>SUMIF(MatchScoutingData!$E$2:$E$1000, $A56, MatchScoutingData!F$2:F$1000)</f>
        <v>3</v>
      </c>
      <c r="D56" s="28">
        <f>SUMIF(MatchScoutingData!$E$2:$E$1000, $A56, MatchScoutingData!G$2:G$1000)</f>
        <v>5</v>
      </c>
      <c r="E56" s="28">
        <f>SUMIF(MatchScoutingData!$E$2:$E$1000, $A56, MatchScoutingData!H$2:H$1000)</f>
        <v>6</v>
      </c>
      <c r="F56" s="28">
        <f>SUMIF(MatchScoutingData!$E$2:$E$1000, $A56, MatchScoutingData!I$2:I$1000)</f>
        <v>1</v>
      </c>
      <c r="G56" s="28">
        <f>SUMIF(MatchScoutingData!$E$2:$E$1000, $A56, MatchScoutingData!J$2:J$1000)</f>
        <v>33</v>
      </c>
      <c r="H56" s="28">
        <f>SUMIF(MatchScoutingData!$E$2:$E$1000, $A56, MatchScoutingData!K$2:K$1000)</f>
        <v>19</v>
      </c>
      <c r="I56" s="28">
        <f>SUMIF(MatchScoutingData!$E$2:$E$1000, $A56, MatchScoutingData!L$2:L$1000)</f>
        <v>18</v>
      </c>
      <c r="J56" s="28">
        <f>SUMIF(MatchScoutingData!$E$2:$E$1000, $A56, MatchScoutingData!M$2:M$1000)</f>
        <v>25</v>
      </c>
      <c r="K56" s="28">
        <f>SUMIF(MatchScoutingData!$E$2:$E$1000, $A56, MatchScoutingData!N$2:N$1000)</f>
        <v>2</v>
      </c>
      <c r="L56" s="28">
        <f>SUMIF(MatchScoutingData!$E$2:$E$1000, $A56, MatchScoutingData!O$2:O$1000)</f>
        <v>5</v>
      </c>
      <c r="M56" s="28">
        <f>SUMIF(MatchScoutingData!$E$2:$E$1000, $A56, MatchScoutingData!P$2:P$1000)</f>
        <v>5</v>
      </c>
      <c r="N56" s="28">
        <f>SUMIF(MatchScoutingData!$E$2:$E$1000, $A56, MatchScoutingData!Q$2:Q$1000)</f>
        <v>6</v>
      </c>
      <c r="O56" s="28">
        <f>SUMIF(MatchScoutingData!$E$2:$E$1000, $A56, MatchScoutingData!R$2:R$1000)</f>
        <v>2</v>
      </c>
      <c r="P56" s="28">
        <f>SUMIF(MatchScoutingData!$E$2:$E$1000, $A56, MatchScoutingData!S$2:S$1000)</f>
        <v>10</v>
      </c>
      <c r="Q56" s="28">
        <f>SUMIF(MatchScoutingData!$E$2:$E$1000, $A56, MatchScoutingData!T$2:T$1000)</f>
        <v>2</v>
      </c>
      <c r="R56" s="28">
        <f>SUMIF(MatchScoutingData!$E$2:$E$1000, $A56, MatchScoutingData!U$2:U$1000)</f>
        <v>5</v>
      </c>
      <c r="S56" s="28">
        <f>SUMIF(MatchScoutingData!$E$2:$E$1000, $A56, MatchScoutingData!V$2:V$1000)</f>
        <v>6</v>
      </c>
      <c r="T56" s="28">
        <f>SUMIF(MatchScoutingData!$E$2:$E$1000, $A56, MatchScoutingData!W$2:W$1000)</f>
        <v>30</v>
      </c>
      <c r="U56" s="28">
        <f>SUMIF(MatchScoutingData!$E$2:$E$1000, $A56, MatchScoutingData!X$2:X$1000)</f>
        <v>-3</v>
      </c>
      <c r="V56" s="28">
        <f>SUMIF(MatchScoutingData!$E$2:$E$1000, $A56, MatchScoutingData!AB$2:AB$1000)</f>
        <v>1490</v>
      </c>
      <c r="W56" s="28">
        <f>SUMIF(MatchScoutingData!$E$2:$E$1000, $A56, MatchScoutingData!Y$2:Y$1000)</f>
        <v>2</v>
      </c>
      <c r="X56" s="28">
        <f>SUMIF(MatchScoutingData!$E$2:$E$1000, $A56, MatchScoutingData!Z$2:Z$1000)</f>
        <v>5</v>
      </c>
      <c r="Y56" s="28">
        <f>SUMIF(MatchScoutingData!$E$2:$E$1000, $A56, MatchScoutingData!AA$2:AA$1000)</f>
        <v>4</v>
      </c>
      <c r="Z56" s="28">
        <f t="shared" si="1"/>
        <v>11</v>
      </c>
    </row>
    <row r="57" spans="1:26" ht="16" x14ac:dyDescent="0.2">
      <c r="A57" s="8">
        <v>10922</v>
      </c>
      <c r="B57" s="28">
        <f>COUNTIF(MatchScoutingData!E$2:E$1000, $A57)</f>
        <v>9</v>
      </c>
      <c r="C57" s="28">
        <f>SUMIF(MatchScoutingData!$E$2:$E$1000, $A57, MatchScoutingData!F$2:F$1000)</f>
        <v>6</v>
      </c>
      <c r="D57" s="28">
        <f>SUMIF(MatchScoutingData!$E$2:$E$1000, $A57, MatchScoutingData!G$2:G$1000)</f>
        <v>3</v>
      </c>
      <c r="E57" s="28">
        <f>SUMIF(MatchScoutingData!$E$2:$E$1000, $A57, MatchScoutingData!H$2:H$1000)</f>
        <v>3</v>
      </c>
      <c r="F57" s="28">
        <f>SUMIF(MatchScoutingData!$E$2:$E$1000, $A57, MatchScoutingData!I$2:I$1000)</f>
        <v>0</v>
      </c>
      <c r="G57" s="28">
        <f>SUMIF(MatchScoutingData!$E$2:$E$1000, $A57, MatchScoutingData!J$2:J$1000)</f>
        <v>27</v>
      </c>
      <c r="H57" s="28">
        <f>SUMIF(MatchScoutingData!$E$2:$E$1000, $A57, MatchScoutingData!K$2:K$1000)</f>
        <v>19</v>
      </c>
      <c r="I57" s="28">
        <f>SUMIF(MatchScoutingData!$E$2:$E$1000, $A57, MatchScoutingData!L$2:L$1000)</f>
        <v>15</v>
      </c>
      <c r="J57" s="28">
        <f>SUMIF(MatchScoutingData!$E$2:$E$1000, $A57, MatchScoutingData!M$2:M$1000)</f>
        <v>25</v>
      </c>
      <c r="K57" s="28">
        <f>SUMIF(MatchScoutingData!$E$2:$E$1000, $A57, MatchScoutingData!N$2:N$1000)</f>
        <v>2</v>
      </c>
      <c r="L57" s="28">
        <f>SUMIF(MatchScoutingData!$E$2:$E$1000, $A57, MatchScoutingData!O$2:O$1000)</f>
        <v>3</v>
      </c>
      <c r="M57" s="28">
        <f>SUMIF(MatchScoutingData!$E$2:$E$1000, $A57, MatchScoutingData!P$2:P$1000)</f>
        <v>2</v>
      </c>
      <c r="N57" s="28">
        <f>SUMIF(MatchScoutingData!$E$2:$E$1000, $A57, MatchScoutingData!Q$2:Q$1000)</f>
        <v>6</v>
      </c>
      <c r="O57" s="28">
        <f>SUMIF(MatchScoutingData!$E$2:$E$1000, $A57, MatchScoutingData!R$2:R$1000)</f>
        <v>4</v>
      </c>
      <c r="P57" s="28">
        <f>SUMIF(MatchScoutingData!$E$2:$E$1000, $A57, MatchScoutingData!S$2:S$1000)</f>
        <v>2</v>
      </c>
      <c r="Q57" s="28">
        <f>SUMIF(MatchScoutingData!$E$2:$E$1000, $A57, MatchScoutingData!T$2:T$1000)</f>
        <v>4</v>
      </c>
      <c r="R57" s="28">
        <f>SUMIF(MatchScoutingData!$E$2:$E$1000, $A57, MatchScoutingData!U$2:U$1000)</f>
        <v>5</v>
      </c>
      <c r="S57" s="28">
        <f>SUMIF(MatchScoutingData!$E$2:$E$1000, $A57, MatchScoutingData!V$2:V$1000)</f>
        <v>5</v>
      </c>
      <c r="T57" s="28">
        <f>SUMIF(MatchScoutingData!$E$2:$E$1000, $A57, MatchScoutingData!W$2:W$1000)</f>
        <v>19</v>
      </c>
      <c r="U57" s="28">
        <f>SUMIF(MatchScoutingData!$E$2:$E$1000, $A57, MatchScoutingData!X$2:X$1000)</f>
        <v>-3</v>
      </c>
      <c r="V57" s="28">
        <f>SUMIF(MatchScoutingData!$E$2:$E$1000, $A57, MatchScoutingData!AB$2:AB$1000)</f>
        <v>1150</v>
      </c>
      <c r="W57" s="28">
        <f>SUMIF(MatchScoutingData!$E$2:$E$1000, $A57, MatchScoutingData!Y$2:Y$1000)</f>
        <v>3</v>
      </c>
      <c r="X57" s="28">
        <f>SUMIF(MatchScoutingData!$E$2:$E$1000, $A57, MatchScoutingData!Z$2:Z$1000)</f>
        <v>6</v>
      </c>
      <c r="Y57" s="28">
        <f>SUMIF(MatchScoutingData!$E$2:$E$1000, $A57, MatchScoutingData!AA$2:AA$1000)</f>
        <v>5</v>
      </c>
      <c r="Z57" s="28">
        <f t="shared" si="1"/>
        <v>14</v>
      </c>
    </row>
    <row r="58" spans="1:26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</sheetData>
  <autoFilter ref="A2:Z2" xr:uid="{00000000-0009-0000-0000-000004000000}"/>
  <mergeCells count="4">
    <mergeCell ref="C1:G1"/>
    <mergeCell ref="H1:O1"/>
    <mergeCell ref="U1:Z1"/>
    <mergeCell ref="P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7"/>
  <sheetViews>
    <sheetView zoomScale="150" zoomScaleNormal="15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2" max="31" width="6.83203125" customWidth="1"/>
  </cols>
  <sheetData>
    <row r="1" spans="1:31" ht="17" customHeight="1" thickBot="1" x14ac:dyDescent="0.25">
      <c r="A1" s="5"/>
      <c r="B1" s="5"/>
      <c r="C1" s="32" t="s">
        <v>827</v>
      </c>
      <c r="D1" s="33"/>
      <c r="E1" s="33"/>
      <c r="F1" s="33"/>
      <c r="G1" s="33"/>
      <c r="H1" s="34" t="s">
        <v>828</v>
      </c>
      <c r="I1" s="33"/>
      <c r="J1" s="33"/>
      <c r="K1" s="33"/>
      <c r="L1" s="33"/>
      <c r="M1" s="33"/>
      <c r="N1" s="33"/>
      <c r="O1" s="33"/>
      <c r="P1" s="37" t="s">
        <v>829</v>
      </c>
      <c r="Q1" s="33"/>
      <c r="R1" s="33"/>
      <c r="S1" s="33"/>
      <c r="T1" s="33"/>
      <c r="U1" s="38" t="s">
        <v>830</v>
      </c>
      <c r="V1" s="33"/>
      <c r="W1" s="33"/>
      <c r="X1" s="33"/>
      <c r="Y1" s="33"/>
      <c r="Z1" s="33"/>
      <c r="AA1" s="39" t="s">
        <v>854</v>
      </c>
      <c r="AB1" s="40"/>
      <c r="AC1" s="40"/>
      <c r="AD1" s="40"/>
      <c r="AE1" s="40"/>
    </row>
    <row r="2" spans="1:31" ht="130" customHeight="1" thickBot="1" x14ac:dyDescent="0.25">
      <c r="A2" s="10" t="s">
        <v>98</v>
      </c>
      <c r="B2" s="11" t="s">
        <v>831</v>
      </c>
      <c r="C2" s="12" t="s">
        <v>832</v>
      </c>
      <c r="D2" s="12" t="s">
        <v>833</v>
      </c>
      <c r="E2" s="12" t="s">
        <v>834</v>
      </c>
      <c r="F2" s="12" t="s">
        <v>835</v>
      </c>
      <c r="G2" s="12" t="s">
        <v>836</v>
      </c>
      <c r="H2" s="13" t="s">
        <v>837</v>
      </c>
      <c r="I2" s="13" t="s">
        <v>838</v>
      </c>
      <c r="J2" s="13" t="s">
        <v>839</v>
      </c>
      <c r="K2" s="13" t="s">
        <v>840</v>
      </c>
      <c r="L2" s="13" t="s">
        <v>841</v>
      </c>
      <c r="M2" s="13" t="s">
        <v>842</v>
      </c>
      <c r="N2" s="13" t="s">
        <v>843</v>
      </c>
      <c r="O2" s="13" t="s">
        <v>111</v>
      </c>
      <c r="P2" s="14" t="s">
        <v>844</v>
      </c>
      <c r="Q2" s="14" t="s">
        <v>845</v>
      </c>
      <c r="R2" s="14" t="s">
        <v>114</v>
      </c>
      <c r="S2" s="14" t="s">
        <v>846</v>
      </c>
      <c r="T2" s="14" t="s">
        <v>847</v>
      </c>
      <c r="U2" s="15" t="s">
        <v>848</v>
      </c>
      <c r="V2" s="15" t="s">
        <v>849</v>
      </c>
      <c r="W2" s="15" t="s">
        <v>850</v>
      </c>
      <c r="X2" s="15" t="s">
        <v>851</v>
      </c>
      <c r="Y2" s="15" t="s">
        <v>852</v>
      </c>
      <c r="Z2" s="16" t="s">
        <v>853</v>
      </c>
      <c r="AA2" s="12" t="s">
        <v>827</v>
      </c>
      <c r="AB2" s="13" t="s">
        <v>828</v>
      </c>
      <c r="AC2" s="14" t="s">
        <v>829</v>
      </c>
      <c r="AD2" s="17" t="s">
        <v>830</v>
      </c>
      <c r="AE2" s="18" t="s">
        <v>855</v>
      </c>
    </row>
    <row r="3" spans="1:31" ht="16" x14ac:dyDescent="0.2">
      <c r="A3" s="29">
        <v>20</v>
      </c>
      <c r="B3" s="30">
        <f>COUNTIF(MatchScoutingData!E$2:E$1000, $A3)</f>
        <v>10</v>
      </c>
      <c r="C3" s="31">
        <f>PERCENTRANK('Team Scores'!$C$3:$C$1000, 'Team Scores'!$C3, 3)</f>
        <v>3.6999999999999998E-2</v>
      </c>
      <c r="D3" s="31">
        <f>PERCENTRANK('Team Scores'!$D$3:$D$1000, 'Team Scores'!$D3, 3)</f>
        <v>0</v>
      </c>
      <c r="E3" s="31">
        <f>PERCENTRANK('Team Scores'!$E$3:$E$1000, 'Team Scores'!$E3, 3)</f>
        <v>0.98099999999999998</v>
      </c>
      <c r="F3" s="31">
        <f>PERCENTRANK('Team Scores'!$F$3:$F$1000, 'Team Scores'!$F3, 3)</f>
        <v>0.5</v>
      </c>
      <c r="G3" s="31">
        <f>PERCENTRANK('Team Scores'!$G$3:$G$1000, 'Team Scores'!$G3, 3)</f>
        <v>0.96199999999999997</v>
      </c>
      <c r="H3" s="31">
        <f>PERCENTRANK('Team Scores'!$H$3:$H$1000, 'Team Scores'!$H3, 3)</f>
        <v>0.72199999999999998</v>
      </c>
      <c r="I3" s="31">
        <f>PERCENTRANK('Team Scores'!$I$3:$I$1000, 'Team Scores'!$I3, 3)</f>
        <v>0.46200000000000002</v>
      </c>
      <c r="J3" s="31">
        <f>PERCENTRANK('Team Scores'!$J$3:$J$1000, 'Team Scores'!$J3, 3)</f>
        <v>0.81399999999999995</v>
      </c>
      <c r="K3" s="31">
        <f>PERCENTRANK('Team Scores'!$K$3:$K$1000, 'Team Scores'!$K3, 3)</f>
        <v>1</v>
      </c>
      <c r="L3" s="31">
        <f>PERCENTRANK('Team Scores'!$L$3:$L$1000, 'Team Scores'!$L3, 3)</f>
        <v>0.42499999999999999</v>
      </c>
      <c r="M3" s="31">
        <f>PERCENTRANK('Team Scores'!$M$3:$M$1000, 'Team Scores'!$M3, 3)</f>
        <v>0.79600000000000004</v>
      </c>
      <c r="N3" s="31">
        <f>PERCENTRANK('Team Scores'!$N$3:$N$1000, 'Team Scores'!$N3, 3)</f>
        <v>1</v>
      </c>
      <c r="O3" s="31">
        <f>PERCENTRANK('Team Scores'!$O$3:$O$1000, 'Team Scores'!$O3, 3)</f>
        <v>0.79600000000000004</v>
      </c>
      <c r="P3" s="31">
        <f>PERCENTRANK('Team Scores'!$P$3:$P$1000, 'Team Scores'!$P3, 3)</f>
        <v>0.111</v>
      </c>
      <c r="Q3" s="31">
        <f>PERCENTRANK('Team Scores'!$Q$3:$Q$1000, 'Team Scores'!$Q3, 3)</f>
        <v>0.27700000000000002</v>
      </c>
      <c r="R3" s="31">
        <f>PERCENTRANK('Team Scores'!$R$3:$R$1000, 'Team Scores'!$R3, 3)</f>
        <v>1</v>
      </c>
      <c r="S3" s="31">
        <f>PERCENTRANK('Team Scores'!$S$3:$S$1000, 'Team Scores'!$S3, 3)</f>
        <v>0.314</v>
      </c>
      <c r="T3" s="31">
        <f>PERCENTRANK('Team Scores'!$T$3:$T$1000, 'Team Scores'!$T3, 3)</f>
        <v>0.81399999999999995</v>
      </c>
      <c r="U3" s="31">
        <f>PERCENTRANK('Team Scores'!$U$3:$U$1000, 'Team Scores'!$U3, 3)</f>
        <v>0.27700000000000002</v>
      </c>
      <c r="V3" s="31">
        <f>PERCENTRANK('Team Scores'!$V$3:$V$1000, 'Team Scores'!$V3, 3)</f>
        <v>0.98099999999999998</v>
      </c>
      <c r="W3" s="31">
        <f>PERCENTRANK('Team Scores'!$W$3:$W$1000, 'Team Scores'!$W3, 3)</f>
        <v>0.88800000000000001</v>
      </c>
      <c r="X3" s="31">
        <f>PERCENTRANK('Team Scores'!$X$3:$X$1000, 'Team Scores'!$X3, 3)</f>
        <v>0.129</v>
      </c>
      <c r="Y3" s="31">
        <f>PERCENTRANK('Team Scores'!$Y$3:$Y$1000, 'Team Scores'!$Y3, 3)</f>
        <v>0.94399999999999995</v>
      </c>
      <c r="Z3" s="31">
        <f>PERCENTRANK('Team Scores'!$Z$3:$Z$1000, 'Team Scores'!$Z3, 3)</f>
        <v>0.88800000000000001</v>
      </c>
      <c r="AA3" s="31">
        <f t="shared" ref="AA3:AA34" si="0">AVERAGE(C3:G3)</f>
        <v>0.496</v>
      </c>
      <c r="AB3" s="31">
        <f t="shared" ref="AB3:AB34" si="1">AVERAGE(H3:O3)</f>
        <v>0.75187499999999996</v>
      </c>
      <c r="AC3" s="31">
        <f t="shared" ref="AC3:AC34" si="2">AVERAGE(P3:T3)</f>
        <v>0.50319999999999998</v>
      </c>
      <c r="AD3" s="31">
        <f t="shared" ref="AD3:AD34" si="3">AVERAGE(U3:X3)</f>
        <v>0.56874999999999998</v>
      </c>
      <c r="AE3" s="31">
        <f t="shared" ref="AE3:AE34" si="4">AVERAGE(AA3:AD3)</f>
        <v>0.57995625000000006</v>
      </c>
    </row>
    <row r="4" spans="1:31" ht="16" x14ac:dyDescent="0.2">
      <c r="A4" s="29">
        <v>48</v>
      </c>
      <c r="B4" s="30">
        <f>COUNTIF(MatchScoutingData!E$2:E$1000, $A4)</f>
        <v>9</v>
      </c>
      <c r="C4" s="31">
        <f>PERCENTRANK('Team Scores'!$C$3:$C$1000, 'Team Scores'!$C4, 3)</f>
        <v>3.6999999999999998E-2</v>
      </c>
      <c r="D4" s="31">
        <f>PERCENTRANK('Team Scores'!$D$3:$D$1000, 'Team Scores'!$D4, 3)</f>
        <v>0.51800000000000002</v>
      </c>
      <c r="E4" s="31">
        <f>PERCENTRANK('Team Scores'!$E$3:$E$1000, 'Team Scores'!$E4, 3)</f>
        <v>0.92500000000000004</v>
      </c>
      <c r="F4" s="31">
        <f>PERCENTRANK('Team Scores'!$F$3:$F$1000, 'Team Scores'!$F4, 3)</f>
        <v>0.5</v>
      </c>
      <c r="G4" s="31">
        <f>PERCENTRANK('Team Scores'!$G$3:$G$1000, 'Team Scores'!$G4, 3)</f>
        <v>0.81399999999999995</v>
      </c>
      <c r="H4" s="31">
        <f>PERCENTRANK('Team Scores'!$H$3:$H$1000, 'Team Scores'!$H4, 3)</f>
        <v>0.25900000000000001</v>
      </c>
      <c r="I4" s="31">
        <f>PERCENTRANK('Team Scores'!$I$3:$I$1000, 'Team Scores'!$I4, 3)</f>
        <v>0.66600000000000004</v>
      </c>
      <c r="J4" s="31">
        <f>PERCENTRANK('Team Scores'!$J$3:$J$1000, 'Team Scores'!$J4, 3)</f>
        <v>0.51800000000000002</v>
      </c>
      <c r="K4" s="31">
        <f>PERCENTRANK('Team Scores'!$K$3:$K$1000, 'Team Scores'!$K4, 3)</f>
        <v>0.314</v>
      </c>
      <c r="L4" s="31">
        <f>PERCENTRANK('Team Scores'!$L$3:$L$1000, 'Team Scores'!$L4, 3)</f>
        <v>0.222</v>
      </c>
      <c r="M4" s="31">
        <f>PERCENTRANK('Team Scores'!$M$3:$M$1000, 'Team Scores'!$M4, 3)</f>
        <v>0.314</v>
      </c>
      <c r="N4" s="31">
        <f>PERCENTRANK('Team Scores'!$N$3:$N$1000, 'Team Scores'!$N4, 3)</f>
        <v>0.51800000000000002</v>
      </c>
      <c r="O4" s="31">
        <f>PERCENTRANK('Team Scores'!$O$3:$O$1000, 'Team Scores'!$O4, 3)</f>
        <v>0.87</v>
      </c>
      <c r="P4" s="31">
        <f>PERCENTRANK('Team Scores'!$P$3:$P$1000, 'Team Scores'!$P4, 3)</f>
        <v>0.111</v>
      </c>
      <c r="Q4" s="31">
        <f>PERCENTRANK('Team Scores'!$Q$3:$Q$1000, 'Team Scores'!$Q4, 3)</f>
        <v>0.53700000000000003</v>
      </c>
      <c r="R4" s="31">
        <f>PERCENTRANK('Team Scores'!$R$3:$R$1000, 'Team Scores'!$R4, 3)</f>
        <v>0</v>
      </c>
      <c r="S4" s="31">
        <f>PERCENTRANK('Team Scores'!$S$3:$S$1000, 'Team Scores'!$S4, 3)</f>
        <v>0.72199999999999998</v>
      </c>
      <c r="T4" s="31">
        <f>PERCENTRANK('Team Scores'!$T$3:$T$1000, 'Team Scores'!$T4, 3)</f>
        <v>9.1999999999999998E-2</v>
      </c>
      <c r="U4" s="31">
        <f>PERCENTRANK('Team Scores'!$U$3:$U$1000, 'Team Scores'!$U4, 3)</f>
        <v>0.53700000000000003</v>
      </c>
      <c r="V4" s="31">
        <f>PERCENTRANK('Team Scores'!$V$3:$V$1000, 'Team Scores'!$V4, 3)</f>
        <v>0.14799999999999999</v>
      </c>
      <c r="W4" s="31">
        <f>PERCENTRANK('Team Scores'!$W$3:$W$1000, 'Team Scores'!$W4, 3)</f>
        <v>0.72199999999999998</v>
      </c>
      <c r="X4" s="31">
        <f>PERCENTRANK('Team Scores'!$X$3:$X$1000, 'Team Scores'!$X4, 3)</f>
        <v>0.46200000000000002</v>
      </c>
      <c r="Y4" s="31">
        <f>PERCENTRANK('Team Scores'!$Y$3:$Y$1000, 'Team Scores'!$Y4, 3)</f>
        <v>0.51800000000000002</v>
      </c>
      <c r="Z4" s="31">
        <f>PERCENTRANK('Team Scores'!$Z$3:$Z$1000, 'Team Scores'!$Z4, 3)</f>
        <v>0.68500000000000005</v>
      </c>
      <c r="AA4" s="31">
        <f t="shared" si="0"/>
        <v>0.55879999999999996</v>
      </c>
      <c r="AB4" s="31">
        <f t="shared" si="1"/>
        <v>0.46012500000000001</v>
      </c>
      <c r="AC4" s="31">
        <f t="shared" si="2"/>
        <v>0.29240000000000005</v>
      </c>
      <c r="AD4" s="31">
        <f t="shared" si="3"/>
        <v>0.46725</v>
      </c>
      <c r="AE4" s="31">
        <f t="shared" si="4"/>
        <v>0.44464374999999995</v>
      </c>
    </row>
    <row r="5" spans="1:31" ht="16" x14ac:dyDescent="0.2">
      <c r="A5" s="29">
        <v>144</v>
      </c>
      <c r="B5" s="30">
        <f>COUNTIF(MatchScoutingData!E$2:E$1000, $A5)</f>
        <v>9</v>
      </c>
      <c r="C5" s="31">
        <f>PERCENTRANK('Team Scores'!$C$3:$C$1000, 'Team Scores'!$C5, 3)</f>
        <v>0.96199999999999997</v>
      </c>
      <c r="D5" s="31">
        <f>PERCENTRANK('Team Scores'!$D$3:$D$1000, 'Team Scores'!$D5, 3)</f>
        <v>0.51800000000000002</v>
      </c>
      <c r="E5" s="31">
        <f>PERCENTRANK('Team Scores'!$E$3:$E$1000, 'Team Scores'!$E5, 3)</f>
        <v>0.314</v>
      </c>
      <c r="F5" s="31">
        <f>PERCENTRANK('Team Scores'!$F$3:$F$1000, 'Team Scores'!$F5, 3)</f>
        <v>0.25900000000000001</v>
      </c>
      <c r="G5" s="31">
        <f>PERCENTRANK('Team Scores'!$G$3:$G$1000, 'Team Scores'!$G5, 3)</f>
        <v>5.5E-2</v>
      </c>
      <c r="H5" s="31">
        <f>PERCENTRANK('Team Scores'!$H$3:$H$1000, 'Team Scores'!$H5, 3)</f>
        <v>0.25900000000000001</v>
      </c>
      <c r="I5" s="31">
        <f>PERCENTRANK('Team Scores'!$I$3:$I$1000, 'Team Scores'!$I5, 3)</f>
        <v>0.33300000000000002</v>
      </c>
      <c r="J5" s="31">
        <f>PERCENTRANK('Team Scores'!$J$3:$J$1000, 'Team Scores'!$J5, 3)</f>
        <v>0.27700000000000002</v>
      </c>
      <c r="K5" s="31">
        <f>PERCENTRANK('Team Scores'!$K$3:$K$1000, 'Team Scores'!$K5, 3)</f>
        <v>0.129</v>
      </c>
      <c r="L5" s="31">
        <f>PERCENTRANK('Team Scores'!$L$3:$L$1000, 'Team Scores'!$L5, 3)</f>
        <v>5.5E-2</v>
      </c>
      <c r="M5" s="31">
        <f>PERCENTRANK('Team Scores'!$M$3:$M$1000, 'Team Scores'!$M5, 3)</f>
        <v>0.314</v>
      </c>
      <c r="N5" s="31">
        <f>PERCENTRANK('Team Scores'!$N$3:$N$1000, 'Team Scores'!$N5, 3)</f>
        <v>0.51800000000000002</v>
      </c>
      <c r="O5" s="31">
        <f>PERCENTRANK('Team Scores'!$O$3:$O$1000, 'Team Scores'!$O5, 3)</f>
        <v>0.87</v>
      </c>
      <c r="P5" s="31">
        <f>PERCENTRANK('Team Scores'!$P$3:$P$1000, 'Team Scores'!$P5, 3)</f>
        <v>5.5E-2</v>
      </c>
      <c r="Q5" s="31">
        <f>PERCENTRANK('Team Scores'!$Q$3:$Q$1000, 'Team Scores'!$Q5, 3)</f>
        <v>0.53700000000000003</v>
      </c>
      <c r="R5" s="31">
        <f>PERCENTRANK('Team Scores'!$R$3:$R$1000, 'Team Scores'!$R5, 3)</f>
        <v>0.85099999999999998</v>
      </c>
      <c r="S5" s="31">
        <f>PERCENTRANK('Team Scores'!$S$3:$S$1000, 'Team Scores'!$S5, 3)</f>
        <v>0.111</v>
      </c>
      <c r="T5" s="31">
        <f>PERCENTRANK('Team Scores'!$T$3:$T$1000, 'Team Scores'!$T5, 3)</f>
        <v>0.92500000000000004</v>
      </c>
      <c r="U5" s="31">
        <f>PERCENTRANK('Team Scores'!$U$3:$U$1000, 'Team Scores'!$U5, 3)</f>
        <v>0.77700000000000002</v>
      </c>
      <c r="V5" s="31">
        <f>PERCENTRANK('Team Scores'!$V$3:$V$1000, 'Team Scores'!$V5, 3)</f>
        <v>0.29599999999999999</v>
      </c>
      <c r="W5" s="31">
        <f>PERCENTRANK('Team Scores'!$W$3:$W$1000, 'Team Scores'!$W5, 3)</f>
        <v>0.27700000000000002</v>
      </c>
      <c r="X5" s="31">
        <f>PERCENTRANK('Team Scores'!$X$3:$X$1000, 'Team Scores'!$X5, 3)</f>
        <v>0.70299999999999996</v>
      </c>
      <c r="Y5" s="31">
        <f>PERCENTRANK('Team Scores'!$Y$3:$Y$1000, 'Team Scores'!$Y5, 3)</f>
        <v>3.6999999999999998E-2</v>
      </c>
      <c r="Z5" s="31">
        <f>PERCENTRANK('Team Scores'!$Z$3:$Z$1000, 'Team Scores'!$Z5, 3)</f>
        <v>0.37</v>
      </c>
      <c r="AA5" s="31">
        <f t="shared" si="0"/>
        <v>0.42160000000000003</v>
      </c>
      <c r="AB5" s="31">
        <f t="shared" si="1"/>
        <v>0.34437500000000004</v>
      </c>
      <c r="AC5" s="31">
        <f t="shared" si="2"/>
        <v>0.49580000000000002</v>
      </c>
      <c r="AD5" s="31">
        <f t="shared" si="3"/>
        <v>0.51324999999999998</v>
      </c>
      <c r="AE5" s="31">
        <f t="shared" si="4"/>
        <v>0.44375625000000002</v>
      </c>
    </row>
    <row r="6" spans="1:31" ht="16" x14ac:dyDescent="0.2">
      <c r="A6" s="29">
        <v>191</v>
      </c>
      <c r="B6" s="30">
        <f>COUNTIF(MatchScoutingData!E$2:E$1000, $A6)</f>
        <v>9</v>
      </c>
      <c r="C6" s="31">
        <f>PERCENTRANK('Team Scores'!$C$3:$C$1000, 'Team Scores'!$C6, 3)</f>
        <v>0.38800000000000001</v>
      </c>
      <c r="D6" s="31">
        <f>PERCENTRANK('Team Scores'!$D$3:$D$1000, 'Team Scores'!$D6, 3)</f>
        <v>0.75900000000000001</v>
      </c>
      <c r="E6" s="31">
        <f>PERCENTRANK('Team Scores'!$E$3:$E$1000, 'Team Scores'!$E6, 3)</f>
        <v>0.81399999999999995</v>
      </c>
      <c r="F6" s="31">
        <f>PERCENTRANK('Team Scores'!$F$3:$F$1000, 'Team Scores'!$F6, 3)</f>
        <v>0.25900000000000001</v>
      </c>
      <c r="G6" s="31">
        <f>PERCENTRANK('Team Scores'!$G$3:$G$1000, 'Team Scores'!$G6, 3)</f>
        <v>5.5E-2</v>
      </c>
      <c r="H6" s="31">
        <f>PERCENTRANK('Team Scores'!$H$3:$H$1000, 'Team Scores'!$H6, 3)</f>
        <v>0.5</v>
      </c>
      <c r="I6" s="31">
        <f>PERCENTRANK('Team Scores'!$I$3:$I$1000, 'Team Scores'!$I6, 3)</f>
        <v>0.77700000000000002</v>
      </c>
      <c r="J6" s="31">
        <f>PERCENTRANK('Team Scores'!$J$3:$J$1000, 'Team Scores'!$J6, 3)</f>
        <v>0.81399999999999995</v>
      </c>
      <c r="K6" s="31">
        <f>PERCENTRANK('Team Scores'!$K$3:$K$1000, 'Team Scores'!$K6, 3)</f>
        <v>0.314</v>
      </c>
      <c r="L6" s="31">
        <f>PERCENTRANK('Team Scores'!$L$3:$L$1000, 'Team Scores'!$L6, 3)</f>
        <v>0.222</v>
      </c>
      <c r="M6" s="31">
        <f>PERCENTRANK('Team Scores'!$M$3:$M$1000, 'Team Scores'!$M6, 3)</f>
        <v>0.314</v>
      </c>
      <c r="N6" s="31">
        <f>PERCENTRANK('Team Scores'!$N$3:$N$1000, 'Team Scores'!$N6, 3)</f>
        <v>5.5E-2</v>
      </c>
      <c r="O6" s="31">
        <f>PERCENTRANK('Team Scores'!$O$3:$O$1000, 'Team Scores'!$O6, 3)</f>
        <v>0.53700000000000003</v>
      </c>
      <c r="P6" s="31">
        <f>PERCENTRANK('Team Scores'!$P$3:$P$1000, 'Team Scores'!$P6, 3)</f>
        <v>0.46200000000000002</v>
      </c>
      <c r="Q6" s="31">
        <f>PERCENTRANK('Team Scores'!$Q$3:$Q$1000, 'Team Scores'!$Q6, 3)</f>
        <v>0.74</v>
      </c>
      <c r="R6" s="31">
        <f>PERCENTRANK('Team Scores'!$R$3:$R$1000, 'Team Scores'!$R6, 3)</f>
        <v>0.222</v>
      </c>
      <c r="S6" s="31">
        <f>PERCENTRANK('Team Scores'!$S$3:$S$1000, 'Team Scores'!$S6, 3)</f>
        <v>0.111</v>
      </c>
      <c r="T6" s="31">
        <f>PERCENTRANK('Team Scores'!$T$3:$T$1000, 'Team Scores'!$T6, 3)</f>
        <v>0.16600000000000001</v>
      </c>
      <c r="U6" s="31">
        <f>PERCENTRANK('Team Scores'!$U$3:$U$1000, 'Team Scores'!$U6, 3)</f>
        <v>0.37</v>
      </c>
      <c r="V6" s="31">
        <f>PERCENTRANK('Team Scores'!$V$3:$V$1000, 'Team Scores'!$V6, 3)</f>
        <v>0.24</v>
      </c>
      <c r="W6" s="31">
        <f>PERCENTRANK('Team Scores'!$W$3:$W$1000, 'Team Scores'!$W6, 3)</f>
        <v>9.1999999999999998E-2</v>
      </c>
      <c r="X6" s="31">
        <f>PERCENTRANK('Team Scores'!$X$3:$X$1000, 'Team Scores'!$X6, 3)</f>
        <v>0.46200000000000002</v>
      </c>
      <c r="Y6" s="31">
        <f>PERCENTRANK('Team Scores'!$Y$3:$Y$1000, 'Team Scores'!$Y6, 3)</f>
        <v>0.94399999999999995</v>
      </c>
      <c r="Z6" s="31">
        <f>PERCENTRANK('Team Scores'!$Z$3:$Z$1000, 'Team Scores'!$Z6, 3)</f>
        <v>0.68500000000000005</v>
      </c>
      <c r="AA6" s="31">
        <f t="shared" si="0"/>
        <v>0.45499999999999996</v>
      </c>
      <c r="AB6" s="31">
        <f t="shared" si="1"/>
        <v>0.44162500000000005</v>
      </c>
      <c r="AC6" s="31">
        <f t="shared" si="2"/>
        <v>0.34019999999999995</v>
      </c>
      <c r="AD6" s="31">
        <f t="shared" si="3"/>
        <v>0.29099999999999998</v>
      </c>
      <c r="AE6" s="31">
        <f t="shared" si="4"/>
        <v>0.38195625</v>
      </c>
    </row>
    <row r="7" spans="1:31" ht="16" x14ac:dyDescent="0.2">
      <c r="A7" s="29">
        <v>271</v>
      </c>
      <c r="B7" s="30">
        <f>COUNTIF(MatchScoutingData!E$2:E$1000, $A7)</f>
        <v>9</v>
      </c>
      <c r="C7" s="31">
        <f>PERCENTRANK('Team Scores'!$C$3:$C$1000, 'Team Scores'!$C7, 3)</f>
        <v>3.6999999999999998E-2</v>
      </c>
      <c r="D7" s="31">
        <f>PERCENTRANK('Team Scores'!$D$3:$D$1000, 'Team Scores'!$D7, 3)</f>
        <v>7.3999999999999996E-2</v>
      </c>
      <c r="E7" s="31">
        <f>PERCENTRANK('Team Scores'!$E$3:$E$1000, 'Team Scores'!$E7, 3)</f>
        <v>0</v>
      </c>
      <c r="F7" s="31">
        <f>PERCENTRANK('Team Scores'!$F$3:$F$1000, 'Team Scores'!$F7, 3)</f>
        <v>0.5</v>
      </c>
      <c r="G7" s="31">
        <f>PERCENTRANK('Team Scores'!$G$3:$G$1000, 'Team Scores'!$G7, 3)</f>
        <v>0.59199999999999997</v>
      </c>
      <c r="H7" s="31">
        <f>PERCENTRANK('Team Scores'!$H$3:$H$1000, 'Team Scores'!$H7, 3)</f>
        <v>0.5</v>
      </c>
      <c r="I7" s="31">
        <f>PERCENTRANK('Team Scores'!$I$3:$I$1000, 'Team Scores'!$I7, 3)</f>
        <v>0.92500000000000004</v>
      </c>
      <c r="J7" s="31">
        <f>PERCENTRANK('Team Scores'!$J$3:$J$1000, 'Team Scores'!$J7, 3)</f>
        <v>3.6999999999999998E-2</v>
      </c>
      <c r="K7" s="31">
        <f>PERCENTRANK('Team Scores'!$K$3:$K$1000, 'Team Scores'!$K7, 3)</f>
        <v>0.5</v>
      </c>
      <c r="L7" s="31">
        <f>PERCENTRANK('Team Scores'!$L$3:$L$1000, 'Team Scores'!$L7, 3)</f>
        <v>0.42499999999999999</v>
      </c>
      <c r="M7" s="31">
        <f>PERCENTRANK('Team Scores'!$M$3:$M$1000, 'Team Scores'!$M7, 3)</f>
        <v>0.16600000000000001</v>
      </c>
      <c r="N7" s="31">
        <f>PERCENTRANK('Team Scores'!$N$3:$N$1000, 'Team Scores'!$N7, 3)</f>
        <v>0.24</v>
      </c>
      <c r="O7" s="31">
        <f>PERCENTRANK('Team Scores'!$O$3:$O$1000, 'Team Scores'!$O7, 3)</f>
        <v>0.25900000000000001</v>
      </c>
      <c r="P7" s="31">
        <f>PERCENTRANK('Team Scores'!$P$3:$P$1000, 'Team Scores'!$P7, 3)</f>
        <v>0.37</v>
      </c>
      <c r="Q7" s="31">
        <f>PERCENTRANK('Team Scores'!$Q$3:$Q$1000, 'Team Scores'!$Q7, 3)</f>
        <v>0.74</v>
      </c>
      <c r="R7" s="31">
        <f>PERCENTRANK('Team Scores'!$R$3:$R$1000, 'Team Scores'!$R7, 3)</f>
        <v>0.5</v>
      </c>
      <c r="S7" s="31">
        <f>PERCENTRANK('Team Scores'!$S$3:$S$1000, 'Team Scores'!$S7, 3)</f>
        <v>0.94399999999999995</v>
      </c>
      <c r="T7" s="31">
        <f>PERCENTRANK('Team Scores'!$T$3:$T$1000, 'Team Scores'!$T7, 3)</f>
        <v>0.81399999999999995</v>
      </c>
      <c r="U7" s="31">
        <f>PERCENTRANK('Team Scores'!$U$3:$U$1000, 'Team Scores'!$U7, 3)</f>
        <v>0.77700000000000002</v>
      </c>
      <c r="V7" s="31">
        <f>PERCENTRANK('Team Scores'!$V$3:$V$1000, 'Team Scores'!$V7, 3)</f>
        <v>0.25900000000000001</v>
      </c>
      <c r="W7" s="31">
        <f>PERCENTRANK('Team Scores'!$W$3:$W$1000, 'Team Scores'!$W7, 3)</f>
        <v>0.88800000000000001</v>
      </c>
      <c r="X7" s="31">
        <f>PERCENTRANK('Team Scores'!$X$3:$X$1000, 'Team Scores'!$X7, 3)</f>
        <v>0.46200000000000002</v>
      </c>
      <c r="Y7" s="31">
        <f>PERCENTRANK('Team Scores'!$Y$3:$Y$1000, 'Team Scores'!$Y7, 3)</f>
        <v>3.6999999999999998E-2</v>
      </c>
      <c r="Z7" s="31">
        <f>PERCENTRANK('Team Scores'!$Z$3:$Z$1000, 'Team Scores'!$Z7, 3)</f>
        <v>0.53700000000000003</v>
      </c>
      <c r="AA7" s="31">
        <f t="shared" si="0"/>
        <v>0.24059999999999998</v>
      </c>
      <c r="AB7" s="31">
        <f t="shared" si="1"/>
        <v>0.38150000000000001</v>
      </c>
      <c r="AC7" s="31">
        <f t="shared" si="2"/>
        <v>0.67359999999999998</v>
      </c>
      <c r="AD7" s="31">
        <f t="shared" si="3"/>
        <v>0.59650000000000003</v>
      </c>
      <c r="AE7" s="31">
        <f t="shared" si="4"/>
        <v>0.47305000000000003</v>
      </c>
    </row>
    <row r="8" spans="1:31" ht="16" x14ac:dyDescent="0.2">
      <c r="A8" s="29">
        <v>325</v>
      </c>
      <c r="B8" s="30">
        <f>COUNTIF(MatchScoutingData!E$2:E$1000, $A8)</f>
        <v>9</v>
      </c>
      <c r="C8" s="31">
        <f>PERCENTRANK('Team Scores'!$C$3:$C$1000, 'Team Scores'!$C8, 3)</f>
        <v>0.38800000000000001</v>
      </c>
      <c r="D8" s="31">
        <f>PERCENTRANK('Team Scores'!$D$3:$D$1000, 'Team Scores'!$D8, 3)</f>
        <v>0.51800000000000002</v>
      </c>
      <c r="E8" s="31">
        <f>PERCENTRANK('Team Scores'!$E$3:$E$1000, 'Team Scores'!$E8, 3)</f>
        <v>0.61099999999999999</v>
      </c>
      <c r="F8" s="31">
        <f>PERCENTRANK('Team Scores'!$F$3:$F$1000, 'Team Scores'!$F8, 3)</f>
        <v>0.83299999999999996</v>
      </c>
      <c r="G8" s="31">
        <f>PERCENTRANK('Team Scores'!$G$3:$G$1000, 'Team Scores'!$G8, 3)</f>
        <v>0.74</v>
      </c>
      <c r="H8" s="31">
        <f>PERCENTRANK('Team Scores'!$H$3:$H$1000, 'Team Scores'!$H8, 3)</f>
        <v>0.81399999999999995</v>
      </c>
      <c r="I8" s="31">
        <f>PERCENTRANK('Team Scores'!$I$3:$I$1000, 'Team Scores'!$I8, 3)</f>
        <v>0.77700000000000002</v>
      </c>
      <c r="J8" s="31">
        <f>PERCENTRANK('Team Scores'!$J$3:$J$1000, 'Team Scores'!$J8, 3)</f>
        <v>0.66600000000000004</v>
      </c>
      <c r="K8" s="31">
        <f>PERCENTRANK('Team Scores'!$K$3:$K$1000, 'Team Scores'!$K8, 3)</f>
        <v>0.5</v>
      </c>
      <c r="L8" s="31">
        <f>PERCENTRANK('Team Scores'!$L$3:$L$1000, 'Team Scores'!$L8, 3)</f>
        <v>5.5E-2</v>
      </c>
      <c r="M8" s="31">
        <f>PERCENTRANK('Team Scores'!$M$3:$M$1000, 'Team Scores'!$M8, 3)</f>
        <v>0.314</v>
      </c>
      <c r="N8" s="31">
        <f>PERCENTRANK('Team Scores'!$N$3:$N$1000, 'Team Scores'!$N8, 3)</f>
        <v>0.24</v>
      </c>
      <c r="O8" s="31">
        <f>PERCENTRANK('Team Scores'!$O$3:$O$1000, 'Team Scores'!$O8, 3)</f>
        <v>5.5E-2</v>
      </c>
      <c r="P8" s="31">
        <f>PERCENTRANK('Team Scores'!$P$3:$P$1000, 'Team Scores'!$P8, 3)</f>
        <v>0.27700000000000002</v>
      </c>
      <c r="Q8" s="31">
        <f>PERCENTRANK('Team Scores'!$Q$3:$Q$1000, 'Team Scores'!$Q8, 3)</f>
        <v>0.53700000000000003</v>
      </c>
      <c r="R8" s="31">
        <f>PERCENTRANK('Team Scores'!$R$3:$R$1000, 'Team Scores'!$R8, 3)</f>
        <v>0.5</v>
      </c>
      <c r="S8" s="31">
        <f>PERCENTRANK('Team Scores'!$S$3:$S$1000, 'Team Scores'!$S8, 3)</f>
        <v>0.94399999999999995</v>
      </c>
      <c r="T8" s="31">
        <f>PERCENTRANK('Team Scores'!$T$3:$T$1000, 'Team Scores'!$T8, 3)</f>
        <v>0.25900000000000001</v>
      </c>
      <c r="U8" s="31">
        <f>PERCENTRANK('Team Scores'!$U$3:$U$1000, 'Team Scores'!$U8, 3)</f>
        <v>0.88800000000000001</v>
      </c>
      <c r="V8" s="31">
        <f>PERCENTRANK('Team Scores'!$V$3:$V$1000, 'Team Scores'!$V8, 3)</f>
        <v>0.37</v>
      </c>
      <c r="W8" s="31">
        <f>PERCENTRANK('Team Scores'!$W$3:$W$1000, 'Team Scores'!$W8, 3)</f>
        <v>0.88800000000000001</v>
      </c>
      <c r="X8" s="31">
        <f>PERCENTRANK('Team Scores'!$X$3:$X$1000, 'Team Scores'!$X8, 3)</f>
        <v>5.5E-2</v>
      </c>
      <c r="Y8" s="31">
        <f>PERCENTRANK('Team Scores'!$Y$3:$Y$1000, 'Team Scores'!$Y8, 3)</f>
        <v>0.72199999999999998</v>
      </c>
      <c r="Z8" s="31">
        <f>PERCENTRANK('Team Scores'!$Z$3:$Z$1000, 'Team Scores'!$Z8, 3)</f>
        <v>0.53700000000000003</v>
      </c>
      <c r="AA8" s="31">
        <f t="shared" si="0"/>
        <v>0.61799999999999999</v>
      </c>
      <c r="AB8" s="31">
        <f t="shared" si="1"/>
        <v>0.42762500000000009</v>
      </c>
      <c r="AC8" s="31">
        <f t="shared" si="2"/>
        <v>0.50339999999999996</v>
      </c>
      <c r="AD8" s="31">
        <f t="shared" si="3"/>
        <v>0.55025000000000002</v>
      </c>
      <c r="AE8" s="31">
        <f t="shared" si="4"/>
        <v>0.52481875</v>
      </c>
    </row>
    <row r="9" spans="1:31" ht="16" x14ac:dyDescent="0.2">
      <c r="A9" s="29">
        <v>340</v>
      </c>
      <c r="B9" s="30">
        <f>COUNTIF(MatchScoutingData!E$2:E$1000, $A9)</f>
        <v>9</v>
      </c>
      <c r="C9" s="31">
        <f>PERCENTRANK('Team Scores'!$C$3:$C$1000, 'Team Scores'!$C9, 3)</f>
        <v>3.6999999999999998E-2</v>
      </c>
      <c r="D9" s="31">
        <f>PERCENTRANK('Team Scores'!$D$3:$D$1000, 'Team Scores'!$D9, 3)</f>
        <v>0.51800000000000002</v>
      </c>
      <c r="E9" s="31">
        <f>PERCENTRANK('Team Scores'!$E$3:$E$1000, 'Team Scores'!$E9, 3)</f>
        <v>0.129</v>
      </c>
      <c r="F9" s="31">
        <f>PERCENTRANK('Team Scores'!$F$3:$F$1000, 'Team Scores'!$F9, 3)</f>
        <v>0.83299999999999996</v>
      </c>
      <c r="G9" s="31">
        <f>PERCENTRANK('Team Scores'!$G$3:$G$1000, 'Team Scores'!$G9, 3)</f>
        <v>0.59199999999999997</v>
      </c>
      <c r="H9" s="31">
        <f>PERCENTRANK('Team Scores'!$H$3:$H$1000, 'Team Scores'!$H9, 3)</f>
        <v>0.5</v>
      </c>
      <c r="I9" s="31">
        <f>PERCENTRANK('Team Scores'!$I$3:$I$1000, 'Team Scores'!$I9, 3)</f>
        <v>0</v>
      </c>
      <c r="J9" s="31">
        <f>PERCENTRANK('Team Scores'!$J$3:$J$1000, 'Team Scores'!$J9, 3)</f>
        <v>0.129</v>
      </c>
      <c r="K9" s="31">
        <f>PERCENTRANK('Team Scores'!$K$3:$K$1000, 'Team Scores'!$K9, 3)</f>
        <v>0.129</v>
      </c>
      <c r="L9" s="31">
        <f>PERCENTRANK('Team Scores'!$L$3:$L$1000, 'Team Scores'!$L9, 3)</f>
        <v>5.5E-2</v>
      </c>
      <c r="M9" s="31">
        <f>PERCENTRANK('Team Scores'!$M$3:$M$1000, 'Team Scores'!$M9, 3)</f>
        <v>1.7999999999999999E-2</v>
      </c>
      <c r="N9" s="31">
        <f>PERCENTRANK('Team Scores'!$N$3:$N$1000, 'Team Scores'!$N9, 3)</f>
        <v>0.94399999999999995</v>
      </c>
      <c r="O9" s="31">
        <f>PERCENTRANK('Team Scores'!$O$3:$O$1000, 'Team Scores'!$O9, 3)</f>
        <v>0.25900000000000001</v>
      </c>
      <c r="P9" s="31">
        <f>PERCENTRANK('Team Scores'!$P$3:$P$1000, 'Team Scores'!$P9, 3)</f>
        <v>0.37</v>
      </c>
      <c r="Q9" s="31">
        <f>PERCENTRANK('Team Scores'!$Q$3:$Q$1000, 'Team Scores'!$Q9, 3)</f>
        <v>0.92500000000000004</v>
      </c>
      <c r="R9" s="31">
        <f>PERCENTRANK('Team Scores'!$R$3:$R$1000, 'Team Scores'!$R9, 3)</f>
        <v>0.222</v>
      </c>
      <c r="S9" s="31">
        <f>PERCENTRANK('Team Scores'!$S$3:$S$1000, 'Team Scores'!$S9, 3)</f>
        <v>0.72199999999999998</v>
      </c>
      <c r="T9" s="31">
        <f>PERCENTRANK('Team Scores'!$T$3:$T$1000, 'Team Scores'!$T9, 3)</f>
        <v>0.81399999999999995</v>
      </c>
      <c r="U9" s="31">
        <f>PERCENTRANK('Team Scores'!$U$3:$U$1000, 'Team Scores'!$U9, 3)</f>
        <v>0.37</v>
      </c>
      <c r="V9" s="31">
        <f>PERCENTRANK('Team Scores'!$V$3:$V$1000, 'Team Scores'!$V9, 3)</f>
        <v>0.61099999999999999</v>
      </c>
      <c r="W9" s="31">
        <f>PERCENTRANK('Team Scores'!$W$3:$W$1000, 'Team Scores'!$W9, 3)</f>
        <v>0.27700000000000002</v>
      </c>
      <c r="X9" s="31">
        <f>PERCENTRANK('Team Scores'!$X$3:$X$1000, 'Team Scores'!$X9, 3)</f>
        <v>0.129</v>
      </c>
      <c r="Y9" s="31">
        <f>PERCENTRANK('Team Scores'!$Y$3:$Y$1000, 'Team Scores'!$Y9, 3)</f>
        <v>0.314</v>
      </c>
      <c r="Z9" s="31">
        <f>PERCENTRANK('Team Scores'!$Z$3:$Z$1000, 'Team Scores'!$Z9, 3)</f>
        <v>0.185</v>
      </c>
      <c r="AA9" s="31">
        <f t="shared" si="0"/>
        <v>0.42180000000000001</v>
      </c>
      <c r="AB9" s="31">
        <f t="shared" si="1"/>
        <v>0.25424999999999998</v>
      </c>
      <c r="AC9" s="31">
        <f t="shared" si="2"/>
        <v>0.61060000000000003</v>
      </c>
      <c r="AD9" s="31">
        <f t="shared" si="3"/>
        <v>0.34675</v>
      </c>
      <c r="AE9" s="31">
        <f t="shared" si="4"/>
        <v>0.40834999999999999</v>
      </c>
    </row>
    <row r="10" spans="1:31" ht="16" x14ac:dyDescent="0.2">
      <c r="A10" s="29">
        <v>353</v>
      </c>
      <c r="B10" s="30">
        <f>COUNTIF(MatchScoutingData!E$2:E$1000, $A10)</f>
        <v>9</v>
      </c>
      <c r="C10" s="31">
        <f>PERCENTRANK('Team Scores'!$C$3:$C$1000, 'Team Scores'!$C10, 3)</f>
        <v>0.81399999999999995</v>
      </c>
      <c r="D10" s="31">
        <f>PERCENTRANK('Team Scores'!$D$3:$D$1000, 'Team Scores'!$D10, 3)</f>
        <v>7.3999999999999996E-2</v>
      </c>
      <c r="E10" s="31">
        <f>PERCENTRANK('Team Scores'!$E$3:$E$1000, 'Team Scores'!$E10, 3)</f>
        <v>0.81399999999999995</v>
      </c>
      <c r="F10" s="31">
        <f>PERCENTRANK('Team Scores'!$F$3:$F$1000, 'Team Scores'!$F10, 3)</f>
        <v>0.25900000000000001</v>
      </c>
      <c r="G10" s="31">
        <f>PERCENTRANK('Team Scores'!$G$3:$G$1000, 'Team Scores'!$G10, 3)</f>
        <v>0.96199999999999997</v>
      </c>
      <c r="H10" s="31">
        <f>PERCENTRANK('Team Scores'!$H$3:$H$1000, 'Team Scores'!$H10, 3)</f>
        <v>0.35099999999999998</v>
      </c>
      <c r="I10" s="31">
        <f>PERCENTRANK('Team Scores'!$I$3:$I$1000, 'Team Scores'!$I10, 3)</f>
        <v>0.222</v>
      </c>
      <c r="J10" s="31">
        <f>PERCENTRANK('Team Scores'!$J$3:$J$1000, 'Team Scores'!$J10, 3)</f>
        <v>9.1999999999999998E-2</v>
      </c>
      <c r="K10" s="31">
        <f>PERCENTRANK('Team Scores'!$K$3:$K$1000, 'Team Scores'!$K10, 3)</f>
        <v>0.314</v>
      </c>
      <c r="L10" s="31">
        <f>PERCENTRANK('Team Scores'!$L$3:$L$1000, 'Team Scores'!$L10, 3)</f>
        <v>0.94399999999999995</v>
      </c>
      <c r="M10" s="31">
        <f>PERCENTRANK('Team Scores'!$M$3:$M$1000, 'Team Scores'!$M10, 3)</f>
        <v>0.314</v>
      </c>
      <c r="N10" s="31">
        <f>PERCENTRANK('Team Scores'!$N$3:$N$1000, 'Team Scores'!$N10, 3)</f>
        <v>5.5E-2</v>
      </c>
      <c r="O10" s="31">
        <f>PERCENTRANK('Team Scores'!$O$3:$O$1000, 'Team Scores'!$O10, 3)</f>
        <v>0.25900000000000001</v>
      </c>
      <c r="P10" s="31">
        <f>PERCENTRANK('Team Scores'!$P$3:$P$1000, 'Team Scores'!$P10, 3)</f>
        <v>0.87</v>
      </c>
      <c r="Q10" s="31">
        <f>PERCENTRANK('Team Scores'!$Q$3:$Q$1000, 'Team Scores'!$Q10, 3)</f>
        <v>7.3999999999999996E-2</v>
      </c>
      <c r="R10" s="31">
        <f>PERCENTRANK('Team Scores'!$R$3:$R$1000, 'Team Scores'!$R10, 3)</f>
        <v>0.5</v>
      </c>
      <c r="S10" s="31">
        <f>PERCENTRANK('Team Scores'!$S$3:$S$1000, 'Team Scores'!$S10, 3)</f>
        <v>0.314</v>
      </c>
      <c r="T10" s="31">
        <f>PERCENTRANK('Team Scores'!$T$3:$T$1000, 'Team Scores'!$T10, 3)</f>
        <v>0.5</v>
      </c>
      <c r="U10" s="31">
        <f>PERCENTRANK('Team Scores'!$U$3:$U$1000, 'Team Scores'!$U10, 3)</f>
        <v>0.53700000000000003</v>
      </c>
      <c r="V10" s="31">
        <f>PERCENTRANK('Team Scores'!$V$3:$V$1000, 'Team Scores'!$V10, 3)</f>
        <v>0.57399999999999995</v>
      </c>
      <c r="W10" s="31">
        <f>PERCENTRANK('Team Scores'!$W$3:$W$1000, 'Team Scores'!$W10, 3)</f>
        <v>0.53700000000000003</v>
      </c>
      <c r="X10" s="31">
        <f>PERCENTRANK('Team Scores'!$X$3:$X$1000, 'Team Scores'!$X10, 3)</f>
        <v>0.70299999999999996</v>
      </c>
      <c r="Y10" s="31">
        <f>PERCENTRANK('Team Scores'!$Y$3:$Y$1000, 'Team Scores'!$Y10, 3)</f>
        <v>0.72199999999999998</v>
      </c>
      <c r="Z10" s="31">
        <f>PERCENTRANK('Team Scores'!$Z$3:$Z$1000, 'Team Scores'!$Z10, 3)</f>
        <v>0.81399999999999995</v>
      </c>
      <c r="AA10" s="31">
        <f t="shared" si="0"/>
        <v>0.58460000000000001</v>
      </c>
      <c r="AB10" s="31">
        <f t="shared" si="1"/>
        <v>0.31887499999999996</v>
      </c>
      <c r="AC10" s="31">
        <f t="shared" si="2"/>
        <v>0.4516</v>
      </c>
      <c r="AD10" s="31">
        <f t="shared" si="3"/>
        <v>0.58774999999999999</v>
      </c>
      <c r="AE10" s="31">
        <f t="shared" si="4"/>
        <v>0.48570625000000001</v>
      </c>
    </row>
    <row r="11" spans="1:31" ht="16" x14ac:dyDescent="0.2">
      <c r="A11" s="29">
        <v>378</v>
      </c>
      <c r="B11" s="30">
        <f>COUNTIF(MatchScoutingData!E$2:E$1000, $A11)</f>
        <v>9</v>
      </c>
      <c r="C11" s="31">
        <f>PERCENTRANK('Team Scores'!$C$3:$C$1000, 'Team Scores'!$C11, 3)</f>
        <v>3.6999999999999998E-2</v>
      </c>
      <c r="D11" s="31">
        <f>PERCENTRANK('Team Scores'!$D$3:$D$1000, 'Team Scores'!$D11, 3)</f>
        <v>0.75900000000000001</v>
      </c>
      <c r="E11" s="31">
        <f>PERCENTRANK('Team Scores'!$E$3:$E$1000, 'Team Scores'!$E11, 3)</f>
        <v>0.314</v>
      </c>
      <c r="F11" s="31">
        <f>PERCENTRANK('Team Scores'!$F$3:$F$1000, 'Team Scores'!$F11, 3)</f>
        <v>0.61099999999999999</v>
      </c>
      <c r="G11" s="31">
        <f>PERCENTRANK('Team Scores'!$G$3:$G$1000, 'Team Scores'!$G11, 3)</f>
        <v>0.33300000000000002</v>
      </c>
      <c r="H11" s="31">
        <f>PERCENTRANK('Team Scores'!$H$3:$H$1000, 'Team Scores'!$H11, 3)</f>
        <v>0.5</v>
      </c>
      <c r="I11" s="31">
        <f>PERCENTRANK('Team Scores'!$I$3:$I$1000, 'Team Scores'!$I11, 3)</f>
        <v>0</v>
      </c>
      <c r="J11" s="31">
        <f>PERCENTRANK('Team Scores'!$J$3:$J$1000, 'Team Scores'!$J11, 3)</f>
        <v>0.629</v>
      </c>
      <c r="K11" s="31">
        <f>PERCENTRANK('Team Scores'!$K$3:$K$1000, 'Team Scores'!$K11, 3)</f>
        <v>0.129</v>
      </c>
      <c r="L11" s="31">
        <f>PERCENTRANK('Team Scores'!$L$3:$L$1000, 'Team Scores'!$L11, 3)</f>
        <v>0.222</v>
      </c>
      <c r="M11" s="31">
        <f>PERCENTRANK('Team Scores'!$M$3:$M$1000, 'Team Scores'!$M11, 3)</f>
        <v>0.61099999999999999</v>
      </c>
      <c r="N11" s="31">
        <f>PERCENTRANK('Team Scores'!$N$3:$N$1000, 'Team Scores'!$N11, 3)</f>
        <v>5.5E-2</v>
      </c>
      <c r="O11" s="31">
        <f>PERCENTRANK('Team Scores'!$O$3:$O$1000, 'Team Scores'!$O11, 3)</f>
        <v>5.5E-2</v>
      </c>
      <c r="P11" s="31">
        <f>PERCENTRANK('Team Scores'!$P$3:$P$1000, 'Team Scores'!$P11, 3)</f>
        <v>0.68500000000000005</v>
      </c>
      <c r="Q11" s="31">
        <f>PERCENTRANK('Team Scores'!$Q$3:$Q$1000, 'Team Scores'!$Q11, 3)</f>
        <v>0.27700000000000002</v>
      </c>
      <c r="R11" s="31">
        <f>PERCENTRANK('Team Scores'!$R$3:$R$1000, 'Team Scores'!$R11, 3)</f>
        <v>0.98099999999999998</v>
      </c>
      <c r="S11" s="31">
        <f>PERCENTRANK('Team Scores'!$S$3:$S$1000, 'Team Scores'!$S11, 3)</f>
        <v>0.314</v>
      </c>
      <c r="T11" s="31">
        <f>PERCENTRANK('Team Scores'!$T$3:$T$1000, 'Team Scores'!$T11, 3)</f>
        <v>0.74</v>
      </c>
      <c r="U11" s="31">
        <f>PERCENTRANK('Team Scores'!$U$3:$U$1000, 'Team Scores'!$U11, 3)</f>
        <v>0.83299999999999996</v>
      </c>
      <c r="V11" s="31">
        <f>PERCENTRANK('Team Scores'!$V$3:$V$1000, 'Team Scores'!$V11, 3)</f>
        <v>0.16600000000000001</v>
      </c>
      <c r="W11" s="31">
        <f>PERCENTRANK('Team Scores'!$W$3:$W$1000, 'Team Scores'!$W11, 3)</f>
        <v>0.88800000000000001</v>
      </c>
      <c r="X11" s="31">
        <f>PERCENTRANK('Team Scores'!$X$3:$X$1000, 'Team Scores'!$X11, 3)</f>
        <v>0.129</v>
      </c>
      <c r="Y11" s="31">
        <f>PERCENTRANK('Team Scores'!$Y$3:$Y$1000, 'Team Scores'!$Y11, 3)</f>
        <v>0.51800000000000002</v>
      </c>
      <c r="Z11" s="31">
        <f>PERCENTRANK('Team Scores'!$Z$3:$Z$1000, 'Team Scores'!$Z11, 3)</f>
        <v>0.53700000000000003</v>
      </c>
      <c r="AA11" s="31">
        <f t="shared" si="0"/>
        <v>0.41080000000000005</v>
      </c>
      <c r="AB11" s="31">
        <f t="shared" si="1"/>
        <v>0.27512500000000006</v>
      </c>
      <c r="AC11" s="31">
        <f t="shared" si="2"/>
        <v>0.59939999999999993</v>
      </c>
      <c r="AD11" s="31">
        <f t="shared" si="3"/>
        <v>0.504</v>
      </c>
      <c r="AE11" s="31">
        <f t="shared" si="4"/>
        <v>0.44733125000000001</v>
      </c>
    </row>
    <row r="12" spans="1:31" ht="16" x14ac:dyDescent="0.2">
      <c r="A12" s="29">
        <v>424</v>
      </c>
      <c r="B12" s="30">
        <f>COUNTIF(MatchScoutingData!E$2:E$1000, $A12)</f>
        <v>9</v>
      </c>
      <c r="C12" s="31">
        <f>PERCENTRANK('Team Scores'!$C$3:$C$1000, 'Team Scores'!$C12, 3)</f>
        <v>3.6999999999999998E-2</v>
      </c>
      <c r="D12" s="31">
        <f>PERCENTRANK('Team Scores'!$D$3:$D$1000, 'Team Scores'!$D12, 3)</f>
        <v>0.51800000000000002</v>
      </c>
      <c r="E12" s="31">
        <f>PERCENTRANK('Team Scores'!$E$3:$E$1000, 'Team Scores'!$E12, 3)</f>
        <v>0.314</v>
      </c>
      <c r="F12" s="31">
        <f>PERCENTRANK('Team Scores'!$F$3:$F$1000, 'Team Scores'!$F12, 3)</f>
        <v>0.61099999999999999</v>
      </c>
      <c r="G12" s="31">
        <f>PERCENTRANK('Team Scores'!$G$3:$G$1000, 'Team Scores'!$G12, 3)</f>
        <v>0.59199999999999997</v>
      </c>
      <c r="H12" s="31">
        <f>PERCENTRANK('Team Scores'!$H$3:$H$1000, 'Team Scores'!$H12, 3)</f>
        <v>0.25900000000000001</v>
      </c>
      <c r="I12" s="31">
        <f>PERCENTRANK('Team Scores'!$I$3:$I$1000, 'Team Scores'!$I12, 3)</f>
        <v>0.33300000000000002</v>
      </c>
      <c r="J12" s="31">
        <f>PERCENTRANK('Team Scores'!$J$3:$J$1000, 'Team Scores'!$J12, 3)</f>
        <v>0.42499999999999999</v>
      </c>
      <c r="K12" s="31">
        <f>PERCENTRANK('Team Scores'!$K$3:$K$1000, 'Team Scores'!$K12, 3)</f>
        <v>0.5</v>
      </c>
      <c r="L12" s="31">
        <f>PERCENTRANK('Team Scores'!$L$3:$L$1000, 'Team Scores'!$L12, 3)</f>
        <v>0.222</v>
      </c>
      <c r="M12" s="31">
        <f>PERCENTRANK('Team Scores'!$M$3:$M$1000, 'Team Scores'!$M12, 3)</f>
        <v>0.314</v>
      </c>
      <c r="N12" s="31">
        <f>PERCENTRANK('Team Scores'!$N$3:$N$1000, 'Team Scores'!$N12, 3)</f>
        <v>0.51800000000000002</v>
      </c>
      <c r="O12" s="31">
        <f>PERCENTRANK('Team Scores'!$O$3:$O$1000, 'Team Scores'!$O12, 3)</f>
        <v>0.25900000000000001</v>
      </c>
      <c r="P12" s="31">
        <f>PERCENTRANK('Team Scores'!$P$3:$P$1000, 'Team Scores'!$P12, 3)</f>
        <v>0.111</v>
      </c>
      <c r="Q12" s="31">
        <f>PERCENTRANK('Team Scores'!$Q$3:$Q$1000, 'Team Scores'!$Q12, 3)</f>
        <v>7.3999999999999996E-2</v>
      </c>
      <c r="R12" s="31">
        <f>PERCENTRANK('Team Scores'!$R$3:$R$1000, 'Team Scores'!$R12, 3)</f>
        <v>3.6999999999999998E-2</v>
      </c>
      <c r="S12" s="31">
        <f>PERCENTRANK('Team Scores'!$S$3:$S$1000, 'Team Scores'!$S12, 3)</f>
        <v>0.72199999999999998</v>
      </c>
      <c r="T12" s="31">
        <f>PERCENTRANK('Team Scores'!$T$3:$T$1000, 'Team Scores'!$T12, 3)</f>
        <v>0.38800000000000001</v>
      </c>
      <c r="U12" s="31">
        <f>PERCENTRANK('Team Scores'!$U$3:$U$1000, 'Team Scores'!$U12, 3)</f>
        <v>0.83299999999999996</v>
      </c>
      <c r="V12" s="31">
        <f>PERCENTRANK('Team Scores'!$V$3:$V$1000, 'Team Scores'!$V12, 3)</f>
        <v>0.51800000000000002</v>
      </c>
      <c r="W12" s="31">
        <f>PERCENTRANK('Team Scores'!$W$3:$W$1000, 'Team Scores'!$W12, 3)</f>
        <v>0.72199999999999998</v>
      </c>
      <c r="X12" s="31">
        <f>PERCENTRANK('Team Scores'!$X$3:$X$1000, 'Team Scores'!$X12, 3)</f>
        <v>0.46200000000000002</v>
      </c>
      <c r="Y12" s="31">
        <f>PERCENTRANK('Team Scores'!$Y$3:$Y$1000, 'Team Scores'!$Y12, 3)</f>
        <v>0.314</v>
      </c>
      <c r="Z12" s="31">
        <f>PERCENTRANK('Team Scores'!$Z$3:$Z$1000, 'Team Scores'!$Z12, 3)</f>
        <v>0.53700000000000003</v>
      </c>
      <c r="AA12" s="31">
        <f t="shared" si="0"/>
        <v>0.41439999999999999</v>
      </c>
      <c r="AB12" s="31">
        <f t="shared" si="1"/>
        <v>0.35374999999999995</v>
      </c>
      <c r="AC12" s="31">
        <f t="shared" si="2"/>
        <v>0.26639999999999997</v>
      </c>
      <c r="AD12" s="31">
        <f t="shared" si="3"/>
        <v>0.63375000000000004</v>
      </c>
      <c r="AE12" s="31">
        <f t="shared" si="4"/>
        <v>0.41707499999999997</v>
      </c>
    </row>
    <row r="13" spans="1:31" ht="16" x14ac:dyDescent="0.2">
      <c r="A13" s="29">
        <v>432</v>
      </c>
      <c r="B13" s="30">
        <f>COUNTIF(MatchScoutingData!E$2:E$1000, $A13)</f>
        <v>9</v>
      </c>
      <c r="C13" s="31">
        <f>PERCENTRANK('Team Scores'!$C$3:$C$1000, 'Team Scores'!$C13, 3)</f>
        <v>3.6999999999999998E-2</v>
      </c>
      <c r="D13" s="31">
        <f>PERCENTRANK('Team Scores'!$D$3:$D$1000, 'Team Scores'!$D13, 3)</f>
        <v>0.75900000000000001</v>
      </c>
      <c r="E13" s="31">
        <f>PERCENTRANK('Team Scores'!$E$3:$E$1000, 'Team Scores'!$E13, 3)</f>
        <v>0.314</v>
      </c>
      <c r="F13" s="31">
        <f>PERCENTRANK('Team Scores'!$F$3:$F$1000, 'Team Scores'!$F13, 3)</f>
        <v>0.83299999999999996</v>
      </c>
      <c r="G13" s="31">
        <f>PERCENTRANK('Team Scores'!$G$3:$G$1000, 'Team Scores'!$G13, 3)</f>
        <v>0.37</v>
      </c>
      <c r="H13" s="31">
        <f>PERCENTRANK('Team Scores'!$H$3:$H$1000, 'Team Scores'!$H13, 3)</f>
        <v>0.14799999999999999</v>
      </c>
      <c r="I13" s="31">
        <f>PERCENTRANK('Team Scores'!$I$3:$I$1000, 'Team Scores'!$I13, 3)</f>
        <v>0.46200000000000002</v>
      </c>
      <c r="J13" s="31">
        <f>PERCENTRANK('Team Scores'!$J$3:$J$1000, 'Team Scores'!$J13, 3)</f>
        <v>0.33300000000000002</v>
      </c>
      <c r="K13" s="31">
        <f>PERCENTRANK('Team Scores'!$K$3:$K$1000, 'Team Scores'!$K13, 3)</f>
        <v>0.314</v>
      </c>
      <c r="L13" s="31">
        <f>PERCENTRANK('Team Scores'!$L$3:$L$1000, 'Team Scores'!$L13, 3)</f>
        <v>0.94399999999999995</v>
      </c>
      <c r="M13" s="31">
        <f>PERCENTRANK('Team Scores'!$M$3:$M$1000, 'Team Scores'!$M13, 3)</f>
        <v>0.61099999999999999</v>
      </c>
      <c r="N13" s="31">
        <f>PERCENTRANK('Team Scores'!$N$3:$N$1000, 'Team Scores'!$N13, 3)</f>
        <v>0.74</v>
      </c>
      <c r="O13" s="31">
        <f>PERCENTRANK('Team Scores'!$O$3:$O$1000, 'Team Scores'!$O13, 3)</f>
        <v>0.53700000000000003</v>
      </c>
      <c r="P13" s="31">
        <f>PERCENTRANK('Team Scores'!$P$3:$P$1000, 'Team Scores'!$P13, 3)</f>
        <v>0.46200000000000002</v>
      </c>
      <c r="Q13" s="31">
        <f>PERCENTRANK('Team Scores'!$Q$3:$Q$1000, 'Team Scores'!$Q13, 3)</f>
        <v>7.3999999999999996E-2</v>
      </c>
      <c r="R13" s="31">
        <f>PERCENTRANK('Team Scores'!$R$3:$R$1000, 'Team Scores'!$R13, 3)</f>
        <v>3.6999999999999998E-2</v>
      </c>
      <c r="S13" s="31">
        <f>PERCENTRANK('Team Scores'!$S$3:$S$1000, 'Team Scores'!$S13, 3)</f>
        <v>0.51800000000000002</v>
      </c>
      <c r="T13" s="31">
        <f>PERCENTRANK('Team Scores'!$T$3:$T$1000, 'Team Scores'!$T13, 3)</f>
        <v>0.16600000000000001</v>
      </c>
      <c r="U13" s="31">
        <f>PERCENTRANK('Team Scores'!$U$3:$U$1000, 'Team Scores'!$U13, 3)</f>
        <v>0.14799999999999999</v>
      </c>
      <c r="V13" s="31">
        <f>PERCENTRANK('Team Scores'!$V$3:$V$1000, 'Team Scores'!$V13, 3)</f>
        <v>9.1999999999999998E-2</v>
      </c>
      <c r="W13" s="31">
        <f>PERCENTRANK('Team Scores'!$W$3:$W$1000, 'Team Scores'!$W13, 3)</f>
        <v>9.1999999999999998E-2</v>
      </c>
      <c r="X13" s="31">
        <f>PERCENTRANK('Team Scores'!$X$3:$X$1000, 'Team Scores'!$X13, 3)</f>
        <v>0.70299999999999996</v>
      </c>
      <c r="Y13" s="31">
        <f>PERCENTRANK('Team Scores'!$Y$3:$Y$1000, 'Team Scores'!$Y13, 3)</f>
        <v>0.314</v>
      </c>
      <c r="Z13" s="31">
        <f>PERCENTRANK('Team Scores'!$Z$3:$Z$1000, 'Team Scores'!$Z13, 3)</f>
        <v>0.37</v>
      </c>
      <c r="AA13" s="31">
        <f t="shared" si="0"/>
        <v>0.46260000000000001</v>
      </c>
      <c r="AB13" s="31">
        <f t="shared" si="1"/>
        <v>0.51112500000000005</v>
      </c>
      <c r="AC13" s="31">
        <f t="shared" si="2"/>
        <v>0.25140000000000001</v>
      </c>
      <c r="AD13" s="31">
        <f t="shared" si="3"/>
        <v>0.25874999999999998</v>
      </c>
      <c r="AE13" s="31">
        <f t="shared" si="4"/>
        <v>0.37096875000000001</v>
      </c>
    </row>
    <row r="14" spans="1:31" ht="16" x14ac:dyDescent="0.2">
      <c r="A14" s="29">
        <v>564</v>
      </c>
      <c r="B14" s="30">
        <f>COUNTIF(MatchScoutingData!E$2:E$1000, $A14)</f>
        <v>9</v>
      </c>
      <c r="C14" s="31">
        <f>PERCENTRANK('Team Scores'!$C$3:$C$1000, 'Team Scores'!$C14, 3)</f>
        <v>3.6999999999999998E-2</v>
      </c>
      <c r="D14" s="31">
        <f>PERCENTRANK('Team Scores'!$D$3:$D$1000, 'Team Scores'!$D14, 3)</f>
        <v>0.27700000000000002</v>
      </c>
      <c r="E14" s="31">
        <f>PERCENTRANK('Team Scores'!$E$3:$E$1000, 'Team Scores'!$E14, 3)</f>
        <v>0.61099999999999999</v>
      </c>
      <c r="F14" s="31">
        <f>PERCENTRANK('Team Scores'!$F$3:$F$1000, 'Team Scores'!$F14, 3)</f>
        <v>0.5</v>
      </c>
      <c r="G14" s="31">
        <f>PERCENTRANK('Team Scores'!$G$3:$G$1000, 'Team Scores'!$G14, 3)</f>
        <v>0.87</v>
      </c>
      <c r="H14" s="31">
        <f>PERCENTRANK('Team Scores'!$H$3:$H$1000, 'Team Scores'!$H14, 3)</f>
        <v>0.35099999999999998</v>
      </c>
      <c r="I14" s="31">
        <f>PERCENTRANK('Team Scores'!$I$3:$I$1000, 'Team Scores'!$I14, 3)</f>
        <v>0.92500000000000004</v>
      </c>
      <c r="J14" s="31">
        <f>PERCENTRANK('Team Scores'!$J$3:$J$1000, 'Team Scores'!$J14, 3)</f>
        <v>0.111</v>
      </c>
      <c r="K14" s="31">
        <f>PERCENTRANK('Team Scores'!$K$3:$K$1000, 'Team Scores'!$K14, 3)</f>
        <v>0.74</v>
      </c>
      <c r="L14" s="31">
        <f>PERCENTRANK('Team Scores'!$L$3:$L$1000, 'Team Scores'!$L14, 3)</f>
        <v>0.222</v>
      </c>
      <c r="M14" s="31">
        <f>PERCENTRANK('Team Scores'!$M$3:$M$1000, 'Team Scores'!$M14, 3)</f>
        <v>0.61099999999999999</v>
      </c>
      <c r="N14" s="31">
        <f>PERCENTRANK('Team Scores'!$N$3:$N$1000, 'Team Scores'!$N14, 3)</f>
        <v>0.24</v>
      </c>
      <c r="O14" s="31">
        <f>PERCENTRANK('Team Scores'!$O$3:$O$1000, 'Team Scores'!$O14, 3)</f>
        <v>5.5E-2</v>
      </c>
      <c r="P14" s="31">
        <f>PERCENTRANK('Team Scores'!$P$3:$P$1000, 'Team Scores'!$P14, 3)</f>
        <v>0.68500000000000005</v>
      </c>
      <c r="Q14" s="31">
        <f>PERCENTRANK('Team Scores'!$Q$3:$Q$1000, 'Team Scores'!$Q14, 3)</f>
        <v>0.53700000000000003</v>
      </c>
      <c r="R14" s="31">
        <f>PERCENTRANK('Team Scores'!$R$3:$R$1000, 'Team Scores'!$R14, 3)</f>
        <v>0.222</v>
      </c>
      <c r="S14" s="31">
        <f>PERCENTRANK('Team Scores'!$S$3:$S$1000, 'Team Scores'!$S14, 3)</f>
        <v>0.111</v>
      </c>
      <c r="T14" s="31">
        <f>PERCENTRANK('Team Scores'!$T$3:$T$1000, 'Team Scores'!$T14, 3)</f>
        <v>5.5E-2</v>
      </c>
      <c r="U14" s="31">
        <f>PERCENTRANK('Team Scores'!$U$3:$U$1000, 'Team Scores'!$U14, 3)</f>
        <v>1.7999999999999999E-2</v>
      </c>
      <c r="V14" s="31">
        <f>PERCENTRANK('Team Scores'!$V$3:$V$1000, 'Team Scores'!$V14, 3)</f>
        <v>0.94399999999999995</v>
      </c>
      <c r="W14" s="31">
        <f>PERCENTRANK('Team Scores'!$W$3:$W$1000, 'Team Scores'!$W14, 3)</f>
        <v>0.72199999999999998</v>
      </c>
      <c r="X14" s="31">
        <f>PERCENTRANK('Team Scores'!$X$3:$X$1000, 'Team Scores'!$X14, 3)</f>
        <v>0.96199999999999997</v>
      </c>
      <c r="Y14" s="31">
        <f>PERCENTRANK('Team Scores'!$Y$3:$Y$1000, 'Team Scores'!$Y14, 3)</f>
        <v>0.314</v>
      </c>
      <c r="Z14" s="31">
        <f>PERCENTRANK('Team Scores'!$Z$3:$Z$1000, 'Team Scores'!$Z14, 3)</f>
        <v>0.88800000000000001</v>
      </c>
      <c r="AA14" s="31">
        <f t="shared" si="0"/>
        <v>0.45899999999999996</v>
      </c>
      <c r="AB14" s="31">
        <f t="shared" si="1"/>
        <v>0.40687500000000004</v>
      </c>
      <c r="AC14" s="31">
        <f t="shared" si="2"/>
        <v>0.32199999999999995</v>
      </c>
      <c r="AD14" s="31">
        <f t="shared" si="3"/>
        <v>0.66149999999999998</v>
      </c>
      <c r="AE14" s="31">
        <f t="shared" si="4"/>
        <v>0.46234375</v>
      </c>
    </row>
    <row r="15" spans="1:31" ht="16" x14ac:dyDescent="0.2">
      <c r="A15" s="29">
        <v>578</v>
      </c>
      <c r="B15" s="30">
        <f>COUNTIF(MatchScoutingData!E$2:E$1000, $A15)</f>
        <v>9</v>
      </c>
      <c r="C15" s="31">
        <f>PERCENTRANK('Team Scores'!$C$3:$C$1000, 'Team Scores'!$C15, 3)</f>
        <v>0.61099999999999999</v>
      </c>
      <c r="D15" s="31">
        <f>PERCENTRANK('Team Scores'!$D$3:$D$1000, 'Team Scores'!$D15, 3)</f>
        <v>0.90700000000000003</v>
      </c>
      <c r="E15" s="31">
        <f>PERCENTRANK('Team Scores'!$E$3:$E$1000, 'Team Scores'!$E15, 3)</f>
        <v>0.61099999999999999</v>
      </c>
      <c r="F15" s="31">
        <f>PERCENTRANK('Team Scores'!$F$3:$F$1000, 'Team Scores'!$F15, 3)</f>
        <v>0.92500000000000004</v>
      </c>
      <c r="G15" s="31">
        <f>PERCENTRANK('Team Scores'!$G$3:$G$1000, 'Team Scores'!$G15, 3)</f>
        <v>0.77700000000000002</v>
      </c>
      <c r="H15" s="31">
        <f>PERCENTRANK('Team Scores'!$H$3:$H$1000, 'Team Scores'!$H15, 3)</f>
        <v>0.5</v>
      </c>
      <c r="I15" s="31">
        <f>PERCENTRANK('Team Scores'!$I$3:$I$1000, 'Team Scores'!$I15, 3)</f>
        <v>0.46200000000000002</v>
      </c>
      <c r="J15" s="31">
        <f>PERCENTRANK('Team Scores'!$J$3:$J$1000, 'Team Scores'!$J15, 3)</f>
        <v>0.42499999999999999</v>
      </c>
      <c r="K15" s="31">
        <f>PERCENTRANK('Team Scores'!$K$3:$K$1000, 'Team Scores'!$K15, 3)</f>
        <v>0.74</v>
      </c>
      <c r="L15" s="31">
        <f>PERCENTRANK('Team Scores'!$L$3:$L$1000, 'Team Scores'!$L15, 3)</f>
        <v>5.5E-2</v>
      </c>
      <c r="M15" s="31">
        <f>PERCENTRANK('Team Scores'!$M$3:$M$1000, 'Team Scores'!$M15, 3)</f>
        <v>1.7999999999999999E-2</v>
      </c>
      <c r="N15" s="31">
        <f>PERCENTRANK('Team Scores'!$N$3:$N$1000, 'Team Scores'!$N15, 3)</f>
        <v>0.51800000000000002</v>
      </c>
      <c r="O15" s="31">
        <f>PERCENTRANK('Team Scores'!$O$3:$O$1000, 'Team Scores'!$O15, 3)</f>
        <v>0.25900000000000001</v>
      </c>
      <c r="P15" s="31">
        <f>PERCENTRANK('Team Scores'!$P$3:$P$1000, 'Team Scores'!$P15, 3)</f>
        <v>1</v>
      </c>
      <c r="Q15" s="31">
        <f>PERCENTRANK('Team Scores'!$Q$3:$Q$1000, 'Team Scores'!$Q15, 3)</f>
        <v>7.3999999999999996E-2</v>
      </c>
      <c r="R15" s="31">
        <f>PERCENTRANK('Team Scores'!$R$3:$R$1000, 'Team Scores'!$R15, 3)</f>
        <v>0.222</v>
      </c>
      <c r="S15" s="31">
        <f>PERCENTRANK('Team Scores'!$S$3:$S$1000, 'Team Scores'!$S15, 3)</f>
        <v>0.88800000000000001</v>
      </c>
      <c r="T15" s="31">
        <f>PERCENTRANK('Team Scores'!$T$3:$T$1000, 'Team Scores'!$T15, 3)</f>
        <v>0</v>
      </c>
      <c r="U15" s="31">
        <f>PERCENTRANK('Team Scores'!$U$3:$U$1000, 'Team Scores'!$U15, 3)</f>
        <v>5.5E-2</v>
      </c>
      <c r="V15" s="31">
        <f>PERCENTRANK('Team Scores'!$V$3:$V$1000, 'Team Scores'!$V15, 3)</f>
        <v>0.87</v>
      </c>
      <c r="W15" s="31">
        <f>PERCENTRANK('Team Scores'!$W$3:$W$1000, 'Team Scores'!$W15, 3)</f>
        <v>9.1999999999999998E-2</v>
      </c>
      <c r="X15" s="31">
        <f>PERCENTRANK('Team Scores'!$X$3:$X$1000, 'Team Scores'!$X15, 3)</f>
        <v>0.25900000000000001</v>
      </c>
      <c r="Y15" s="31">
        <f>PERCENTRANK('Team Scores'!$Y$3:$Y$1000, 'Team Scores'!$Y15, 3)</f>
        <v>3.6999999999999998E-2</v>
      </c>
      <c r="Z15" s="31">
        <f>PERCENTRANK('Team Scores'!$Z$3:$Z$1000, 'Team Scores'!$Z15, 3)</f>
        <v>7.3999999999999996E-2</v>
      </c>
      <c r="AA15" s="31">
        <f t="shared" si="0"/>
        <v>0.7662000000000001</v>
      </c>
      <c r="AB15" s="31">
        <f t="shared" si="1"/>
        <v>0.37212499999999998</v>
      </c>
      <c r="AC15" s="31">
        <f t="shared" si="2"/>
        <v>0.43680000000000002</v>
      </c>
      <c r="AD15" s="31">
        <f t="shared" si="3"/>
        <v>0.31900000000000006</v>
      </c>
      <c r="AE15" s="31">
        <f t="shared" si="4"/>
        <v>0.47353125000000007</v>
      </c>
    </row>
    <row r="16" spans="1:31" ht="16" x14ac:dyDescent="0.2">
      <c r="A16" s="29">
        <v>639</v>
      </c>
      <c r="B16" s="30">
        <f>COUNTIF(MatchScoutingData!E$2:E$1000, $A16)</f>
        <v>9</v>
      </c>
      <c r="C16" s="31">
        <f>PERCENTRANK('Team Scores'!$C$3:$C$1000, 'Team Scores'!$C16, 3)</f>
        <v>0.61099999999999999</v>
      </c>
      <c r="D16" s="31">
        <f>PERCENTRANK('Team Scores'!$D$3:$D$1000, 'Team Scores'!$D16, 3)</f>
        <v>0.75900000000000001</v>
      </c>
      <c r="E16" s="31">
        <f>PERCENTRANK('Team Scores'!$E$3:$E$1000, 'Team Scores'!$E16, 3)</f>
        <v>0.61099999999999999</v>
      </c>
      <c r="F16" s="31">
        <f>PERCENTRANK('Team Scores'!$F$3:$F$1000, 'Team Scores'!$F16, 3)</f>
        <v>0.92500000000000004</v>
      </c>
      <c r="G16" s="31">
        <f>PERCENTRANK('Team Scores'!$G$3:$G$1000, 'Team Scores'!$G16, 3)</f>
        <v>0.37</v>
      </c>
      <c r="H16" s="31">
        <f>PERCENTRANK('Team Scores'!$H$3:$H$1000, 'Team Scores'!$H16, 3)</f>
        <v>0.88800000000000001</v>
      </c>
      <c r="I16" s="31">
        <f>PERCENTRANK('Team Scores'!$I$3:$I$1000, 'Team Scores'!$I16, 3)</f>
        <v>0.77700000000000002</v>
      </c>
      <c r="J16" s="31">
        <f>PERCENTRANK('Team Scores'!$J$3:$J$1000, 'Team Scores'!$J16, 3)</f>
        <v>0.72199999999999998</v>
      </c>
      <c r="K16" s="31">
        <f>PERCENTRANK('Team Scores'!$K$3:$K$1000, 'Team Scores'!$K16, 3)</f>
        <v>0.5</v>
      </c>
      <c r="L16" s="31">
        <f>PERCENTRANK('Team Scores'!$L$3:$L$1000, 'Team Scores'!$L16, 3)</f>
        <v>0.42499999999999999</v>
      </c>
      <c r="M16" s="31">
        <f>PERCENTRANK('Team Scores'!$M$3:$M$1000, 'Team Scores'!$M16, 3)</f>
        <v>0.16600000000000001</v>
      </c>
      <c r="N16" s="31">
        <f>PERCENTRANK('Team Scores'!$N$3:$N$1000, 'Team Scores'!$N16, 3)</f>
        <v>0.74</v>
      </c>
      <c r="O16" s="31">
        <f>PERCENTRANK('Team Scores'!$O$3:$O$1000, 'Team Scores'!$O16, 3)</f>
        <v>0.25900000000000001</v>
      </c>
      <c r="P16" s="31">
        <f>PERCENTRANK('Team Scores'!$P$3:$P$1000, 'Team Scores'!$P16, 3)</f>
        <v>0.59199999999999997</v>
      </c>
      <c r="Q16" s="31">
        <f>PERCENTRANK('Team Scores'!$Q$3:$Q$1000, 'Team Scores'!$Q16, 3)</f>
        <v>0.74</v>
      </c>
      <c r="R16" s="31">
        <f>PERCENTRANK('Team Scores'!$R$3:$R$1000, 'Team Scores'!$R16, 3)</f>
        <v>0.5</v>
      </c>
      <c r="S16" s="31">
        <f>PERCENTRANK('Team Scores'!$S$3:$S$1000, 'Team Scores'!$S16, 3)</f>
        <v>0.72199999999999998</v>
      </c>
      <c r="T16" s="31">
        <f>PERCENTRANK('Team Scores'!$T$3:$T$1000, 'Team Scores'!$T16, 3)</f>
        <v>5.5E-2</v>
      </c>
      <c r="U16" s="31">
        <f>PERCENTRANK('Team Scores'!$U$3:$U$1000, 'Team Scores'!$U16, 3)</f>
        <v>0.14799999999999999</v>
      </c>
      <c r="V16" s="31">
        <f>PERCENTRANK('Team Scores'!$V$3:$V$1000, 'Team Scores'!$V16, 3)</f>
        <v>0.185</v>
      </c>
      <c r="W16" s="31">
        <f>PERCENTRANK('Team Scores'!$W$3:$W$1000, 'Team Scores'!$W16, 3)</f>
        <v>0.72199999999999998</v>
      </c>
      <c r="X16" s="31">
        <f>PERCENTRANK('Team Scores'!$X$3:$X$1000, 'Team Scores'!$X16, 3)</f>
        <v>0.25900000000000001</v>
      </c>
      <c r="Y16" s="31">
        <f>PERCENTRANK('Team Scores'!$Y$3:$Y$1000, 'Team Scores'!$Y16, 3)</f>
        <v>3.6999999999999998E-2</v>
      </c>
      <c r="Z16" s="31">
        <f>PERCENTRANK('Team Scores'!$Z$3:$Z$1000, 'Team Scores'!$Z16, 3)</f>
        <v>0.37</v>
      </c>
      <c r="AA16" s="31">
        <f t="shared" si="0"/>
        <v>0.6552</v>
      </c>
      <c r="AB16" s="31">
        <f t="shared" si="1"/>
        <v>0.55962500000000004</v>
      </c>
      <c r="AC16" s="31">
        <f t="shared" si="2"/>
        <v>0.52180000000000004</v>
      </c>
      <c r="AD16" s="31">
        <f t="shared" si="3"/>
        <v>0.32850000000000001</v>
      </c>
      <c r="AE16" s="31">
        <f t="shared" si="4"/>
        <v>0.51628125000000002</v>
      </c>
    </row>
    <row r="17" spans="1:31" ht="16" x14ac:dyDescent="0.2">
      <c r="A17" s="29">
        <v>694</v>
      </c>
      <c r="B17" s="30">
        <f>COUNTIF(MatchScoutingData!E$2:E$1000, $A17)</f>
        <v>9</v>
      </c>
      <c r="C17" s="31">
        <f>PERCENTRANK('Team Scores'!$C$3:$C$1000, 'Team Scores'!$C17, 3)</f>
        <v>0.38800000000000001</v>
      </c>
      <c r="D17" s="31">
        <f>PERCENTRANK('Team Scores'!$D$3:$D$1000, 'Team Scores'!$D17, 3)</f>
        <v>7.3999999999999996E-2</v>
      </c>
      <c r="E17" s="31">
        <f>PERCENTRANK('Team Scores'!$E$3:$E$1000, 'Team Scores'!$E17, 3)</f>
        <v>0.61099999999999999</v>
      </c>
      <c r="F17" s="31">
        <f>PERCENTRANK('Team Scores'!$F$3:$F$1000, 'Team Scores'!$F17, 3)</f>
        <v>0.83299999999999996</v>
      </c>
      <c r="G17" s="31">
        <f>PERCENTRANK('Team Scores'!$G$3:$G$1000, 'Team Scores'!$G17, 3)</f>
        <v>0.24</v>
      </c>
      <c r="H17" s="31">
        <f>PERCENTRANK('Team Scores'!$H$3:$H$1000, 'Team Scores'!$H17, 3)</f>
        <v>0.25900000000000001</v>
      </c>
      <c r="I17" s="31">
        <f>PERCENTRANK('Team Scores'!$I$3:$I$1000, 'Team Scores'!$I17, 3)</f>
        <v>0.66600000000000004</v>
      </c>
      <c r="J17" s="31">
        <f>PERCENTRANK('Team Scores'!$J$3:$J$1000, 'Team Scores'!$J17, 3)</f>
        <v>0.81399999999999995</v>
      </c>
      <c r="K17" s="31">
        <f>PERCENTRANK('Team Scores'!$K$3:$K$1000, 'Team Scores'!$K17, 3)</f>
        <v>0.314</v>
      </c>
      <c r="L17" s="31">
        <f>PERCENTRANK('Team Scores'!$L$3:$L$1000, 'Team Scores'!$L17, 3)</f>
        <v>0.222</v>
      </c>
      <c r="M17" s="31">
        <f>PERCENTRANK('Team Scores'!$M$3:$M$1000, 'Team Scores'!$M17, 3)</f>
        <v>1.7999999999999999E-2</v>
      </c>
      <c r="N17" s="31">
        <f>PERCENTRANK('Team Scores'!$N$3:$N$1000, 'Team Scores'!$N17, 3)</f>
        <v>0.24</v>
      </c>
      <c r="O17" s="31">
        <f>PERCENTRANK('Team Scores'!$O$3:$O$1000, 'Team Scores'!$O17, 3)</f>
        <v>5.5E-2</v>
      </c>
      <c r="P17" s="31">
        <f>PERCENTRANK('Team Scores'!$P$3:$P$1000, 'Team Scores'!$P17, 3)</f>
        <v>0.94399999999999995</v>
      </c>
      <c r="Q17" s="31">
        <f>PERCENTRANK('Team Scores'!$Q$3:$Q$1000, 'Team Scores'!$Q17, 3)</f>
        <v>0.74</v>
      </c>
      <c r="R17" s="31">
        <f>PERCENTRANK('Team Scores'!$R$3:$R$1000, 'Team Scores'!$R17, 3)</f>
        <v>0.222</v>
      </c>
      <c r="S17" s="31">
        <f>PERCENTRANK('Team Scores'!$S$3:$S$1000, 'Team Scores'!$S17, 3)</f>
        <v>0.72199999999999998</v>
      </c>
      <c r="T17" s="31">
        <f>PERCENTRANK('Team Scores'!$T$3:$T$1000, 'Team Scores'!$T17, 3)</f>
        <v>0.98099999999999998</v>
      </c>
      <c r="U17" s="31">
        <f>PERCENTRANK('Team Scores'!$U$3:$U$1000, 'Team Scores'!$U17, 3)</f>
        <v>0.83299999999999996</v>
      </c>
      <c r="V17" s="31">
        <f>PERCENTRANK('Team Scores'!$V$3:$V$1000, 'Team Scores'!$V17, 3)</f>
        <v>0.46200000000000002</v>
      </c>
      <c r="W17" s="31">
        <f>PERCENTRANK('Team Scores'!$W$3:$W$1000, 'Team Scores'!$W17, 3)</f>
        <v>0.27700000000000002</v>
      </c>
      <c r="X17" s="31">
        <f>PERCENTRANK('Team Scores'!$X$3:$X$1000, 'Team Scores'!$X17, 3)</f>
        <v>0.46200000000000002</v>
      </c>
      <c r="Y17" s="31">
        <f>PERCENTRANK('Team Scores'!$Y$3:$Y$1000, 'Team Scores'!$Y17, 3)</f>
        <v>0.72199999999999998</v>
      </c>
      <c r="Z17" s="31">
        <f>PERCENTRANK('Team Scores'!$Z$3:$Z$1000, 'Team Scores'!$Z17, 3)</f>
        <v>0.53700000000000003</v>
      </c>
      <c r="AA17" s="31">
        <f t="shared" si="0"/>
        <v>0.42919999999999997</v>
      </c>
      <c r="AB17" s="31">
        <f t="shared" si="1"/>
        <v>0.32349999999999995</v>
      </c>
      <c r="AC17" s="31">
        <f t="shared" si="2"/>
        <v>0.7218</v>
      </c>
      <c r="AD17" s="31">
        <f t="shared" si="3"/>
        <v>0.50850000000000006</v>
      </c>
      <c r="AE17" s="31">
        <f t="shared" si="4"/>
        <v>0.49575000000000002</v>
      </c>
    </row>
    <row r="18" spans="1:31" ht="16" x14ac:dyDescent="0.2">
      <c r="A18" s="29">
        <v>810</v>
      </c>
      <c r="B18" s="30">
        <f>COUNTIF(MatchScoutingData!E$2:E$1000, $A18)</f>
        <v>9</v>
      </c>
      <c r="C18" s="31">
        <f>PERCENTRANK('Team Scores'!$C$3:$C$1000, 'Team Scores'!$C18, 3)</f>
        <v>3.6999999999999998E-2</v>
      </c>
      <c r="D18" s="31">
        <f>PERCENTRANK('Team Scores'!$D$3:$D$1000, 'Team Scores'!$D18, 3)</f>
        <v>0.27700000000000002</v>
      </c>
      <c r="E18" s="31">
        <f>PERCENTRANK('Team Scores'!$E$3:$E$1000, 'Team Scores'!$E18, 3)</f>
        <v>0.314</v>
      </c>
      <c r="F18" s="31">
        <f>PERCENTRANK('Team Scores'!$F$3:$F$1000, 'Team Scores'!$F18, 3)</f>
        <v>7.3999999999999996E-2</v>
      </c>
      <c r="G18" s="31">
        <f>PERCENTRANK('Team Scores'!$G$3:$G$1000, 'Team Scores'!$G18, 3)</f>
        <v>0.92500000000000004</v>
      </c>
      <c r="H18" s="31">
        <f>PERCENTRANK('Team Scores'!$H$3:$H$1000, 'Team Scores'!$H18, 3)</f>
        <v>0.14799999999999999</v>
      </c>
      <c r="I18" s="31">
        <f>PERCENTRANK('Team Scores'!$I$3:$I$1000, 'Team Scores'!$I18, 3)</f>
        <v>0.88800000000000001</v>
      </c>
      <c r="J18" s="31">
        <f>PERCENTRANK('Team Scores'!$J$3:$J$1000, 'Team Scores'!$J18, 3)</f>
        <v>0.90700000000000003</v>
      </c>
      <c r="K18" s="31">
        <f>PERCENTRANK('Team Scores'!$K$3:$K$1000, 'Team Scores'!$K18, 3)</f>
        <v>0.129</v>
      </c>
      <c r="L18" s="31">
        <f>PERCENTRANK('Team Scores'!$L$3:$L$1000, 'Team Scores'!$L18, 3)</f>
        <v>0.222</v>
      </c>
      <c r="M18" s="31">
        <f>PERCENTRANK('Team Scores'!$M$3:$M$1000, 'Team Scores'!$M18, 3)</f>
        <v>0.61099999999999999</v>
      </c>
      <c r="N18" s="31">
        <f>PERCENTRANK('Team Scores'!$N$3:$N$1000, 'Team Scores'!$N18, 3)</f>
        <v>5.5E-2</v>
      </c>
      <c r="O18" s="31">
        <f>PERCENTRANK('Team Scores'!$O$3:$O$1000, 'Team Scores'!$O18, 3)</f>
        <v>0.79600000000000004</v>
      </c>
      <c r="P18" s="31">
        <f>PERCENTRANK('Team Scores'!$P$3:$P$1000, 'Team Scores'!$P18, 3)</f>
        <v>0.94399999999999995</v>
      </c>
      <c r="Q18" s="31">
        <f>PERCENTRANK('Team Scores'!$Q$3:$Q$1000, 'Team Scores'!$Q18, 3)</f>
        <v>0.53700000000000003</v>
      </c>
      <c r="R18" s="31">
        <f>PERCENTRANK('Team Scores'!$R$3:$R$1000, 'Team Scores'!$R18, 3)</f>
        <v>3.6999999999999998E-2</v>
      </c>
      <c r="S18" s="31">
        <f>PERCENTRANK('Team Scores'!$S$3:$S$1000, 'Team Scores'!$S18, 3)</f>
        <v>0.51800000000000002</v>
      </c>
      <c r="T18" s="31">
        <f>PERCENTRANK('Team Scores'!$T$3:$T$1000, 'Team Scores'!$T18, 3)</f>
        <v>0.5</v>
      </c>
      <c r="U18" s="31">
        <f>PERCENTRANK('Team Scores'!$U$3:$U$1000, 'Team Scores'!$U18, 3)</f>
        <v>0.37</v>
      </c>
      <c r="V18" s="31">
        <f>PERCENTRANK('Team Scores'!$V$3:$V$1000, 'Team Scores'!$V18, 3)</f>
        <v>3.6999999999999998E-2</v>
      </c>
      <c r="W18" s="31">
        <f>PERCENTRANK('Team Scores'!$W$3:$W$1000, 'Team Scores'!$W18, 3)</f>
        <v>0.53700000000000003</v>
      </c>
      <c r="X18" s="31">
        <f>PERCENTRANK('Team Scores'!$X$3:$X$1000, 'Team Scores'!$X18, 3)</f>
        <v>0.25900000000000001</v>
      </c>
      <c r="Y18" s="31">
        <f>PERCENTRANK('Team Scores'!$Y$3:$Y$1000, 'Team Scores'!$Y18, 3)</f>
        <v>0.72199999999999998</v>
      </c>
      <c r="Z18" s="31">
        <f>PERCENTRANK('Team Scores'!$Z$3:$Z$1000, 'Team Scores'!$Z18, 3)</f>
        <v>0.53700000000000003</v>
      </c>
      <c r="AA18" s="31">
        <f t="shared" si="0"/>
        <v>0.32540000000000002</v>
      </c>
      <c r="AB18" s="31">
        <f t="shared" si="1"/>
        <v>0.46950000000000003</v>
      </c>
      <c r="AC18" s="31">
        <f t="shared" si="2"/>
        <v>0.50719999999999987</v>
      </c>
      <c r="AD18" s="31">
        <f t="shared" si="3"/>
        <v>0.30074999999999996</v>
      </c>
      <c r="AE18" s="31">
        <f t="shared" si="4"/>
        <v>0.40071249999999992</v>
      </c>
    </row>
    <row r="19" spans="1:31" ht="16" x14ac:dyDescent="0.2">
      <c r="A19" s="29">
        <v>1056</v>
      </c>
      <c r="B19" s="30">
        <f>COUNTIF(MatchScoutingData!E$2:E$1000, $A19)</f>
        <v>9</v>
      </c>
      <c r="C19" s="31">
        <f>PERCENTRANK('Team Scores'!$C$3:$C$1000, 'Team Scores'!$C19, 3)</f>
        <v>0.81399999999999995</v>
      </c>
      <c r="D19" s="31">
        <f>PERCENTRANK('Team Scores'!$D$3:$D$1000, 'Team Scores'!$D19, 3)</f>
        <v>0.51800000000000002</v>
      </c>
      <c r="E19" s="31">
        <f>PERCENTRANK('Team Scores'!$E$3:$E$1000, 'Team Scores'!$E19, 3)</f>
        <v>0.314</v>
      </c>
      <c r="F19" s="31">
        <f>PERCENTRANK('Team Scores'!$F$3:$F$1000, 'Team Scores'!$F19, 3)</f>
        <v>0.5</v>
      </c>
      <c r="G19" s="31">
        <f>PERCENTRANK('Team Scores'!$G$3:$G$1000, 'Team Scores'!$G19, 3)</f>
        <v>1</v>
      </c>
      <c r="H19" s="31">
        <f>PERCENTRANK('Team Scores'!$H$3:$H$1000, 'Team Scores'!$H19, 3)</f>
        <v>0.35099999999999998</v>
      </c>
      <c r="I19" s="31">
        <f>PERCENTRANK('Team Scores'!$I$3:$I$1000, 'Team Scores'!$I19, 3)</f>
        <v>0.46200000000000002</v>
      </c>
      <c r="J19" s="31">
        <f>PERCENTRANK('Team Scores'!$J$3:$J$1000, 'Team Scores'!$J19, 3)</f>
        <v>0.129</v>
      </c>
      <c r="K19" s="31">
        <f>PERCENTRANK('Team Scores'!$K$3:$K$1000, 'Team Scores'!$K19, 3)</f>
        <v>0.5</v>
      </c>
      <c r="L19" s="31">
        <f>PERCENTRANK('Team Scores'!$L$3:$L$1000, 'Team Scores'!$L19, 3)</f>
        <v>0.42499999999999999</v>
      </c>
      <c r="M19" s="31">
        <f>PERCENTRANK('Team Scores'!$M$3:$M$1000, 'Team Scores'!$M19, 3)</f>
        <v>0.314</v>
      </c>
      <c r="N19" s="31">
        <f>PERCENTRANK('Team Scores'!$N$3:$N$1000, 'Team Scores'!$N19, 3)</f>
        <v>0</v>
      </c>
      <c r="O19" s="31">
        <f>PERCENTRANK('Team Scores'!$O$3:$O$1000, 'Team Scores'!$O19, 3)</f>
        <v>0.79600000000000004</v>
      </c>
      <c r="P19" s="31">
        <f>PERCENTRANK('Team Scores'!$P$3:$P$1000, 'Team Scores'!$P19, 3)</f>
        <v>0.46200000000000002</v>
      </c>
      <c r="Q19" s="31">
        <f>PERCENTRANK('Team Scores'!$Q$3:$Q$1000, 'Team Scores'!$Q19, 3)</f>
        <v>0.74</v>
      </c>
      <c r="R19" s="31">
        <f>PERCENTRANK('Team Scores'!$R$3:$R$1000, 'Team Scores'!$R19, 3)</f>
        <v>0.5</v>
      </c>
      <c r="S19" s="31">
        <f>PERCENTRANK('Team Scores'!$S$3:$S$1000, 'Team Scores'!$S19, 3)</f>
        <v>0.314</v>
      </c>
      <c r="T19" s="31">
        <f>PERCENTRANK('Team Scores'!$T$3:$T$1000, 'Team Scores'!$T19, 3)</f>
        <v>0.74</v>
      </c>
      <c r="U19" s="31">
        <f>PERCENTRANK('Team Scores'!$U$3:$U$1000, 'Team Scores'!$U19, 3)</f>
        <v>0.27700000000000002</v>
      </c>
      <c r="V19" s="31">
        <f>PERCENTRANK('Team Scores'!$V$3:$V$1000, 'Team Scores'!$V19, 3)</f>
        <v>0.88800000000000001</v>
      </c>
      <c r="W19" s="31">
        <f>PERCENTRANK('Team Scores'!$W$3:$W$1000, 'Team Scores'!$W19, 3)</f>
        <v>0.27700000000000002</v>
      </c>
      <c r="X19" s="31">
        <f>PERCENTRANK('Team Scores'!$X$3:$X$1000, 'Team Scores'!$X19, 3)</f>
        <v>0.129</v>
      </c>
      <c r="Y19" s="31">
        <f>PERCENTRANK('Team Scores'!$Y$3:$Y$1000, 'Team Scores'!$Y19, 3)</f>
        <v>3.6999999999999998E-2</v>
      </c>
      <c r="Z19" s="31">
        <f>PERCENTRANK('Team Scores'!$Z$3:$Z$1000, 'Team Scores'!$Z19, 3)</f>
        <v>7.3999999999999996E-2</v>
      </c>
      <c r="AA19" s="31">
        <f t="shared" si="0"/>
        <v>0.62919999999999998</v>
      </c>
      <c r="AB19" s="31">
        <f t="shared" si="1"/>
        <v>0.37212500000000004</v>
      </c>
      <c r="AC19" s="31">
        <f t="shared" si="2"/>
        <v>0.55120000000000002</v>
      </c>
      <c r="AD19" s="31">
        <f t="shared" si="3"/>
        <v>0.39275000000000004</v>
      </c>
      <c r="AE19" s="31">
        <f t="shared" si="4"/>
        <v>0.48631875000000002</v>
      </c>
    </row>
    <row r="20" spans="1:31" ht="16" x14ac:dyDescent="0.2">
      <c r="A20" s="29">
        <v>1126</v>
      </c>
      <c r="B20" s="30">
        <f>COUNTIF(MatchScoutingData!E$2:E$1000, $A20)</f>
        <v>9</v>
      </c>
      <c r="C20" s="31">
        <f>PERCENTRANK('Team Scores'!$C$3:$C$1000, 'Team Scores'!$C20, 3)</f>
        <v>3.6999999999999998E-2</v>
      </c>
      <c r="D20" s="31">
        <f>PERCENTRANK('Team Scores'!$D$3:$D$1000, 'Team Scores'!$D20, 3)</f>
        <v>0.27700000000000002</v>
      </c>
      <c r="E20" s="31">
        <f>PERCENTRANK('Team Scores'!$E$3:$E$1000, 'Team Scores'!$E20, 3)</f>
        <v>0.129</v>
      </c>
      <c r="F20" s="31">
        <f>PERCENTRANK('Team Scores'!$F$3:$F$1000, 'Team Scores'!$F20, 3)</f>
        <v>1</v>
      </c>
      <c r="G20" s="31">
        <f>PERCENTRANK('Team Scores'!$G$3:$G$1000, 'Team Scores'!$G20, 3)</f>
        <v>0.72199999999999998</v>
      </c>
      <c r="H20" s="31">
        <f>PERCENTRANK('Team Scores'!$H$3:$H$1000, 'Team Scores'!$H20, 3)</f>
        <v>0.88800000000000001</v>
      </c>
      <c r="I20" s="31">
        <f>PERCENTRANK('Team Scores'!$I$3:$I$1000, 'Team Scores'!$I20, 3)</f>
        <v>0.111</v>
      </c>
      <c r="J20" s="31">
        <f>PERCENTRANK('Team Scores'!$J$3:$J$1000, 'Team Scores'!$J20, 3)</f>
        <v>0.92500000000000004</v>
      </c>
      <c r="K20" s="31">
        <f>PERCENTRANK('Team Scores'!$K$3:$K$1000, 'Team Scores'!$K20, 3)</f>
        <v>0</v>
      </c>
      <c r="L20" s="31">
        <f>PERCENTRANK('Team Scores'!$L$3:$L$1000, 'Team Scores'!$L20, 3)</f>
        <v>0.42499999999999999</v>
      </c>
      <c r="M20" s="31">
        <f>PERCENTRANK('Team Scores'!$M$3:$M$1000, 'Team Scores'!$M20, 3)</f>
        <v>0.96199999999999997</v>
      </c>
      <c r="N20" s="31">
        <f>PERCENTRANK('Team Scores'!$N$3:$N$1000, 'Team Scores'!$N20, 3)</f>
        <v>0.74</v>
      </c>
      <c r="O20" s="31">
        <f>PERCENTRANK('Team Scores'!$O$3:$O$1000, 'Team Scores'!$O20, 3)</f>
        <v>0.53700000000000003</v>
      </c>
      <c r="P20" s="31">
        <f>PERCENTRANK('Team Scores'!$P$3:$P$1000, 'Team Scores'!$P20, 3)</f>
        <v>0.37</v>
      </c>
      <c r="Q20" s="31">
        <f>PERCENTRANK('Team Scores'!$Q$3:$Q$1000, 'Team Scores'!$Q20, 3)</f>
        <v>0.27700000000000002</v>
      </c>
      <c r="R20" s="31">
        <f>PERCENTRANK('Team Scores'!$R$3:$R$1000, 'Team Scores'!$R20, 3)</f>
        <v>0.222</v>
      </c>
      <c r="S20" s="31">
        <f>PERCENTRANK('Team Scores'!$S$3:$S$1000, 'Team Scores'!$S20, 3)</f>
        <v>0.88800000000000001</v>
      </c>
      <c r="T20" s="31">
        <f>PERCENTRANK('Team Scores'!$T$3:$T$1000, 'Team Scores'!$T20, 3)</f>
        <v>0.90700000000000003</v>
      </c>
      <c r="U20" s="31">
        <f>PERCENTRANK('Team Scores'!$U$3:$U$1000, 'Team Scores'!$U20, 3)</f>
        <v>0.53700000000000003</v>
      </c>
      <c r="V20" s="31">
        <f>PERCENTRANK('Team Scores'!$V$3:$V$1000, 'Team Scores'!$V20, 3)</f>
        <v>0.70299999999999996</v>
      </c>
      <c r="W20" s="31">
        <f>PERCENTRANK('Team Scores'!$W$3:$W$1000, 'Team Scores'!$W20, 3)</f>
        <v>0.88800000000000001</v>
      </c>
      <c r="X20" s="31">
        <f>PERCENTRANK('Team Scores'!$X$3:$X$1000, 'Team Scores'!$X20, 3)</f>
        <v>0.70299999999999996</v>
      </c>
      <c r="Y20" s="31">
        <f>PERCENTRANK('Team Scores'!$Y$3:$Y$1000, 'Team Scores'!$Y20, 3)</f>
        <v>0.51800000000000002</v>
      </c>
      <c r="Z20" s="31">
        <f>PERCENTRANK('Team Scores'!$Z$3:$Z$1000, 'Team Scores'!$Z20, 3)</f>
        <v>0.88800000000000001</v>
      </c>
      <c r="AA20" s="31">
        <f t="shared" si="0"/>
        <v>0.433</v>
      </c>
      <c r="AB20" s="31">
        <f t="shared" si="1"/>
        <v>0.57350000000000001</v>
      </c>
      <c r="AC20" s="31">
        <f t="shared" si="2"/>
        <v>0.53280000000000005</v>
      </c>
      <c r="AD20" s="31">
        <f t="shared" si="3"/>
        <v>0.70774999999999999</v>
      </c>
      <c r="AE20" s="31">
        <f t="shared" si="4"/>
        <v>0.56176249999999994</v>
      </c>
    </row>
    <row r="21" spans="1:31" ht="16" x14ac:dyDescent="0.2">
      <c r="A21" s="29">
        <v>1405</v>
      </c>
      <c r="B21" s="30">
        <f>COUNTIF(MatchScoutingData!E$2:E$1000, $A21)</f>
        <v>9</v>
      </c>
      <c r="C21" s="31">
        <f>PERCENTRANK('Team Scores'!$C$3:$C$1000, 'Team Scores'!$C21, 3)</f>
        <v>0.61099999999999999</v>
      </c>
      <c r="D21" s="31">
        <f>PERCENTRANK('Team Scores'!$D$3:$D$1000, 'Team Scores'!$D21, 3)</f>
        <v>0.27700000000000002</v>
      </c>
      <c r="E21" s="31">
        <f>PERCENTRANK('Team Scores'!$E$3:$E$1000, 'Team Scores'!$E21, 3)</f>
        <v>0.98099999999999998</v>
      </c>
      <c r="F21" s="31">
        <f>PERCENTRANK('Team Scores'!$F$3:$F$1000, 'Team Scores'!$F21, 3)</f>
        <v>0.14799999999999999</v>
      </c>
      <c r="G21" s="31">
        <f>PERCENTRANK('Team Scores'!$G$3:$G$1000, 'Team Scores'!$G21, 3)</f>
        <v>0.87</v>
      </c>
      <c r="H21" s="31">
        <f>PERCENTRANK('Team Scores'!$H$3:$H$1000, 'Team Scores'!$H21, 3)</f>
        <v>0.5</v>
      </c>
      <c r="I21" s="31">
        <f>PERCENTRANK('Team Scores'!$I$3:$I$1000, 'Team Scores'!$I21, 3)</f>
        <v>0.46200000000000002</v>
      </c>
      <c r="J21" s="31">
        <f>PERCENTRANK('Team Scores'!$J$3:$J$1000, 'Team Scores'!$J21, 3)</f>
        <v>0.72199999999999998</v>
      </c>
      <c r="K21" s="31">
        <f>PERCENTRANK('Team Scores'!$K$3:$K$1000, 'Team Scores'!$K21, 3)</f>
        <v>0.74</v>
      </c>
      <c r="L21" s="31">
        <f>PERCENTRANK('Team Scores'!$L$3:$L$1000, 'Team Scores'!$L21, 3)</f>
        <v>0</v>
      </c>
      <c r="M21" s="31">
        <f>PERCENTRANK('Team Scores'!$M$3:$M$1000, 'Team Scores'!$M21, 3)</f>
        <v>1.7999999999999999E-2</v>
      </c>
      <c r="N21" s="31">
        <f>PERCENTRANK('Team Scores'!$N$3:$N$1000, 'Team Scores'!$N21, 3)</f>
        <v>0.24</v>
      </c>
      <c r="O21" s="31">
        <f>PERCENTRANK('Team Scores'!$O$3:$O$1000, 'Team Scores'!$O21, 3)</f>
        <v>0.87</v>
      </c>
      <c r="P21" s="31">
        <f>PERCENTRANK('Team Scores'!$P$3:$P$1000, 'Team Scores'!$P21, 3)</f>
        <v>0.20300000000000001</v>
      </c>
      <c r="Q21" s="31">
        <f>PERCENTRANK('Team Scores'!$Q$3:$Q$1000, 'Team Scores'!$Q21, 3)</f>
        <v>3.6999999999999998E-2</v>
      </c>
      <c r="R21" s="31">
        <f>PERCENTRANK('Team Scores'!$R$3:$R$1000, 'Team Scores'!$R21, 3)</f>
        <v>0.85099999999999998</v>
      </c>
      <c r="S21" s="31">
        <f>PERCENTRANK('Team Scores'!$S$3:$S$1000, 'Team Scores'!$S21, 3)</f>
        <v>0.72199999999999998</v>
      </c>
      <c r="T21" s="31">
        <f>PERCENTRANK('Team Scores'!$T$3:$T$1000, 'Team Scores'!$T21, 3)</f>
        <v>0.25900000000000001</v>
      </c>
      <c r="U21" s="31">
        <f>PERCENTRANK('Team Scores'!$U$3:$U$1000, 'Team Scores'!$U21, 3)</f>
        <v>0.94399999999999995</v>
      </c>
      <c r="V21" s="31">
        <f>PERCENTRANK('Team Scores'!$V$3:$V$1000, 'Team Scores'!$V21, 3)</f>
        <v>0.68500000000000005</v>
      </c>
      <c r="W21" s="31">
        <f>PERCENTRANK('Team Scores'!$W$3:$W$1000, 'Team Scores'!$W21, 3)</f>
        <v>9.1999999999999998E-2</v>
      </c>
      <c r="X21" s="31">
        <f>PERCENTRANK('Team Scores'!$X$3:$X$1000, 'Team Scores'!$X21, 3)</f>
        <v>0.25900000000000001</v>
      </c>
      <c r="Y21" s="31">
        <f>PERCENTRANK('Team Scores'!$Y$3:$Y$1000, 'Team Scores'!$Y21, 3)</f>
        <v>3.6999999999999998E-2</v>
      </c>
      <c r="Z21" s="31">
        <f>PERCENTRANK('Team Scores'!$Z$3:$Z$1000, 'Team Scores'!$Z21, 3)</f>
        <v>7.3999999999999996E-2</v>
      </c>
      <c r="AA21" s="31">
        <f t="shared" si="0"/>
        <v>0.57740000000000002</v>
      </c>
      <c r="AB21" s="31">
        <f t="shared" si="1"/>
        <v>0.44399999999999995</v>
      </c>
      <c r="AC21" s="31">
        <f t="shared" si="2"/>
        <v>0.41439999999999999</v>
      </c>
      <c r="AD21" s="31">
        <f t="shared" si="3"/>
        <v>0.495</v>
      </c>
      <c r="AE21" s="31">
        <f t="shared" si="4"/>
        <v>0.48270000000000002</v>
      </c>
    </row>
    <row r="22" spans="1:31" ht="16" x14ac:dyDescent="0.2">
      <c r="A22" s="29">
        <v>1450</v>
      </c>
      <c r="B22" s="30">
        <f>COUNTIF(MatchScoutingData!E$2:E$1000, $A22)</f>
        <v>9</v>
      </c>
      <c r="C22" s="31">
        <f>PERCENTRANK('Team Scores'!$C$3:$C$1000, 'Team Scores'!$C22, 3)</f>
        <v>3.6999999999999998E-2</v>
      </c>
      <c r="D22" s="31">
        <f>PERCENTRANK('Team Scores'!$D$3:$D$1000, 'Team Scores'!$D22, 3)</f>
        <v>0.27700000000000002</v>
      </c>
      <c r="E22" s="31">
        <f>PERCENTRANK('Team Scores'!$E$3:$E$1000, 'Team Scores'!$E22, 3)</f>
        <v>0.314</v>
      </c>
      <c r="F22" s="31">
        <f>PERCENTRANK('Team Scores'!$F$3:$F$1000, 'Team Scores'!$F22, 3)</f>
        <v>0.25900000000000001</v>
      </c>
      <c r="G22" s="31">
        <f>PERCENTRANK('Team Scores'!$G$3:$G$1000, 'Team Scores'!$G22, 3)</f>
        <v>0.24</v>
      </c>
      <c r="H22" s="31">
        <f>PERCENTRANK('Team Scores'!$H$3:$H$1000, 'Team Scores'!$H22, 3)</f>
        <v>0</v>
      </c>
      <c r="I22" s="31">
        <f>PERCENTRANK('Team Scores'!$I$3:$I$1000, 'Team Scores'!$I22, 3)</f>
        <v>0.111</v>
      </c>
      <c r="J22" s="31">
        <f>PERCENTRANK('Team Scores'!$J$3:$J$1000, 'Team Scores'!$J22, 3)</f>
        <v>0.51800000000000002</v>
      </c>
      <c r="K22" s="31">
        <f>PERCENTRANK('Team Scores'!$K$3:$K$1000, 'Team Scores'!$K22, 3)</f>
        <v>0.74</v>
      </c>
      <c r="L22" s="31">
        <f>PERCENTRANK('Team Scores'!$L$3:$L$1000, 'Team Scores'!$L22, 3)</f>
        <v>0.42499999999999999</v>
      </c>
      <c r="M22" s="31">
        <f>PERCENTRANK('Team Scores'!$M$3:$M$1000, 'Team Scores'!$M22, 3)</f>
        <v>0.61099999999999999</v>
      </c>
      <c r="N22" s="31">
        <f>PERCENTRANK('Team Scores'!$N$3:$N$1000, 'Team Scores'!$N22, 3)</f>
        <v>0.51800000000000002</v>
      </c>
      <c r="O22" s="31">
        <f>PERCENTRANK('Team Scores'!$O$3:$O$1000, 'Team Scores'!$O22, 3)</f>
        <v>5.5E-2</v>
      </c>
      <c r="P22" s="31">
        <f>PERCENTRANK('Team Scores'!$P$3:$P$1000, 'Team Scores'!$P22, 3)</f>
        <v>0.68500000000000005</v>
      </c>
      <c r="Q22" s="31">
        <f>PERCENTRANK('Team Scores'!$Q$3:$Q$1000, 'Team Scores'!$Q22, 3)</f>
        <v>0.74</v>
      </c>
      <c r="R22" s="31">
        <f>PERCENTRANK('Team Scores'!$R$3:$R$1000, 'Team Scores'!$R22, 3)</f>
        <v>3.6999999999999998E-2</v>
      </c>
      <c r="S22" s="31">
        <f>PERCENTRANK('Team Scores'!$S$3:$S$1000, 'Team Scores'!$S22, 3)</f>
        <v>0.51800000000000002</v>
      </c>
      <c r="T22" s="31">
        <f>PERCENTRANK('Team Scores'!$T$3:$T$1000, 'Team Scores'!$T22, 3)</f>
        <v>0.38800000000000001</v>
      </c>
      <c r="U22" s="31">
        <f>PERCENTRANK('Team Scores'!$U$3:$U$1000, 'Team Scores'!$U22, 3)</f>
        <v>0.53700000000000003</v>
      </c>
      <c r="V22" s="31">
        <f>PERCENTRANK('Team Scores'!$V$3:$V$1000, 'Team Scores'!$V22, 3)</f>
        <v>0.77700000000000002</v>
      </c>
      <c r="W22" s="31">
        <f>PERCENTRANK('Team Scores'!$W$3:$W$1000, 'Team Scores'!$W22, 3)</f>
        <v>0.72199999999999998</v>
      </c>
      <c r="X22" s="31">
        <f>PERCENTRANK('Team Scores'!$X$3:$X$1000, 'Team Scores'!$X22, 3)</f>
        <v>0.46200000000000002</v>
      </c>
      <c r="Y22" s="31">
        <f>PERCENTRANK('Team Scores'!$Y$3:$Y$1000, 'Team Scores'!$Y22, 3)</f>
        <v>0.72199999999999998</v>
      </c>
      <c r="Z22" s="31">
        <f>PERCENTRANK('Team Scores'!$Z$3:$Z$1000, 'Team Scores'!$Z22, 3)</f>
        <v>0.81399999999999995</v>
      </c>
      <c r="AA22" s="31">
        <f t="shared" si="0"/>
        <v>0.22539999999999999</v>
      </c>
      <c r="AB22" s="31">
        <f t="shared" si="1"/>
        <v>0.37225000000000003</v>
      </c>
      <c r="AC22" s="31">
        <f t="shared" si="2"/>
        <v>0.47359999999999997</v>
      </c>
      <c r="AD22" s="31">
        <f t="shared" si="3"/>
        <v>0.62450000000000006</v>
      </c>
      <c r="AE22" s="31">
        <f t="shared" si="4"/>
        <v>0.42393750000000002</v>
      </c>
    </row>
    <row r="23" spans="1:31" ht="16" x14ac:dyDescent="0.2">
      <c r="A23" s="29">
        <v>1468</v>
      </c>
      <c r="B23" s="30">
        <f>COUNTIF(MatchScoutingData!E$2:E$1000, $A23)</f>
        <v>9</v>
      </c>
      <c r="C23" s="31">
        <f>PERCENTRANK('Team Scores'!$C$3:$C$1000, 'Team Scores'!$C23, 3)</f>
        <v>1</v>
      </c>
      <c r="D23" s="31">
        <f>PERCENTRANK('Team Scores'!$D$3:$D$1000, 'Team Scores'!$D23, 3)</f>
        <v>0.90700000000000003</v>
      </c>
      <c r="E23" s="31">
        <f>PERCENTRANK('Team Scores'!$E$3:$E$1000, 'Team Scores'!$E23, 3)</f>
        <v>0.81399999999999995</v>
      </c>
      <c r="F23" s="31">
        <f>PERCENTRANK('Team Scores'!$F$3:$F$1000, 'Team Scores'!$F23, 3)</f>
        <v>0.14799999999999999</v>
      </c>
      <c r="G23" s="31">
        <f>PERCENTRANK('Team Scores'!$G$3:$G$1000, 'Team Scores'!$G23, 3)</f>
        <v>0.92500000000000004</v>
      </c>
      <c r="H23" s="31">
        <f>PERCENTRANK('Team Scores'!$H$3:$H$1000, 'Team Scores'!$H23, 3)</f>
        <v>0.88800000000000001</v>
      </c>
      <c r="I23" s="31">
        <f>PERCENTRANK('Team Scores'!$I$3:$I$1000, 'Team Scores'!$I23, 3)</f>
        <v>0.222</v>
      </c>
      <c r="J23" s="31">
        <f>PERCENTRANK('Team Scores'!$J$3:$J$1000, 'Team Scores'!$J23, 3)</f>
        <v>0.66600000000000004</v>
      </c>
      <c r="K23" s="31">
        <f>PERCENTRANK('Team Scores'!$K$3:$K$1000, 'Team Scores'!$K23, 3)</f>
        <v>0.92500000000000004</v>
      </c>
      <c r="L23" s="31">
        <f>PERCENTRANK('Team Scores'!$L$3:$L$1000, 'Team Scores'!$L23, 3)</f>
        <v>5.5E-2</v>
      </c>
      <c r="M23" s="31">
        <f>PERCENTRANK('Team Scores'!$M$3:$M$1000, 'Team Scores'!$M23, 3)</f>
        <v>0.314</v>
      </c>
      <c r="N23" s="31">
        <f>PERCENTRANK('Team Scores'!$N$3:$N$1000, 'Team Scores'!$N23, 3)</f>
        <v>5.5E-2</v>
      </c>
      <c r="O23" s="31">
        <f>PERCENTRANK('Team Scores'!$O$3:$O$1000, 'Team Scores'!$O23, 3)</f>
        <v>0.53700000000000003</v>
      </c>
      <c r="P23" s="31">
        <f>PERCENTRANK('Team Scores'!$P$3:$P$1000, 'Team Scores'!$P23, 3)</f>
        <v>0.98099999999999998</v>
      </c>
      <c r="Q23" s="31">
        <f>PERCENTRANK('Team Scores'!$Q$3:$Q$1000, 'Team Scores'!$Q23, 3)</f>
        <v>7.3999999999999996E-2</v>
      </c>
      <c r="R23" s="31">
        <f>PERCENTRANK('Team Scores'!$R$3:$R$1000, 'Team Scores'!$R23, 3)</f>
        <v>0.222</v>
      </c>
      <c r="S23" s="31">
        <f>PERCENTRANK('Team Scores'!$S$3:$S$1000, 'Team Scores'!$S23, 3)</f>
        <v>0.314</v>
      </c>
      <c r="T23" s="31">
        <f>PERCENTRANK('Team Scores'!$T$3:$T$1000, 'Team Scores'!$T23, 3)</f>
        <v>0.16600000000000001</v>
      </c>
      <c r="U23" s="31">
        <f>PERCENTRANK('Team Scores'!$U$3:$U$1000, 'Team Scores'!$U23, 3)</f>
        <v>0.37</v>
      </c>
      <c r="V23" s="31">
        <f>PERCENTRANK('Team Scores'!$V$3:$V$1000, 'Team Scores'!$V23, 3)</f>
        <v>0.46200000000000002</v>
      </c>
      <c r="W23" s="31">
        <f>PERCENTRANK('Team Scores'!$W$3:$W$1000, 'Team Scores'!$W23, 3)</f>
        <v>0.27700000000000002</v>
      </c>
      <c r="X23" s="31">
        <f>PERCENTRANK('Team Scores'!$X$3:$X$1000, 'Team Scores'!$X23, 3)</f>
        <v>0.46200000000000002</v>
      </c>
      <c r="Y23" s="31">
        <f>PERCENTRANK('Team Scores'!$Y$3:$Y$1000, 'Team Scores'!$Y23, 3)</f>
        <v>0.51800000000000002</v>
      </c>
      <c r="Z23" s="31">
        <f>PERCENTRANK('Team Scores'!$Z$3:$Z$1000, 'Team Scores'!$Z23, 3)</f>
        <v>0.5</v>
      </c>
      <c r="AA23" s="31">
        <f t="shared" si="0"/>
        <v>0.75880000000000014</v>
      </c>
      <c r="AB23" s="31">
        <f t="shared" si="1"/>
        <v>0.4577500000000001</v>
      </c>
      <c r="AC23" s="31">
        <f t="shared" si="2"/>
        <v>0.35139999999999999</v>
      </c>
      <c r="AD23" s="31">
        <f t="shared" si="3"/>
        <v>0.39274999999999999</v>
      </c>
      <c r="AE23" s="31">
        <f t="shared" si="4"/>
        <v>0.49017500000000003</v>
      </c>
    </row>
    <row r="24" spans="1:31" ht="16" x14ac:dyDescent="0.2">
      <c r="A24" s="29">
        <v>1507</v>
      </c>
      <c r="B24" s="30">
        <f>COUNTIF(MatchScoutingData!E$2:E$1000, $A24)</f>
        <v>9</v>
      </c>
      <c r="C24" s="31">
        <f>PERCENTRANK('Team Scores'!$C$3:$C$1000, 'Team Scores'!$C24, 3)</f>
        <v>0.38800000000000001</v>
      </c>
      <c r="D24" s="31">
        <f>PERCENTRANK('Team Scores'!$D$3:$D$1000, 'Team Scores'!$D24, 3)</f>
        <v>0.75900000000000001</v>
      </c>
      <c r="E24" s="31">
        <f>PERCENTRANK('Team Scores'!$E$3:$E$1000, 'Team Scores'!$E24, 3)</f>
        <v>0.314</v>
      </c>
      <c r="F24" s="31">
        <f>PERCENTRANK('Team Scores'!$F$3:$F$1000, 'Team Scores'!$F24, 3)</f>
        <v>0.25900000000000001</v>
      </c>
      <c r="G24" s="31">
        <f>PERCENTRANK('Team Scores'!$G$3:$G$1000, 'Team Scores'!$G24, 3)</f>
        <v>0.59199999999999997</v>
      </c>
      <c r="H24" s="31">
        <f>PERCENTRANK('Team Scores'!$H$3:$H$1000, 'Team Scores'!$H24, 3)</f>
        <v>0.14799999999999999</v>
      </c>
      <c r="I24" s="31">
        <f>PERCENTRANK('Team Scores'!$I$3:$I$1000, 'Team Scores'!$I24, 3)</f>
        <v>0.46200000000000002</v>
      </c>
      <c r="J24" s="31">
        <f>PERCENTRANK('Team Scores'!$J$3:$J$1000, 'Team Scores'!$J24, 3)</f>
        <v>3.6999999999999998E-2</v>
      </c>
      <c r="K24" s="31">
        <f>PERCENTRANK('Team Scores'!$K$3:$K$1000, 'Team Scores'!$K24, 3)</f>
        <v>0.129</v>
      </c>
      <c r="L24" s="31">
        <f>PERCENTRANK('Team Scores'!$L$3:$L$1000, 'Team Scores'!$L24, 3)</f>
        <v>0.42499999999999999</v>
      </c>
      <c r="M24" s="31">
        <f>PERCENTRANK('Team Scores'!$M$3:$M$1000, 'Team Scores'!$M24, 3)</f>
        <v>1.7999999999999999E-2</v>
      </c>
      <c r="N24" s="31">
        <f>PERCENTRANK('Team Scores'!$N$3:$N$1000, 'Team Scores'!$N24, 3)</f>
        <v>0.24</v>
      </c>
      <c r="O24" s="31">
        <f>PERCENTRANK('Team Scores'!$O$3:$O$1000, 'Team Scores'!$O24, 3)</f>
        <v>0</v>
      </c>
      <c r="P24" s="31">
        <f>PERCENTRANK('Team Scores'!$P$3:$P$1000, 'Team Scores'!$P24, 3)</f>
        <v>0.46200000000000002</v>
      </c>
      <c r="Q24" s="31">
        <f>PERCENTRANK('Team Scores'!$Q$3:$Q$1000, 'Team Scores'!$Q24, 3)</f>
        <v>0.74</v>
      </c>
      <c r="R24" s="31">
        <f>PERCENTRANK('Team Scores'!$R$3:$R$1000, 'Team Scores'!$R24, 3)</f>
        <v>0.85099999999999998</v>
      </c>
      <c r="S24" s="31">
        <f>PERCENTRANK('Team Scores'!$S$3:$S$1000, 'Team Scores'!$S24, 3)</f>
        <v>0.111</v>
      </c>
      <c r="T24" s="31">
        <f>PERCENTRANK('Team Scores'!$T$3:$T$1000, 'Team Scores'!$T24, 3)</f>
        <v>0.25900000000000001</v>
      </c>
      <c r="U24" s="31">
        <f>PERCENTRANK('Team Scores'!$U$3:$U$1000, 'Team Scores'!$U24, 3)</f>
        <v>0.37</v>
      </c>
      <c r="V24" s="31">
        <f>PERCENTRANK('Team Scores'!$V$3:$V$1000, 'Team Scores'!$V24, 3)</f>
        <v>0.85099999999999998</v>
      </c>
      <c r="W24" s="31">
        <f>PERCENTRANK('Team Scores'!$W$3:$W$1000, 'Team Scores'!$W24, 3)</f>
        <v>0.27700000000000002</v>
      </c>
      <c r="X24" s="31">
        <f>PERCENTRANK('Team Scores'!$X$3:$X$1000, 'Team Scores'!$X24, 3)</f>
        <v>0.70299999999999996</v>
      </c>
      <c r="Y24" s="31">
        <f>PERCENTRANK('Team Scores'!$Y$3:$Y$1000, 'Team Scores'!$Y24, 3)</f>
        <v>0.51800000000000002</v>
      </c>
      <c r="Z24" s="31">
        <f>PERCENTRANK('Team Scores'!$Z$3:$Z$1000, 'Team Scores'!$Z24, 3)</f>
        <v>0.53700000000000003</v>
      </c>
      <c r="AA24" s="31">
        <f t="shared" si="0"/>
        <v>0.46240000000000003</v>
      </c>
      <c r="AB24" s="31">
        <f t="shared" si="1"/>
        <v>0.18237500000000001</v>
      </c>
      <c r="AC24" s="31">
        <f t="shared" si="2"/>
        <v>0.48460000000000003</v>
      </c>
      <c r="AD24" s="31">
        <f t="shared" si="3"/>
        <v>0.55025000000000002</v>
      </c>
      <c r="AE24" s="31">
        <f t="shared" si="4"/>
        <v>0.41990625000000004</v>
      </c>
    </row>
    <row r="25" spans="1:31" ht="16" x14ac:dyDescent="0.2">
      <c r="A25" s="29">
        <v>1511</v>
      </c>
      <c r="B25" s="30">
        <f>COUNTIF(MatchScoutingData!E$2:E$1000, $A25)</f>
        <v>9</v>
      </c>
      <c r="C25" s="31">
        <f>PERCENTRANK('Team Scores'!$C$3:$C$1000, 'Team Scores'!$C25, 3)</f>
        <v>0</v>
      </c>
      <c r="D25" s="31">
        <f>PERCENTRANK('Team Scores'!$D$3:$D$1000, 'Team Scores'!$D25, 3)</f>
        <v>7.3999999999999996E-2</v>
      </c>
      <c r="E25" s="31">
        <f>PERCENTRANK('Team Scores'!$E$3:$E$1000, 'Team Scores'!$E25, 3)</f>
        <v>0</v>
      </c>
      <c r="F25" s="31">
        <f>PERCENTRANK('Team Scores'!$F$3:$F$1000, 'Team Scores'!$F25, 3)</f>
        <v>0.61099999999999999</v>
      </c>
      <c r="G25" s="31">
        <f>PERCENTRANK('Team Scores'!$G$3:$G$1000, 'Team Scores'!$G25, 3)</f>
        <v>0.74</v>
      </c>
      <c r="H25" s="31">
        <f>PERCENTRANK('Team Scores'!$H$3:$H$1000, 'Team Scores'!$H25, 3)</f>
        <v>0.35099999999999998</v>
      </c>
      <c r="I25" s="31">
        <f>PERCENTRANK('Team Scores'!$I$3:$I$1000, 'Team Scores'!$I25, 3)</f>
        <v>3.6999999999999998E-2</v>
      </c>
      <c r="J25" s="31">
        <f>PERCENTRANK('Team Scores'!$J$3:$J$1000, 'Team Scores'!$J25, 3)</f>
        <v>0.51800000000000002</v>
      </c>
      <c r="K25" s="31">
        <f>PERCENTRANK('Team Scores'!$K$3:$K$1000, 'Team Scores'!$K25, 3)</f>
        <v>0.5</v>
      </c>
      <c r="L25" s="31">
        <f>PERCENTRANK('Team Scores'!$L$3:$L$1000, 'Team Scores'!$L25, 3)</f>
        <v>0.77700000000000002</v>
      </c>
      <c r="M25" s="31">
        <f>PERCENTRANK('Team Scores'!$M$3:$M$1000, 'Team Scores'!$M25, 3)</f>
        <v>0.314</v>
      </c>
      <c r="N25" s="31">
        <f>PERCENTRANK('Team Scores'!$N$3:$N$1000, 'Team Scores'!$N25, 3)</f>
        <v>0.24</v>
      </c>
      <c r="O25" s="31">
        <f>PERCENTRANK('Team Scores'!$O$3:$O$1000, 'Team Scores'!$O25, 3)</f>
        <v>5.5E-2</v>
      </c>
      <c r="P25" s="31">
        <f>PERCENTRANK('Team Scores'!$P$3:$P$1000, 'Team Scores'!$P25, 3)</f>
        <v>0.59199999999999997</v>
      </c>
      <c r="Q25" s="31">
        <f>PERCENTRANK('Team Scores'!$Q$3:$Q$1000, 'Team Scores'!$Q25, 3)</f>
        <v>0.27700000000000002</v>
      </c>
      <c r="R25" s="31">
        <f>PERCENTRANK('Team Scores'!$R$3:$R$1000, 'Team Scores'!$R25, 3)</f>
        <v>0.222</v>
      </c>
      <c r="S25" s="31">
        <f>PERCENTRANK('Team Scores'!$S$3:$S$1000, 'Team Scores'!$S25, 3)</f>
        <v>0.51800000000000002</v>
      </c>
      <c r="T25" s="31">
        <f>PERCENTRANK('Team Scores'!$T$3:$T$1000, 'Team Scores'!$T25, 3)</f>
        <v>0.92500000000000004</v>
      </c>
      <c r="U25" s="31">
        <f>PERCENTRANK('Team Scores'!$U$3:$U$1000, 'Team Scores'!$U25, 3)</f>
        <v>0.53700000000000003</v>
      </c>
      <c r="V25" s="31">
        <f>PERCENTRANK('Team Scores'!$V$3:$V$1000, 'Team Scores'!$V25, 3)</f>
        <v>0.314</v>
      </c>
      <c r="W25" s="31">
        <f>PERCENTRANK('Team Scores'!$W$3:$W$1000, 'Team Scores'!$W25, 3)</f>
        <v>0.53700000000000003</v>
      </c>
      <c r="X25" s="31">
        <f>PERCENTRANK('Team Scores'!$X$3:$X$1000, 'Team Scores'!$X25, 3)</f>
        <v>0.96199999999999997</v>
      </c>
      <c r="Y25" s="31">
        <f>PERCENTRANK('Team Scores'!$Y$3:$Y$1000, 'Team Scores'!$Y25, 3)</f>
        <v>0.72199999999999998</v>
      </c>
      <c r="Z25" s="31">
        <f>PERCENTRANK('Team Scores'!$Z$3:$Z$1000, 'Team Scores'!$Z25, 3)</f>
        <v>1</v>
      </c>
      <c r="AA25" s="31">
        <f t="shared" si="0"/>
        <v>0.28499999999999998</v>
      </c>
      <c r="AB25" s="31">
        <f t="shared" si="1"/>
        <v>0.34900000000000003</v>
      </c>
      <c r="AC25" s="31">
        <f t="shared" si="2"/>
        <v>0.50679999999999992</v>
      </c>
      <c r="AD25" s="31">
        <f t="shared" si="3"/>
        <v>0.58749999999999991</v>
      </c>
      <c r="AE25" s="31">
        <f t="shared" si="4"/>
        <v>0.43207499999999999</v>
      </c>
    </row>
    <row r="26" spans="1:31" ht="16" x14ac:dyDescent="0.2">
      <c r="A26" s="29">
        <v>1518</v>
      </c>
      <c r="B26" s="30">
        <f>COUNTIF(MatchScoutingData!E$2:E$1000, $A26)</f>
        <v>9</v>
      </c>
      <c r="C26" s="31">
        <f>PERCENTRANK('Team Scores'!$C$3:$C$1000, 'Team Scores'!$C26, 3)</f>
        <v>0.61099999999999999</v>
      </c>
      <c r="D26" s="31">
        <f>PERCENTRANK('Team Scores'!$D$3:$D$1000, 'Team Scores'!$D26, 3)</f>
        <v>0</v>
      </c>
      <c r="E26" s="31">
        <f>PERCENTRANK('Team Scores'!$E$3:$E$1000, 'Team Scores'!$E26, 3)</f>
        <v>0.81399999999999995</v>
      </c>
      <c r="F26" s="31">
        <f>PERCENTRANK('Team Scores'!$F$3:$F$1000, 'Team Scores'!$F26, 3)</f>
        <v>0</v>
      </c>
      <c r="G26" s="31">
        <f>PERCENTRANK('Team Scores'!$G$3:$G$1000, 'Team Scores'!$G26, 3)</f>
        <v>0.24</v>
      </c>
      <c r="H26" s="31">
        <f>PERCENTRANK('Team Scores'!$H$3:$H$1000, 'Team Scores'!$H26, 3)</f>
        <v>0.72199999999999998</v>
      </c>
      <c r="I26" s="31">
        <f>PERCENTRANK('Team Scores'!$I$3:$I$1000, 'Team Scores'!$I26, 3)</f>
        <v>0.46200000000000002</v>
      </c>
      <c r="J26" s="31">
        <f>PERCENTRANK('Team Scores'!$J$3:$J$1000, 'Team Scores'!$J26, 3)</f>
        <v>0.66600000000000004</v>
      </c>
      <c r="K26" s="31">
        <f>PERCENTRANK('Team Scores'!$K$3:$K$1000, 'Team Scores'!$K26, 3)</f>
        <v>0.74</v>
      </c>
      <c r="L26" s="31">
        <f>PERCENTRANK('Team Scores'!$L$3:$L$1000, 'Team Scores'!$L26, 3)</f>
        <v>0.77700000000000002</v>
      </c>
      <c r="M26" s="31">
        <f>PERCENTRANK('Team Scores'!$M$3:$M$1000, 'Team Scores'!$M26, 3)</f>
        <v>1.7999999999999999E-2</v>
      </c>
      <c r="N26" s="31">
        <f>PERCENTRANK('Team Scores'!$N$3:$N$1000, 'Team Scores'!$N26, 3)</f>
        <v>0.74</v>
      </c>
      <c r="O26" s="31">
        <f>PERCENTRANK('Team Scores'!$O$3:$O$1000, 'Team Scores'!$O26, 3)</f>
        <v>0</v>
      </c>
      <c r="P26" s="31">
        <f>PERCENTRANK('Team Scores'!$P$3:$P$1000, 'Team Scores'!$P26, 3)</f>
        <v>0.20300000000000001</v>
      </c>
      <c r="Q26" s="31">
        <f>PERCENTRANK('Team Scores'!$Q$3:$Q$1000, 'Team Scores'!$Q26, 3)</f>
        <v>0.53700000000000003</v>
      </c>
      <c r="R26" s="31">
        <f>PERCENTRANK('Team Scores'!$R$3:$R$1000, 'Team Scores'!$R26, 3)</f>
        <v>0.5</v>
      </c>
      <c r="S26" s="31">
        <f>PERCENTRANK('Team Scores'!$S$3:$S$1000, 'Team Scores'!$S26, 3)</f>
        <v>0.72199999999999998</v>
      </c>
      <c r="T26" s="31">
        <f>PERCENTRANK('Team Scores'!$T$3:$T$1000, 'Team Scores'!$T26, 3)</f>
        <v>0.38800000000000001</v>
      </c>
      <c r="U26" s="31">
        <f>PERCENTRANK('Team Scores'!$U$3:$U$1000, 'Team Scores'!$U26, 3)</f>
        <v>5.5E-2</v>
      </c>
      <c r="V26" s="31">
        <f>PERCENTRANK('Team Scores'!$V$3:$V$1000, 'Team Scores'!$V26, 3)</f>
        <v>0.129</v>
      </c>
      <c r="W26" s="31">
        <f>PERCENTRANK('Team Scores'!$W$3:$W$1000, 'Team Scores'!$W26, 3)</f>
        <v>0.72199999999999998</v>
      </c>
      <c r="X26" s="31">
        <f>PERCENTRANK('Team Scores'!$X$3:$X$1000, 'Team Scores'!$X26, 3)</f>
        <v>0.25900000000000001</v>
      </c>
      <c r="Y26" s="31">
        <f>PERCENTRANK('Team Scores'!$Y$3:$Y$1000, 'Team Scores'!$Y26, 3)</f>
        <v>0.90700000000000003</v>
      </c>
      <c r="Z26" s="31">
        <f>PERCENTRANK('Team Scores'!$Z$3:$Z$1000, 'Team Scores'!$Z26, 3)</f>
        <v>0.81399999999999995</v>
      </c>
      <c r="AA26" s="31">
        <f t="shared" si="0"/>
        <v>0.33299999999999996</v>
      </c>
      <c r="AB26" s="31">
        <f t="shared" si="1"/>
        <v>0.515625</v>
      </c>
      <c r="AC26" s="31">
        <f t="shared" si="2"/>
        <v>0.47000000000000003</v>
      </c>
      <c r="AD26" s="31">
        <f t="shared" si="3"/>
        <v>0.29125000000000001</v>
      </c>
      <c r="AE26" s="31">
        <f t="shared" si="4"/>
        <v>0.40246874999999999</v>
      </c>
    </row>
    <row r="27" spans="1:31" ht="16" x14ac:dyDescent="0.2">
      <c r="A27" s="29">
        <v>1559</v>
      </c>
      <c r="B27" s="30">
        <f>COUNTIF(MatchScoutingData!E$2:E$1000, $A27)</f>
        <v>9</v>
      </c>
      <c r="C27" s="31">
        <f>PERCENTRANK('Team Scores'!$C$3:$C$1000, 'Team Scores'!$C27, 3)</f>
        <v>0.81399999999999995</v>
      </c>
      <c r="D27" s="31">
        <f>PERCENTRANK('Team Scores'!$D$3:$D$1000, 'Team Scores'!$D27, 3)</f>
        <v>0.27700000000000002</v>
      </c>
      <c r="E27" s="31">
        <f>PERCENTRANK('Team Scores'!$E$3:$E$1000, 'Team Scores'!$E27, 3)</f>
        <v>0.314</v>
      </c>
      <c r="F27" s="31">
        <f>PERCENTRANK('Team Scores'!$F$3:$F$1000, 'Team Scores'!$F27, 3)</f>
        <v>0.61099999999999999</v>
      </c>
      <c r="G27" s="31">
        <f>PERCENTRANK('Team Scores'!$G$3:$G$1000, 'Team Scores'!$G27, 3)</f>
        <v>0.37</v>
      </c>
      <c r="H27" s="31">
        <f>PERCENTRANK('Team Scores'!$H$3:$H$1000, 'Team Scores'!$H27, 3)</f>
        <v>0.129</v>
      </c>
      <c r="I27" s="31">
        <f>PERCENTRANK('Team Scores'!$I$3:$I$1000, 'Team Scores'!$I27, 3)</f>
        <v>0.222</v>
      </c>
      <c r="J27" s="31">
        <f>PERCENTRANK('Team Scores'!$J$3:$J$1000, 'Team Scores'!$J27, 3)</f>
        <v>0.92500000000000004</v>
      </c>
      <c r="K27" s="31">
        <f>PERCENTRANK('Team Scores'!$K$3:$K$1000, 'Team Scores'!$K27, 3)</f>
        <v>0.96199999999999997</v>
      </c>
      <c r="L27" s="31">
        <f>PERCENTRANK('Team Scores'!$L$3:$L$1000, 'Team Scores'!$L27, 3)</f>
        <v>0</v>
      </c>
      <c r="M27" s="31">
        <f>PERCENTRANK('Team Scores'!$M$3:$M$1000, 'Team Scores'!$M27, 3)</f>
        <v>0.314</v>
      </c>
      <c r="N27" s="31">
        <f>PERCENTRANK('Team Scores'!$N$3:$N$1000, 'Team Scores'!$N27, 3)</f>
        <v>0.24</v>
      </c>
      <c r="O27" s="31">
        <f>PERCENTRANK('Team Scores'!$O$3:$O$1000, 'Team Scores'!$O27, 3)</f>
        <v>0.25900000000000001</v>
      </c>
      <c r="P27" s="31">
        <f>PERCENTRANK('Team Scores'!$P$3:$P$1000, 'Team Scores'!$P27, 3)</f>
        <v>0.87</v>
      </c>
      <c r="Q27" s="31">
        <f>PERCENTRANK('Team Scores'!$Q$3:$Q$1000, 'Team Scores'!$Q27, 3)</f>
        <v>7.3999999999999996E-2</v>
      </c>
      <c r="R27" s="31">
        <f>PERCENTRANK('Team Scores'!$R$3:$R$1000, 'Team Scores'!$R27, 3)</f>
        <v>0.5</v>
      </c>
      <c r="S27" s="31">
        <f>PERCENTRANK('Team Scores'!$S$3:$S$1000, 'Team Scores'!$S27, 3)</f>
        <v>3.6999999999999998E-2</v>
      </c>
      <c r="T27" s="31">
        <f>PERCENTRANK('Team Scores'!$T$3:$T$1000, 'Team Scores'!$T27, 3)</f>
        <v>0.38800000000000001</v>
      </c>
      <c r="U27" s="31">
        <f>PERCENTRANK('Team Scores'!$U$3:$U$1000, 'Team Scores'!$U27, 3)</f>
        <v>0.27700000000000002</v>
      </c>
      <c r="V27" s="31">
        <f>PERCENTRANK('Team Scores'!$V$3:$V$1000, 'Team Scores'!$V27, 3)</f>
        <v>7.3999999999999996E-2</v>
      </c>
      <c r="W27" s="31">
        <f>PERCENTRANK('Team Scores'!$W$3:$W$1000, 'Team Scores'!$W27, 3)</f>
        <v>0.27700000000000002</v>
      </c>
      <c r="X27" s="31">
        <f>PERCENTRANK('Team Scores'!$X$3:$X$1000, 'Team Scores'!$X27, 3)</f>
        <v>5.5E-2</v>
      </c>
      <c r="Y27" s="31">
        <f>PERCENTRANK('Team Scores'!$Y$3:$Y$1000, 'Team Scores'!$Y27, 3)</f>
        <v>3.6999999999999998E-2</v>
      </c>
      <c r="Z27" s="31">
        <f>PERCENTRANK('Team Scores'!$Z$3:$Z$1000, 'Team Scores'!$Z27, 3)</f>
        <v>1.7999999999999999E-2</v>
      </c>
      <c r="AA27" s="31">
        <f t="shared" si="0"/>
        <v>0.47720000000000001</v>
      </c>
      <c r="AB27" s="31">
        <f t="shared" si="1"/>
        <v>0.38137499999999996</v>
      </c>
      <c r="AC27" s="31">
        <f t="shared" si="2"/>
        <v>0.37379999999999997</v>
      </c>
      <c r="AD27" s="31">
        <f t="shared" si="3"/>
        <v>0.17075000000000004</v>
      </c>
      <c r="AE27" s="31">
        <f t="shared" si="4"/>
        <v>0.35078124999999999</v>
      </c>
    </row>
    <row r="28" spans="1:31" ht="16" x14ac:dyDescent="0.2">
      <c r="A28" s="29">
        <v>1585</v>
      </c>
      <c r="B28" s="30">
        <f>COUNTIF(MatchScoutingData!E$2:E$1000, $A28)</f>
        <v>9</v>
      </c>
      <c r="C28" s="31">
        <f>PERCENTRANK('Team Scores'!$C$3:$C$1000, 'Team Scores'!$C28, 3)</f>
        <v>3.6999999999999998E-2</v>
      </c>
      <c r="D28" s="31">
        <f>PERCENTRANK('Team Scores'!$D$3:$D$1000, 'Team Scores'!$D28, 3)</f>
        <v>0.75900000000000001</v>
      </c>
      <c r="E28" s="31">
        <f>PERCENTRANK('Team Scores'!$E$3:$E$1000, 'Team Scores'!$E28, 3)</f>
        <v>0.92500000000000004</v>
      </c>
      <c r="F28" s="31">
        <f>PERCENTRANK('Team Scores'!$F$3:$F$1000, 'Team Scores'!$F28, 3)</f>
        <v>7.3999999999999996E-2</v>
      </c>
      <c r="G28" s="31">
        <f>PERCENTRANK('Team Scores'!$G$3:$G$1000, 'Team Scores'!$G28, 3)</f>
        <v>5.5E-2</v>
      </c>
      <c r="H28" s="31">
        <f>PERCENTRANK('Team Scores'!$H$3:$H$1000, 'Team Scores'!$H28, 3)</f>
        <v>5.5E-2</v>
      </c>
      <c r="I28" s="31">
        <f>PERCENTRANK('Team Scores'!$I$3:$I$1000, 'Team Scores'!$I28, 3)</f>
        <v>0.222</v>
      </c>
      <c r="J28" s="31">
        <f>PERCENTRANK('Team Scores'!$J$3:$J$1000, 'Team Scores'!$J28, 3)</f>
        <v>0.81399999999999995</v>
      </c>
      <c r="K28" s="31">
        <f>PERCENTRANK('Team Scores'!$K$3:$K$1000, 'Team Scores'!$K28, 3)</f>
        <v>0.5</v>
      </c>
      <c r="L28" s="31">
        <f>PERCENTRANK('Team Scores'!$L$3:$L$1000, 'Team Scores'!$L28, 3)</f>
        <v>0.77700000000000002</v>
      </c>
      <c r="M28" s="31">
        <f>PERCENTRANK('Team Scores'!$M$3:$M$1000, 'Team Scores'!$M28, 3)</f>
        <v>0.79600000000000004</v>
      </c>
      <c r="N28" s="31">
        <f>PERCENTRANK('Team Scores'!$N$3:$N$1000, 'Team Scores'!$N28, 3)</f>
        <v>0.24</v>
      </c>
      <c r="O28" s="31">
        <f>PERCENTRANK('Team Scores'!$O$3:$O$1000, 'Team Scores'!$O28, 3)</f>
        <v>0.53700000000000003</v>
      </c>
      <c r="P28" s="31">
        <f>PERCENTRANK('Team Scores'!$P$3:$P$1000, 'Team Scores'!$P28, 3)</f>
        <v>0.59199999999999997</v>
      </c>
      <c r="Q28" s="31">
        <f>PERCENTRANK('Team Scores'!$Q$3:$Q$1000, 'Team Scores'!$Q28, 3)</f>
        <v>0.27700000000000002</v>
      </c>
      <c r="R28" s="31">
        <f>PERCENTRANK('Team Scores'!$R$3:$R$1000, 'Team Scores'!$R28, 3)</f>
        <v>3.6999999999999998E-2</v>
      </c>
      <c r="S28" s="31">
        <f>PERCENTRANK('Team Scores'!$S$3:$S$1000, 'Team Scores'!$S28, 3)</f>
        <v>0.111</v>
      </c>
      <c r="T28" s="31">
        <f>PERCENTRANK('Team Scores'!$T$3:$T$1000, 'Team Scores'!$T28, 3)</f>
        <v>0.5</v>
      </c>
      <c r="U28" s="31">
        <f>PERCENTRANK('Team Scores'!$U$3:$U$1000, 'Team Scores'!$U28, 3)</f>
        <v>0.53700000000000003</v>
      </c>
      <c r="V28" s="31">
        <f>PERCENTRANK('Team Scores'!$V$3:$V$1000, 'Team Scores'!$V28, 3)</f>
        <v>5.5E-2</v>
      </c>
      <c r="W28" s="31">
        <f>PERCENTRANK('Team Scores'!$W$3:$W$1000, 'Team Scores'!$W28, 3)</f>
        <v>0.53700000000000003</v>
      </c>
      <c r="X28" s="31">
        <f>PERCENTRANK('Team Scores'!$X$3:$X$1000, 'Team Scores'!$X28, 3)</f>
        <v>0.25900000000000001</v>
      </c>
      <c r="Y28" s="31">
        <f>PERCENTRANK('Team Scores'!$Y$3:$Y$1000, 'Team Scores'!$Y28, 3)</f>
        <v>0.90700000000000003</v>
      </c>
      <c r="Z28" s="31">
        <f>PERCENTRANK('Team Scores'!$Z$3:$Z$1000, 'Team Scores'!$Z28, 3)</f>
        <v>0.68500000000000005</v>
      </c>
      <c r="AA28" s="31">
        <f t="shared" si="0"/>
        <v>0.37</v>
      </c>
      <c r="AB28" s="31">
        <f t="shared" si="1"/>
        <v>0.49262499999999998</v>
      </c>
      <c r="AC28" s="31">
        <f t="shared" si="2"/>
        <v>0.3034</v>
      </c>
      <c r="AD28" s="31">
        <f t="shared" si="3"/>
        <v>0.34699999999999998</v>
      </c>
      <c r="AE28" s="31">
        <f t="shared" si="4"/>
        <v>0.37825624999999996</v>
      </c>
    </row>
    <row r="29" spans="1:31" ht="16" x14ac:dyDescent="0.2">
      <c r="A29" s="29">
        <v>1591</v>
      </c>
      <c r="B29" s="30">
        <f>COUNTIF(MatchScoutingData!E$2:E$1000, $A29)</f>
        <v>9</v>
      </c>
      <c r="C29" s="31">
        <f>PERCENTRANK('Team Scores'!$C$3:$C$1000, 'Team Scores'!$C29, 3)</f>
        <v>0.81399999999999995</v>
      </c>
      <c r="D29" s="31">
        <f>PERCENTRANK('Team Scores'!$D$3:$D$1000, 'Team Scores'!$D29, 3)</f>
        <v>0.51800000000000002</v>
      </c>
      <c r="E29" s="31">
        <f>PERCENTRANK('Team Scores'!$E$3:$E$1000, 'Team Scores'!$E29, 3)</f>
        <v>0.129</v>
      </c>
      <c r="F29" s="31">
        <f>PERCENTRANK('Team Scores'!$F$3:$F$1000, 'Team Scores'!$F29, 3)</f>
        <v>0.25900000000000001</v>
      </c>
      <c r="G29" s="31">
        <f>PERCENTRANK('Team Scores'!$G$3:$G$1000, 'Team Scores'!$G29, 3)</f>
        <v>0.37</v>
      </c>
      <c r="H29" s="31">
        <f>PERCENTRANK('Team Scores'!$H$3:$H$1000, 'Team Scores'!$H29, 3)</f>
        <v>0.35099999999999998</v>
      </c>
      <c r="I29" s="31">
        <f>PERCENTRANK('Team Scores'!$I$3:$I$1000, 'Team Scores'!$I29, 3)</f>
        <v>0.88800000000000001</v>
      </c>
      <c r="J29" s="31">
        <f>PERCENTRANK('Team Scores'!$J$3:$J$1000, 'Team Scores'!$J29, 3)</f>
        <v>0.92500000000000004</v>
      </c>
      <c r="K29" s="31">
        <f>PERCENTRANK('Team Scores'!$K$3:$K$1000, 'Team Scores'!$K29, 3)</f>
        <v>3.6999999999999998E-2</v>
      </c>
      <c r="L29" s="31">
        <f>PERCENTRANK('Team Scores'!$L$3:$L$1000, 'Team Scores'!$L29, 3)</f>
        <v>0.222</v>
      </c>
      <c r="M29" s="31">
        <f>PERCENTRANK('Team Scores'!$M$3:$M$1000, 'Team Scores'!$M29, 3)</f>
        <v>0.96199999999999997</v>
      </c>
      <c r="N29" s="31">
        <f>PERCENTRANK('Team Scores'!$N$3:$N$1000, 'Team Scores'!$N29, 3)</f>
        <v>0.24</v>
      </c>
      <c r="O29" s="31">
        <f>PERCENTRANK('Team Scores'!$O$3:$O$1000, 'Team Scores'!$O29, 3)</f>
        <v>0.25900000000000001</v>
      </c>
      <c r="P29" s="31">
        <f>PERCENTRANK('Team Scores'!$P$3:$P$1000, 'Team Scores'!$P29, 3)</f>
        <v>0.111</v>
      </c>
      <c r="Q29" s="31">
        <f>PERCENTRANK('Team Scores'!$Q$3:$Q$1000, 'Team Scores'!$Q29, 3)</f>
        <v>0.53700000000000003</v>
      </c>
      <c r="R29" s="31">
        <f>PERCENTRANK('Team Scores'!$R$3:$R$1000, 'Team Scores'!$R29, 3)</f>
        <v>0.5</v>
      </c>
      <c r="S29" s="31">
        <f>PERCENTRANK('Team Scores'!$S$3:$S$1000, 'Team Scores'!$S29, 3)</f>
        <v>0.314</v>
      </c>
      <c r="T29" s="31">
        <f>PERCENTRANK('Team Scores'!$T$3:$T$1000, 'Team Scores'!$T29, 3)</f>
        <v>0.38800000000000001</v>
      </c>
      <c r="U29" s="31">
        <f>PERCENTRANK('Team Scores'!$U$3:$U$1000, 'Team Scores'!$U29, 3)</f>
        <v>0.94399999999999995</v>
      </c>
      <c r="V29" s="31">
        <f>PERCENTRANK('Team Scores'!$V$3:$V$1000, 'Team Scores'!$V29, 3)</f>
        <v>0.79600000000000004</v>
      </c>
      <c r="W29" s="31">
        <f>PERCENTRANK('Team Scores'!$W$3:$W$1000, 'Team Scores'!$W29, 3)</f>
        <v>0.88800000000000001</v>
      </c>
      <c r="X29" s="31">
        <f>PERCENTRANK('Team Scores'!$X$3:$X$1000, 'Team Scores'!$X29, 3)</f>
        <v>0.46200000000000002</v>
      </c>
      <c r="Y29" s="31">
        <f>PERCENTRANK('Team Scores'!$Y$3:$Y$1000, 'Team Scores'!$Y29, 3)</f>
        <v>0.314</v>
      </c>
      <c r="Z29" s="31">
        <f>PERCENTRANK('Team Scores'!$Z$3:$Z$1000, 'Team Scores'!$Z29, 3)</f>
        <v>0.68500000000000005</v>
      </c>
      <c r="AA29" s="31">
        <f t="shared" si="0"/>
        <v>0.41799999999999998</v>
      </c>
      <c r="AB29" s="31">
        <f t="shared" si="1"/>
        <v>0.48549999999999999</v>
      </c>
      <c r="AC29" s="31">
        <f t="shared" si="2"/>
        <v>0.37</v>
      </c>
      <c r="AD29" s="31">
        <f t="shared" si="3"/>
        <v>0.77250000000000008</v>
      </c>
      <c r="AE29" s="31">
        <f t="shared" si="4"/>
        <v>0.51149999999999995</v>
      </c>
    </row>
    <row r="30" spans="1:31" ht="16" x14ac:dyDescent="0.2">
      <c r="A30" s="29">
        <v>1781</v>
      </c>
      <c r="B30" s="30">
        <f>COUNTIF(MatchScoutingData!E$2:E$1000, $A30)</f>
        <v>9</v>
      </c>
      <c r="C30" s="31">
        <f>PERCENTRANK('Team Scores'!$C$3:$C$1000, 'Team Scores'!$C30, 3)</f>
        <v>0.61099999999999999</v>
      </c>
      <c r="D30" s="31">
        <f>PERCENTRANK('Team Scores'!$D$3:$D$1000, 'Team Scores'!$D30, 3)</f>
        <v>0.27700000000000002</v>
      </c>
      <c r="E30" s="31">
        <f>PERCENTRANK('Team Scores'!$E$3:$E$1000, 'Team Scores'!$E30, 3)</f>
        <v>0.129</v>
      </c>
      <c r="F30" s="31">
        <f>PERCENTRANK('Team Scores'!$F$3:$F$1000, 'Team Scores'!$F30, 3)</f>
        <v>0.92500000000000004</v>
      </c>
      <c r="G30" s="31">
        <f>PERCENTRANK('Team Scores'!$G$3:$G$1000, 'Team Scores'!$G30, 3)</f>
        <v>0.87</v>
      </c>
      <c r="H30" s="31">
        <f>PERCENTRANK('Team Scores'!$H$3:$H$1000, 'Team Scores'!$H30, 3)</f>
        <v>0.81399999999999995</v>
      </c>
      <c r="I30" s="31">
        <f>PERCENTRANK('Team Scores'!$I$3:$I$1000, 'Team Scores'!$I30, 3)</f>
        <v>0.66600000000000004</v>
      </c>
      <c r="J30" s="31">
        <f>PERCENTRANK('Team Scores'!$J$3:$J$1000, 'Team Scores'!$J30, 3)</f>
        <v>0.129</v>
      </c>
      <c r="K30" s="31">
        <f>PERCENTRANK('Team Scores'!$K$3:$K$1000, 'Team Scores'!$K30, 3)</f>
        <v>0</v>
      </c>
      <c r="L30" s="31">
        <f>PERCENTRANK('Team Scores'!$L$3:$L$1000, 'Team Scores'!$L30, 3)</f>
        <v>0.42499999999999999</v>
      </c>
      <c r="M30" s="31">
        <f>PERCENTRANK('Team Scores'!$M$3:$M$1000, 'Team Scores'!$M30, 3)</f>
        <v>0.61099999999999999</v>
      </c>
      <c r="N30" s="31">
        <f>PERCENTRANK('Team Scores'!$N$3:$N$1000, 'Team Scores'!$N30, 3)</f>
        <v>0.51800000000000002</v>
      </c>
      <c r="O30" s="31">
        <f>PERCENTRANK('Team Scores'!$O$3:$O$1000, 'Team Scores'!$O30, 3)</f>
        <v>0.53700000000000003</v>
      </c>
      <c r="P30" s="31">
        <f>PERCENTRANK('Team Scores'!$P$3:$P$1000, 'Team Scores'!$P30, 3)</f>
        <v>3.6999999999999998E-2</v>
      </c>
      <c r="Q30" s="31">
        <f>PERCENTRANK('Team Scores'!$Q$3:$Q$1000, 'Team Scores'!$Q30, 3)</f>
        <v>0.74</v>
      </c>
      <c r="R30" s="31">
        <f>PERCENTRANK('Team Scores'!$R$3:$R$1000, 'Team Scores'!$R30, 3)</f>
        <v>0.5</v>
      </c>
      <c r="S30" s="31">
        <f>PERCENTRANK('Team Scores'!$S$3:$S$1000, 'Team Scores'!$S30, 3)</f>
        <v>0.111</v>
      </c>
      <c r="T30" s="31">
        <f>PERCENTRANK('Team Scores'!$T$3:$T$1000, 'Team Scores'!$T30, 3)</f>
        <v>0.81399999999999995</v>
      </c>
      <c r="U30" s="31">
        <f>PERCENTRANK('Team Scores'!$U$3:$U$1000, 'Team Scores'!$U30, 3)</f>
        <v>0.37</v>
      </c>
      <c r="V30" s="31">
        <f>PERCENTRANK('Team Scores'!$V$3:$V$1000, 'Team Scores'!$V30, 3)</f>
        <v>0.629</v>
      </c>
      <c r="W30" s="31">
        <f>PERCENTRANK('Team Scores'!$W$3:$W$1000, 'Team Scores'!$W30, 3)</f>
        <v>0.27700000000000002</v>
      </c>
      <c r="X30" s="31">
        <f>PERCENTRANK('Team Scores'!$X$3:$X$1000, 'Team Scores'!$X30, 3)</f>
        <v>5.5E-2</v>
      </c>
      <c r="Y30" s="31">
        <f>PERCENTRANK('Team Scores'!$Y$3:$Y$1000, 'Team Scores'!$Y30, 3)</f>
        <v>3.6999999999999998E-2</v>
      </c>
      <c r="Z30" s="31">
        <f>PERCENTRANK('Team Scores'!$Z$3:$Z$1000, 'Team Scores'!$Z30, 3)</f>
        <v>1.7999999999999999E-2</v>
      </c>
      <c r="AA30" s="31">
        <f t="shared" si="0"/>
        <v>0.56240000000000001</v>
      </c>
      <c r="AB30" s="31">
        <f t="shared" si="1"/>
        <v>0.46249999999999991</v>
      </c>
      <c r="AC30" s="31">
        <f t="shared" si="2"/>
        <v>0.44040000000000001</v>
      </c>
      <c r="AD30" s="31">
        <f t="shared" si="3"/>
        <v>0.33274999999999999</v>
      </c>
      <c r="AE30" s="31">
        <f t="shared" si="4"/>
        <v>0.44951249999999998</v>
      </c>
    </row>
    <row r="31" spans="1:31" ht="16" x14ac:dyDescent="0.2">
      <c r="A31" s="29">
        <v>1787</v>
      </c>
      <c r="B31" s="30">
        <f>COUNTIF(MatchScoutingData!E$2:E$1000, $A31)</f>
        <v>9</v>
      </c>
      <c r="C31" s="31">
        <f>PERCENTRANK('Team Scores'!$C$3:$C$1000, 'Team Scores'!$C31, 3)</f>
        <v>0.61099999999999999</v>
      </c>
      <c r="D31" s="31">
        <f>PERCENTRANK('Team Scores'!$D$3:$D$1000, 'Team Scores'!$D31, 3)</f>
        <v>0.27700000000000002</v>
      </c>
      <c r="E31" s="31">
        <f>PERCENTRANK('Team Scores'!$E$3:$E$1000, 'Team Scores'!$E31, 3)</f>
        <v>0.314</v>
      </c>
      <c r="F31" s="31">
        <f>PERCENTRANK('Team Scores'!$F$3:$F$1000, 'Team Scores'!$F31, 3)</f>
        <v>0.14799999999999999</v>
      </c>
      <c r="G31" s="31">
        <f>PERCENTRANK('Team Scores'!$G$3:$G$1000, 'Team Scores'!$G31, 3)</f>
        <v>0.68500000000000005</v>
      </c>
      <c r="H31" s="31">
        <f>PERCENTRANK('Team Scores'!$H$3:$H$1000, 'Team Scores'!$H31, 3)</f>
        <v>0.81399999999999995</v>
      </c>
      <c r="I31" s="31">
        <f>PERCENTRANK('Team Scores'!$I$3:$I$1000, 'Team Scores'!$I31, 3)</f>
        <v>0.66600000000000004</v>
      </c>
      <c r="J31" s="31">
        <f>PERCENTRANK('Team Scores'!$J$3:$J$1000, 'Team Scores'!$J31, 3)</f>
        <v>0.72199999999999998</v>
      </c>
      <c r="K31" s="31">
        <f>PERCENTRANK('Team Scores'!$K$3:$K$1000, 'Team Scores'!$K31, 3)</f>
        <v>0.129</v>
      </c>
      <c r="L31" s="31">
        <f>PERCENTRANK('Team Scores'!$L$3:$L$1000, 'Team Scores'!$L31, 3)</f>
        <v>0.42499999999999999</v>
      </c>
      <c r="M31" s="31">
        <f>PERCENTRANK('Team Scores'!$M$3:$M$1000, 'Team Scores'!$M31, 3)</f>
        <v>0</v>
      </c>
      <c r="N31" s="31">
        <f>PERCENTRANK('Team Scores'!$N$3:$N$1000, 'Team Scores'!$N31, 3)</f>
        <v>5.5E-2</v>
      </c>
      <c r="O31" s="31">
        <f>PERCENTRANK('Team Scores'!$O$3:$O$1000, 'Team Scores'!$O31, 3)</f>
        <v>5.5E-2</v>
      </c>
      <c r="P31" s="31">
        <f>PERCENTRANK('Team Scores'!$P$3:$P$1000, 'Team Scores'!$P31, 3)</f>
        <v>0.68500000000000005</v>
      </c>
      <c r="Q31" s="31">
        <f>PERCENTRANK('Team Scores'!$Q$3:$Q$1000, 'Team Scores'!$Q31, 3)</f>
        <v>0.27700000000000002</v>
      </c>
      <c r="R31" s="31">
        <f>PERCENTRANK('Team Scores'!$R$3:$R$1000, 'Team Scores'!$R31, 3)</f>
        <v>0.5</v>
      </c>
      <c r="S31" s="31">
        <f>PERCENTRANK('Team Scores'!$S$3:$S$1000, 'Team Scores'!$S31, 3)</f>
        <v>3.6999999999999998E-2</v>
      </c>
      <c r="T31" s="31">
        <f>PERCENTRANK('Team Scores'!$T$3:$T$1000, 'Team Scores'!$T31, 3)</f>
        <v>0.64800000000000002</v>
      </c>
      <c r="U31" s="31">
        <f>PERCENTRANK('Team Scores'!$U$3:$U$1000, 'Team Scores'!$U31, 3)</f>
        <v>0.27700000000000002</v>
      </c>
      <c r="V31" s="31">
        <f>PERCENTRANK('Team Scores'!$V$3:$V$1000, 'Team Scores'!$V31, 3)</f>
        <v>0.74</v>
      </c>
      <c r="W31" s="31">
        <f>PERCENTRANK('Team Scores'!$W$3:$W$1000, 'Team Scores'!$W31, 3)</f>
        <v>0</v>
      </c>
      <c r="X31" s="31">
        <f>PERCENTRANK('Team Scores'!$X$3:$X$1000, 'Team Scores'!$X31, 3)</f>
        <v>0.46200000000000002</v>
      </c>
      <c r="Y31" s="31">
        <f>PERCENTRANK('Team Scores'!$Y$3:$Y$1000, 'Team Scores'!$Y31, 3)</f>
        <v>0.94399999999999995</v>
      </c>
      <c r="Z31" s="31">
        <f>PERCENTRANK('Team Scores'!$Z$3:$Z$1000, 'Team Scores'!$Z31, 3)</f>
        <v>0.53700000000000003</v>
      </c>
      <c r="AA31" s="31">
        <f t="shared" si="0"/>
        <v>0.40700000000000003</v>
      </c>
      <c r="AB31" s="31">
        <f t="shared" si="1"/>
        <v>0.35825000000000001</v>
      </c>
      <c r="AC31" s="31">
        <f t="shared" si="2"/>
        <v>0.42940000000000006</v>
      </c>
      <c r="AD31" s="31">
        <f t="shared" si="3"/>
        <v>0.36974999999999997</v>
      </c>
      <c r="AE31" s="31">
        <f t="shared" si="4"/>
        <v>0.3911</v>
      </c>
    </row>
    <row r="32" spans="1:31" ht="16" x14ac:dyDescent="0.2">
      <c r="A32" s="29">
        <v>2228</v>
      </c>
      <c r="B32" s="30">
        <f>COUNTIF(MatchScoutingData!E$2:E$1000, $A32)</f>
        <v>9</v>
      </c>
      <c r="C32" s="31">
        <f>PERCENTRANK('Team Scores'!$C$3:$C$1000, 'Team Scores'!$C32, 3)</f>
        <v>3.6999999999999998E-2</v>
      </c>
      <c r="D32" s="31">
        <f>PERCENTRANK('Team Scores'!$D$3:$D$1000, 'Team Scores'!$D32, 3)</f>
        <v>0.90700000000000003</v>
      </c>
      <c r="E32" s="31">
        <f>PERCENTRANK('Team Scores'!$E$3:$E$1000, 'Team Scores'!$E32, 3)</f>
        <v>0.314</v>
      </c>
      <c r="F32" s="31">
        <f>PERCENTRANK('Team Scores'!$F$3:$F$1000, 'Team Scores'!$F32, 3)</f>
        <v>0.61099999999999999</v>
      </c>
      <c r="G32" s="31">
        <f>PERCENTRANK('Team Scores'!$G$3:$G$1000, 'Team Scores'!$G32, 3)</f>
        <v>0.48099999999999998</v>
      </c>
      <c r="H32" s="31">
        <f>PERCENTRANK('Team Scores'!$H$3:$H$1000, 'Team Scores'!$H32, 3)</f>
        <v>0</v>
      </c>
      <c r="I32" s="31">
        <f>PERCENTRANK('Team Scores'!$I$3:$I$1000, 'Team Scores'!$I32, 3)</f>
        <v>3.6999999999999998E-2</v>
      </c>
      <c r="J32" s="31">
        <f>PERCENTRANK('Team Scores'!$J$3:$J$1000, 'Team Scores'!$J32, 3)</f>
        <v>0.42499999999999999</v>
      </c>
      <c r="K32" s="31">
        <f>PERCENTRANK('Team Scores'!$K$3:$K$1000, 'Team Scores'!$K32, 3)</f>
        <v>0.5</v>
      </c>
      <c r="L32" s="31">
        <f>PERCENTRANK('Team Scores'!$L$3:$L$1000, 'Team Scores'!$L32, 3)</f>
        <v>0.77700000000000002</v>
      </c>
      <c r="M32" s="31">
        <f>PERCENTRANK('Team Scores'!$M$3:$M$1000, 'Team Scores'!$M32, 3)</f>
        <v>0.61099999999999999</v>
      </c>
      <c r="N32" s="31">
        <f>PERCENTRANK('Team Scores'!$N$3:$N$1000, 'Team Scores'!$N32, 3)</f>
        <v>0.74</v>
      </c>
      <c r="O32" s="31">
        <f>PERCENTRANK('Team Scores'!$O$3:$O$1000, 'Team Scores'!$O32, 3)</f>
        <v>0.53700000000000003</v>
      </c>
      <c r="P32" s="31">
        <f>PERCENTRANK('Team Scores'!$P$3:$P$1000, 'Team Scores'!$P32, 3)</f>
        <v>0.27700000000000002</v>
      </c>
      <c r="Q32" s="31">
        <f>PERCENTRANK('Team Scores'!$Q$3:$Q$1000, 'Team Scores'!$Q32, 3)</f>
        <v>7.3999999999999996E-2</v>
      </c>
      <c r="R32" s="31">
        <f>PERCENTRANK('Team Scores'!$R$3:$R$1000, 'Team Scores'!$R32, 3)</f>
        <v>0.5</v>
      </c>
      <c r="S32" s="31">
        <f>PERCENTRANK('Team Scores'!$S$3:$S$1000, 'Team Scores'!$S32, 3)</f>
        <v>3.6999999999999998E-2</v>
      </c>
      <c r="T32" s="31">
        <f>PERCENTRANK('Team Scores'!$T$3:$T$1000, 'Team Scores'!$T32, 3)</f>
        <v>0.74</v>
      </c>
      <c r="U32" s="31">
        <f>PERCENTRANK('Team Scores'!$U$3:$U$1000, 'Team Scores'!$U32, 3)</f>
        <v>0.222</v>
      </c>
      <c r="V32" s="31">
        <f>PERCENTRANK('Team Scores'!$V$3:$V$1000, 'Team Scores'!$V32, 3)</f>
        <v>0.96199999999999997</v>
      </c>
      <c r="W32" s="31">
        <f>PERCENTRANK('Team Scores'!$W$3:$W$1000, 'Team Scores'!$W32, 3)</f>
        <v>9.1999999999999998E-2</v>
      </c>
      <c r="X32" s="31">
        <f>PERCENTRANK('Team Scores'!$X$3:$X$1000, 'Team Scores'!$X32, 3)</f>
        <v>0.70299999999999996</v>
      </c>
      <c r="Y32" s="31">
        <f>PERCENTRANK('Team Scores'!$Y$3:$Y$1000, 'Team Scores'!$Y32, 3)</f>
        <v>3.6999999999999998E-2</v>
      </c>
      <c r="Z32" s="31">
        <f>PERCENTRANK('Team Scores'!$Z$3:$Z$1000, 'Team Scores'!$Z32, 3)</f>
        <v>0.314</v>
      </c>
      <c r="AA32" s="31">
        <f t="shared" si="0"/>
        <v>0.47000000000000003</v>
      </c>
      <c r="AB32" s="31">
        <f t="shared" si="1"/>
        <v>0.45337499999999997</v>
      </c>
      <c r="AC32" s="31">
        <f t="shared" si="2"/>
        <v>0.3256</v>
      </c>
      <c r="AD32" s="31">
        <f t="shared" si="3"/>
        <v>0.49475000000000002</v>
      </c>
      <c r="AE32" s="31">
        <f t="shared" si="4"/>
        <v>0.43593125000000005</v>
      </c>
    </row>
    <row r="33" spans="1:31" ht="16" x14ac:dyDescent="0.2">
      <c r="A33" s="29">
        <v>2340</v>
      </c>
      <c r="B33" s="30">
        <f>COUNTIF(MatchScoutingData!E$2:E$1000, $A33)</f>
        <v>9</v>
      </c>
      <c r="C33" s="31">
        <f>PERCENTRANK('Team Scores'!$C$3:$C$1000, 'Team Scores'!$C33, 3)</f>
        <v>0.81399999999999995</v>
      </c>
      <c r="D33" s="31">
        <f>PERCENTRANK('Team Scores'!$D$3:$D$1000, 'Team Scores'!$D33, 3)</f>
        <v>0.75900000000000001</v>
      </c>
      <c r="E33" s="31">
        <f>PERCENTRANK('Team Scores'!$E$3:$E$1000, 'Team Scores'!$E33, 3)</f>
        <v>0.61099999999999999</v>
      </c>
      <c r="F33" s="31">
        <f>PERCENTRANK('Team Scores'!$F$3:$F$1000, 'Team Scores'!$F33, 3)</f>
        <v>0.98099999999999998</v>
      </c>
      <c r="G33" s="31">
        <f>PERCENTRANK('Team Scores'!$G$3:$G$1000, 'Team Scores'!$G33, 3)</f>
        <v>0.37</v>
      </c>
      <c r="H33" s="31">
        <f>PERCENTRANK('Team Scores'!$H$3:$H$1000, 'Team Scores'!$H33, 3)</f>
        <v>0</v>
      </c>
      <c r="I33" s="31">
        <f>PERCENTRANK('Team Scores'!$I$3:$I$1000, 'Team Scores'!$I33, 3)</f>
        <v>0.111</v>
      </c>
      <c r="J33" s="31">
        <f>PERCENTRANK('Team Scores'!$J$3:$J$1000, 'Team Scores'!$J33, 3)</f>
        <v>0.98099999999999998</v>
      </c>
      <c r="K33" s="31">
        <f>PERCENTRANK('Team Scores'!$K$3:$K$1000, 'Team Scores'!$K33, 3)</f>
        <v>0.5</v>
      </c>
      <c r="L33" s="31">
        <f>PERCENTRANK('Team Scores'!$L$3:$L$1000, 'Team Scores'!$L33, 3)</f>
        <v>0.77700000000000002</v>
      </c>
      <c r="M33" s="31">
        <f>PERCENTRANK('Team Scores'!$M$3:$M$1000, 'Team Scores'!$M33, 3)</f>
        <v>1.7999999999999999E-2</v>
      </c>
      <c r="N33" s="31">
        <f>PERCENTRANK('Team Scores'!$N$3:$N$1000, 'Team Scores'!$N33, 3)</f>
        <v>0.24</v>
      </c>
      <c r="O33" s="31">
        <f>PERCENTRANK('Team Scores'!$O$3:$O$1000, 'Team Scores'!$O33, 3)</f>
        <v>5.5E-2</v>
      </c>
      <c r="P33" s="31">
        <f>PERCENTRANK('Team Scores'!$P$3:$P$1000, 'Team Scores'!$P33, 3)</f>
        <v>0.68500000000000005</v>
      </c>
      <c r="Q33" s="31">
        <f>PERCENTRANK('Team Scores'!$Q$3:$Q$1000, 'Team Scores'!$Q33, 3)</f>
        <v>0</v>
      </c>
      <c r="R33" s="31">
        <f>PERCENTRANK('Team Scores'!$R$3:$R$1000, 'Team Scores'!$R33, 3)</f>
        <v>0.5</v>
      </c>
      <c r="S33" s="31">
        <f>PERCENTRANK('Team Scores'!$S$3:$S$1000, 'Team Scores'!$S33, 3)</f>
        <v>0.51800000000000002</v>
      </c>
      <c r="T33" s="31">
        <f>PERCENTRANK('Team Scores'!$T$3:$T$1000, 'Team Scores'!$T33, 3)</f>
        <v>0.70299999999999996</v>
      </c>
      <c r="U33" s="31">
        <f>PERCENTRANK('Team Scores'!$U$3:$U$1000, 'Team Scores'!$U33, 3)</f>
        <v>1.7999999999999999E-2</v>
      </c>
      <c r="V33" s="31">
        <f>PERCENTRANK('Team Scores'!$V$3:$V$1000, 'Team Scores'!$V33, 3)</f>
        <v>0.66600000000000004</v>
      </c>
      <c r="W33" s="31">
        <f>PERCENTRANK('Team Scores'!$W$3:$W$1000, 'Team Scores'!$W33, 3)</f>
        <v>9.1999999999999998E-2</v>
      </c>
      <c r="X33" s="31">
        <f>PERCENTRANK('Team Scores'!$X$3:$X$1000, 'Team Scores'!$X33, 3)</f>
        <v>0.25900000000000001</v>
      </c>
      <c r="Y33" s="31">
        <f>PERCENTRANK('Team Scores'!$Y$3:$Y$1000, 'Team Scores'!$Y33, 3)</f>
        <v>3.6999999999999998E-2</v>
      </c>
      <c r="Z33" s="31">
        <f>PERCENTRANK('Team Scores'!$Z$3:$Z$1000, 'Team Scores'!$Z33, 3)</f>
        <v>7.3999999999999996E-2</v>
      </c>
      <c r="AA33" s="31">
        <f t="shared" si="0"/>
        <v>0.70700000000000007</v>
      </c>
      <c r="AB33" s="31">
        <f t="shared" si="1"/>
        <v>0.33524999999999999</v>
      </c>
      <c r="AC33" s="31">
        <f t="shared" si="2"/>
        <v>0.48120000000000002</v>
      </c>
      <c r="AD33" s="31">
        <f t="shared" si="3"/>
        <v>0.25875000000000004</v>
      </c>
      <c r="AE33" s="31">
        <f t="shared" si="4"/>
        <v>0.44555000000000006</v>
      </c>
    </row>
    <row r="34" spans="1:31" ht="16" x14ac:dyDescent="0.2">
      <c r="A34" s="29">
        <v>3003</v>
      </c>
      <c r="B34" s="30">
        <f>COUNTIF(MatchScoutingData!E$2:E$1000, $A34)</f>
        <v>9</v>
      </c>
      <c r="C34" s="31">
        <f>PERCENTRANK('Team Scores'!$C$3:$C$1000, 'Team Scores'!$C34, 3)</f>
        <v>0.61099999999999999</v>
      </c>
      <c r="D34" s="31">
        <f>PERCENTRANK('Team Scores'!$D$3:$D$1000, 'Team Scores'!$D34, 3)</f>
        <v>7.3999999999999996E-2</v>
      </c>
      <c r="E34" s="31">
        <f>PERCENTRANK('Team Scores'!$E$3:$E$1000, 'Team Scores'!$E34, 3)</f>
        <v>0</v>
      </c>
      <c r="F34" s="31">
        <f>PERCENTRANK('Team Scores'!$F$3:$F$1000, 'Team Scores'!$F34, 3)</f>
        <v>0.61099999999999999</v>
      </c>
      <c r="G34" s="31">
        <f>PERCENTRANK('Team Scores'!$G$3:$G$1000, 'Team Scores'!$G34, 3)</f>
        <v>3.6999999999999998E-2</v>
      </c>
      <c r="H34" s="31">
        <f>PERCENTRANK('Team Scores'!$H$3:$H$1000, 'Team Scores'!$H34, 3)</f>
        <v>0.35099999999999998</v>
      </c>
      <c r="I34" s="31">
        <f>PERCENTRANK('Team Scores'!$I$3:$I$1000, 'Team Scores'!$I34, 3)</f>
        <v>0.98099999999999998</v>
      </c>
      <c r="J34" s="31">
        <f>PERCENTRANK('Team Scores'!$J$3:$J$1000, 'Team Scores'!$J34, 3)</f>
        <v>0.51800000000000002</v>
      </c>
      <c r="K34" s="31">
        <f>PERCENTRANK('Team Scores'!$K$3:$K$1000, 'Team Scores'!$K34, 3)</f>
        <v>0.92500000000000004</v>
      </c>
      <c r="L34" s="31">
        <f>PERCENTRANK('Team Scores'!$L$3:$L$1000, 'Team Scores'!$L34, 3)</f>
        <v>5.5E-2</v>
      </c>
      <c r="M34" s="31">
        <f>PERCENTRANK('Team Scores'!$M$3:$M$1000, 'Team Scores'!$M34, 3)</f>
        <v>0.16600000000000001</v>
      </c>
      <c r="N34" s="31">
        <f>PERCENTRANK('Team Scores'!$N$3:$N$1000, 'Team Scores'!$N34, 3)</f>
        <v>0.74</v>
      </c>
      <c r="O34" s="31">
        <f>PERCENTRANK('Team Scores'!$O$3:$O$1000, 'Team Scores'!$O34, 3)</f>
        <v>0.53700000000000003</v>
      </c>
      <c r="P34" s="31">
        <f>PERCENTRANK('Team Scores'!$P$3:$P$1000, 'Team Scores'!$P34, 3)</f>
        <v>0.111</v>
      </c>
      <c r="Q34" s="31">
        <f>PERCENTRANK('Team Scores'!$Q$3:$Q$1000, 'Team Scores'!$Q34, 3)</f>
        <v>0.27700000000000002</v>
      </c>
      <c r="R34" s="31">
        <f>PERCENTRANK('Team Scores'!$R$3:$R$1000, 'Team Scores'!$R34, 3)</f>
        <v>1.7999999999999999E-2</v>
      </c>
      <c r="S34" s="31">
        <f>PERCENTRANK('Team Scores'!$S$3:$S$1000, 'Team Scores'!$S34, 3)</f>
        <v>0.94399999999999995</v>
      </c>
      <c r="T34" s="31">
        <f>PERCENTRANK('Team Scores'!$T$3:$T$1000, 'Team Scores'!$T34, 3)</f>
        <v>0.14799999999999999</v>
      </c>
      <c r="U34" s="31">
        <f>PERCENTRANK('Team Scores'!$U$3:$U$1000, 'Team Scores'!$U34, 3)</f>
        <v>0.53700000000000003</v>
      </c>
      <c r="V34" s="31">
        <f>PERCENTRANK('Team Scores'!$V$3:$V$1000, 'Team Scores'!$V34, 3)</f>
        <v>0.42499999999999999</v>
      </c>
      <c r="W34" s="31">
        <f>PERCENTRANK('Team Scores'!$W$3:$W$1000, 'Team Scores'!$W34, 3)</f>
        <v>0</v>
      </c>
      <c r="X34" s="31">
        <f>PERCENTRANK('Team Scores'!$X$3:$X$1000, 'Team Scores'!$X34, 3)</f>
        <v>0.25900000000000001</v>
      </c>
      <c r="Y34" s="31">
        <f>PERCENTRANK('Team Scores'!$Y$3:$Y$1000, 'Team Scores'!$Y34, 3)</f>
        <v>3.6999999999999998E-2</v>
      </c>
      <c r="Z34" s="31">
        <f>PERCENTRANK('Team Scores'!$Z$3:$Z$1000, 'Team Scores'!$Z34, 3)</f>
        <v>1.7999999999999999E-2</v>
      </c>
      <c r="AA34" s="31">
        <f t="shared" si="0"/>
        <v>0.26659999999999995</v>
      </c>
      <c r="AB34" s="31">
        <f t="shared" si="1"/>
        <v>0.53412499999999996</v>
      </c>
      <c r="AC34" s="31">
        <f t="shared" si="2"/>
        <v>0.29959999999999998</v>
      </c>
      <c r="AD34" s="31">
        <f t="shared" si="3"/>
        <v>0.30525000000000002</v>
      </c>
      <c r="AE34" s="31">
        <f t="shared" si="4"/>
        <v>0.35139374999999995</v>
      </c>
    </row>
    <row r="35" spans="1:31" ht="16" x14ac:dyDescent="0.2">
      <c r="A35" s="29">
        <v>3015</v>
      </c>
      <c r="B35" s="30">
        <f>COUNTIF(MatchScoutingData!E$2:E$1000, $A35)</f>
        <v>9</v>
      </c>
      <c r="C35" s="31">
        <f>PERCENTRANK('Team Scores'!$C$3:$C$1000, 'Team Scores'!$C35, 3)</f>
        <v>0.61099999999999999</v>
      </c>
      <c r="D35" s="31">
        <f>PERCENTRANK('Team Scores'!$D$3:$D$1000, 'Team Scores'!$D35, 3)</f>
        <v>0.51800000000000002</v>
      </c>
      <c r="E35" s="31">
        <f>PERCENTRANK('Team Scores'!$E$3:$E$1000, 'Team Scores'!$E35, 3)</f>
        <v>0.314</v>
      </c>
      <c r="F35" s="31">
        <f>PERCENTRANK('Team Scores'!$F$3:$F$1000, 'Team Scores'!$F35, 3)</f>
        <v>0</v>
      </c>
      <c r="G35" s="31">
        <f>PERCENTRANK('Team Scores'!$G$3:$G$1000, 'Team Scores'!$G35, 3)</f>
        <v>0.48099999999999998</v>
      </c>
      <c r="H35" s="31">
        <f>PERCENTRANK('Team Scores'!$H$3:$H$1000, 'Team Scores'!$H35, 3)</f>
        <v>0.5</v>
      </c>
      <c r="I35" s="31">
        <f>PERCENTRANK('Team Scores'!$I$3:$I$1000, 'Team Scores'!$I35, 3)</f>
        <v>3.6999999999999998E-2</v>
      </c>
      <c r="J35" s="31">
        <f>PERCENTRANK('Team Scores'!$J$3:$J$1000, 'Team Scores'!$J35, 3)</f>
        <v>0.72199999999999998</v>
      </c>
      <c r="K35" s="31">
        <f>PERCENTRANK('Team Scores'!$K$3:$K$1000, 'Team Scores'!$K35, 3)</f>
        <v>0.314</v>
      </c>
      <c r="L35" s="31">
        <f>PERCENTRANK('Team Scores'!$L$3:$L$1000, 'Team Scores'!$L35, 3)</f>
        <v>5.5E-2</v>
      </c>
      <c r="M35" s="31">
        <f>PERCENTRANK('Team Scores'!$M$3:$M$1000, 'Team Scores'!$M35, 3)</f>
        <v>0.16600000000000001</v>
      </c>
      <c r="N35" s="31">
        <f>PERCENTRANK('Team Scores'!$N$3:$N$1000, 'Team Scores'!$N35, 3)</f>
        <v>5.5E-2</v>
      </c>
      <c r="O35" s="31">
        <f>PERCENTRANK('Team Scores'!$O$3:$O$1000, 'Team Scores'!$O35, 3)</f>
        <v>0.25900000000000001</v>
      </c>
      <c r="P35" s="31">
        <f>PERCENTRANK('Team Scores'!$P$3:$P$1000, 'Team Scores'!$P35, 3)</f>
        <v>0.59199999999999997</v>
      </c>
      <c r="Q35" s="31">
        <f>PERCENTRANK('Team Scores'!$Q$3:$Q$1000, 'Team Scores'!$Q35, 3)</f>
        <v>0.27700000000000002</v>
      </c>
      <c r="R35" s="31">
        <f>PERCENTRANK('Team Scores'!$R$3:$R$1000, 'Team Scores'!$R35, 3)</f>
        <v>0.222</v>
      </c>
      <c r="S35" s="31">
        <f>PERCENTRANK('Team Scores'!$S$3:$S$1000, 'Team Scores'!$S35, 3)</f>
        <v>0.111</v>
      </c>
      <c r="T35" s="31">
        <f>PERCENTRANK('Team Scores'!$T$3:$T$1000, 'Team Scores'!$T35, 3)</f>
        <v>0.38800000000000001</v>
      </c>
      <c r="U35" s="31">
        <f>PERCENTRANK('Team Scores'!$U$3:$U$1000, 'Team Scores'!$U35, 3)</f>
        <v>0.37</v>
      </c>
      <c r="V35" s="31">
        <f>PERCENTRANK('Team Scores'!$V$3:$V$1000, 'Team Scores'!$V35, 3)</f>
        <v>1</v>
      </c>
      <c r="W35" s="31">
        <f>PERCENTRANK('Team Scores'!$W$3:$W$1000, 'Team Scores'!$W35, 3)</f>
        <v>0.27700000000000002</v>
      </c>
      <c r="X35" s="31">
        <f>PERCENTRANK('Team Scores'!$X$3:$X$1000, 'Team Scores'!$X35, 3)</f>
        <v>5.5E-2</v>
      </c>
      <c r="Y35" s="31">
        <f>PERCENTRANK('Team Scores'!$Y$3:$Y$1000, 'Team Scores'!$Y35, 3)</f>
        <v>0.314</v>
      </c>
      <c r="Z35" s="31">
        <f>PERCENTRANK('Team Scores'!$Z$3:$Z$1000, 'Team Scores'!$Z35, 3)</f>
        <v>7.3999999999999996E-2</v>
      </c>
      <c r="AA35" s="31">
        <f t="shared" ref="AA35:AA57" si="5">AVERAGE(C35:G35)</f>
        <v>0.38479999999999998</v>
      </c>
      <c r="AB35" s="31">
        <f t="shared" ref="AB35:AB57" si="6">AVERAGE(H35:O35)</f>
        <v>0.26349999999999996</v>
      </c>
      <c r="AC35" s="31">
        <f t="shared" ref="AC35:AC57" si="7">AVERAGE(P35:T35)</f>
        <v>0.31799999999999995</v>
      </c>
      <c r="AD35" s="31">
        <f t="shared" ref="AD35:AD57" si="8">AVERAGE(U35:X35)</f>
        <v>0.42550000000000004</v>
      </c>
      <c r="AE35" s="31">
        <f t="shared" ref="AE35:AE66" si="9">AVERAGE(AA35:AD35)</f>
        <v>0.34794999999999998</v>
      </c>
    </row>
    <row r="36" spans="1:31" ht="16" x14ac:dyDescent="0.2">
      <c r="A36" s="29">
        <v>3044</v>
      </c>
      <c r="B36" s="30">
        <f>COUNTIF(MatchScoutingData!E$2:E$1000, $A36)</f>
        <v>9</v>
      </c>
      <c r="C36" s="31">
        <f>PERCENTRANK('Team Scores'!$C$3:$C$1000, 'Team Scores'!$C36, 3)</f>
        <v>0.38800000000000001</v>
      </c>
      <c r="D36" s="31">
        <f>PERCENTRANK('Team Scores'!$D$3:$D$1000, 'Team Scores'!$D36, 3)</f>
        <v>0.51800000000000002</v>
      </c>
      <c r="E36" s="31">
        <f>PERCENTRANK('Team Scores'!$E$3:$E$1000, 'Team Scores'!$E36, 3)</f>
        <v>0.61099999999999999</v>
      </c>
      <c r="F36" s="31">
        <f>PERCENTRANK('Team Scores'!$F$3:$F$1000, 'Team Scores'!$F36, 3)</f>
        <v>0.14799999999999999</v>
      </c>
      <c r="G36" s="31">
        <f>PERCENTRANK('Team Scores'!$G$3:$G$1000, 'Team Scores'!$G36, 3)</f>
        <v>0.14799999999999999</v>
      </c>
      <c r="H36" s="31">
        <f>PERCENTRANK('Team Scores'!$H$3:$H$1000, 'Team Scores'!$H36, 3)</f>
        <v>0.72199999999999998</v>
      </c>
      <c r="I36" s="31">
        <f>PERCENTRANK('Team Scores'!$I$3:$I$1000, 'Team Scores'!$I36, 3)</f>
        <v>0.222</v>
      </c>
      <c r="J36" s="31">
        <f>PERCENTRANK('Team Scores'!$J$3:$J$1000, 'Team Scores'!$J36, 3)</f>
        <v>3.6999999999999998E-2</v>
      </c>
      <c r="K36" s="31">
        <f>PERCENTRANK('Team Scores'!$K$3:$K$1000, 'Team Scores'!$K36, 3)</f>
        <v>0.314</v>
      </c>
      <c r="L36" s="31">
        <f>PERCENTRANK('Team Scores'!$L$3:$L$1000, 'Team Scores'!$L36, 3)</f>
        <v>0.94399999999999995</v>
      </c>
      <c r="M36" s="31">
        <f>PERCENTRANK('Team Scores'!$M$3:$M$1000, 'Team Scores'!$M36, 3)</f>
        <v>0.79600000000000004</v>
      </c>
      <c r="N36" s="31">
        <f>PERCENTRANK('Team Scores'!$N$3:$N$1000, 'Team Scores'!$N36, 3)</f>
        <v>0.74</v>
      </c>
      <c r="O36" s="31">
        <f>PERCENTRANK('Team Scores'!$O$3:$O$1000, 'Team Scores'!$O36, 3)</f>
        <v>0.53700000000000003</v>
      </c>
      <c r="P36" s="31">
        <f>PERCENTRANK('Team Scores'!$P$3:$P$1000, 'Team Scores'!$P36, 3)</f>
        <v>7.3999999999999996E-2</v>
      </c>
      <c r="Q36" s="31">
        <f>PERCENTRANK('Team Scores'!$Q$3:$Q$1000, 'Team Scores'!$Q36, 3)</f>
        <v>7.3999999999999996E-2</v>
      </c>
      <c r="R36" s="31">
        <f>PERCENTRANK('Team Scores'!$R$3:$R$1000, 'Team Scores'!$R36, 3)</f>
        <v>3.6999999999999998E-2</v>
      </c>
      <c r="S36" s="31">
        <f>PERCENTRANK('Team Scores'!$S$3:$S$1000, 'Team Scores'!$S36, 3)</f>
        <v>0.111</v>
      </c>
      <c r="T36" s="31">
        <f>PERCENTRANK('Team Scores'!$T$3:$T$1000, 'Team Scores'!$T36, 3)</f>
        <v>0.5</v>
      </c>
      <c r="U36" s="31">
        <f>PERCENTRANK('Team Scores'!$U$3:$U$1000, 'Team Scores'!$U36, 3)</f>
        <v>0.53700000000000003</v>
      </c>
      <c r="V36" s="31">
        <f>PERCENTRANK('Team Scores'!$V$3:$V$1000, 'Team Scores'!$V36, 3)</f>
        <v>0.40699999999999997</v>
      </c>
      <c r="W36" s="31">
        <f>PERCENTRANK('Team Scores'!$W$3:$W$1000, 'Team Scores'!$W36, 3)</f>
        <v>0.27700000000000002</v>
      </c>
      <c r="X36" s="31">
        <f>PERCENTRANK('Team Scores'!$X$3:$X$1000, 'Team Scores'!$X36, 3)</f>
        <v>0.70299999999999996</v>
      </c>
      <c r="Y36" s="31">
        <f>PERCENTRANK('Team Scores'!$Y$3:$Y$1000, 'Team Scores'!$Y36, 3)</f>
        <v>0.94399999999999995</v>
      </c>
      <c r="Z36" s="31">
        <f>PERCENTRANK('Team Scores'!$Z$3:$Z$1000, 'Team Scores'!$Z36, 3)</f>
        <v>0.88800000000000001</v>
      </c>
      <c r="AA36" s="31">
        <f t="shared" si="5"/>
        <v>0.36259999999999992</v>
      </c>
      <c r="AB36" s="31">
        <f t="shared" si="6"/>
        <v>0.53900000000000003</v>
      </c>
      <c r="AC36" s="31">
        <f t="shared" si="7"/>
        <v>0.15920000000000001</v>
      </c>
      <c r="AD36" s="31">
        <f t="shared" si="8"/>
        <v>0.48099999999999998</v>
      </c>
      <c r="AE36" s="31">
        <f t="shared" si="9"/>
        <v>0.38544999999999996</v>
      </c>
    </row>
    <row r="37" spans="1:31" ht="16" x14ac:dyDescent="0.2">
      <c r="A37" s="29">
        <v>3173</v>
      </c>
      <c r="B37" s="30">
        <f>COUNTIF(MatchScoutingData!E$2:E$1000, $A37)</f>
        <v>9</v>
      </c>
      <c r="C37" s="31">
        <f>PERCENTRANK('Team Scores'!$C$3:$C$1000, 'Team Scores'!$C37, 3)</f>
        <v>3.6999999999999998E-2</v>
      </c>
      <c r="D37" s="31">
        <f>PERCENTRANK('Team Scores'!$D$3:$D$1000, 'Team Scores'!$D37, 3)</f>
        <v>0.27700000000000002</v>
      </c>
      <c r="E37" s="31">
        <f>PERCENTRANK('Team Scores'!$E$3:$E$1000, 'Team Scores'!$E37, 3)</f>
        <v>0</v>
      </c>
      <c r="F37" s="31">
        <f>PERCENTRANK('Team Scores'!$F$3:$F$1000, 'Team Scores'!$F37, 3)</f>
        <v>0.25900000000000001</v>
      </c>
      <c r="G37" s="31">
        <f>PERCENTRANK('Team Scores'!$G$3:$G$1000, 'Team Scores'!$G37, 3)</f>
        <v>0.48099999999999998</v>
      </c>
      <c r="H37" s="31">
        <f>PERCENTRANK('Team Scores'!$H$3:$H$1000, 'Team Scores'!$H37, 3)</f>
        <v>5.5E-2</v>
      </c>
      <c r="I37" s="31">
        <f>PERCENTRANK('Team Scores'!$I$3:$I$1000, 'Team Scores'!$I37, 3)</f>
        <v>0.33300000000000002</v>
      </c>
      <c r="J37" s="31">
        <f>PERCENTRANK('Team Scores'!$J$3:$J$1000, 'Team Scores'!$J37, 3)</f>
        <v>0</v>
      </c>
      <c r="K37" s="31">
        <f>PERCENTRANK('Team Scores'!$K$3:$K$1000, 'Team Scores'!$K37, 3)</f>
        <v>0.74</v>
      </c>
      <c r="L37" s="31">
        <f>PERCENTRANK('Team Scores'!$L$3:$L$1000, 'Team Scores'!$L37, 3)</f>
        <v>0</v>
      </c>
      <c r="M37" s="31">
        <f>PERCENTRANK('Team Scores'!$M$3:$M$1000, 'Team Scores'!$M37, 3)</f>
        <v>0.314</v>
      </c>
      <c r="N37" s="31">
        <f>PERCENTRANK('Team Scores'!$N$3:$N$1000, 'Team Scores'!$N37, 3)</f>
        <v>5.5E-2</v>
      </c>
      <c r="O37" s="31">
        <f>PERCENTRANK('Team Scores'!$O$3:$O$1000, 'Team Scores'!$O37, 3)</f>
        <v>0.53700000000000003</v>
      </c>
      <c r="P37" s="31">
        <f>PERCENTRANK('Team Scores'!$P$3:$P$1000, 'Team Scores'!$P37, 3)</f>
        <v>0.77700000000000002</v>
      </c>
      <c r="Q37" s="31">
        <f>PERCENTRANK('Team Scores'!$Q$3:$Q$1000, 'Team Scores'!$Q37, 3)</f>
        <v>0.27700000000000002</v>
      </c>
      <c r="R37" s="31">
        <f>PERCENTRANK('Team Scores'!$R$3:$R$1000, 'Team Scores'!$R37, 3)</f>
        <v>0.222</v>
      </c>
      <c r="S37" s="31">
        <f>PERCENTRANK('Team Scores'!$S$3:$S$1000, 'Team Scores'!$S37, 3)</f>
        <v>0.51800000000000002</v>
      </c>
      <c r="T37" s="31">
        <f>PERCENTRANK('Team Scores'!$T$3:$T$1000, 'Team Scores'!$T37, 3)</f>
        <v>9.1999999999999998E-2</v>
      </c>
      <c r="U37" s="31">
        <f>PERCENTRANK('Team Scores'!$U$3:$U$1000, 'Team Scores'!$U37, 3)</f>
        <v>0.37</v>
      </c>
      <c r="V37" s="31">
        <f>PERCENTRANK('Team Scores'!$V$3:$V$1000, 'Team Scores'!$V37, 3)</f>
        <v>0.92500000000000004</v>
      </c>
      <c r="W37" s="31">
        <f>PERCENTRANK('Team Scores'!$W$3:$W$1000, 'Team Scores'!$W37, 3)</f>
        <v>0</v>
      </c>
      <c r="X37" s="31">
        <f>PERCENTRANK('Team Scores'!$X$3:$X$1000, 'Team Scores'!$X37, 3)</f>
        <v>0.46200000000000002</v>
      </c>
      <c r="Y37" s="31">
        <f>PERCENTRANK('Team Scores'!$Y$3:$Y$1000, 'Team Scores'!$Y37, 3)</f>
        <v>0.51800000000000002</v>
      </c>
      <c r="Z37" s="31">
        <f>PERCENTRANK('Team Scores'!$Z$3:$Z$1000, 'Team Scores'!$Z37, 3)</f>
        <v>0.314</v>
      </c>
      <c r="AA37" s="31">
        <f t="shared" si="5"/>
        <v>0.21079999999999996</v>
      </c>
      <c r="AB37" s="31">
        <f t="shared" si="6"/>
        <v>0.25425000000000003</v>
      </c>
      <c r="AC37" s="31">
        <f t="shared" si="7"/>
        <v>0.37720000000000004</v>
      </c>
      <c r="AD37" s="31">
        <f t="shared" si="8"/>
        <v>0.43924999999999997</v>
      </c>
      <c r="AE37" s="31">
        <f t="shared" si="9"/>
        <v>0.32037499999999997</v>
      </c>
    </row>
    <row r="38" spans="1:31" ht="16" x14ac:dyDescent="0.2">
      <c r="A38" s="29">
        <v>3181</v>
      </c>
      <c r="B38" s="30">
        <f>COUNTIF(MatchScoutingData!E$2:E$1000, $A38)</f>
        <v>9</v>
      </c>
      <c r="C38" s="31">
        <f>PERCENTRANK('Team Scores'!$C$3:$C$1000, 'Team Scores'!$C38, 3)</f>
        <v>0</v>
      </c>
      <c r="D38" s="31">
        <f>PERCENTRANK('Team Scores'!$D$3:$D$1000, 'Team Scores'!$D38, 3)</f>
        <v>0.27700000000000002</v>
      </c>
      <c r="E38" s="31">
        <f>PERCENTRANK('Team Scores'!$E$3:$E$1000, 'Team Scores'!$E38, 3)</f>
        <v>0.61099999999999999</v>
      </c>
      <c r="F38" s="31">
        <f>PERCENTRANK('Team Scores'!$F$3:$F$1000, 'Team Scores'!$F38, 3)</f>
        <v>0.14799999999999999</v>
      </c>
      <c r="G38" s="31">
        <f>PERCENTRANK('Team Scores'!$G$3:$G$1000, 'Team Scores'!$G38, 3)</f>
        <v>0.33300000000000002</v>
      </c>
      <c r="H38" s="31">
        <f>PERCENTRANK('Team Scores'!$H$3:$H$1000, 'Team Scores'!$H38, 3)</f>
        <v>0.72199999999999998</v>
      </c>
      <c r="I38" s="31">
        <f>PERCENTRANK('Team Scores'!$I$3:$I$1000, 'Team Scores'!$I38, 3)</f>
        <v>0.111</v>
      </c>
      <c r="J38" s="31">
        <f>PERCENTRANK('Team Scores'!$J$3:$J$1000, 'Team Scores'!$J38, 3)</f>
        <v>0.129</v>
      </c>
      <c r="K38" s="31">
        <f>PERCENTRANK('Team Scores'!$K$3:$K$1000, 'Team Scores'!$K38, 3)</f>
        <v>0.129</v>
      </c>
      <c r="L38" s="31">
        <f>PERCENTRANK('Team Scores'!$L$3:$L$1000, 'Team Scores'!$L38, 3)</f>
        <v>0.222</v>
      </c>
      <c r="M38" s="31">
        <f>PERCENTRANK('Team Scores'!$M$3:$M$1000, 'Team Scores'!$M38, 3)</f>
        <v>0.314</v>
      </c>
      <c r="N38" s="31">
        <f>PERCENTRANK('Team Scores'!$N$3:$N$1000, 'Team Scores'!$N38, 3)</f>
        <v>0.24</v>
      </c>
      <c r="O38" s="31">
        <f>PERCENTRANK('Team Scores'!$O$3:$O$1000, 'Team Scores'!$O38, 3)</f>
        <v>0.53700000000000003</v>
      </c>
      <c r="P38" s="31">
        <f>PERCENTRANK('Team Scores'!$P$3:$P$1000, 'Team Scores'!$P38, 3)</f>
        <v>0.46200000000000002</v>
      </c>
      <c r="Q38" s="31">
        <f>PERCENTRANK('Team Scores'!$Q$3:$Q$1000, 'Team Scores'!$Q38, 3)</f>
        <v>0.74</v>
      </c>
      <c r="R38" s="31">
        <f>PERCENTRANK('Team Scores'!$R$3:$R$1000, 'Team Scores'!$R38, 3)</f>
        <v>0.222</v>
      </c>
      <c r="S38" s="31">
        <f>PERCENTRANK('Team Scores'!$S$3:$S$1000, 'Team Scores'!$S38, 3)</f>
        <v>0.314</v>
      </c>
      <c r="T38" s="31">
        <f>PERCENTRANK('Team Scores'!$T$3:$T$1000, 'Team Scores'!$T38, 3)</f>
        <v>0.16600000000000001</v>
      </c>
      <c r="U38" s="31">
        <f>PERCENTRANK('Team Scores'!$U$3:$U$1000, 'Team Scores'!$U38, 3)</f>
        <v>0.53700000000000003</v>
      </c>
      <c r="V38" s="31">
        <f>PERCENTRANK('Team Scores'!$V$3:$V$1000, 'Team Scores'!$V38, 3)</f>
        <v>0.81399999999999995</v>
      </c>
      <c r="W38" s="31">
        <f>PERCENTRANK('Team Scores'!$W$3:$W$1000, 'Team Scores'!$W38, 3)</f>
        <v>0.53700000000000003</v>
      </c>
      <c r="X38" s="31">
        <f>PERCENTRANK('Team Scores'!$X$3:$X$1000, 'Team Scores'!$X38, 3)</f>
        <v>0</v>
      </c>
      <c r="Y38" s="31">
        <f>PERCENTRANK('Team Scores'!$Y$3:$Y$1000, 'Team Scores'!$Y38, 3)</f>
        <v>3.6999999999999998E-2</v>
      </c>
      <c r="Z38" s="31">
        <f>PERCENTRANK('Team Scores'!$Z$3:$Z$1000, 'Team Scores'!$Z38, 3)</f>
        <v>0</v>
      </c>
      <c r="AA38" s="31">
        <f t="shared" si="5"/>
        <v>0.27379999999999999</v>
      </c>
      <c r="AB38" s="31">
        <f t="shared" si="6"/>
        <v>0.30049999999999999</v>
      </c>
      <c r="AC38" s="31">
        <f t="shared" si="7"/>
        <v>0.38079999999999997</v>
      </c>
      <c r="AD38" s="31">
        <f t="shared" si="8"/>
        <v>0.47199999999999998</v>
      </c>
      <c r="AE38" s="31">
        <f t="shared" si="9"/>
        <v>0.35677500000000001</v>
      </c>
    </row>
    <row r="39" spans="1:31" ht="16" x14ac:dyDescent="0.2">
      <c r="A39" s="29">
        <v>3799</v>
      </c>
      <c r="B39" s="30">
        <f>COUNTIF(MatchScoutingData!E$2:E$1000, $A39)</f>
        <v>9</v>
      </c>
      <c r="C39" s="31">
        <f>PERCENTRANK('Team Scores'!$C$3:$C$1000, 'Team Scores'!$C39, 3)</f>
        <v>0.81399999999999995</v>
      </c>
      <c r="D39" s="31">
        <f>PERCENTRANK('Team Scores'!$D$3:$D$1000, 'Team Scores'!$D39, 3)</f>
        <v>0</v>
      </c>
      <c r="E39" s="31">
        <f>PERCENTRANK('Team Scores'!$E$3:$E$1000, 'Team Scores'!$E39, 3)</f>
        <v>0</v>
      </c>
      <c r="F39" s="31">
        <f>PERCENTRANK('Team Scores'!$F$3:$F$1000, 'Team Scores'!$F39, 3)</f>
        <v>0.83299999999999996</v>
      </c>
      <c r="G39" s="31">
        <f>PERCENTRANK('Team Scores'!$G$3:$G$1000, 'Team Scores'!$G39, 3)</f>
        <v>0.24</v>
      </c>
      <c r="H39" s="31">
        <f>PERCENTRANK('Team Scores'!$H$3:$H$1000, 'Team Scores'!$H39, 3)</f>
        <v>0.14799999999999999</v>
      </c>
      <c r="I39" s="31">
        <f>PERCENTRANK('Team Scores'!$I$3:$I$1000, 'Team Scores'!$I39, 3)</f>
        <v>0.77700000000000002</v>
      </c>
      <c r="J39" s="31">
        <f>PERCENTRANK('Team Scores'!$J$3:$J$1000, 'Team Scores'!$J39, 3)</f>
        <v>0.42499999999999999</v>
      </c>
      <c r="K39" s="31">
        <f>PERCENTRANK('Team Scores'!$K$3:$K$1000, 'Team Scores'!$K39, 3)</f>
        <v>0.96199999999999997</v>
      </c>
      <c r="L39" s="31">
        <f>PERCENTRANK('Team Scores'!$L$3:$L$1000, 'Team Scores'!$L39, 3)</f>
        <v>5.5E-2</v>
      </c>
      <c r="M39" s="31">
        <f>PERCENTRANK('Team Scores'!$M$3:$M$1000, 'Team Scores'!$M39, 3)</f>
        <v>0.16600000000000001</v>
      </c>
      <c r="N39" s="31">
        <f>PERCENTRANK('Team Scores'!$N$3:$N$1000, 'Team Scores'!$N39, 3)</f>
        <v>0.51800000000000002</v>
      </c>
      <c r="O39" s="31">
        <f>PERCENTRANK('Team Scores'!$O$3:$O$1000, 'Team Scores'!$O39, 3)</f>
        <v>0.53700000000000003</v>
      </c>
      <c r="P39" s="31">
        <f>PERCENTRANK('Team Scores'!$P$3:$P$1000, 'Team Scores'!$P39, 3)</f>
        <v>0.77700000000000002</v>
      </c>
      <c r="Q39" s="31">
        <f>PERCENTRANK('Team Scores'!$Q$3:$Q$1000, 'Team Scores'!$Q39, 3)</f>
        <v>0.27700000000000002</v>
      </c>
      <c r="R39" s="31">
        <f>PERCENTRANK('Team Scores'!$R$3:$R$1000, 'Team Scores'!$R39, 3)</f>
        <v>0.222</v>
      </c>
      <c r="S39" s="31">
        <f>PERCENTRANK('Team Scores'!$S$3:$S$1000, 'Team Scores'!$S39, 3)</f>
        <v>0.111</v>
      </c>
      <c r="T39" s="31">
        <f>PERCENTRANK('Team Scores'!$T$3:$T$1000, 'Team Scores'!$T39, 3)</f>
        <v>0.81399999999999995</v>
      </c>
      <c r="U39" s="31">
        <f>PERCENTRANK('Team Scores'!$U$3:$U$1000, 'Team Scores'!$U39, 3)</f>
        <v>0.98099999999999998</v>
      </c>
      <c r="V39" s="31">
        <f>PERCENTRANK('Team Scores'!$V$3:$V$1000, 'Team Scores'!$V39, 3)</f>
        <v>0.59199999999999997</v>
      </c>
      <c r="W39" s="31">
        <f>PERCENTRANK('Team Scores'!$W$3:$W$1000, 'Team Scores'!$W39, 3)</f>
        <v>0.53700000000000003</v>
      </c>
      <c r="X39" s="31">
        <f>PERCENTRANK('Team Scores'!$X$3:$X$1000, 'Team Scores'!$X39, 3)</f>
        <v>0.46200000000000002</v>
      </c>
      <c r="Y39" s="31">
        <f>PERCENTRANK('Team Scores'!$Y$3:$Y$1000, 'Team Scores'!$Y39, 3)</f>
        <v>3.6999999999999998E-2</v>
      </c>
      <c r="Z39" s="31">
        <f>PERCENTRANK('Team Scores'!$Z$3:$Z$1000, 'Team Scores'!$Z39, 3)</f>
        <v>0.37</v>
      </c>
      <c r="AA39" s="31">
        <f t="shared" si="5"/>
        <v>0.37739999999999996</v>
      </c>
      <c r="AB39" s="31">
        <f t="shared" si="6"/>
        <v>0.44850000000000001</v>
      </c>
      <c r="AC39" s="31">
        <f t="shared" si="7"/>
        <v>0.44020000000000004</v>
      </c>
      <c r="AD39" s="31">
        <f t="shared" si="8"/>
        <v>0.64300000000000002</v>
      </c>
      <c r="AE39" s="31">
        <f t="shared" si="9"/>
        <v>0.477275</v>
      </c>
    </row>
    <row r="40" spans="1:31" ht="16" x14ac:dyDescent="0.2">
      <c r="A40" s="29">
        <v>3838</v>
      </c>
      <c r="B40" s="30">
        <f>COUNTIF(MatchScoutingData!E$2:E$1000, $A40)</f>
        <v>10</v>
      </c>
      <c r="C40" s="31">
        <f>PERCENTRANK('Team Scores'!$C$3:$C$1000, 'Team Scores'!$C40, 3)</f>
        <v>0.38800000000000001</v>
      </c>
      <c r="D40" s="31">
        <f>PERCENTRANK('Team Scores'!$D$3:$D$1000, 'Team Scores'!$D40, 3)</f>
        <v>7.3999999999999996E-2</v>
      </c>
      <c r="E40" s="31">
        <f>PERCENTRANK('Team Scores'!$E$3:$E$1000, 'Team Scores'!$E40, 3)</f>
        <v>0.129</v>
      </c>
      <c r="F40" s="31">
        <f>PERCENTRANK('Team Scores'!$F$3:$F$1000, 'Team Scores'!$F40, 3)</f>
        <v>0.25900000000000001</v>
      </c>
      <c r="G40" s="31">
        <f>PERCENTRANK('Team Scores'!$G$3:$G$1000, 'Team Scores'!$G40, 3)</f>
        <v>0.14799999999999999</v>
      </c>
      <c r="H40" s="31">
        <f>PERCENTRANK('Team Scores'!$H$3:$H$1000, 'Team Scores'!$H40, 3)</f>
        <v>0.81399999999999995</v>
      </c>
      <c r="I40" s="31">
        <f>PERCENTRANK('Team Scores'!$I$3:$I$1000, 'Team Scores'!$I40, 3)</f>
        <v>0.66600000000000004</v>
      </c>
      <c r="J40" s="31">
        <f>PERCENTRANK('Team Scores'!$J$3:$J$1000, 'Team Scores'!$J40, 3)</f>
        <v>0.129</v>
      </c>
      <c r="K40" s="31">
        <f>PERCENTRANK('Team Scores'!$K$3:$K$1000, 'Team Scores'!$K40, 3)</f>
        <v>0.74</v>
      </c>
      <c r="L40" s="31">
        <f>PERCENTRANK('Team Scores'!$L$3:$L$1000, 'Team Scores'!$L40, 3)</f>
        <v>0.42499999999999999</v>
      </c>
      <c r="M40" s="31">
        <f>PERCENTRANK('Team Scores'!$M$3:$M$1000, 'Team Scores'!$M40, 3)</f>
        <v>0.79600000000000004</v>
      </c>
      <c r="N40" s="31">
        <f>PERCENTRANK('Team Scores'!$N$3:$N$1000, 'Team Scores'!$N40, 3)</f>
        <v>0.24</v>
      </c>
      <c r="O40" s="31">
        <f>PERCENTRANK('Team Scores'!$O$3:$O$1000, 'Team Scores'!$O40, 3)</f>
        <v>0.25900000000000001</v>
      </c>
      <c r="P40" s="31">
        <f>PERCENTRANK('Team Scores'!$P$3:$P$1000, 'Team Scores'!$P40, 3)</f>
        <v>0.59199999999999997</v>
      </c>
      <c r="Q40" s="31">
        <f>PERCENTRANK('Team Scores'!$Q$3:$Q$1000, 'Team Scores'!$Q40, 3)</f>
        <v>0.92500000000000004</v>
      </c>
      <c r="R40" s="31">
        <f>PERCENTRANK('Team Scores'!$R$3:$R$1000, 'Team Scores'!$R40, 3)</f>
        <v>3.6999999999999998E-2</v>
      </c>
      <c r="S40" s="31">
        <f>PERCENTRANK('Team Scores'!$S$3:$S$1000, 'Team Scores'!$S40, 3)</f>
        <v>0.94399999999999995</v>
      </c>
      <c r="T40" s="31">
        <f>PERCENTRANK('Team Scores'!$T$3:$T$1000, 'Team Scores'!$T40, 3)</f>
        <v>1</v>
      </c>
      <c r="U40" s="31">
        <f>PERCENTRANK('Team Scores'!$U$3:$U$1000, 'Team Scores'!$U40, 3)</f>
        <v>0.88800000000000001</v>
      </c>
      <c r="V40" s="31">
        <f>PERCENTRANK('Team Scores'!$V$3:$V$1000, 'Team Scores'!$V40, 3)</f>
        <v>0.75900000000000001</v>
      </c>
      <c r="W40" s="31">
        <f>PERCENTRANK('Team Scores'!$W$3:$W$1000, 'Team Scores'!$W40, 3)</f>
        <v>0.27700000000000002</v>
      </c>
      <c r="X40" s="31">
        <f>PERCENTRANK('Team Scores'!$X$3:$X$1000, 'Team Scores'!$X40, 3)</f>
        <v>0.129</v>
      </c>
      <c r="Y40" s="31">
        <f>PERCENTRANK('Team Scores'!$Y$3:$Y$1000, 'Team Scores'!$Y40, 3)</f>
        <v>0.72199999999999998</v>
      </c>
      <c r="Z40" s="31">
        <f>PERCENTRANK('Team Scores'!$Z$3:$Z$1000, 'Team Scores'!$Z40, 3)</f>
        <v>0.37</v>
      </c>
      <c r="AA40" s="31">
        <f t="shared" si="5"/>
        <v>0.1996</v>
      </c>
      <c r="AB40" s="31">
        <f t="shared" si="6"/>
        <v>0.5086250000000001</v>
      </c>
      <c r="AC40" s="31">
        <f t="shared" si="7"/>
        <v>0.6996</v>
      </c>
      <c r="AD40" s="31">
        <f t="shared" si="8"/>
        <v>0.51324999999999998</v>
      </c>
      <c r="AE40" s="31">
        <f t="shared" si="9"/>
        <v>0.48026875000000002</v>
      </c>
    </row>
    <row r="41" spans="1:31" ht="16" x14ac:dyDescent="0.2">
      <c r="A41" s="29">
        <v>3951</v>
      </c>
      <c r="B41" s="30">
        <f>COUNTIF(MatchScoutingData!E$2:E$1000, $A41)</f>
        <v>9</v>
      </c>
      <c r="C41" s="31">
        <f>PERCENTRANK('Team Scores'!$C$3:$C$1000, 'Team Scores'!$C41, 3)</f>
        <v>0.61099999999999999</v>
      </c>
      <c r="D41" s="31">
        <f>PERCENTRANK('Team Scores'!$D$3:$D$1000, 'Team Scores'!$D41, 3)</f>
        <v>7.3999999999999996E-2</v>
      </c>
      <c r="E41" s="31">
        <f>PERCENTRANK('Team Scores'!$E$3:$E$1000, 'Team Scores'!$E41, 3)</f>
        <v>0.61099999999999999</v>
      </c>
      <c r="F41" s="31">
        <f>PERCENTRANK('Team Scores'!$F$3:$F$1000, 'Team Scores'!$F41, 3)</f>
        <v>0</v>
      </c>
      <c r="G41" s="31">
        <f>PERCENTRANK('Team Scores'!$G$3:$G$1000, 'Team Scores'!$G41, 3)</f>
        <v>0.14799999999999999</v>
      </c>
      <c r="H41" s="31">
        <f>PERCENTRANK('Team Scores'!$H$3:$H$1000, 'Team Scores'!$H41, 3)</f>
        <v>0.5</v>
      </c>
      <c r="I41" s="31">
        <f>PERCENTRANK('Team Scores'!$I$3:$I$1000, 'Team Scores'!$I41, 3)</f>
        <v>0.77700000000000002</v>
      </c>
      <c r="J41" s="31">
        <f>PERCENTRANK('Team Scores'!$J$3:$J$1000, 'Team Scores'!$J41, 3)</f>
        <v>0.81399999999999995</v>
      </c>
      <c r="K41" s="31">
        <f>PERCENTRANK('Team Scores'!$K$3:$K$1000, 'Team Scores'!$K41, 3)</f>
        <v>0.5</v>
      </c>
      <c r="L41" s="31">
        <f>PERCENTRANK('Team Scores'!$L$3:$L$1000, 'Team Scores'!$L41, 3)</f>
        <v>0.42499999999999999</v>
      </c>
      <c r="M41" s="31">
        <f>PERCENTRANK('Team Scores'!$M$3:$M$1000, 'Team Scores'!$M41, 3)</f>
        <v>0.79600000000000004</v>
      </c>
      <c r="N41" s="31">
        <f>PERCENTRANK('Team Scores'!$N$3:$N$1000, 'Team Scores'!$N41, 3)</f>
        <v>0.51800000000000002</v>
      </c>
      <c r="O41" s="31">
        <f>PERCENTRANK('Team Scores'!$O$3:$O$1000, 'Team Scores'!$O41, 3)</f>
        <v>0.25900000000000001</v>
      </c>
      <c r="P41" s="31">
        <f>PERCENTRANK('Team Scores'!$P$3:$P$1000, 'Team Scores'!$P41, 3)</f>
        <v>0.77700000000000002</v>
      </c>
      <c r="Q41" s="31">
        <f>PERCENTRANK('Team Scores'!$Q$3:$Q$1000, 'Team Scores'!$Q41, 3)</f>
        <v>0.53700000000000003</v>
      </c>
      <c r="R41" s="31">
        <f>PERCENTRANK('Team Scores'!$R$3:$R$1000, 'Team Scores'!$R41, 3)</f>
        <v>0.222</v>
      </c>
      <c r="S41" s="31">
        <f>PERCENTRANK('Team Scores'!$S$3:$S$1000, 'Team Scores'!$S41, 3)</f>
        <v>0.314</v>
      </c>
      <c r="T41" s="31">
        <f>PERCENTRANK('Team Scores'!$T$3:$T$1000, 'Team Scores'!$T41, 3)</f>
        <v>0.5</v>
      </c>
      <c r="U41" s="31">
        <f>PERCENTRANK('Team Scores'!$U$3:$U$1000, 'Team Scores'!$U41, 3)</f>
        <v>0.222</v>
      </c>
      <c r="V41" s="31">
        <f>PERCENTRANK('Team Scores'!$V$3:$V$1000, 'Team Scores'!$V41, 3)</f>
        <v>0.27700000000000002</v>
      </c>
      <c r="W41" s="31">
        <f>PERCENTRANK('Team Scores'!$W$3:$W$1000, 'Team Scores'!$W41, 3)</f>
        <v>0.53700000000000003</v>
      </c>
      <c r="X41" s="31">
        <f>PERCENTRANK('Team Scores'!$X$3:$X$1000, 'Team Scores'!$X41, 3)</f>
        <v>0.96199999999999997</v>
      </c>
      <c r="Y41" s="31">
        <f>PERCENTRANK('Team Scores'!$Y$3:$Y$1000, 'Team Scores'!$Y41, 3)</f>
        <v>3.6999999999999998E-2</v>
      </c>
      <c r="Z41" s="31">
        <f>PERCENTRANK('Team Scores'!$Z$3:$Z$1000, 'Team Scores'!$Z41, 3)</f>
        <v>0.68500000000000005</v>
      </c>
      <c r="AA41" s="31">
        <f t="shared" si="5"/>
        <v>0.28879999999999995</v>
      </c>
      <c r="AB41" s="31">
        <f t="shared" si="6"/>
        <v>0.57362500000000005</v>
      </c>
      <c r="AC41" s="31">
        <f t="shared" si="7"/>
        <v>0.47000000000000003</v>
      </c>
      <c r="AD41" s="31">
        <f t="shared" si="8"/>
        <v>0.4995</v>
      </c>
      <c r="AE41" s="31">
        <f t="shared" si="9"/>
        <v>0.45798125000000001</v>
      </c>
    </row>
    <row r="42" spans="1:31" ht="16" x14ac:dyDescent="0.2">
      <c r="A42" s="29">
        <v>4093</v>
      </c>
      <c r="B42" s="30">
        <f>COUNTIF(MatchScoutingData!E$2:E$1000, $A42)</f>
        <v>9</v>
      </c>
      <c r="C42" s="31">
        <f>PERCENTRANK('Team Scores'!$C$3:$C$1000, 'Team Scores'!$C42, 3)</f>
        <v>0.38800000000000001</v>
      </c>
      <c r="D42" s="31">
        <f>PERCENTRANK('Team Scores'!$D$3:$D$1000, 'Team Scores'!$D42, 3)</f>
        <v>0</v>
      </c>
      <c r="E42" s="31">
        <f>PERCENTRANK('Team Scores'!$E$3:$E$1000, 'Team Scores'!$E42, 3)</f>
        <v>0.129</v>
      </c>
      <c r="F42" s="31">
        <f>PERCENTRANK('Team Scores'!$F$3:$F$1000, 'Team Scores'!$F42, 3)</f>
        <v>0.61099999999999999</v>
      </c>
      <c r="G42" s="31">
        <f>PERCENTRANK('Team Scores'!$G$3:$G$1000, 'Team Scores'!$G42, 3)</f>
        <v>0.68500000000000005</v>
      </c>
      <c r="H42" s="31">
        <f>PERCENTRANK('Team Scores'!$H$3:$H$1000, 'Team Scores'!$H42, 3)</f>
        <v>0.88800000000000001</v>
      </c>
      <c r="I42" s="31">
        <f>PERCENTRANK('Team Scores'!$I$3:$I$1000, 'Team Scores'!$I42, 3)</f>
        <v>0.33300000000000002</v>
      </c>
      <c r="J42" s="31">
        <f>PERCENTRANK('Team Scores'!$J$3:$J$1000, 'Team Scores'!$J42, 3)</f>
        <v>0.33300000000000002</v>
      </c>
      <c r="K42" s="31">
        <f>PERCENTRANK('Team Scores'!$K$3:$K$1000, 'Team Scores'!$K42, 3)</f>
        <v>0.314</v>
      </c>
      <c r="L42" s="31">
        <f>PERCENTRANK('Team Scores'!$L$3:$L$1000, 'Team Scores'!$L42, 3)</f>
        <v>0.222</v>
      </c>
      <c r="M42" s="31">
        <f>PERCENTRANK('Team Scores'!$M$3:$M$1000, 'Team Scores'!$M42, 3)</f>
        <v>0.314</v>
      </c>
      <c r="N42" s="31">
        <f>PERCENTRANK('Team Scores'!$N$3:$N$1000, 'Team Scores'!$N42, 3)</f>
        <v>0.74</v>
      </c>
      <c r="O42" s="31">
        <f>PERCENTRANK('Team Scores'!$O$3:$O$1000, 'Team Scores'!$O42, 3)</f>
        <v>0.87</v>
      </c>
      <c r="P42" s="31">
        <f>PERCENTRANK('Team Scores'!$P$3:$P$1000, 'Team Scores'!$P42, 3)</f>
        <v>0.87</v>
      </c>
      <c r="Q42" s="31">
        <f>PERCENTRANK('Team Scores'!$Q$3:$Q$1000, 'Team Scores'!$Q42, 3)</f>
        <v>0.53700000000000003</v>
      </c>
      <c r="R42" s="31">
        <f>PERCENTRANK('Team Scores'!$R$3:$R$1000, 'Team Scores'!$R42, 3)</f>
        <v>0.85099999999999998</v>
      </c>
      <c r="S42" s="31">
        <f>PERCENTRANK('Team Scores'!$S$3:$S$1000, 'Team Scores'!$S42, 3)</f>
        <v>0.314</v>
      </c>
      <c r="T42" s="31">
        <f>PERCENTRANK('Team Scores'!$T$3:$T$1000, 'Team Scores'!$T42, 3)</f>
        <v>0.64800000000000002</v>
      </c>
      <c r="U42" s="31">
        <f>PERCENTRANK('Team Scores'!$U$3:$U$1000, 'Team Scores'!$U42, 3)</f>
        <v>5.5E-2</v>
      </c>
      <c r="V42" s="31">
        <f>PERCENTRANK('Team Scores'!$V$3:$V$1000, 'Team Scores'!$V42, 3)</f>
        <v>0</v>
      </c>
      <c r="W42" s="31">
        <f>PERCENTRANK('Team Scores'!$W$3:$W$1000, 'Team Scores'!$W42, 3)</f>
        <v>0.53700000000000003</v>
      </c>
      <c r="X42" s="31">
        <f>PERCENTRANK('Team Scores'!$X$3:$X$1000, 'Team Scores'!$X42, 3)</f>
        <v>3.6999999999999998E-2</v>
      </c>
      <c r="Y42" s="31">
        <f>PERCENTRANK('Team Scores'!$Y$3:$Y$1000, 'Team Scores'!$Y42, 3)</f>
        <v>0.51800000000000002</v>
      </c>
      <c r="Z42" s="31">
        <f>PERCENTRANK('Team Scores'!$Z$3:$Z$1000, 'Team Scores'!$Z42, 3)</f>
        <v>0.185</v>
      </c>
      <c r="AA42" s="31">
        <f t="shared" si="5"/>
        <v>0.36260000000000003</v>
      </c>
      <c r="AB42" s="31">
        <f t="shared" si="6"/>
        <v>0.50175000000000003</v>
      </c>
      <c r="AC42" s="31">
        <f t="shared" si="7"/>
        <v>0.64400000000000002</v>
      </c>
      <c r="AD42" s="31">
        <f t="shared" si="8"/>
        <v>0.15725000000000003</v>
      </c>
      <c r="AE42" s="31">
        <f t="shared" si="9"/>
        <v>0.41640000000000005</v>
      </c>
    </row>
    <row r="43" spans="1:31" ht="16" x14ac:dyDescent="0.2">
      <c r="A43" s="29">
        <v>4253</v>
      </c>
      <c r="B43" s="30">
        <f>COUNTIF(MatchScoutingData!E$2:E$1000, $A43)</f>
        <v>9</v>
      </c>
      <c r="C43" s="31">
        <f>PERCENTRANK('Team Scores'!$C$3:$C$1000, 'Team Scores'!$C43, 3)</f>
        <v>3.6999999999999998E-2</v>
      </c>
      <c r="D43" s="31">
        <f>PERCENTRANK('Team Scores'!$D$3:$D$1000, 'Team Scores'!$D43, 3)</f>
        <v>0.51800000000000002</v>
      </c>
      <c r="E43" s="31">
        <f>PERCENTRANK('Team Scores'!$E$3:$E$1000, 'Team Scores'!$E43, 3)</f>
        <v>0.61099999999999999</v>
      </c>
      <c r="F43" s="31">
        <f>PERCENTRANK('Team Scores'!$F$3:$F$1000, 'Team Scores'!$F43, 3)</f>
        <v>7.3999999999999996E-2</v>
      </c>
      <c r="G43" s="31">
        <f>PERCENTRANK('Team Scores'!$G$3:$G$1000, 'Team Scores'!$G43, 3)</f>
        <v>0.48099999999999998</v>
      </c>
      <c r="H43" s="31">
        <f>PERCENTRANK('Team Scores'!$H$3:$H$1000, 'Team Scores'!$H43, 3)</f>
        <v>5.5E-2</v>
      </c>
      <c r="I43" s="31">
        <f>PERCENTRANK('Team Scores'!$I$3:$I$1000, 'Team Scores'!$I43, 3)</f>
        <v>1</v>
      </c>
      <c r="J43" s="31">
        <f>PERCENTRANK('Team Scores'!$J$3:$J$1000, 'Team Scores'!$J43, 3)</f>
        <v>0.33300000000000002</v>
      </c>
      <c r="K43" s="31">
        <f>PERCENTRANK('Team Scores'!$K$3:$K$1000, 'Team Scores'!$K43, 3)</f>
        <v>3.6999999999999998E-2</v>
      </c>
      <c r="L43" s="31">
        <f>PERCENTRANK('Team Scores'!$L$3:$L$1000, 'Team Scores'!$L43, 3)</f>
        <v>0.42499999999999999</v>
      </c>
      <c r="M43" s="31">
        <f>PERCENTRANK('Team Scores'!$M$3:$M$1000, 'Team Scores'!$M43, 3)</f>
        <v>0.314</v>
      </c>
      <c r="N43" s="31">
        <f>PERCENTRANK('Team Scores'!$N$3:$N$1000, 'Team Scores'!$N43, 3)</f>
        <v>0.24</v>
      </c>
      <c r="O43" s="31">
        <f>PERCENTRANK('Team Scores'!$O$3:$O$1000, 'Team Scores'!$O43, 3)</f>
        <v>5.5E-2</v>
      </c>
      <c r="P43" s="31">
        <f>PERCENTRANK('Team Scores'!$P$3:$P$1000, 'Team Scores'!$P43, 3)</f>
        <v>0.37</v>
      </c>
      <c r="Q43" s="31">
        <f>PERCENTRANK('Team Scores'!$Q$3:$Q$1000, 'Team Scores'!$Q43, 3)</f>
        <v>0.27700000000000002</v>
      </c>
      <c r="R43" s="31">
        <f>PERCENTRANK('Team Scores'!$R$3:$R$1000, 'Team Scores'!$R43, 3)</f>
        <v>0.222</v>
      </c>
      <c r="S43" s="31">
        <f>PERCENTRANK('Team Scores'!$S$3:$S$1000, 'Team Scores'!$S43, 3)</f>
        <v>0</v>
      </c>
      <c r="T43" s="31">
        <f>PERCENTRANK('Team Scores'!$T$3:$T$1000, 'Team Scores'!$T43, 3)</f>
        <v>0.5</v>
      </c>
      <c r="U43" s="31">
        <f>PERCENTRANK('Team Scores'!$U$3:$U$1000, 'Team Scores'!$U43, 3)</f>
        <v>0.98099999999999998</v>
      </c>
      <c r="V43" s="31">
        <f>PERCENTRANK('Team Scores'!$V$3:$V$1000, 'Team Scores'!$V43, 3)</f>
        <v>0.5</v>
      </c>
      <c r="W43" s="31">
        <f>PERCENTRANK('Team Scores'!$W$3:$W$1000, 'Team Scores'!$W43, 3)</f>
        <v>9.1999999999999998E-2</v>
      </c>
      <c r="X43" s="31">
        <f>PERCENTRANK('Team Scores'!$X$3:$X$1000, 'Team Scores'!$X43, 3)</f>
        <v>0.25900000000000001</v>
      </c>
      <c r="Y43" s="31">
        <f>PERCENTRANK('Team Scores'!$Y$3:$Y$1000, 'Team Scores'!$Y43, 3)</f>
        <v>0.314</v>
      </c>
      <c r="Z43" s="31">
        <f>PERCENTRANK('Team Scores'!$Z$3:$Z$1000, 'Team Scores'!$Z43, 3)</f>
        <v>0.185</v>
      </c>
      <c r="AA43" s="31">
        <f t="shared" si="5"/>
        <v>0.34420000000000001</v>
      </c>
      <c r="AB43" s="31">
        <f t="shared" si="6"/>
        <v>0.30737500000000001</v>
      </c>
      <c r="AC43" s="31">
        <f t="shared" si="7"/>
        <v>0.27379999999999999</v>
      </c>
      <c r="AD43" s="31">
        <f t="shared" si="8"/>
        <v>0.45799999999999996</v>
      </c>
      <c r="AE43" s="31">
        <f t="shared" si="9"/>
        <v>0.34584375000000001</v>
      </c>
    </row>
    <row r="44" spans="1:31" ht="16" x14ac:dyDescent="0.2">
      <c r="A44" s="29">
        <v>4458</v>
      </c>
      <c r="B44" s="30">
        <f>COUNTIF(MatchScoutingData!E$2:E$1000, $A44)</f>
        <v>9</v>
      </c>
      <c r="C44" s="31">
        <f>PERCENTRANK('Team Scores'!$C$3:$C$1000, 'Team Scores'!$C44, 3)</f>
        <v>0.38800000000000001</v>
      </c>
      <c r="D44" s="31">
        <f>PERCENTRANK('Team Scores'!$D$3:$D$1000, 'Team Scores'!$D44, 3)</f>
        <v>0.90700000000000003</v>
      </c>
      <c r="E44" s="31">
        <f>PERCENTRANK('Team Scores'!$E$3:$E$1000, 'Team Scores'!$E44, 3)</f>
        <v>0.314</v>
      </c>
      <c r="F44" s="31">
        <f>PERCENTRANK('Team Scores'!$F$3:$F$1000, 'Team Scores'!$F44, 3)</f>
        <v>7.3999999999999996E-2</v>
      </c>
      <c r="G44" s="31">
        <f>PERCENTRANK('Team Scores'!$G$3:$G$1000, 'Team Scores'!$G44, 3)</f>
        <v>0.48099999999999998</v>
      </c>
      <c r="H44" s="31">
        <f>PERCENTRANK('Team Scores'!$H$3:$H$1000, 'Team Scores'!$H44, 3)</f>
        <v>0.35099999999999998</v>
      </c>
      <c r="I44" s="31">
        <f>PERCENTRANK('Team Scores'!$I$3:$I$1000, 'Team Scores'!$I44, 3)</f>
        <v>3.6999999999999998E-2</v>
      </c>
      <c r="J44" s="31">
        <f>PERCENTRANK('Team Scores'!$J$3:$J$1000, 'Team Scores'!$J44, 3)</f>
        <v>0</v>
      </c>
      <c r="K44" s="31">
        <f>PERCENTRANK('Team Scores'!$K$3:$K$1000, 'Team Scores'!$K44, 3)</f>
        <v>0.74</v>
      </c>
      <c r="L44" s="31">
        <f>PERCENTRANK('Team Scores'!$L$3:$L$1000, 'Team Scores'!$L44, 3)</f>
        <v>0.42499999999999999</v>
      </c>
      <c r="M44" s="31">
        <f>PERCENTRANK('Team Scores'!$M$3:$M$1000, 'Team Scores'!$M44, 3)</f>
        <v>0.61099999999999999</v>
      </c>
      <c r="N44" s="31">
        <f>PERCENTRANK('Team Scores'!$N$3:$N$1000, 'Team Scores'!$N44, 3)</f>
        <v>0.74</v>
      </c>
      <c r="O44" s="31">
        <f>PERCENTRANK('Team Scores'!$O$3:$O$1000, 'Team Scores'!$O44, 3)</f>
        <v>0.87</v>
      </c>
      <c r="P44" s="31">
        <f>PERCENTRANK('Team Scores'!$P$3:$P$1000, 'Team Scores'!$P44, 3)</f>
        <v>0.77700000000000002</v>
      </c>
      <c r="Q44" s="31">
        <f>PERCENTRANK('Team Scores'!$Q$3:$Q$1000, 'Team Scores'!$Q44, 3)</f>
        <v>0.27700000000000002</v>
      </c>
      <c r="R44" s="31">
        <f>PERCENTRANK('Team Scores'!$R$3:$R$1000, 'Team Scores'!$R44, 3)</f>
        <v>0.5</v>
      </c>
      <c r="S44" s="31">
        <f>PERCENTRANK('Team Scores'!$S$3:$S$1000, 'Team Scores'!$S44, 3)</f>
        <v>0.88800000000000001</v>
      </c>
      <c r="T44" s="31">
        <f>PERCENTRANK('Team Scores'!$T$3:$T$1000, 'Team Scores'!$T44, 3)</f>
        <v>0.25900000000000001</v>
      </c>
      <c r="U44" s="31">
        <f>PERCENTRANK('Team Scores'!$U$3:$U$1000, 'Team Scores'!$U44, 3)</f>
        <v>5.5E-2</v>
      </c>
      <c r="V44" s="31">
        <f>PERCENTRANK('Team Scores'!$V$3:$V$1000, 'Team Scores'!$V44, 3)</f>
        <v>1.7999999999999999E-2</v>
      </c>
      <c r="W44" s="31">
        <f>PERCENTRANK('Team Scores'!$W$3:$W$1000, 'Team Scores'!$W44, 3)</f>
        <v>0.72199999999999998</v>
      </c>
      <c r="X44" s="31">
        <f>PERCENTRANK('Team Scores'!$X$3:$X$1000, 'Team Scores'!$X44, 3)</f>
        <v>0.90700000000000003</v>
      </c>
      <c r="Y44" s="31">
        <f>PERCENTRANK('Team Scores'!$Y$3:$Y$1000, 'Team Scores'!$Y44, 3)</f>
        <v>0.51800000000000002</v>
      </c>
      <c r="Z44" s="31">
        <f>PERCENTRANK('Team Scores'!$Z$3:$Z$1000, 'Team Scores'!$Z44, 3)</f>
        <v>0.88800000000000001</v>
      </c>
      <c r="AA44" s="31">
        <f t="shared" si="5"/>
        <v>0.43280000000000002</v>
      </c>
      <c r="AB44" s="31">
        <f t="shared" si="6"/>
        <v>0.47175</v>
      </c>
      <c r="AC44" s="31">
        <f t="shared" si="7"/>
        <v>0.54020000000000001</v>
      </c>
      <c r="AD44" s="31">
        <f t="shared" si="8"/>
        <v>0.42549999999999999</v>
      </c>
      <c r="AE44" s="31">
        <f t="shared" si="9"/>
        <v>0.46756249999999999</v>
      </c>
    </row>
    <row r="45" spans="1:31" ht="16" x14ac:dyDescent="0.2">
      <c r="A45" s="29">
        <v>4930</v>
      </c>
      <c r="B45" s="30">
        <f>COUNTIF(MatchScoutingData!E$2:E$1000, $A45)</f>
        <v>9</v>
      </c>
      <c r="C45" s="31">
        <f>PERCENTRANK('Team Scores'!$C$3:$C$1000, 'Team Scores'!$C45, 3)</f>
        <v>3.6999999999999998E-2</v>
      </c>
      <c r="D45" s="31">
        <f>PERCENTRANK('Team Scores'!$D$3:$D$1000, 'Team Scores'!$D45, 3)</f>
        <v>0.75900000000000001</v>
      </c>
      <c r="E45" s="31">
        <f>PERCENTRANK('Team Scores'!$E$3:$E$1000, 'Team Scores'!$E45, 3)</f>
        <v>0</v>
      </c>
      <c r="F45" s="31">
        <f>PERCENTRANK('Team Scores'!$F$3:$F$1000, 'Team Scores'!$F45, 3)</f>
        <v>0.61099999999999999</v>
      </c>
      <c r="G45" s="31">
        <f>PERCENTRANK('Team Scores'!$G$3:$G$1000, 'Team Scores'!$G45, 3)</f>
        <v>1.7999999999999999E-2</v>
      </c>
      <c r="H45" s="31">
        <f>PERCENTRANK('Team Scores'!$H$3:$H$1000, 'Team Scores'!$H45, 3)</f>
        <v>0.88800000000000001</v>
      </c>
      <c r="I45" s="31">
        <f>PERCENTRANK('Team Scores'!$I$3:$I$1000, 'Team Scores'!$I45, 3)</f>
        <v>0.33300000000000002</v>
      </c>
      <c r="J45" s="31">
        <f>PERCENTRANK('Team Scores'!$J$3:$J$1000, 'Team Scores'!$J45, 3)</f>
        <v>0.129</v>
      </c>
      <c r="K45" s="31">
        <f>PERCENTRANK('Team Scores'!$K$3:$K$1000, 'Team Scores'!$K45, 3)</f>
        <v>0.129</v>
      </c>
      <c r="L45" s="31">
        <f>PERCENTRANK('Team Scores'!$L$3:$L$1000, 'Team Scores'!$L45, 3)</f>
        <v>0.42499999999999999</v>
      </c>
      <c r="M45" s="31">
        <f>PERCENTRANK('Team Scores'!$M$3:$M$1000, 'Team Scores'!$M45, 3)</f>
        <v>0.79600000000000004</v>
      </c>
      <c r="N45" s="31">
        <f>PERCENTRANK('Team Scores'!$N$3:$N$1000, 'Team Scores'!$N45, 3)</f>
        <v>0.51800000000000002</v>
      </c>
      <c r="O45" s="31">
        <f>PERCENTRANK('Team Scores'!$O$3:$O$1000, 'Team Scores'!$O45, 3)</f>
        <v>0.25900000000000001</v>
      </c>
      <c r="P45" s="31">
        <f>PERCENTRANK('Team Scores'!$P$3:$P$1000, 'Team Scores'!$P45, 3)</f>
        <v>0.46200000000000002</v>
      </c>
      <c r="Q45" s="31">
        <f>PERCENTRANK('Team Scores'!$Q$3:$Q$1000, 'Team Scores'!$Q45, 3)</f>
        <v>7.3999999999999996E-2</v>
      </c>
      <c r="R45" s="31">
        <f>PERCENTRANK('Team Scores'!$R$3:$R$1000, 'Team Scores'!$R45, 3)</f>
        <v>0.222</v>
      </c>
      <c r="S45" s="31">
        <f>PERCENTRANK('Team Scores'!$S$3:$S$1000, 'Team Scores'!$S45, 3)</f>
        <v>0.51800000000000002</v>
      </c>
      <c r="T45" s="31">
        <f>PERCENTRANK('Team Scores'!$T$3:$T$1000, 'Team Scores'!$T45, 3)</f>
        <v>9.1999999999999998E-2</v>
      </c>
      <c r="U45" s="31">
        <f>PERCENTRANK('Team Scores'!$U$3:$U$1000, 'Team Scores'!$U45, 3)</f>
        <v>0.88800000000000001</v>
      </c>
      <c r="V45" s="31">
        <f>PERCENTRANK('Team Scores'!$V$3:$V$1000, 'Team Scores'!$V45, 3)</f>
        <v>0.33300000000000002</v>
      </c>
      <c r="W45" s="31">
        <f>PERCENTRANK('Team Scores'!$W$3:$W$1000, 'Team Scores'!$W45, 3)</f>
        <v>0.27700000000000002</v>
      </c>
      <c r="X45" s="31">
        <f>PERCENTRANK('Team Scores'!$X$3:$X$1000, 'Team Scores'!$X45, 3)</f>
        <v>0</v>
      </c>
      <c r="Y45" s="31">
        <f>PERCENTRANK('Team Scores'!$Y$3:$Y$1000, 'Team Scores'!$Y45, 3)</f>
        <v>0.72199999999999998</v>
      </c>
      <c r="Z45" s="31">
        <f>PERCENTRANK('Team Scores'!$Z$3:$Z$1000, 'Team Scores'!$Z45, 3)</f>
        <v>7.3999999999999996E-2</v>
      </c>
      <c r="AA45" s="31">
        <f t="shared" si="5"/>
        <v>0.28500000000000003</v>
      </c>
      <c r="AB45" s="31">
        <f t="shared" si="6"/>
        <v>0.43462499999999998</v>
      </c>
      <c r="AC45" s="31">
        <f t="shared" si="7"/>
        <v>0.27360000000000001</v>
      </c>
      <c r="AD45" s="31">
        <f t="shared" si="8"/>
        <v>0.37450000000000006</v>
      </c>
      <c r="AE45" s="31">
        <f t="shared" si="9"/>
        <v>0.34193125000000002</v>
      </c>
    </row>
    <row r="46" spans="1:31" ht="16" x14ac:dyDescent="0.2">
      <c r="A46" s="29">
        <v>5528</v>
      </c>
      <c r="B46" s="30">
        <f>COUNTIF(MatchScoutingData!E$2:E$1000, $A46)</f>
        <v>9</v>
      </c>
      <c r="C46" s="31">
        <f>PERCENTRANK('Team Scores'!$C$3:$C$1000, 'Team Scores'!$C46, 3)</f>
        <v>0.38800000000000001</v>
      </c>
      <c r="D46" s="31">
        <f>PERCENTRANK('Team Scores'!$D$3:$D$1000, 'Team Scores'!$D46, 3)</f>
        <v>7.3999999999999996E-2</v>
      </c>
      <c r="E46" s="31">
        <f>PERCENTRANK('Team Scores'!$E$3:$E$1000, 'Team Scores'!$E46, 3)</f>
        <v>0.61099999999999999</v>
      </c>
      <c r="F46" s="31">
        <f>PERCENTRANK('Team Scores'!$F$3:$F$1000, 'Team Scores'!$F46, 3)</f>
        <v>0.61099999999999999</v>
      </c>
      <c r="G46" s="31">
        <f>PERCENTRANK('Team Scores'!$G$3:$G$1000, 'Team Scores'!$G46, 3)</f>
        <v>0.24</v>
      </c>
      <c r="H46" s="31">
        <f>PERCENTRANK('Team Scores'!$H$3:$H$1000, 'Team Scores'!$H46, 3)</f>
        <v>0.88800000000000001</v>
      </c>
      <c r="I46" s="31">
        <f>PERCENTRANK('Team Scores'!$I$3:$I$1000, 'Team Scores'!$I46, 3)</f>
        <v>0.33300000000000002</v>
      </c>
      <c r="J46" s="31">
        <f>PERCENTRANK('Team Scores'!$J$3:$J$1000, 'Team Scores'!$J46, 3)</f>
        <v>0.27700000000000002</v>
      </c>
      <c r="K46" s="31">
        <f>PERCENTRANK('Team Scores'!$K$3:$K$1000, 'Team Scores'!$K46, 3)</f>
        <v>0.74</v>
      </c>
      <c r="L46" s="31">
        <f>PERCENTRANK('Team Scores'!$L$3:$L$1000, 'Team Scores'!$L46, 3)</f>
        <v>0.77700000000000002</v>
      </c>
      <c r="M46" s="31">
        <f>PERCENTRANK('Team Scores'!$M$3:$M$1000, 'Team Scores'!$M46, 3)</f>
        <v>0.314</v>
      </c>
      <c r="N46" s="31">
        <f>PERCENTRANK('Team Scores'!$N$3:$N$1000, 'Team Scores'!$N46, 3)</f>
        <v>0.94399999999999995</v>
      </c>
      <c r="O46" s="31">
        <f>PERCENTRANK('Team Scores'!$O$3:$O$1000, 'Team Scores'!$O46, 3)</f>
        <v>0.25900000000000001</v>
      </c>
      <c r="P46" s="31">
        <f>PERCENTRANK('Team Scores'!$P$3:$P$1000, 'Team Scores'!$P46, 3)</f>
        <v>0.87</v>
      </c>
      <c r="Q46" s="31">
        <f>PERCENTRANK('Team Scores'!$Q$3:$Q$1000, 'Team Scores'!$Q46, 3)</f>
        <v>0.53700000000000003</v>
      </c>
      <c r="R46" s="31">
        <f>PERCENTRANK('Team Scores'!$R$3:$R$1000, 'Team Scores'!$R46, 3)</f>
        <v>3.6999999999999998E-2</v>
      </c>
      <c r="S46" s="31">
        <f>PERCENTRANK('Team Scores'!$S$3:$S$1000, 'Team Scores'!$S46, 3)</f>
        <v>0.111</v>
      </c>
      <c r="T46" s="31">
        <f>PERCENTRANK('Team Scores'!$T$3:$T$1000, 'Team Scores'!$T46, 3)</f>
        <v>0.70299999999999996</v>
      </c>
      <c r="U46" s="31">
        <f>PERCENTRANK('Team Scores'!$U$3:$U$1000, 'Team Scores'!$U46, 3)</f>
        <v>0.37</v>
      </c>
      <c r="V46" s="31">
        <f>PERCENTRANK('Team Scores'!$V$3:$V$1000, 'Team Scores'!$V46, 3)</f>
        <v>0.53700000000000003</v>
      </c>
      <c r="W46" s="31">
        <f>PERCENTRANK('Team Scores'!$W$3:$W$1000, 'Team Scores'!$W46, 3)</f>
        <v>0.27700000000000002</v>
      </c>
      <c r="X46" s="31">
        <f>PERCENTRANK('Team Scores'!$X$3:$X$1000, 'Team Scores'!$X46, 3)</f>
        <v>0.25900000000000001</v>
      </c>
      <c r="Y46" s="31">
        <f>PERCENTRANK('Team Scores'!$Y$3:$Y$1000, 'Team Scores'!$Y46, 3)</f>
        <v>3.6999999999999998E-2</v>
      </c>
      <c r="Z46" s="31">
        <f>PERCENTRANK('Team Scores'!$Z$3:$Z$1000, 'Team Scores'!$Z46, 3)</f>
        <v>0.185</v>
      </c>
      <c r="AA46" s="31">
        <f t="shared" si="5"/>
        <v>0.38479999999999998</v>
      </c>
      <c r="AB46" s="31">
        <f t="shared" si="6"/>
        <v>0.56650000000000011</v>
      </c>
      <c r="AC46" s="31">
        <f t="shared" si="7"/>
        <v>0.4516</v>
      </c>
      <c r="AD46" s="31">
        <f t="shared" si="8"/>
        <v>0.36075000000000002</v>
      </c>
      <c r="AE46" s="31">
        <f t="shared" si="9"/>
        <v>0.44091250000000004</v>
      </c>
    </row>
    <row r="47" spans="1:31" ht="16" x14ac:dyDescent="0.2">
      <c r="A47" s="29">
        <v>5590</v>
      </c>
      <c r="B47" s="30">
        <f>COUNTIF(MatchScoutingData!E$2:E$1000, $A47)</f>
        <v>9</v>
      </c>
      <c r="C47" s="31">
        <f>PERCENTRANK('Team Scores'!$C$3:$C$1000, 'Team Scores'!$C47, 3)</f>
        <v>0.61099999999999999</v>
      </c>
      <c r="D47" s="31">
        <f>PERCENTRANK('Team Scores'!$D$3:$D$1000, 'Team Scores'!$D47, 3)</f>
        <v>7.3999999999999996E-2</v>
      </c>
      <c r="E47" s="31">
        <f>PERCENTRANK('Team Scores'!$E$3:$E$1000, 'Team Scores'!$E47, 3)</f>
        <v>0.92500000000000004</v>
      </c>
      <c r="F47" s="31">
        <f>PERCENTRANK('Team Scores'!$F$3:$F$1000, 'Team Scores'!$F47, 3)</f>
        <v>0.25900000000000001</v>
      </c>
      <c r="G47" s="31">
        <f>PERCENTRANK('Team Scores'!$G$3:$G$1000, 'Team Scores'!$G47, 3)</f>
        <v>0.14799999999999999</v>
      </c>
      <c r="H47" s="31">
        <f>PERCENTRANK('Team Scores'!$H$3:$H$1000, 'Team Scores'!$H47, 3)</f>
        <v>0.35099999999999998</v>
      </c>
      <c r="I47" s="31">
        <f>PERCENTRANK('Team Scores'!$I$3:$I$1000, 'Team Scores'!$I47, 3)</f>
        <v>0.33300000000000002</v>
      </c>
      <c r="J47" s="31">
        <f>PERCENTRANK('Team Scores'!$J$3:$J$1000, 'Team Scores'!$J47, 3)</f>
        <v>0.51800000000000002</v>
      </c>
      <c r="K47" s="31">
        <f>PERCENTRANK('Team Scores'!$K$3:$K$1000, 'Team Scores'!$K47, 3)</f>
        <v>0.129</v>
      </c>
      <c r="L47" s="31">
        <f>PERCENTRANK('Team Scores'!$L$3:$L$1000, 'Team Scores'!$L47, 3)</f>
        <v>0.77700000000000002</v>
      </c>
      <c r="M47" s="31">
        <f>PERCENTRANK('Team Scores'!$M$3:$M$1000, 'Team Scores'!$M47, 3)</f>
        <v>0.61099999999999999</v>
      </c>
      <c r="N47" s="31">
        <f>PERCENTRANK('Team Scores'!$N$3:$N$1000, 'Team Scores'!$N47, 3)</f>
        <v>0</v>
      </c>
      <c r="O47" s="31">
        <f>PERCENTRANK('Team Scores'!$O$3:$O$1000, 'Team Scores'!$O47, 3)</f>
        <v>0.79600000000000004</v>
      </c>
      <c r="P47" s="31">
        <f>PERCENTRANK('Team Scores'!$P$3:$P$1000, 'Team Scores'!$P47, 3)</f>
        <v>0.77700000000000002</v>
      </c>
      <c r="Q47" s="31">
        <f>PERCENTRANK('Team Scores'!$Q$3:$Q$1000, 'Team Scores'!$Q47, 3)</f>
        <v>0.92500000000000004</v>
      </c>
      <c r="R47" s="31">
        <f>PERCENTRANK('Team Scores'!$R$3:$R$1000, 'Team Scores'!$R47, 3)</f>
        <v>0.85099999999999998</v>
      </c>
      <c r="S47" s="31">
        <f>PERCENTRANK('Team Scores'!$S$3:$S$1000, 'Team Scores'!$S47, 3)</f>
        <v>0.111</v>
      </c>
      <c r="T47" s="31">
        <f>PERCENTRANK('Team Scores'!$T$3:$T$1000, 'Team Scores'!$T47, 3)</f>
        <v>0.92500000000000004</v>
      </c>
      <c r="U47" s="31">
        <f>PERCENTRANK('Team Scores'!$U$3:$U$1000, 'Team Scores'!$U47, 3)</f>
        <v>5.5E-2</v>
      </c>
      <c r="V47" s="31">
        <f>PERCENTRANK('Team Scores'!$V$3:$V$1000, 'Team Scores'!$V47, 3)</f>
        <v>0.35099999999999998</v>
      </c>
      <c r="W47" s="31">
        <f>PERCENTRANK('Team Scores'!$W$3:$W$1000, 'Team Scores'!$W47, 3)</f>
        <v>0.72199999999999998</v>
      </c>
      <c r="X47" s="31">
        <f>PERCENTRANK('Team Scores'!$X$3:$X$1000, 'Team Scores'!$X47, 3)</f>
        <v>0.70299999999999996</v>
      </c>
      <c r="Y47" s="31">
        <f>PERCENTRANK('Team Scores'!$Y$3:$Y$1000, 'Team Scores'!$Y47, 3)</f>
        <v>0.314</v>
      </c>
      <c r="Z47" s="31">
        <f>PERCENTRANK('Team Scores'!$Z$3:$Z$1000, 'Team Scores'!$Z47, 3)</f>
        <v>0.68500000000000005</v>
      </c>
      <c r="AA47" s="31">
        <f t="shared" si="5"/>
        <v>0.40339999999999998</v>
      </c>
      <c r="AB47" s="31">
        <f t="shared" si="6"/>
        <v>0.43937500000000007</v>
      </c>
      <c r="AC47" s="31">
        <f t="shared" si="7"/>
        <v>0.7178000000000001</v>
      </c>
      <c r="AD47" s="31">
        <f t="shared" si="8"/>
        <v>0.45774999999999999</v>
      </c>
      <c r="AE47" s="31">
        <f t="shared" si="9"/>
        <v>0.50458124999999998</v>
      </c>
    </row>
    <row r="48" spans="1:31" ht="16" x14ac:dyDescent="0.2">
      <c r="A48" s="29">
        <v>6423</v>
      </c>
      <c r="B48" s="30">
        <f>COUNTIF(MatchScoutingData!E$2:E$1000, $A48)</f>
        <v>9</v>
      </c>
      <c r="C48" s="31">
        <f>PERCENTRANK('Team Scores'!$C$3:$C$1000, 'Team Scores'!$C48, 3)</f>
        <v>0.38800000000000001</v>
      </c>
      <c r="D48" s="31">
        <f>PERCENTRANK('Team Scores'!$D$3:$D$1000, 'Team Scores'!$D48, 3)</f>
        <v>0.51800000000000002</v>
      </c>
      <c r="E48" s="31">
        <f>PERCENTRANK('Team Scores'!$E$3:$E$1000, 'Team Scores'!$E48, 3)</f>
        <v>0.129</v>
      </c>
      <c r="F48" s="31">
        <f>PERCENTRANK('Team Scores'!$F$3:$F$1000, 'Team Scores'!$F48, 3)</f>
        <v>0.25900000000000001</v>
      </c>
      <c r="G48" s="31">
        <f>PERCENTRANK('Team Scores'!$G$3:$G$1000, 'Team Scores'!$G48, 3)</f>
        <v>5.5E-2</v>
      </c>
      <c r="H48" s="31">
        <f>PERCENTRANK('Team Scores'!$H$3:$H$1000, 'Team Scores'!$H48, 3)</f>
        <v>0.5</v>
      </c>
      <c r="I48" s="31">
        <f>PERCENTRANK('Team Scores'!$I$3:$I$1000, 'Team Scores'!$I48, 3)</f>
        <v>0.66600000000000004</v>
      </c>
      <c r="J48" s="31">
        <f>PERCENTRANK('Team Scores'!$J$3:$J$1000, 'Team Scores'!$J48, 3)</f>
        <v>0.72199999999999998</v>
      </c>
      <c r="K48" s="31">
        <f>PERCENTRANK('Team Scores'!$K$3:$K$1000, 'Team Scores'!$K48, 3)</f>
        <v>0.74</v>
      </c>
      <c r="L48" s="31">
        <f>PERCENTRANK('Team Scores'!$L$3:$L$1000, 'Team Scores'!$L48, 3)</f>
        <v>0.42499999999999999</v>
      </c>
      <c r="M48" s="31">
        <f>PERCENTRANK('Team Scores'!$M$3:$M$1000, 'Team Scores'!$M48, 3)</f>
        <v>0.16600000000000001</v>
      </c>
      <c r="N48" s="31">
        <f>PERCENTRANK('Team Scores'!$N$3:$N$1000, 'Team Scores'!$N48, 3)</f>
        <v>0.24</v>
      </c>
      <c r="O48" s="31">
        <f>PERCENTRANK('Team Scores'!$O$3:$O$1000, 'Team Scores'!$O48, 3)</f>
        <v>0.53700000000000003</v>
      </c>
      <c r="P48" s="31">
        <f>PERCENTRANK('Team Scores'!$P$3:$P$1000, 'Team Scores'!$P48, 3)</f>
        <v>7.3999999999999996E-2</v>
      </c>
      <c r="Q48" s="31">
        <f>PERCENTRANK('Team Scores'!$Q$3:$Q$1000, 'Team Scores'!$Q48, 3)</f>
        <v>0.92500000000000004</v>
      </c>
      <c r="R48" s="31">
        <f>PERCENTRANK('Team Scores'!$R$3:$R$1000, 'Team Scores'!$R48, 3)</f>
        <v>0.5</v>
      </c>
      <c r="S48" s="31">
        <f>PERCENTRANK('Team Scores'!$S$3:$S$1000, 'Team Scores'!$S48, 3)</f>
        <v>0.51800000000000002</v>
      </c>
      <c r="T48" s="31">
        <f>PERCENTRANK('Team Scores'!$T$3:$T$1000, 'Team Scores'!$T48, 3)</f>
        <v>0.5</v>
      </c>
      <c r="U48" s="31">
        <f>PERCENTRANK('Team Scores'!$U$3:$U$1000, 'Team Scores'!$U48, 3)</f>
        <v>0.53700000000000003</v>
      </c>
      <c r="V48" s="31">
        <f>PERCENTRANK('Team Scores'!$V$3:$V$1000, 'Team Scores'!$V48, 3)</f>
        <v>0.64800000000000002</v>
      </c>
      <c r="W48" s="31">
        <f>PERCENTRANK('Team Scores'!$W$3:$W$1000, 'Team Scores'!$W48, 3)</f>
        <v>0.27700000000000002</v>
      </c>
      <c r="X48" s="31">
        <f>PERCENTRANK('Team Scores'!$X$3:$X$1000, 'Team Scores'!$X48, 3)</f>
        <v>0.129</v>
      </c>
      <c r="Y48" s="31">
        <f>PERCENTRANK('Team Scores'!$Y$3:$Y$1000, 'Team Scores'!$Y48, 3)</f>
        <v>0.72199999999999998</v>
      </c>
      <c r="Z48" s="31">
        <f>PERCENTRANK('Team Scores'!$Z$3:$Z$1000, 'Team Scores'!$Z48, 3)</f>
        <v>0.37</v>
      </c>
      <c r="AA48" s="31">
        <f t="shared" si="5"/>
        <v>0.26979999999999998</v>
      </c>
      <c r="AB48" s="31">
        <f t="shared" si="6"/>
        <v>0.49949999999999994</v>
      </c>
      <c r="AC48" s="31">
        <f t="shared" si="7"/>
        <v>0.50340000000000007</v>
      </c>
      <c r="AD48" s="31">
        <f t="shared" si="8"/>
        <v>0.39775000000000005</v>
      </c>
      <c r="AE48" s="31">
        <f t="shared" si="9"/>
        <v>0.4176125</v>
      </c>
    </row>
    <row r="49" spans="1:31" ht="16" x14ac:dyDescent="0.2">
      <c r="A49" s="29">
        <v>6868</v>
      </c>
      <c r="B49" s="30">
        <f>COUNTIF(MatchScoutingData!E$2:E$1000, $A49)</f>
        <v>9</v>
      </c>
      <c r="C49" s="31">
        <f>PERCENTRANK('Team Scores'!$C$3:$C$1000, 'Team Scores'!$C49, 3)</f>
        <v>0.38800000000000001</v>
      </c>
      <c r="D49" s="31">
        <f>PERCENTRANK('Team Scores'!$D$3:$D$1000, 'Team Scores'!$D49, 3)</f>
        <v>0.27700000000000002</v>
      </c>
      <c r="E49" s="31">
        <f>PERCENTRANK('Team Scores'!$E$3:$E$1000, 'Team Scores'!$E49, 3)</f>
        <v>0.129</v>
      </c>
      <c r="F49" s="31">
        <f>PERCENTRANK('Team Scores'!$F$3:$F$1000, 'Team Scores'!$F49, 3)</f>
        <v>0.25900000000000001</v>
      </c>
      <c r="G49" s="31">
        <f>PERCENTRANK('Team Scores'!$G$3:$G$1000, 'Team Scores'!$G49, 3)</f>
        <v>0.81399999999999995</v>
      </c>
      <c r="H49" s="31">
        <f>PERCENTRANK('Team Scores'!$H$3:$H$1000, 'Team Scores'!$H49, 3)</f>
        <v>0.14799999999999999</v>
      </c>
      <c r="I49" s="31">
        <f>PERCENTRANK('Team Scores'!$I$3:$I$1000, 'Team Scores'!$I49, 3)</f>
        <v>0.46200000000000002</v>
      </c>
      <c r="J49" s="31">
        <f>PERCENTRANK('Team Scores'!$J$3:$J$1000, 'Team Scores'!$J49, 3)</f>
        <v>0.27700000000000002</v>
      </c>
      <c r="K49" s="31">
        <f>PERCENTRANK('Team Scores'!$K$3:$K$1000, 'Team Scores'!$K49, 3)</f>
        <v>0.5</v>
      </c>
      <c r="L49" s="31">
        <f>PERCENTRANK('Team Scores'!$L$3:$L$1000, 'Team Scores'!$L49, 3)</f>
        <v>0.94399999999999995</v>
      </c>
      <c r="M49" s="31">
        <f>PERCENTRANK('Team Scores'!$M$3:$M$1000, 'Team Scores'!$M49, 3)</f>
        <v>0.314</v>
      </c>
      <c r="N49" s="31">
        <f>PERCENTRANK('Team Scores'!$N$3:$N$1000, 'Team Scores'!$N49, 3)</f>
        <v>0.94399999999999995</v>
      </c>
      <c r="O49" s="31">
        <f>PERCENTRANK('Team Scores'!$O$3:$O$1000, 'Team Scores'!$O49, 3)</f>
        <v>5.5E-2</v>
      </c>
      <c r="P49" s="31">
        <f>PERCENTRANK('Team Scores'!$P$3:$P$1000, 'Team Scores'!$P49, 3)</f>
        <v>0.20300000000000001</v>
      </c>
      <c r="Q49" s="31">
        <f>PERCENTRANK('Team Scores'!$Q$3:$Q$1000, 'Team Scores'!$Q49, 3)</f>
        <v>7.3999999999999996E-2</v>
      </c>
      <c r="R49" s="31">
        <f>PERCENTRANK('Team Scores'!$R$3:$R$1000, 'Team Scores'!$R49, 3)</f>
        <v>3.6999999999999998E-2</v>
      </c>
      <c r="S49" s="31">
        <f>PERCENTRANK('Team Scores'!$S$3:$S$1000, 'Team Scores'!$S49, 3)</f>
        <v>3.6999999999999998E-2</v>
      </c>
      <c r="T49" s="31">
        <f>PERCENTRANK('Team Scores'!$T$3:$T$1000, 'Team Scores'!$T49, 3)</f>
        <v>0.64800000000000002</v>
      </c>
      <c r="U49" s="31">
        <f>PERCENTRANK('Team Scores'!$U$3:$U$1000, 'Team Scores'!$U49, 3)</f>
        <v>0.222</v>
      </c>
      <c r="V49" s="31">
        <f>PERCENTRANK('Team Scores'!$V$3:$V$1000, 'Team Scores'!$V49, 3)</f>
        <v>0.111</v>
      </c>
      <c r="W49" s="31">
        <f>PERCENTRANK('Team Scores'!$W$3:$W$1000, 'Team Scores'!$W49, 3)</f>
        <v>1</v>
      </c>
      <c r="X49" s="31">
        <f>PERCENTRANK('Team Scores'!$X$3:$X$1000, 'Team Scores'!$X49, 3)</f>
        <v>0.25900000000000001</v>
      </c>
      <c r="Y49" s="31">
        <f>PERCENTRANK('Team Scores'!$Y$3:$Y$1000, 'Team Scores'!$Y49, 3)</f>
        <v>0.51800000000000002</v>
      </c>
      <c r="Z49" s="31">
        <f>PERCENTRANK('Team Scores'!$Z$3:$Z$1000, 'Team Scores'!$Z49, 3)</f>
        <v>0.81399999999999995</v>
      </c>
      <c r="AA49" s="31">
        <f t="shared" si="5"/>
        <v>0.37340000000000001</v>
      </c>
      <c r="AB49" s="31">
        <f t="shared" si="6"/>
        <v>0.45550000000000002</v>
      </c>
      <c r="AC49" s="31">
        <f t="shared" si="7"/>
        <v>0.19980000000000001</v>
      </c>
      <c r="AD49" s="31">
        <f t="shared" si="8"/>
        <v>0.39800000000000002</v>
      </c>
      <c r="AE49" s="31">
        <f t="shared" si="9"/>
        <v>0.35667499999999996</v>
      </c>
    </row>
    <row r="50" spans="1:31" ht="16" x14ac:dyDescent="0.2">
      <c r="A50" s="29">
        <v>6947</v>
      </c>
      <c r="B50" s="30">
        <f>COUNTIF(MatchScoutingData!E$2:E$1000, $A50)</f>
        <v>9</v>
      </c>
      <c r="C50" s="31">
        <f>PERCENTRANK('Team Scores'!$C$3:$C$1000, 'Team Scores'!$C50, 3)</f>
        <v>0.38800000000000001</v>
      </c>
      <c r="D50" s="31">
        <f>PERCENTRANK('Team Scores'!$D$3:$D$1000, 'Team Scores'!$D50, 3)</f>
        <v>7.3999999999999996E-2</v>
      </c>
      <c r="E50" s="31">
        <f>PERCENTRANK('Team Scores'!$E$3:$E$1000, 'Team Scores'!$E50, 3)</f>
        <v>0.314</v>
      </c>
      <c r="F50" s="31">
        <f>PERCENTRANK('Team Scores'!$F$3:$F$1000, 'Team Scores'!$F50, 3)</f>
        <v>0.61099999999999999</v>
      </c>
      <c r="G50" s="31">
        <f>PERCENTRANK('Team Scores'!$G$3:$G$1000, 'Team Scores'!$G50, 3)</f>
        <v>0.14799999999999999</v>
      </c>
      <c r="H50" s="31">
        <f>PERCENTRANK('Team Scores'!$H$3:$H$1000, 'Team Scores'!$H50, 3)</f>
        <v>0.88800000000000001</v>
      </c>
      <c r="I50" s="31">
        <f>PERCENTRANK('Team Scores'!$I$3:$I$1000, 'Team Scores'!$I50, 3)</f>
        <v>0.46200000000000002</v>
      </c>
      <c r="J50" s="31">
        <f>PERCENTRANK('Team Scores'!$J$3:$J$1000, 'Team Scores'!$J50, 3)</f>
        <v>0.51800000000000002</v>
      </c>
      <c r="K50" s="31">
        <f>PERCENTRANK('Team Scores'!$K$3:$K$1000, 'Team Scores'!$K50, 3)</f>
        <v>3.6999999999999998E-2</v>
      </c>
      <c r="L50" s="31">
        <f>PERCENTRANK('Team Scores'!$L$3:$L$1000, 'Team Scores'!$L50, 3)</f>
        <v>0.42499999999999999</v>
      </c>
      <c r="M50" s="31">
        <f>PERCENTRANK('Team Scores'!$M$3:$M$1000, 'Team Scores'!$M50, 3)</f>
        <v>0.79600000000000004</v>
      </c>
      <c r="N50" s="31">
        <f>PERCENTRANK('Team Scores'!$N$3:$N$1000, 'Team Scores'!$N50, 3)</f>
        <v>5.5E-2</v>
      </c>
      <c r="O50" s="31">
        <f>PERCENTRANK('Team Scores'!$O$3:$O$1000, 'Team Scores'!$O50, 3)</f>
        <v>0.25900000000000001</v>
      </c>
      <c r="P50" s="31">
        <f>PERCENTRANK('Team Scores'!$P$3:$P$1000, 'Team Scores'!$P50, 3)</f>
        <v>0.27700000000000002</v>
      </c>
      <c r="Q50" s="31">
        <f>PERCENTRANK('Team Scores'!$Q$3:$Q$1000, 'Team Scores'!$Q50, 3)</f>
        <v>7.3999999999999996E-2</v>
      </c>
      <c r="R50" s="31">
        <f>PERCENTRANK('Team Scores'!$R$3:$R$1000, 'Team Scores'!$R50, 3)</f>
        <v>0.85099999999999998</v>
      </c>
      <c r="S50" s="31">
        <f>PERCENTRANK('Team Scores'!$S$3:$S$1000, 'Team Scores'!$S50, 3)</f>
        <v>0.314</v>
      </c>
      <c r="T50" s="31">
        <f>PERCENTRANK('Team Scores'!$T$3:$T$1000, 'Team Scores'!$T50, 3)</f>
        <v>0.5</v>
      </c>
      <c r="U50" s="31">
        <f>PERCENTRANK('Team Scores'!$U$3:$U$1000, 'Team Scores'!$U50, 3)</f>
        <v>0.53700000000000003</v>
      </c>
      <c r="V50" s="31">
        <f>PERCENTRANK('Team Scores'!$V$3:$V$1000, 'Team Scores'!$V50, 3)</f>
        <v>0.72199999999999998</v>
      </c>
      <c r="W50" s="31">
        <f>PERCENTRANK('Team Scores'!$W$3:$W$1000, 'Team Scores'!$W50, 3)</f>
        <v>0.53700000000000003</v>
      </c>
      <c r="X50" s="31">
        <f>PERCENTRANK('Team Scores'!$X$3:$X$1000, 'Team Scores'!$X50, 3)</f>
        <v>0.90700000000000003</v>
      </c>
      <c r="Y50" s="31">
        <f>PERCENTRANK('Team Scores'!$Y$3:$Y$1000, 'Team Scores'!$Y50, 3)</f>
        <v>0.314</v>
      </c>
      <c r="Z50" s="31">
        <f>PERCENTRANK('Team Scores'!$Z$3:$Z$1000, 'Team Scores'!$Z50, 3)</f>
        <v>0.68500000000000005</v>
      </c>
      <c r="AA50" s="31">
        <f t="shared" si="5"/>
        <v>0.307</v>
      </c>
      <c r="AB50" s="31">
        <f t="shared" si="6"/>
        <v>0.43000000000000005</v>
      </c>
      <c r="AC50" s="31">
        <f t="shared" si="7"/>
        <v>0.4032</v>
      </c>
      <c r="AD50" s="31">
        <f t="shared" si="8"/>
        <v>0.67574999999999996</v>
      </c>
      <c r="AE50" s="31">
        <f t="shared" si="9"/>
        <v>0.45398749999999999</v>
      </c>
    </row>
    <row r="51" spans="1:31" ht="16" x14ac:dyDescent="0.2">
      <c r="A51" s="29">
        <v>7030</v>
      </c>
      <c r="B51" s="30">
        <f>COUNTIF(MatchScoutingData!E$2:E$1000, $A51)</f>
        <v>9</v>
      </c>
      <c r="C51" s="31">
        <f>PERCENTRANK('Team Scores'!$C$3:$C$1000, 'Team Scores'!$C51, 3)</f>
        <v>0.96199999999999997</v>
      </c>
      <c r="D51" s="31">
        <f>PERCENTRANK('Team Scores'!$D$3:$D$1000, 'Team Scores'!$D51, 3)</f>
        <v>0.51800000000000002</v>
      </c>
      <c r="E51" s="31">
        <f>PERCENTRANK('Team Scores'!$E$3:$E$1000, 'Team Scores'!$E51, 3)</f>
        <v>0.81399999999999995</v>
      </c>
      <c r="F51" s="31">
        <f>PERCENTRANK('Team Scores'!$F$3:$F$1000, 'Team Scores'!$F51, 3)</f>
        <v>0.25900000000000001</v>
      </c>
      <c r="G51" s="31">
        <f>PERCENTRANK('Team Scores'!$G$3:$G$1000, 'Team Scores'!$G51, 3)</f>
        <v>5.5E-2</v>
      </c>
      <c r="H51" s="31">
        <f>PERCENTRANK('Team Scores'!$H$3:$H$1000, 'Team Scores'!$H51, 3)</f>
        <v>0.25900000000000001</v>
      </c>
      <c r="I51" s="31">
        <f>PERCENTRANK('Team Scores'!$I$3:$I$1000, 'Team Scores'!$I51, 3)</f>
        <v>0.111</v>
      </c>
      <c r="J51" s="31">
        <f>PERCENTRANK('Team Scores'!$J$3:$J$1000, 'Team Scores'!$J51, 3)</f>
        <v>0.129</v>
      </c>
      <c r="K51" s="31">
        <f>PERCENTRANK('Team Scores'!$K$3:$K$1000, 'Team Scores'!$K51, 3)</f>
        <v>0.314</v>
      </c>
      <c r="L51" s="31">
        <f>PERCENTRANK('Team Scores'!$L$3:$L$1000, 'Team Scores'!$L51, 3)</f>
        <v>0.77700000000000002</v>
      </c>
      <c r="M51" s="31">
        <f>PERCENTRANK('Team Scores'!$M$3:$M$1000, 'Team Scores'!$M51, 3)</f>
        <v>0.79600000000000004</v>
      </c>
      <c r="N51" s="31">
        <f>PERCENTRANK('Team Scores'!$N$3:$N$1000, 'Team Scores'!$N51, 3)</f>
        <v>0.51800000000000002</v>
      </c>
      <c r="O51" s="31">
        <f>PERCENTRANK('Team Scores'!$O$3:$O$1000, 'Team Scores'!$O51, 3)</f>
        <v>1</v>
      </c>
      <c r="P51" s="31">
        <f>PERCENTRANK('Team Scores'!$P$3:$P$1000, 'Team Scores'!$P51, 3)</f>
        <v>0.20300000000000001</v>
      </c>
      <c r="Q51" s="31">
        <f>PERCENTRANK('Team Scores'!$Q$3:$Q$1000, 'Team Scores'!$Q51, 3)</f>
        <v>0.27700000000000002</v>
      </c>
      <c r="R51" s="31">
        <f>PERCENTRANK('Team Scores'!$R$3:$R$1000, 'Team Scores'!$R51, 3)</f>
        <v>3.6999999999999998E-2</v>
      </c>
      <c r="S51" s="31">
        <f>PERCENTRANK('Team Scores'!$S$3:$S$1000, 'Team Scores'!$S51, 3)</f>
        <v>0</v>
      </c>
      <c r="T51" s="31">
        <f>PERCENTRANK('Team Scores'!$T$3:$T$1000, 'Team Scores'!$T51, 3)</f>
        <v>0.25900000000000001</v>
      </c>
      <c r="U51" s="31">
        <f>PERCENTRANK('Team Scores'!$U$3:$U$1000, 'Team Scores'!$U51, 3)</f>
        <v>0</v>
      </c>
      <c r="V51" s="31">
        <f>PERCENTRANK('Team Scores'!$V$3:$V$1000, 'Team Scores'!$V51, 3)</f>
        <v>0.38800000000000001</v>
      </c>
      <c r="W51" s="31">
        <f>PERCENTRANK('Team Scores'!$W$3:$W$1000, 'Team Scores'!$W51, 3)</f>
        <v>0.53700000000000003</v>
      </c>
      <c r="X51" s="31">
        <f>PERCENTRANK('Team Scores'!$X$3:$X$1000, 'Team Scores'!$X51, 3)</f>
        <v>0.90700000000000003</v>
      </c>
      <c r="Y51" s="31">
        <f>PERCENTRANK('Team Scores'!$Y$3:$Y$1000, 'Team Scores'!$Y51, 3)</f>
        <v>0.72199999999999998</v>
      </c>
      <c r="Z51" s="31">
        <f>PERCENTRANK('Team Scores'!$Z$3:$Z$1000, 'Team Scores'!$Z51, 3)</f>
        <v>0.88800000000000001</v>
      </c>
      <c r="AA51" s="31">
        <f t="shared" si="5"/>
        <v>0.52160000000000006</v>
      </c>
      <c r="AB51" s="31">
        <f t="shared" si="6"/>
        <v>0.48799999999999999</v>
      </c>
      <c r="AC51" s="31">
        <f t="shared" si="7"/>
        <v>0.1552</v>
      </c>
      <c r="AD51" s="31">
        <f t="shared" si="8"/>
        <v>0.45800000000000002</v>
      </c>
      <c r="AE51" s="31">
        <f t="shared" si="9"/>
        <v>0.40570000000000001</v>
      </c>
    </row>
    <row r="52" spans="1:31" ht="16" x14ac:dyDescent="0.2">
      <c r="A52" s="29">
        <v>7903</v>
      </c>
      <c r="B52" s="30">
        <f>COUNTIF(MatchScoutingData!E$2:E$1000, $A52)</f>
        <v>10</v>
      </c>
      <c r="C52" s="31">
        <f>PERCENTRANK('Team Scores'!$C$3:$C$1000, 'Team Scores'!$C52, 3)</f>
        <v>0.81399999999999995</v>
      </c>
      <c r="D52" s="31">
        <f>PERCENTRANK('Team Scores'!$D$3:$D$1000, 'Team Scores'!$D52, 3)</f>
        <v>0.90700000000000003</v>
      </c>
      <c r="E52" s="31">
        <f>PERCENTRANK('Team Scores'!$E$3:$E$1000, 'Team Scores'!$E52, 3)</f>
        <v>0</v>
      </c>
      <c r="F52" s="31">
        <f>PERCENTRANK('Team Scores'!$F$3:$F$1000, 'Team Scores'!$F52, 3)</f>
        <v>0.25900000000000001</v>
      </c>
      <c r="G52" s="31">
        <f>PERCENTRANK('Team Scores'!$G$3:$G$1000, 'Team Scores'!$G52, 3)</f>
        <v>0.59199999999999997</v>
      </c>
      <c r="H52" s="31">
        <f>PERCENTRANK('Team Scores'!$H$3:$H$1000, 'Team Scores'!$H52, 3)</f>
        <v>5.5E-2</v>
      </c>
      <c r="I52" s="31">
        <f>PERCENTRANK('Team Scores'!$I$3:$I$1000, 'Team Scores'!$I52, 3)</f>
        <v>0.92500000000000004</v>
      </c>
      <c r="J52" s="31">
        <f>PERCENTRANK('Team Scores'!$J$3:$J$1000, 'Team Scores'!$J52, 3)</f>
        <v>1</v>
      </c>
      <c r="K52" s="31">
        <f>PERCENTRANK('Team Scores'!$K$3:$K$1000, 'Team Scores'!$K52, 3)</f>
        <v>0.129</v>
      </c>
      <c r="L52" s="31">
        <f>PERCENTRANK('Team Scores'!$L$3:$L$1000, 'Team Scores'!$L52, 3)</f>
        <v>0.42499999999999999</v>
      </c>
      <c r="M52" s="31">
        <f>PERCENTRANK('Team Scores'!$M$3:$M$1000, 'Team Scores'!$M52, 3)</f>
        <v>0.79600000000000004</v>
      </c>
      <c r="N52" s="31">
        <f>PERCENTRANK('Team Scores'!$N$3:$N$1000, 'Team Scores'!$N52, 3)</f>
        <v>3.6999999999999998E-2</v>
      </c>
      <c r="O52" s="31">
        <f>PERCENTRANK('Team Scores'!$O$3:$O$1000, 'Team Scores'!$O52, 3)</f>
        <v>0.87</v>
      </c>
      <c r="P52" s="31">
        <f>PERCENTRANK('Team Scores'!$P$3:$P$1000, 'Team Scores'!$P52, 3)</f>
        <v>0.27700000000000002</v>
      </c>
      <c r="Q52" s="31">
        <f>PERCENTRANK('Team Scores'!$Q$3:$Q$1000, 'Team Scores'!$Q52, 3)</f>
        <v>0.92500000000000004</v>
      </c>
      <c r="R52" s="31">
        <f>PERCENTRANK('Team Scores'!$R$3:$R$1000, 'Team Scores'!$R52, 3)</f>
        <v>0.5</v>
      </c>
      <c r="S52" s="31">
        <f>PERCENTRANK('Team Scores'!$S$3:$S$1000, 'Team Scores'!$S52, 3)</f>
        <v>0.314</v>
      </c>
      <c r="T52" s="31">
        <f>PERCENTRANK('Team Scores'!$T$3:$T$1000, 'Team Scores'!$T52, 3)</f>
        <v>0.25900000000000001</v>
      </c>
      <c r="U52" s="31">
        <f>PERCENTRANK('Team Scores'!$U$3:$U$1000, 'Team Scores'!$U52, 3)</f>
        <v>0.53700000000000003</v>
      </c>
      <c r="V52" s="31">
        <f>PERCENTRANK('Team Scores'!$V$3:$V$1000, 'Team Scores'!$V52, 3)</f>
        <v>0.44400000000000001</v>
      </c>
      <c r="W52" s="31">
        <f>PERCENTRANK('Team Scores'!$W$3:$W$1000, 'Team Scores'!$W52, 3)</f>
        <v>9.1999999999999998E-2</v>
      </c>
      <c r="X52" s="31">
        <f>PERCENTRANK('Team Scores'!$X$3:$X$1000, 'Team Scores'!$X52, 3)</f>
        <v>0.70299999999999996</v>
      </c>
      <c r="Y52" s="31">
        <f>PERCENTRANK('Team Scores'!$Y$3:$Y$1000, 'Team Scores'!$Y52, 3)</f>
        <v>0</v>
      </c>
      <c r="Z52" s="31">
        <f>PERCENTRANK('Team Scores'!$Z$3:$Z$1000, 'Team Scores'!$Z52, 3)</f>
        <v>0.185</v>
      </c>
      <c r="AA52" s="31">
        <f t="shared" si="5"/>
        <v>0.51439999999999997</v>
      </c>
      <c r="AB52" s="31">
        <f t="shared" si="6"/>
        <v>0.52962500000000001</v>
      </c>
      <c r="AC52" s="31">
        <f t="shared" si="7"/>
        <v>0.45499999999999996</v>
      </c>
      <c r="AD52" s="31">
        <f t="shared" si="8"/>
        <v>0.44400000000000006</v>
      </c>
      <c r="AE52" s="31">
        <f t="shared" si="9"/>
        <v>0.48575625</v>
      </c>
    </row>
    <row r="53" spans="1:31" ht="16" x14ac:dyDescent="0.2">
      <c r="A53" s="29">
        <v>8503</v>
      </c>
      <c r="B53" s="30">
        <f>COUNTIF(MatchScoutingData!E$2:E$1000, $A53)</f>
        <v>9</v>
      </c>
      <c r="C53" s="31">
        <f>PERCENTRANK('Team Scores'!$C$3:$C$1000, 'Team Scores'!$C53, 3)</f>
        <v>0.61099999999999999</v>
      </c>
      <c r="D53" s="31">
        <f>PERCENTRANK('Team Scores'!$D$3:$D$1000, 'Team Scores'!$D53, 3)</f>
        <v>0.27700000000000002</v>
      </c>
      <c r="E53" s="31">
        <f>PERCENTRANK('Team Scores'!$E$3:$E$1000, 'Team Scores'!$E53, 3)</f>
        <v>0.314</v>
      </c>
      <c r="F53" s="31">
        <f>PERCENTRANK('Team Scores'!$F$3:$F$1000, 'Team Scores'!$F53, 3)</f>
        <v>0.61099999999999999</v>
      </c>
      <c r="G53" s="31">
        <f>PERCENTRANK('Team Scores'!$G$3:$G$1000, 'Team Scores'!$G53, 3)</f>
        <v>0.77700000000000002</v>
      </c>
      <c r="H53" s="31">
        <f>PERCENTRANK('Team Scores'!$H$3:$H$1000, 'Team Scores'!$H53, 3)</f>
        <v>0.14799999999999999</v>
      </c>
      <c r="I53" s="31">
        <f>PERCENTRANK('Team Scores'!$I$3:$I$1000, 'Team Scores'!$I53, 3)</f>
        <v>0.46200000000000002</v>
      </c>
      <c r="J53" s="31">
        <f>PERCENTRANK('Team Scores'!$J$3:$J$1000, 'Team Scores'!$J53, 3)</f>
        <v>0.629</v>
      </c>
      <c r="K53" s="31">
        <f>PERCENTRANK('Team Scores'!$K$3:$K$1000, 'Team Scores'!$K53, 3)</f>
        <v>0.5</v>
      </c>
      <c r="L53" s="31">
        <f>PERCENTRANK('Team Scores'!$L$3:$L$1000, 'Team Scores'!$L53, 3)</f>
        <v>0.42499999999999999</v>
      </c>
      <c r="M53" s="31">
        <f>PERCENTRANK('Team Scores'!$M$3:$M$1000, 'Team Scores'!$M53, 3)</f>
        <v>0.16600000000000001</v>
      </c>
      <c r="N53" s="31">
        <f>PERCENTRANK('Team Scores'!$N$3:$N$1000, 'Team Scores'!$N53, 3)</f>
        <v>0.51800000000000002</v>
      </c>
      <c r="O53" s="31">
        <f>PERCENTRANK('Team Scores'!$O$3:$O$1000, 'Team Scores'!$O53, 3)</f>
        <v>0.53700000000000003</v>
      </c>
      <c r="P53" s="31">
        <f>PERCENTRANK('Team Scores'!$P$3:$P$1000, 'Team Scores'!$P53, 3)</f>
        <v>0.37</v>
      </c>
      <c r="Q53" s="31">
        <f>PERCENTRANK('Team Scores'!$Q$3:$Q$1000, 'Team Scores'!$Q53, 3)</f>
        <v>0.53700000000000003</v>
      </c>
      <c r="R53" s="31">
        <f>PERCENTRANK('Team Scores'!$R$3:$R$1000, 'Team Scores'!$R53, 3)</f>
        <v>0.5</v>
      </c>
      <c r="S53" s="31">
        <f>PERCENTRANK('Team Scores'!$S$3:$S$1000, 'Team Scores'!$S53, 3)</f>
        <v>0.72199999999999998</v>
      </c>
      <c r="T53" s="31">
        <f>PERCENTRANK('Team Scores'!$T$3:$T$1000, 'Team Scores'!$T53, 3)</f>
        <v>0.25900000000000001</v>
      </c>
      <c r="U53" s="31">
        <f>PERCENTRANK('Team Scores'!$U$3:$U$1000, 'Team Scores'!$U53, 3)</f>
        <v>0.27700000000000002</v>
      </c>
      <c r="V53" s="31">
        <f>PERCENTRANK('Team Scores'!$V$3:$V$1000, 'Team Scores'!$V53, 3)</f>
        <v>0.83299999999999996</v>
      </c>
      <c r="W53" s="31">
        <f>PERCENTRANK('Team Scores'!$W$3:$W$1000, 'Team Scores'!$W53, 3)</f>
        <v>0.72199999999999998</v>
      </c>
      <c r="X53" s="31">
        <f>PERCENTRANK('Team Scores'!$X$3:$X$1000, 'Team Scores'!$X53, 3)</f>
        <v>0.46200000000000002</v>
      </c>
      <c r="Y53" s="31">
        <f>PERCENTRANK('Team Scores'!$Y$3:$Y$1000, 'Team Scores'!$Y53, 3)</f>
        <v>0</v>
      </c>
      <c r="Z53" s="31">
        <f>PERCENTRANK('Team Scores'!$Z$3:$Z$1000, 'Team Scores'!$Z53, 3)</f>
        <v>0.37</v>
      </c>
      <c r="AA53" s="31">
        <f t="shared" si="5"/>
        <v>0.51800000000000002</v>
      </c>
      <c r="AB53" s="31">
        <f t="shared" si="6"/>
        <v>0.42312499999999997</v>
      </c>
      <c r="AC53" s="31">
        <f t="shared" si="7"/>
        <v>0.47759999999999997</v>
      </c>
      <c r="AD53" s="31">
        <f t="shared" si="8"/>
        <v>0.57350000000000001</v>
      </c>
      <c r="AE53" s="31">
        <f t="shared" si="9"/>
        <v>0.49805624999999998</v>
      </c>
    </row>
    <row r="54" spans="1:31" ht="16" x14ac:dyDescent="0.2">
      <c r="A54" s="29">
        <v>9016</v>
      </c>
      <c r="B54" s="30">
        <f>COUNTIF(MatchScoutingData!E$2:E$1000, $A54)</f>
        <v>9</v>
      </c>
      <c r="C54" s="31">
        <f>PERCENTRANK('Team Scores'!$C$3:$C$1000, 'Team Scores'!$C54, 3)</f>
        <v>3.6999999999999998E-2</v>
      </c>
      <c r="D54" s="31">
        <f>PERCENTRANK('Team Scores'!$D$3:$D$1000, 'Team Scores'!$D54, 3)</f>
        <v>0.27700000000000002</v>
      </c>
      <c r="E54" s="31">
        <f>PERCENTRANK('Team Scores'!$E$3:$E$1000, 'Team Scores'!$E54, 3)</f>
        <v>0.129</v>
      </c>
      <c r="F54" s="31">
        <f>PERCENTRANK('Team Scores'!$F$3:$F$1000, 'Team Scores'!$F54, 3)</f>
        <v>0.14799999999999999</v>
      </c>
      <c r="G54" s="31">
        <f>PERCENTRANK('Team Scores'!$G$3:$G$1000, 'Team Scores'!$G54, 3)</f>
        <v>0</v>
      </c>
      <c r="H54" s="31">
        <f>PERCENTRANK('Team Scores'!$H$3:$H$1000, 'Team Scores'!$H54, 3)</f>
        <v>0.72199999999999998</v>
      </c>
      <c r="I54" s="31">
        <f>PERCENTRANK('Team Scores'!$I$3:$I$1000, 'Team Scores'!$I54, 3)</f>
        <v>0.222</v>
      </c>
      <c r="J54" s="31">
        <f>PERCENTRANK('Team Scores'!$J$3:$J$1000, 'Team Scores'!$J54, 3)</f>
        <v>0.129</v>
      </c>
      <c r="K54" s="31">
        <f>PERCENTRANK('Team Scores'!$K$3:$K$1000, 'Team Scores'!$K54, 3)</f>
        <v>0.5</v>
      </c>
      <c r="L54" s="31">
        <f>PERCENTRANK('Team Scores'!$L$3:$L$1000, 'Team Scores'!$L54, 3)</f>
        <v>0.77700000000000002</v>
      </c>
      <c r="M54" s="31">
        <f>PERCENTRANK('Team Scores'!$M$3:$M$1000, 'Team Scores'!$M54, 3)</f>
        <v>0.16600000000000001</v>
      </c>
      <c r="N54" s="31">
        <f>PERCENTRANK('Team Scores'!$N$3:$N$1000, 'Team Scores'!$N54, 3)</f>
        <v>0.51800000000000002</v>
      </c>
      <c r="O54" s="31">
        <f>PERCENTRANK('Team Scores'!$O$3:$O$1000, 'Team Scores'!$O54, 3)</f>
        <v>0.87</v>
      </c>
      <c r="P54" s="31">
        <f>PERCENTRANK('Team Scores'!$P$3:$P$1000, 'Team Scores'!$P54, 3)</f>
        <v>0</v>
      </c>
      <c r="Q54" s="31">
        <f>PERCENTRANK('Team Scores'!$Q$3:$Q$1000, 'Team Scores'!$Q54, 3)</f>
        <v>0</v>
      </c>
      <c r="R54" s="31">
        <f>PERCENTRANK('Team Scores'!$R$3:$R$1000, 'Team Scores'!$R54, 3)</f>
        <v>0.5</v>
      </c>
      <c r="S54" s="31">
        <f>PERCENTRANK('Team Scores'!$S$3:$S$1000, 'Team Scores'!$S54, 3)</f>
        <v>0.51800000000000002</v>
      </c>
      <c r="T54" s="31">
        <f>PERCENTRANK('Team Scores'!$T$3:$T$1000, 'Team Scores'!$T54, 3)</f>
        <v>0.16600000000000001</v>
      </c>
      <c r="U54" s="31">
        <f>PERCENTRANK('Team Scores'!$U$3:$U$1000, 'Team Scores'!$U54, 3)</f>
        <v>0.77700000000000002</v>
      </c>
      <c r="V54" s="31">
        <f>PERCENTRANK('Team Scores'!$V$3:$V$1000, 'Team Scores'!$V54, 3)</f>
        <v>0.90700000000000003</v>
      </c>
      <c r="W54" s="31">
        <f>PERCENTRANK('Team Scores'!$W$3:$W$1000, 'Team Scores'!$W54, 3)</f>
        <v>9.1999999999999998E-2</v>
      </c>
      <c r="X54" s="31">
        <f>PERCENTRANK('Team Scores'!$X$3:$X$1000, 'Team Scores'!$X54, 3)</f>
        <v>0.129</v>
      </c>
      <c r="Y54" s="31">
        <f>PERCENTRANK('Team Scores'!$Y$3:$Y$1000, 'Team Scores'!$Y54, 3)</f>
        <v>0.51800000000000002</v>
      </c>
      <c r="Z54" s="31">
        <f>PERCENTRANK('Team Scores'!$Z$3:$Z$1000, 'Team Scores'!$Z54, 3)</f>
        <v>0.185</v>
      </c>
      <c r="AA54" s="31">
        <f t="shared" si="5"/>
        <v>0.1182</v>
      </c>
      <c r="AB54" s="31">
        <f t="shared" si="6"/>
        <v>0.48799999999999999</v>
      </c>
      <c r="AC54" s="31">
        <f t="shared" si="7"/>
        <v>0.23679999999999998</v>
      </c>
      <c r="AD54" s="31">
        <f t="shared" si="8"/>
        <v>0.47625000000000006</v>
      </c>
      <c r="AE54" s="31">
        <f t="shared" si="9"/>
        <v>0.32981250000000001</v>
      </c>
    </row>
    <row r="55" spans="1:31" ht="16" x14ac:dyDescent="0.2">
      <c r="A55" s="29">
        <v>9767</v>
      </c>
      <c r="B55" s="30">
        <f>COUNTIF(MatchScoutingData!E$2:E$1000, $A55)</f>
        <v>9</v>
      </c>
      <c r="C55" s="31">
        <f>PERCENTRANK('Team Scores'!$C$3:$C$1000, 'Team Scores'!$C55, 3)</f>
        <v>3.6999999999999998E-2</v>
      </c>
      <c r="D55" s="31">
        <f>PERCENTRANK('Team Scores'!$D$3:$D$1000, 'Team Scores'!$D55, 3)</f>
        <v>0.90700000000000003</v>
      </c>
      <c r="E55" s="31">
        <f>PERCENTRANK('Team Scores'!$E$3:$E$1000, 'Team Scores'!$E55, 3)</f>
        <v>0.314</v>
      </c>
      <c r="F55" s="31">
        <f>PERCENTRANK('Team Scores'!$F$3:$F$1000, 'Team Scores'!$F55, 3)</f>
        <v>0</v>
      </c>
      <c r="G55" s="31">
        <f>PERCENTRANK('Team Scores'!$G$3:$G$1000, 'Team Scores'!$G55, 3)</f>
        <v>0.37</v>
      </c>
      <c r="H55" s="31">
        <f>PERCENTRANK('Team Scores'!$H$3:$H$1000, 'Team Scores'!$H55, 3)</f>
        <v>0.5</v>
      </c>
      <c r="I55" s="31">
        <f>PERCENTRANK('Team Scores'!$I$3:$I$1000, 'Team Scores'!$I55, 3)</f>
        <v>0.77700000000000002</v>
      </c>
      <c r="J55" s="31">
        <f>PERCENTRANK('Team Scores'!$J$3:$J$1000, 'Team Scores'!$J55, 3)</f>
        <v>0.42499999999999999</v>
      </c>
      <c r="K55" s="31">
        <f>PERCENTRANK('Team Scores'!$K$3:$K$1000, 'Team Scores'!$K55, 3)</f>
        <v>0.314</v>
      </c>
      <c r="L55" s="31">
        <f>PERCENTRANK('Team Scores'!$L$3:$L$1000, 'Team Scores'!$L55, 3)</f>
        <v>0.222</v>
      </c>
      <c r="M55" s="31">
        <f>PERCENTRANK('Team Scores'!$M$3:$M$1000, 'Team Scores'!$M55, 3)</f>
        <v>0.96199999999999997</v>
      </c>
      <c r="N55" s="31">
        <f>PERCENTRANK('Team Scores'!$N$3:$N$1000, 'Team Scores'!$N55, 3)</f>
        <v>5.5E-2</v>
      </c>
      <c r="O55" s="31">
        <f>PERCENTRANK('Team Scores'!$O$3:$O$1000, 'Team Scores'!$O55, 3)</f>
        <v>5.5E-2</v>
      </c>
      <c r="P55" s="31">
        <f>PERCENTRANK('Team Scores'!$P$3:$P$1000, 'Team Scores'!$P55, 3)</f>
        <v>0.27700000000000002</v>
      </c>
      <c r="Q55" s="31">
        <f>PERCENTRANK('Team Scores'!$Q$3:$Q$1000, 'Team Scores'!$Q55, 3)</f>
        <v>0.74</v>
      </c>
      <c r="R55" s="31">
        <f>PERCENTRANK('Team Scores'!$R$3:$R$1000, 'Team Scores'!$R55, 3)</f>
        <v>0.85099999999999998</v>
      </c>
      <c r="S55" s="31">
        <f>PERCENTRANK('Team Scores'!$S$3:$S$1000, 'Team Scores'!$S55, 3)</f>
        <v>0.51800000000000002</v>
      </c>
      <c r="T55" s="31">
        <f>PERCENTRANK('Team Scores'!$T$3:$T$1000, 'Team Scores'!$T55, 3)</f>
        <v>1.7999999999999999E-2</v>
      </c>
      <c r="U55" s="31">
        <f>PERCENTRANK('Team Scores'!$U$3:$U$1000, 'Team Scores'!$U55, 3)</f>
        <v>0.53700000000000003</v>
      </c>
      <c r="V55" s="31">
        <f>PERCENTRANK('Team Scores'!$V$3:$V$1000, 'Team Scores'!$V55, 3)</f>
        <v>0.20300000000000001</v>
      </c>
      <c r="W55" s="31">
        <f>PERCENTRANK('Team Scores'!$W$3:$W$1000, 'Team Scores'!$W55, 3)</f>
        <v>0</v>
      </c>
      <c r="X55" s="31">
        <f>PERCENTRANK('Team Scores'!$X$3:$X$1000, 'Team Scores'!$X55, 3)</f>
        <v>0.70299999999999996</v>
      </c>
      <c r="Y55" s="31">
        <f>PERCENTRANK('Team Scores'!$Y$3:$Y$1000, 'Team Scores'!$Y55, 3)</f>
        <v>0.314</v>
      </c>
      <c r="Z55" s="31">
        <f>PERCENTRANK('Team Scores'!$Z$3:$Z$1000, 'Team Scores'!$Z55, 3)</f>
        <v>0.314</v>
      </c>
      <c r="AA55" s="31">
        <f t="shared" si="5"/>
        <v>0.3256</v>
      </c>
      <c r="AB55" s="31">
        <f t="shared" si="6"/>
        <v>0.41375000000000006</v>
      </c>
      <c r="AC55" s="31">
        <f t="shared" si="7"/>
        <v>0.48080000000000001</v>
      </c>
      <c r="AD55" s="31">
        <f t="shared" si="8"/>
        <v>0.36075000000000002</v>
      </c>
      <c r="AE55" s="31">
        <f t="shared" si="9"/>
        <v>0.39522500000000005</v>
      </c>
    </row>
    <row r="56" spans="1:31" ht="16" x14ac:dyDescent="0.2">
      <c r="A56" s="29">
        <v>10223</v>
      </c>
      <c r="B56" s="30">
        <f>COUNTIF(MatchScoutingData!E$2:E$1000, $A56)</f>
        <v>9</v>
      </c>
      <c r="C56" s="31">
        <f>PERCENTRANK('Team Scores'!$C$3:$C$1000, 'Team Scores'!$C56, 3)</f>
        <v>3.6999999999999998E-2</v>
      </c>
      <c r="D56" s="31">
        <f>PERCENTRANK('Team Scores'!$D$3:$D$1000, 'Team Scores'!$D56, 3)</f>
        <v>0.51800000000000002</v>
      </c>
      <c r="E56" s="31">
        <f>PERCENTRANK('Team Scores'!$E$3:$E$1000, 'Team Scores'!$E56, 3)</f>
        <v>0.81399999999999995</v>
      </c>
      <c r="F56" s="31">
        <f>PERCENTRANK('Team Scores'!$F$3:$F$1000, 'Team Scores'!$F56, 3)</f>
        <v>0.61099999999999999</v>
      </c>
      <c r="G56" s="31">
        <f>PERCENTRANK('Team Scores'!$G$3:$G$1000, 'Team Scores'!$G56, 3)</f>
        <v>0.81399999999999995</v>
      </c>
      <c r="H56" s="31">
        <f>PERCENTRANK('Team Scores'!$H$3:$H$1000, 'Team Scores'!$H56, 3)</f>
        <v>0.5</v>
      </c>
      <c r="I56" s="31">
        <f>PERCENTRANK('Team Scores'!$I$3:$I$1000, 'Team Scores'!$I56, 3)</f>
        <v>0.46200000000000002</v>
      </c>
      <c r="J56" s="31">
        <f>PERCENTRANK('Team Scores'!$J$3:$J$1000, 'Team Scores'!$J56, 3)</f>
        <v>0.33300000000000002</v>
      </c>
      <c r="K56" s="31">
        <f>PERCENTRANK('Team Scores'!$K$3:$K$1000, 'Team Scores'!$K56, 3)</f>
        <v>3.6999999999999998E-2</v>
      </c>
      <c r="L56" s="31">
        <f>PERCENTRANK('Team Scores'!$L$3:$L$1000, 'Team Scores'!$L56, 3)</f>
        <v>0.42499999999999999</v>
      </c>
      <c r="M56" s="31">
        <f>PERCENTRANK('Team Scores'!$M$3:$M$1000, 'Team Scores'!$M56, 3)</f>
        <v>0.61099999999999999</v>
      </c>
      <c r="N56" s="31">
        <f>PERCENTRANK('Team Scores'!$N$3:$N$1000, 'Team Scores'!$N56, 3)</f>
        <v>0.74</v>
      </c>
      <c r="O56" s="31">
        <f>PERCENTRANK('Team Scores'!$O$3:$O$1000, 'Team Scores'!$O56, 3)</f>
        <v>0</v>
      </c>
      <c r="P56" s="31">
        <f>PERCENTRANK('Team Scores'!$P$3:$P$1000, 'Team Scores'!$P56, 3)</f>
        <v>0.46200000000000002</v>
      </c>
      <c r="Q56" s="31">
        <f>PERCENTRANK('Team Scores'!$Q$3:$Q$1000, 'Team Scores'!$Q56, 3)</f>
        <v>3.6999999999999998E-2</v>
      </c>
      <c r="R56" s="31">
        <f>PERCENTRANK('Team Scores'!$R$3:$R$1000, 'Team Scores'!$R56, 3)</f>
        <v>0.5</v>
      </c>
      <c r="S56" s="31">
        <f>PERCENTRANK('Team Scores'!$S$3:$S$1000, 'Team Scores'!$S56, 3)</f>
        <v>0.72199999999999998</v>
      </c>
      <c r="T56" s="31">
        <f>PERCENTRANK('Team Scores'!$T$3:$T$1000, 'Team Scores'!$T56, 3)</f>
        <v>0.74</v>
      </c>
      <c r="U56" s="31">
        <f>PERCENTRANK('Team Scores'!$U$3:$U$1000, 'Team Scores'!$U56, 3)</f>
        <v>0.14799999999999999</v>
      </c>
      <c r="V56" s="31">
        <f>PERCENTRANK('Team Scores'!$V$3:$V$1000, 'Team Scores'!$V56, 3)</f>
        <v>0.55500000000000005</v>
      </c>
      <c r="W56" s="31">
        <f>PERCENTRANK('Team Scores'!$W$3:$W$1000, 'Team Scores'!$W56, 3)</f>
        <v>0</v>
      </c>
      <c r="X56" s="31">
        <f>PERCENTRANK('Team Scores'!$X$3:$X$1000, 'Team Scores'!$X56, 3)</f>
        <v>0.46200000000000002</v>
      </c>
      <c r="Y56" s="31">
        <f>PERCENTRANK('Team Scores'!$Y$3:$Y$1000, 'Team Scores'!$Y56, 3)</f>
        <v>0.314</v>
      </c>
      <c r="Z56" s="31">
        <f>PERCENTRANK('Team Scores'!$Z$3:$Z$1000, 'Team Scores'!$Z56, 3)</f>
        <v>0.185</v>
      </c>
      <c r="AA56" s="31">
        <f t="shared" si="5"/>
        <v>0.55879999999999996</v>
      </c>
      <c r="AB56" s="31">
        <f t="shared" si="6"/>
        <v>0.38849999999999996</v>
      </c>
      <c r="AC56" s="31">
        <f t="shared" si="7"/>
        <v>0.49220000000000008</v>
      </c>
      <c r="AD56" s="31">
        <f t="shared" si="8"/>
        <v>0.29125000000000001</v>
      </c>
      <c r="AE56" s="31">
        <f t="shared" si="9"/>
        <v>0.4326875</v>
      </c>
    </row>
    <row r="57" spans="1:31" ht="16" x14ac:dyDescent="0.2">
      <c r="A57" s="29">
        <v>10922</v>
      </c>
      <c r="B57" s="30">
        <f>COUNTIF(MatchScoutingData!E$2:E$1000, $A57)</f>
        <v>9</v>
      </c>
      <c r="C57" s="31">
        <f>PERCENTRANK('Team Scores'!$C$3:$C$1000, 'Team Scores'!$C57, 3)</f>
        <v>0.81399999999999995</v>
      </c>
      <c r="D57" s="31">
        <f>PERCENTRANK('Team Scores'!$D$3:$D$1000, 'Team Scores'!$D57, 3)</f>
        <v>7.3999999999999996E-2</v>
      </c>
      <c r="E57" s="31">
        <f>PERCENTRANK('Team Scores'!$E$3:$E$1000, 'Team Scores'!$E57, 3)</f>
        <v>0.129</v>
      </c>
      <c r="F57" s="31">
        <f>PERCENTRANK('Team Scores'!$F$3:$F$1000, 'Team Scores'!$F57, 3)</f>
        <v>0.5</v>
      </c>
      <c r="G57" s="31">
        <f>PERCENTRANK('Team Scores'!$G$3:$G$1000, 'Team Scores'!$G57, 3)</f>
        <v>0.48099999999999998</v>
      </c>
      <c r="H57" s="31">
        <f>PERCENTRANK('Team Scores'!$H$3:$H$1000, 'Team Scores'!$H57, 3)</f>
        <v>0.5</v>
      </c>
      <c r="I57" s="31">
        <f>PERCENTRANK('Team Scores'!$I$3:$I$1000, 'Team Scores'!$I57, 3)</f>
        <v>0.111</v>
      </c>
      <c r="J57" s="31">
        <f>PERCENTRANK('Team Scores'!$J$3:$J$1000, 'Team Scores'!$J57, 3)</f>
        <v>0.33300000000000002</v>
      </c>
      <c r="K57" s="31">
        <f>PERCENTRANK('Team Scores'!$K$3:$K$1000, 'Team Scores'!$K57, 3)</f>
        <v>3.6999999999999998E-2</v>
      </c>
      <c r="L57" s="31">
        <f>PERCENTRANK('Team Scores'!$L$3:$L$1000, 'Team Scores'!$L57, 3)</f>
        <v>5.5E-2</v>
      </c>
      <c r="M57" s="31">
        <f>PERCENTRANK('Team Scores'!$M$3:$M$1000, 'Team Scores'!$M57, 3)</f>
        <v>1.7999999999999999E-2</v>
      </c>
      <c r="N57" s="31">
        <f>PERCENTRANK('Team Scores'!$N$3:$N$1000, 'Team Scores'!$N57, 3)</f>
        <v>0.74</v>
      </c>
      <c r="O57" s="31">
        <f>PERCENTRANK('Team Scores'!$O$3:$O$1000, 'Team Scores'!$O57, 3)</f>
        <v>0.25900000000000001</v>
      </c>
      <c r="P57" s="31">
        <f>PERCENTRANK('Team Scores'!$P$3:$P$1000, 'Team Scores'!$P57, 3)</f>
        <v>1.7999999999999999E-2</v>
      </c>
      <c r="Q57" s="31">
        <f>PERCENTRANK('Team Scores'!$Q$3:$Q$1000, 'Team Scores'!$Q57, 3)</f>
        <v>0.27700000000000002</v>
      </c>
      <c r="R57" s="31">
        <f>PERCENTRANK('Team Scores'!$R$3:$R$1000, 'Team Scores'!$R57, 3)</f>
        <v>0.5</v>
      </c>
      <c r="S57" s="31">
        <f>PERCENTRANK('Team Scores'!$S$3:$S$1000, 'Team Scores'!$S57, 3)</f>
        <v>0.51800000000000002</v>
      </c>
      <c r="T57" s="31">
        <f>PERCENTRANK('Team Scores'!$T$3:$T$1000, 'Team Scores'!$T57, 3)</f>
        <v>1.7999999999999999E-2</v>
      </c>
      <c r="U57" s="31">
        <f>PERCENTRANK('Team Scores'!$U$3:$U$1000, 'Team Scores'!$U57, 3)</f>
        <v>0.14799999999999999</v>
      </c>
      <c r="V57" s="31">
        <f>PERCENTRANK('Team Scores'!$V$3:$V$1000, 'Team Scores'!$V57, 3)</f>
        <v>0.222</v>
      </c>
      <c r="W57" s="31">
        <f>PERCENTRANK('Team Scores'!$W$3:$W$1000, 'Team Scores'!$W57, 3)</f>
        <v>9.1999999999999998E-2</v>
      </c>
      <c r="X57" s="31">
        <f>PERCENTRANK('Team Scores'!$X$3:$X$1000, 'Team Scores'!$X57, 3)</f>
        <v>0.70299999999999996</v>
      </c>
      <c r="Y57" s="31">
        <f>PERCENTRANK('Team Scores'!$Y$3:$Y$1000, 'Team Scores'!$Y57, 3)</f>
        <v>0.51800000000000002</v>
      </c>
      <c r="Z57" s="31">
        <f>PERCENTRANK('Team Scores'!$Z$3:$Z$1000, 'Team Scores'!$Z57, 3)</f>
        <v>0.5</v>
      </c>
      <c r="AA57" s="31">
        <f t="shared" si="5"/>
        <v>0.39959999999999996</v>
      </c>
      <c r="AB57" s="31">
        <f t="shared" si="6"/>
        <v>0.25662499999999999</v>
      </c>
      <c r="AC57" s="31">
        <f t="shared" si="7"/>
        <v>0.26620000000000005</v>
      </c>
      <c r="AD57" s="31">
        <f t="shared" si="8"/>
        <v>0.29125000000000001</v>
      </c>
      <c r="AE57" s="31">
        <f t="shared" si="9"/>
        <v>0.30341875000000001</v>
      </c>
    </row>
  </sheetData>
  <autoFilter ref="A2:AE2" xr:uid="{00000000-0009-0000-0000-000005000000}"/>
  <mergeCells count="5">
    <mergeCell ref="U1:Z1"/>
    <mergeCell ref="AA1:AE1"/>
    <mergeCell ref="H1:O1"/>
    <mergeCell ref="P1:T1"/>
    <mergeCell ref="C1:G1"/>
  </mergeCells>
  <conditionalFormatting sqref="C3:AE57">
    <cfRule type="colorScale" priority="1">
      <colorScale>
        <cfvo type="min"/>
        <cfvo type="percentile" val="50"/>
        <cfvo type="max"/>
        <color rgb="FFCB4335"/>
        <color rgb="FFD68910"/>
        <color rgb="FF229954"/>
      </colorScale>
    </cfRule>
  </conditionalFormatting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2" width="25.83203125" customWidth="1"/>
  </cols>
  <sheetData>
    <row r="1" spans="1:2" ht="16" customHeight="1" x14ac:dyDescent="0.2">
      <c r="A1" s="4" t="s">
        <v>856</v>
      </c>
      <c r="B1" s="4" t="s">
        <v>857</v>
      </c>
    </row>
    <row r="2" spans="1:2" x14ac:dyDescent="0.2">
      <c r="A2" s="7" t="str">
        <f t="array" ref="A2:A25">_xlfn._xlws.SORT(_xlfn.UNIQUE(MatchScoutingData!B2:B9991))</f>
        <v>Amanah Obaji</v>
      </c>
      <c r="B2" s="7">
        <f>COUNTIF(MatchScoutingData!B$2:B$9991, $A2)</f>
        <v>26</v>
      </c>
    </row>
    <row r="3" spans="1:2" x14ac:dyDescent="0.2">
      <c r="A3" s="7" t="str">
        <v>Andrew Crawford</v>
      </c>
      <c r="B3" s="7">
        <f>COUNTIF(MatchScoutingData!B$2:B$9991, $A3)</f>
        <v>24</v>
      </c>
    </row>
    <row r="4" spans="1:2" x14ac:dyDescent="0.2">
      <c r="A4" s="7" t="str">
        <v>Arthur Sayre</v>
      </c>
      <c r="B4" s="7">
        <f>COUNTIF(MatchScoutingData!B$2:B$9991, $A4)</f>
        <v>24</v>
      </c>
    </row>
    <row r="5" spans="1:2" x14ac:dyDescent="0.2">
      <c r="A5" s="7" t="str">
        <v>Autumn Schoenfeld</v>
      </c>
      <c r="B5" s="7">
        <f>COUNTIF(MatchScoutingData!B$2:B$9991, $A5)</f>
        <v>23</v>
      </c>
    </row>
    <row r="6" spans="1:2" x14ac:dyDescent="0.2">
      <c r="A6" s="7" t="str">
        <v>Caitlin Munier</v>
      </c>
      <c r="B6" s="7">
        <f>COUNTIF(MatchScoutingData!B$2:B$9991, $A6)</f>
        <v>23</v>
      </c>
    </row>
    <row r="7" spans="1:2" x14ac:dyDescent="0.2">
      <c r="A7" s="7" t="str">
        <v>Carter Silva</v>
      </c>
      <c r="B7" s="7">
        <f>COUNTIF(MatchScoutingData!B$2:B$9991, $A7)</f>
        <v>13</v>
      </c>
    </row>
    <row r="8" spans="1:2" x14ac:dyDescent="0.2">
      <c r="A8" s="7" t="str">
        <v>Celton Norter</v>
      </c>
      <c r="B8" s="7">
        <f>COUNTIF(MatchScoutingData!B$2:B$9991, $A8)</f>
        <v>24</v>
      </c>
    </row>
    <row r="9" spans="1:2" x14ac:dyDescent="0.2">
      <c r="A9" s="7" t="str">
        <v>Colby Jackson</v>
      </c>
      <c r="B9" s="7">
        <f>COUNTIF(MatchScoutingData!B$2:B$9991, $A9)</f>
        <v>24</v>
      </c>
    </row>
    <row r="10" spans="1:2" x14ac:dyDescent="0.2">
      <c r="A10" s="7" t="str">
        <v>Connor Rapp</v>
      </c>
      <c r="B10" s="7">
        <f>COUNTIF(MatchScoutingData!B$2:B$9991, $A10)</f>
        <v>16</v>
      </c>
    </row>
    <row r="11" spans="1:2" x14ac:dyDescent="0.2">
      <c r="A11" s="7" t="str">
        <v>Dean Blanchard</v>
      </c>
      <c r="B11" s="7">
        <f>COUNTIF(MatchScoutingData!B$2:B$9991, $A11)</f>
        <v>30</v>
      </c>
    </row>
    <row r="12" spans="1:2" x14ac:dyDescent="0.2">
      <c r="A12" s="7" t="str">
        <v>Domenic Giammusso</v>
      </c>
      <c r="B12" s="7">
        <f>COUNTIF(MatchScoutingData!B$2:B$9991, $A12)</f>
        <v>25</v>
      </c>
    </row>
    <row r="13" spans="1:2" x14ac:dyDescent="0.2">
      <c r="A13" s="7" t="str">
        <v>Eli Harrison</v>
      </c>
      <c r="B13" s="7">
        <f>COUNTIF(MatchScoutingData!B$2:B$9991, $A13)</f>
        <v>22</v>
      </c>
    </row>
    <row r="14" spans="1:2" x14ac:dyDescent="0.2">
      <c r="A14" s="7" t="str">
        <v>Ethan Stiffler</v>
      </c>
      <c r="B14" s="7">
        <f>COUNTIF(MatchScoutingData!B$2:B$9991, $A14)</f>
        <v>17</v>
      </c>
    </row>
    <row r="15" spans="1:2" x14ac:dyDescent="0.2">
      <c r="A15" s="7" t="str">
        <v>Gianmarco D'Angelo</v>
      </c>
      <c r="B15" s="7">
        <f>COUNTIF(MatchScoutingData!B$2:B$9991, $A15)</f>
        <v>21</v>
      </c>
    </row>
    <row r="16" spans="1:2" x14ac:dyDescent="0.2">
      <c r="A16" s="7" t="str">
        <v>Jonah WoikaKai Wilbur</v>
      </c>
      <c r="B16" s="7">
        <f>COUNTIF(MatchScoutingData!B$2:B$9991, $A16)</f>
        <v>26</v>
      </c>
    </row>
    <row r="17" spans="1:2" x14ac:dyDescent="0.2">
      <c r="A17" s="7" t="str">
        <v>Madison DeCicca</v>
      </c>
      <c r="B17" s="7">
        <f>COUNTIF(MatchScoutingData!B$2:B$9991, $A17)</f>
        <v>16</v>
      </c>
    </row>
    <row r="18" spans="1:2" x14ac:dyDescent="0.2">
      <c r="A18" s="7" t="str">
        <v>Matthew Mazzota</v>
      </c>
      <c r="B18" s="7">
        <f>COUNTIF(MatchScoutingData!B$2:B$9991, $A18)</f>
        <v>12</v>
      </c>
    </row>
    <row r="19" spans="1:2" x14ac:dyDescent="0.2">
      <c r="A19" s="7" t="str">
        <v>Nathan DeVito</v>
      </c>
      <c r="B19" s="7">
        <f>COUNTIF(MatchScoutingData!B$2:B$9991, $A19)</f>
        <v>25</v>
      </c>
    </row>
    <row r="20" spans="1:2" x14ac:dyDescent="0.2">
      <c r="A20" s="7" t="str">
        <v>Nicholas Munier</v>
      </c>
      <c r="B20" s="7">
        <f>COUNTIF(MatchScoutingData!B$2:B$9991, $A20)</f>
        <v>17</v>
      </c>
    </row>
    <row r="21" spans="1:2" x14ac:dyDescent="0.2">
      <c r="A21" s="7" t="str">
        <v>Runa Hunt</v>
      </c>
      <c r="B21" s="7">
        <f>COUNTIF(MatchScoutingData!B$2:B$9991, $A21)</f>
        <v>29</v>
      </c>
    </row>
    <row r="22" spans="1:2" x14ac:dyDescent="0.2">
      <c r="A22" s="7" t="str">
        <v xml:space="preserve">Ruth Christensen </v>
      </c>
      <c r="B22" s="7">
        <f>COUNTIF(MatchScoutingData!B$2:B$9991, $A22)</f>
        <v>19</v>
      </c>
    </row>
    <row r="23" spans="1:2" x14ac:dyDescent="0.2">
      <c r="A23" s="7" t="str">
        <v xml:space="preserve">Tetra Ukav </v>
      </c>
      <c r="B23" s="7">
        <f>COUNTIF(MatchScoutingData!B$2:B$9991, $A23)</f>
        <v>27</v>
      </c>
    </row>
    <row r="24" spans="1:2" x14ac:dyDescent="0.2">
      <c r="A24" s="7" t="str">
        <v xml:space="preserve">Tyler Hignett </v>
      </c>
      <c r="B24" s="7">
        <f>COUNTIF(MatchScoutingData!B$2:B$9991, $A24)</f>
        <v>15</v>
      </c>
    </row>
    <row r="25" spans="1:2" x14ac:dyDescent="0.2">
      <c r="A25" s="7">
        <v>0</v>
      </c>
      <c r="B25" s="7">
        <f>COUNTIF(MatchScoutingData!B$2:B$9991, $A25)</f>
        <v>0</v>
      </c>
    </row>
    <row r="26" spans="1:2" x14ac:dyDescent="0.2">
      <c r="A26" s="7"/>
      <c r="B26" s="7">
        <f>COUNTIF(MatchScoutingData!B$2:B$9991, $A26)</f>
        <v>0</v>
      </c>
    </row>
    <row r="27" spans="1:2" x14ac:dyDescent="0.2">
      <c r="A27" s="7"/>
      <c r="B27" s="7">
        <f>COUNTIF(MatchScoutingData!B$2:B$9991, $A27)</f>
        <v>0</v>
      </c>
    </row>
    <row r="28" spans="1:2" x14ac:dyDescent="0.2">
      <c r="A28" s="7"/>
      <c r="B28" s="7">
        <f>COUNTIF(MatchScoutingData!B$2:B$9991, $A28)</f>
        <v>0</v>
      </c>
    </row>
    <row r="29" spans="1:2" x14ac:dyDescent="0.2">
      <c r="A29" s="7"/>
      <c r="B29" s="7">
        <f>COUNTIF(MatchScoutingData!B$2:B$9991, $A29)</f>
        <v>0</v>
      </c>
    </row>
    <row r="30" spans="1:2" x14ac:dyDescent="0.2">
      <c r="A30" s="7"/>
      <c r="B30" s="7">
        <f>COUNTIF(MatchScoutingData!B$2:B$9991, $A30)</f>
        <v>0</v>
      </c>
    </row>
    <row r="31" spans="1:2" x14ac:dyDescent="0.2">
      <c r="A31" s="7"/>
      <c r="B31" s="7">
        <f>COUNTIF(MatchScoutingData!B$2:B$9991, $A31)</f>
        <v>0</v>
      </c>
    </row>
    <row r="32" spans="1:2" x14ac:dyDescent="0.2">
      <c r="A32" s="7"/>
      <c r="B32" s="7">
        <f>COUNTIF(MatchScoutingData!B$2:B$9991, $A32)</f>
        <v>0</v>
      </c>
    </row>
    <row r="33" spans="1:2" x14ac:dyDescent="0.2">
      <c r="A33" s="7"/>
      <c r="B33" s="7">
        <f>COUNTIF(MatchScoutingData!B$2:B$9991, $A33)</f>
        <v>0</v>
      </c>
    </row>
    <row r="34" spans="1:2" x14ac:dyDescent="0.2">
      <c r="A34" s="7"/>
      <c r="B34" s="7">
        <f>COUNTIF(MatchScoutingData!B$2:B$9991, $A34)</f>
        <v>0</v>
      </c>
    </row>
    <row r="35" spans="1:2" x14ac:dyDescent="0.2">
      <c r="A35" s="7"/>
      <c r="B35" s="7">
        <f>COUNTIF(MatchScoutingData!B$2:B$9991, $A35)</f>
        <v>0</v>
      </c>
    </row>
    <row r="36" spans="1:2" x14ac:dyDescent="0.2">
      <c r="A36" s="7"/>
      <c r="B36" s="7">
        <f>COUNTIF(MatchScoutingData!B$2:B$9991, $A36)</f>
        <v>0</v>
      </c>
    </row>
    <row r="37" spans="1:2" x14ac:dyDescent="0.2">
      <c r="A37" s="7"/>
      <c r="B37" s="7">
        <f>COUNTIF(MatchScoutingData!B$2:B$9991, $A37)</f>
        <v>0</v>
      </c>
    </row>
    <row r="38" spans="1:2" x14ac:dyDescent="0.2">
      <c r="A38" s="7"/>
      <c r="B38" s="7">
        <f>COUNTIF(MatchScoutingData!B$2:B$9991, $A38)</f>
        <v>0</v>
      </c>
    </row>
    <row r="39" spans="1:2" x14ac:dyDescent="0.2">
      <c r="A39" s="7"/>
      <c r="B39" s="7">
        <f>COUNTIF(MatchScoutingData!B$2:B$9991, $A39)</f>
        <v>0</v>
      </c>
    </row>
    <row r="40" spans="1:2" x14ac:dyDescent="0.2">
      <c r="A40" s="7"/>
      <c r="B40" s="7">
        <f>COUNTIF(MatchScoutingData!B$2:B$9991, $A40)</f>
        <v>0</v>
      </c>
    </row>
    <row r="41" spans="1:2" x14ac:dyDescent="0.2">
      <c r="A41" s="7"/>
      <c r="B41" s="7">
        <f>COUNTIF(MatchScoutingData!B$2:B$9991, $A41)</f>
        <v>0</v>
      </c>
    </row>
    <row r="42" spans="1:2" x14ac:dyDescent="0.2">
      <c r="A42" s="7"/>
      <c r="B42" s="7">
        <f>COUNTIF(MatchScoutingData!B$2:B$9991, $A42)</f>
        <v>0</v>
      </c>
    </row>
    <row r="43" spans="1:2" x14ac:dyDescent="0.2">
      <c r="A43" s="7"/>
      <c r="B43" s="7">
        <f>COUNTIF(MatchScoutingData!B$2:B$9991, $A43)</f>
        <v>0</v>
      </c>
    </row>
    <row r="44" spans="1:2" x14ac:dyDescent="0.2">
      <c r="A44" s="7"/>
      <c r="B44" s="7">
        <f>COUNTIF(MatchScoutingData!B$2:B$9991, $A44)</f>
        <v>0</v>
      </c>
    </row>
    <row r="45" spans="1:2" x14ac:dyDescent="0.2">
      <c r="A45" s="7"/>
      <c r="B45" s="7">
        <f>COUNTIF(MatchScoutingData!B$2:B$9991, $A45)</f>
        <v>0</v>
      </c>
    </row>
    <row r="46" spans="1:2" x14ac:dyDescent="0.2">
      <c r="A46" s="7"/>
      <c r="B46" s="7">
        <f>COUNTIF(MatchScoutingData!B$2:B$9991, $A46)</f>
        <v>0</v>
      </c>
    </row>
    <row r="47" spans="1:2" x14ac:dyDescent="0.2">
      <c r="A47" s="7"/>
      <c r="B47" s="7">
        <f>COUNTIF(MatchScoutingData!B$2:B$9991, $A47)</f>
        <v>0</v>
      </c>
    </row>
    <row r="48" spans="1:2" x14ac:dyDescent="0.2">
      <c r="A48" s="7"/>
      <c r="B48" s="7">
        <f>COUNTIF(MatchScoutingData!B$2:B$9991, $A48)</f>
        <v>0</v>
      </c>
    </row>
    <row r="49" spans="1:2" x14ac:dyDescent="0.2">
      <c r="A49" s="7"/>
      <c r="B49" s="7">
        <f>COUNTIF(MatchScoutingData!B$2:B$9991, $A49)</f>
        <v>0</v>
      </c>
    </row>
    <row r="50" spans="1:2" x14ac:dyDescent="0.2">
      <c r="A50" s="7"/>
      <c r="B50" s="7">
        <f>COUNTIF(MatchScoutingData!B$2:B$9991, $A50)</f>
        <v>0</v>
      </c>
    </row>
    <row r="51" spans="1:2" x14ac:dyDescent="0.2">
      <c r="A51" s="7"/>
      <c r="B51" s="7">
        <f>COUNTIF(MatchScoutingData!B$2:B$9991, $A51)</f>
        <v>0</v>
      </c>
    </row>
    <row r="52" spans="1:2" x14ac:dyDescent="0.2">
      <c r="A52" s="7"/>
      <c r="B52" s="7">
        <f>COUNTIF(MatchScoutingData!B$2:B$9991, $A52)</f>
        <v>0</v>
      </c>
    </row>
    <row r="53" spans="1:2" x14ac:dyDescent="0.2">
      <c r="A53" s="7"/>
      <c r="B53" s="7">
        <f>COUNTIF(MatchScoutingData!B$2:B$9991, $A53)</f>
        <v>0</v>
      </c>
    </row>
    <row r="54" spans="1:2" x14ac:dyDescent="0.2">
      <c r="A54" s="7"/>
      <c r="B54" s="7">
        <f>COUNTIF(MatchScoutingData!B$2:B$9991, $A54)</f>
        <v>0</v>
      </c>
    </row>
    <row r="55" spans="1:2" x14ac:dyDescent="0.2">
      <c r="A55" s="7"/>
      <c r="B55" s="7">
        <f>COUNTIF(MatchScoutingData!B$2:B$9991, $A55)</f>
        <v>0</v>
      </c>
    </row>
    <row r="56" spans="1:2" x14ac:dyDescent="0.2">
      <c r="A56" s="7"/>
      <c r="B56" s="7">
        <f>COUNTIF(MatchScoutingData!B$2:B$9991, $A56)</f>
        <v>0</v>
      </c>
    </row>
    <row r="57" spans="1:2" x14ac:dyDescent="0.2">
      <c r="A57" s="7"/>
      <c r="B57" s="7">
        <f>COUNTIF(MatchScoutingData!B$2:B$9991, $A57)</f>
        <v>0</v>
      </c>
    </row>
    <row r="58" spans="1:2" x14ac:dyDescent="0.2">
      <c r="A58" s="7"/>
      <c r="B58" s="7">
        <f>COUNTIF(MatchScoutingData!B$2:B$9991, $A58)</f>
        <v>0</v>
      </c>
    </row>
    <row r="59" spans="1:2" x14ac:dyDescent="0.2">
      <c r="A59" s="7"/>
      <c r="B59" s="7">
        <f>COUNTIF(MatchScoutingData!B$2:B$9991, $A59)</f>
        <v>0</v>
      </c>
    </row>
    <row r="60" spans="1:2" x14ac:dyDescent="0.2">
      <c r="A60" s="7"/>
      <c r="B60" s="7">
        <f>COUNTIF(MatchScoutingData!B$2:B$9991, $A60)</f>
        <v>0</v>
      </c>
    </row>
    <row r="61" spans="1:2" x14ac:dyDescent="0.2">
      <c r="A61" s="7"/>
      <c r="B61" s="7">
        <f>COUNTIF(MatchScoutingData!B$2:B$9991, $A61)</f>
        <v>0</v>
      </c>
    </row>
    <row r="62" spans="1:2" x14ac:dyDescent="0.2">
      <c r="A62" s="7"/>
      <c r="B62" s="7">
        <f>COUNTIF(MatchScoutingData!B$2:B$9991, $A62)</f>
        <v>0</v>
      </c>
    </row>
    <row r="63" spans="1:2" x14ac:dyDescent="0.2">
      <c r="A63" s="7"/>
      <c r="B63" s="7">
        <f>COUNTIF(MatchScoutingData!B$2:B$9991, $A63)</f>
        <v>0</v>
      </c>
    </row>
    <row r="64" spans="1:2" x14ac:dyDescent="0.2">
      <c r="A64" s="7"/>
      <c r="B64" s="7">
        <f>COUNTIF(MatchScoutingData!B$2:B$9991, $A64)</f>
        <v>0</v>
      </c>
    </row>
    <row r="65" spans="1:2" x14ac:dyDescent="0.2">
      <c r="A65" s="7"/>
      <c r="B65" s="7">
        <f>COUNTIF(MatchScoutingData!B$2:B$9991, $A65)</f>
        <v>0</v>
      </c>
    </row>
    <row r="66" spans="1:2" x14ac:dyDescent="0.2">
      <c r="A66" s="7"/>
      <c r="B66" s="7">
        <f>COUNTIF(MatchScoutingData!B$2:B$9991, $A66)</f>
        <v>0</v>
      </c>
    </row>
    <row r="67" spans="1:2" x14ac:dyDescent="0.2">
      <c r="A67" s="7"/>
      <c r="B67" s="7">
        <f>COUNTIF(MatchScoutingData!B$2:B$9991, $A67)</f>
        <v>0</v>
      </c>
    </row>
    <row r="68" spans="1:2" x14ac:dyDescent="0.2">
      <c r="A68" s="7"/>
      <c r="B68" s="7">
        <f>COUNTIF(MatchScoutingData!B$2:B$9991, $A68)</f>
        <v>0</v>
      </c>
    </row>
    <row r="69" spans="1:2" x14ac:dyDescent="0.2">
      <c r="A69" s="7"/>
      <c r="B69" s="7">
        <f>COUNTIF(MatchScoutingData!B$2:B$9991, $A69)</f>
        <v>0</v>
      </c>
    </row>
    <row r="70" spans="1:2" x14ac:dyDescent="0.2">
      <c r="A70" s="7"/>
      <c r="B70" s="7">
        <f>COUNTIF(MatchScoutingData!B$2:B$9991, $A70)</f>
        <v>0</v>
      </c>
    </row>
    <row r="71" spans="1:2" x14ac:dyDescent="0.2">
      <c r="A71" s="7"/>
      <c r="B71" s="7">
        <f>COUNTIF(MatchScoutingData!B$2:B$9991, $A71)</f>
        <v>0</v>
      </c>
    </row>
    <row r="72" spans="1:2" x14ac:dyDescent="0.2">
      <c r="A72" s="7"/>
      <c r="B72" s="7">
        <f>COUNTIF(MatchScoutingData!B$2:B$9991, $A72)</f>
        <v>0</v>
      </c>
    </row>
    <row r="73" spans="1:2" x14ac:dyDescent="0.2">
      <c r="A73" s="7"/>
      <c r="B73" s="7">
        <f>COUNTIF(MatchScoutingData!B$2:B$9991, $A73)</f>
        <v>0</v>
      </c>
    </row>
    <row r="74" spans="1:2" x14ac:dyDescent="0.2">
      <c r="A74" s="7"/>
      <c r="B74" s="7">
        <f>COUNTIF(MatchScoutingData!B$2:B$9991, $A74)</f>
        <v>0</v>
      </c>
    </row>
    <row r="75" spans="1:2" x14ac:dyDescent="0.2">
      <c r="A75" s="7"/>
      <c r="B75" s="7">
        <f>COUNTIF(MatchScoutingData!B$2:B$9991, $A75)</f>
        <v>0</v>
      </c>
    </row>
    <row r="76" spans="1:2" x14ac:dyDescent="0.2">
      <c r="A76" s="7"/>
      <c r="B76" s="7">
        <f>COUNTIF(MatchScoutingData!B$2:B$9991, $A76)</f>
        <v>0</v>
      </c>
    </row>
    <row r="77" spans="1:2" x14ac:dyDescent="0.2">
      <c r="A77" s="7"/>
      <c r="B77" s="7">
        <f>COUNTIF(MatchScoutingData!B$2:B$9991, $A77)</f>
        <v>0</v>
      </c>
    </row>
    <row r="78" spans="1:2" x14ac:dyDescent="0.2">
      <c r="A78" s="7"/>
      <c r="B78" s="7">
        <f>COUNTIF(MatchScoutingData!B$2:B$9991, $A78)</f>
        <v>0</v>
      </c>
    </row>
    <row r="79" spans="1:2" x14ac:dyDescent="0.2">
      <c r="A79" s="7"/>
      <c r="B79" s="7">
        <f>COUNTIF(MatchScoutingData!B$2:B$9991, $A79)</f>
        <v>0</v>
      </c>
    </row>
    <row r="80" spans="1:2" x14ac:dyDescent="0.2">
      <c r="A80" s="7"/>
      <c r="B80" s="7">
        <f>COUNTIF(MatchScoutingData!B$2:B$9991, $A80)</f>
        <v>0</v>
      </c>
    </row>
    <row r="81" spans="1:2" x14ac:dyDescent="0.2">
      <c r="A81" s="7"/>
      <c r="B81" s="7">
        <f>COUNTIF(MatchScoutingData!B$2:B$9991, $A81)</f>
        <v>0</v>
      </c>
    </row>
    <row r="82" spans="1:2" x14ac:dyDescent="0.2">
      <c r="A82" s="7"/>
      <c r="B82" s="7">
        <f>COUNTIF(MatchScoutingData!B$2:B$9991, $A82)</f>
        <v>0</v>
      </c>
    </row>
    <row r="83" spans="1:2" x14ac:dyDescent="0.2">
      <c r="A83" s="7"/>
      <c r="B83" s="7">
        <f>COUNTIF(MatchScoutingData!B$2:B$9991, $A83)</f>
        <v>0</v>
      </c>
    </row>
    <row r="84" spans="1:2" x14ac:dyDescent="0.2">
      <c r="A84" s="7"/>
      <c r="B84" s="7">
        <f>COUNTIF(MatchScoutingData!B$2:B$9991, $A84)</f>
        <v>0</v>
      </c>
    </row>
    <row r="85" spans="1:2" x14ac:dyDescent="0.2">
      <c r="A85" s="7"/>
      <c r="B85" s="7">
        <f>COUNTIF(MatchScoutingData!B$2:B$9991, $A85)</f>
        <v>0</v>
      </c>
    </row>
    <row r="86" spans="1:2" x14ac:dyDescent="0.2">
      <c r="A86" s="7"/>
      <c r="B86" s="7">
        <f>COUNTIF(MatchScoutingData!B$2:B$9991, $A86)</f>
        <v>0</v>
      </c>
    </row>
    <row r="87" spans="1:2" x14ac:dyDescent="0.2">
      <c r="A87" s="7"/>
      <c r="B87" s="7">
        <f>COUNTIF(MatchScoutingData!B$2:B$9991, $A87)</f>
        <v>0</v>
      </c>
    </row>
    <row r="88" spans="1:2" x14ac:dyDescent="0.2">
      <c r="A88" s="7"/>
      <c r="B88" s="7">
        <f>COUNTIF(MatchScoutingData!B$2:B$9991, $A88)</f>
        <v>0</v>
      </c>
    </row>
    <row r="89" spans="1:2" x14ac:dyDescent="0.2">
      <c r="A89" s="7"/>
      <c r="B89" s="7">
        <f>COUNTIF(MatchScoutingData!B$2:B$9991, $A89)</f>
        <v>0</v>
      </c>
    </row>
    <row r="90" spans="1:2" x14ac:dyDescent="0.2">
      <c r="A90" s="7"/>
      <c r="B90" s="7">
        <f>COUNTIF(MatchScoutingData!B$2:B$9991, $A90)</f>
        <v>0</v>
      </c>
    </row>
    <row r="91" spans="1:2" x14ac:dyDescent="0.2">
      <c r="A91" s="7"/>
      <c r="B91" s="7">
        <f>COUNTIF(MatchScoutingData!B$2:B$9991, $A91)</f>
        <v>0</v>
      </c>
    </row>
    <row r="92" spans="1:2" x14ac:dyDescent="0.2">
      <c r="A92" s="7"/>
      <c r="B92" s="7">
        <f>COUNTIF(MatchScoutingData!B$2:B$9991, $A92)</f>
        <v>0</v>
      </c>
    </row>
    <row r="93" spans="1:2" x14ac:dyDescent="0.2">
      <c r="A93" s="7"/>
      <c r="B93" s="7">
        <f>COUNTIF(MatchScoutingData!B$2:B$9991, $A93)</f>
        <v>0</v>
      </c>
    </row>
    <row r="94" spans="1:2" x14ac:dyDescent="0.2">
      <c r="A94" s="7"/>
      <c r="B94" s="7">
        <f>COUNTIF(MatchScoutingData!B$2:B$9991, $A94)</f>
        <v>0</v>
      </c>
    </row>
    <row r="95" spans="1:2" x14ac:dyDescent="0.2">
      <c r="A95" s="7"/>
      <c r="B95" s="7">
        <f>COUNTIF(MatchScoutingData!B$2:B$9991, $A95)</f>
        <v>0</v>
      </c>
    </row>
    <row r="96" spans="1:2" x14ac:dyDescent="0.2">
      <c r="A96" s="7"/>
      <c r="B96" s="7">
        <f>COUNTIF(MatchScoutingData!B$2:B$9991, $A96)</f>
        <v>0</v>
      </c>
    </row>
    <row r="97" spans="1:2" x14ac:dyDescent="0.2">
      <c r="A97" s="7"/>
      <c r="B97" s="7">
        <f>COUNTIF(MatchScoutingData!B$2:B$9991, $A97)</f>
        <v>0</v>
      </c>
    </row>
    <row r="98" spans="1:2" x14ac:dyDescent="0.2">
      <c r="A98" s="7"/>
      <c r="B98" s="7">
        <f>COUNTIF(MatchScoutingData!B$2:B$9991, $A98)</f>
        <v>0</v>
      </c>
    </row>
    <row r="99" spans="1:2" x14ac:dyDescent="0.2">
      <c r="A99" s="7"/>
      <c r="B99" s="7">
        <f>COUNTIF(MatchScoutingData!B$2:B$9991, $A99)</f>
        <v>0</v>
      </c>
    </row>
    <row r="100" spans="1:2" x14ac:dyDescent="0.2">
      <c r="A100" s="7"/>
      <c r="B100" s="7">
        <f>COUNTIF(MatchScoutingData!B$2:B$9991, $A100)</f>
        <v>0</v>
      </c>
    </row>
    <row r="101" spans="1:2" x14ac:dyDescent="0.2">
      <c r="A101" s="7"/>
      <c r="B101" s="7">
        <f>COUNTIF(MatchScoutingData!B$2:B$9991, $A101)</f>
        <v>0</v>
      </c>
    </row>
  </sheetData>
  <autoFilter ref="A1:B10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7" width="18.83203125" customWidth="1"/>
  </cols>
  <sheetData>
    <row r="1" spans="1:7" s="6" customFormat="1" ht="16" customHeight="1" x14ac:dyDescent="0.2">
      <c r="A1" s="4" t="s">
        <v>98</v>
      </c>
      <c r="B1" s="4" t="s">
        <v>858</v>
      </c>
      <c r="C1" s="4" t="s">
        <v>859</v>
      </c>
      <c r="D1" s="4" t="s">
        <v>860</v>
      </c>
      <c r="E1" s="4" t="s">
        <v>861</v>
      </c>
      <c r="F1" s="4" t="s">
        <v>862</v>
      </c>
      <c r="G1" s="4" t="s">
        <v>863</v>
      </c>
    </row>
    <row r="2" spans="1:7" x14ac:dyDescent="0.2">
      <c r="A2" t="e">
        <f>'Team Summary'!#REF!</f>
        <v>#REF!</v>
      </c>
      <c r="B2" t="e">
        <f>'Team Summary'!#REF!</f>
        <v>#REF!</v>
      </c>
      <c r="C2" t="e">
        <f>'Team Summary'!#REF!</f>
        <v>#REF!</v>
      </c>
      <c r="D2" t="e">
        <f>'Team Summary'!#REF!</f>
        <v>#REF!</v>
      </c>
      <c r="E2" t="e">
        <f>'Team Summary'!#REF!</f>
        <v>#REF!</v>
      </c>
      <c r="F2" t="e">
        <f>'Team Summary'!#REF!</f>
        <v>#REF!</v>
      </c>
      <c r="G2" t="e">
        <f>'Team Summary'!#REF!</f>
        <v>#REF!</v>
      </c>
    </row>
  </sheetData>
  <autoFilter ref="A1:G1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MatchScoutingData</vt:lpstr>
      <vt:lpstr>Event</vt:lpstr>
      <vt:lpstr>Teams</vt:lpstr>
      <vt:lpstr>Matches</vt:lpstr>
      <vt:lpstr>Team Scores</vt:lpstr>
      <vt:lpstr>Team Summary</vt:lpstr>
      <vt:lpstr>PB Scouter Summary</vt:lpstr>
      <vt:lpstr>PB 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2026-03-24T23:14:34Z</dcterms:modified>
</cp:coreProperties>
</file>