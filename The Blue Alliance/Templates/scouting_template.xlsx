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johnhurrell/Development/fairport-robotics/ScoutingPASSSync/The Blue Alliance/Templates/"/>
    </mc:Choice>
  </mc:AlternateContent>
  <xr:revisionPtr revIDLastSave="0" documentId="13_ncr:1_{3414EB1D-2C80-9D4B-ABDC-08FF3DDB4A33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MatchScoutingData" sheetId="1" r:id="rId1"/>
    <sheet name="TBA-Teams" sheetId="14" r:id="rId2"/>
    <sheet name="TBA-Matches" sheetId="15" r:id="rId3"/>
    <sheet name="Event" sheetId="2" r:id="rId4"/>
    <sheet name="Teams" sheetId="3" r:id="rId5"/>
    <sheet name="Matches" sheetId="4" r:id="rId6"/>
    <sheet name="Team Scores" sheetId="5" r:id="rId7"/>
    <sheet name="Team Summary" sheetId="12" r:id="rId8"/>
  </sheets>
  <definedNames>
    <definedName name="_xlnm._FilterDatabase" localSheetId="5" hidden="1">Matches!$A$1:$I$100</definedName>
    <definedName name="_xlnm._FilterDatabase" localSheetId="0" hidden="1">MatchScoutingData!$A$1:$Y$1</definedName>
    <definedName name="_xlnm._FilterDatabase" localSheetId="2" hidden="1">'TBA-Matches'!$A$1:$N$92</definedName>
    <definedName name="_xlnm._FilterDatabase" localSheetId="1" hidden="1">'TBA-Teams'!$A$1:$F$51</definedName>
    <definedName name="_xlnm._FilterDatabase" localSheetId="6" hidden="1">'Team Scores'!$A$2:$AA$57</definedName>
    <definedName name="_xlnm._FilterDatabase" localSheetId="7" hidden="1">'Team Summary'!$A$3:$AB$3</definedName>
    <definedName name="_xlnm._FilterDatabase" localSheetId="4" hidden="1">Teams!$A$1:$F$1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5" l="1"/>
  <c r="U57" i="5"/>
  <c r="T57" i="5"/>
  <c r="S57" i="5"/>
  <c r="R57" i="5"/>
  <c r="V57" i="5" s="1"/>
  <c r="Q57" i="5"/>
  <c r="P57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U56" i="5"/>
  <c r="T56" i="5"/>
  <c r="S56" i="5"/>
  <c r="R56" i="5"/>
  <c r="V56" i="5" s="1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U55" i="5"/>
  <c r="T55" i="5"/>
  <c r="S55" i="5"/>
  <c r="R55" i="5"/>
  <c r="V55" i="5" s="1"/>
  <c r="Q55" i="5"/>
  <c r="P55" i="5"/>
  <c r="O55" i="5"/>
  <c r="N55" i="5"/>
  <c r="Y55" i="5" s="1"/>
  <c r="M55" i="5"/>
  <c r="L55" i="5"/>
  <c r="K55" i="5"/>
  <c r="J55" i="5"/>
  <c r="I55" i="5"/>
  <c r="H55" i="5"/>
  <c r="G55" i="5"/>
  <c r="F55" i="5"/>
  <c r="E55" i="5"/>
  <c r="D55" i="5"/>
  <c r="C55" i="5"/>
  <c r="B55" i="5"/>
  <c r="U54" i="5"/>
  <c r="T54" i="5"/>
  <c r="S54" i="5"/>
  <c r="R54" i="5"/>
  <c r="V54" i="5" s="1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U53" i="5"/>
  <c r="T53" i="5"/>
  <c r="S53" i="5"/>
  <c r="R53" i="5"/>
  <c r="V53" i="5" s="1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U52" i="5"/>
  <c r="T52" i="5"/>
  <c r="S52" i="5"/>
  <c r="R52" i="5"/>
  <c r="V52" i="5" s="1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U51" i="5"/>
  <c r="T51" i="5"/>
  <c r="S51" i="5"/>
  <c r="R51" i="5"/>
  <c r="V51" i="5" s="1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U49" i="5"/>
  <c r="T49" i="5"/>
  <c r="S49" i="5"/>
  <c r="R49" i="5"/>
  <c r="V49" i="5" s="1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U48" i="5"/>
  <c r="T48" i="5"/>
  <c r="S48" i="5"/>
  <c r="R48" i="5"/>
  <c r="V48" i="5" s="1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U47" i="5"/>
  <c r="T47" i="5"/>
  <c r="S47" i="5"/>
  <c r="R47" i="5"/>
  <c r="V47" i="5" s="1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U46" i="5"/>
  <c r="T46" i="5"/>
  <c r="S46" i="5"/>
  <c r="R46" i="5"/>
  <c r="V46" i="5" s="1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X45" i="5" s="1"/>
  <c r="E45" i="5"/>
  <c r="D45" i="5"/>
  <c r="C45" i="5"/>
  <c r="B45" i="5"/>
  <c r="U44" i="5"/>
  <c r="T44" i="5"/>
  <c r="S44" i="5"/>
  <c r="R44" i="5"/>
  <c r="V44" i="5" s="1"/>
  <c r="Q44" i="5"/>
  <c r="P44" i="5"/>
  <c r="O44" i="5"/>
  <c r="N44" i="5"/>
  <c r="Y44" i="5" s="1"/>
  <c r="M44" i="5"/>
  <c r="L44" i="5"/>
  <c r="K44" i="5"/>
  <c r="J44" i="5"/>
  <c r="I44" i="5"/>
  <c r="H44" i="5"/>
  <c r="G44" i="5"/>
  <c r="F44" i="5"/>
  <c r="E44" i="5"/>
  <c r="D44" i="5"/>
  <c r="C44" i="5"/>
  <c r="B44" i="5"/>
  <c r="U43" i="5"/>
  <c r="T43" i="5"/>
  <c r="S43" i="5"/>
  <c r="R43" i="5"/>
  <c r="V43" i="5" s="1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U40" i="5"/>
  <c r="T40" i="5"/>
  <c r="S40" i="5"/>
  <c r="R40" i="5"/>
  <c r="V40" i="5" s="1"/>
  <c r="Q40" i="5"/>
  <c r="P40" i="5"/>
  <c r="O40" i="5"/>
  <c r="N40" i="5"/>
  <c r="Y40" i="5" s="1"/>
  <c r="M40" i="5"/>
  <c r="L40" i="5"/>
  <c r="K40" i="5"/>
  <c r="J40" i="5"/>
  <c r="I40" i="5"/>
  <c r="H40" i="5"/>
  <c r="G40" i="5"/>
  <c r="F40" i="5"/>
  <c r="E40" i="5"/>
  <c r="D40" i="5"/>
  <c r="C40" i="5"/>
  <c r="B40" i="5"/>
  <c r="U39" i="5"/>
  <c r="T39" i="5"/>
  <c r="S39" i="5"/>
  <c r="R39" i="5"/>
  <c r="V39" i="5" s="1"/>
  <c r="Q39" i="5"/>
  <c r="P39" i="5"/>
  <c r="O39" i="5"/>
  <c r="N39" i="5"/>
  <c r="Y39" i="5" s="1"/>
  <c r="M39" i="5"/>
  <c r="L39" i="5"/>
  <c r="K39" i="5"/>
  <c r="J39" i="5"/>
  <c r="I39" i="5"/>
  <c r="H39" i="5"/>
  <c r="G39" i="5"/>
  <c r="F39" i="5"/>
  <c r="E39" i="5"/>
  <c r="D39" i="5"/>
  <c r="C39" i="5"/>
  <c r="B39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U37" i="5"/>
  <c r="T37" i="5"/>
  <c r="S37" i="5"/>
  <c r="R37" i="5"/>
  <c r="V37" i="5" s="1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U36" i="5"/>
  <c r="T36" i="5"/>
  <c r="S36" i="5"/>
  <c r="R36" i="5"/>
  <c r="Q36" i="5"/>
  <c r="P36" i="5"/>
  <c r="O36" i="5"/>
  <c r="N36" i="5"/>
  <c r="Y36" i="5" s="1"/>
  <c r="M36" i="5"/>
  <c r="L36" i="5"/>
  <c r="K36" i="5"/>
  <c r="J36" i="5"/>
  <c r="I36" i="5"/>
  <c r="H36" i="5"/>
  <c r="G36" i="5"/>
  <c r="F36" i="5"/>
  <c r="E36" i="5"/>
  <c r="D36" i="5"/>
  <c r="C36" i="5"/>
  <c r="B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U33" i="5"/>
  <c r="T33" i="5"/>
  <c r="S33" i="5"/>
  <c r="R33" i="5"/>
  <c r="V33" i="5" s="1"/>
  <c r="Q33" i="5"/>
  <c r="P33" i="5"/>
  <c r="O33" i="5"/>
  <c r="N33" i="5"/>
  <c r="Y33" i="5" s="1"/>
  <c r="M33" i="5"/>
  <c r="L33" i="5"/>
  <c r="K33" i="5"/>
  <c r="J33" i="5"/>
  <c r="I33" i="5"/>
  <c r="H33" i="5"/>
  <c r="G33" i="5"/>
  <c r="F33" i="5"/>
  <c r="E33" i="5"/>
  <c r="D33" i="5"/>
  <c r="C33" i="5"/>
  <c r="B33" i="5"/>
  <c r="U32" i="5"/>
  <c r="T32" i="5"/>
  <c r="S32" i="5"/>
  <c r="R32" i="5"/>
  <c r="V32" i="5" s="1"/>
  <c r="Q32" i="5"/>
  <c r="P32" i="5"/>
  <c r="O32" i="5"/>
  <c r="N32" i="5"/>
  <c r="Y32" i="5" s="1"/>
  <c r="M32" i="5"/>
  <c r="L32" i="5"/>
  <c r="K32" i="5"/>
  <c r="J32" i="5"/>
  <c r="I32" i="5"/>
  <c r="H32" i="5"/>
  <c r="G32" i="5"/>
  <c r="F32" i="5"/>
  <c r="X32" i="5" s="1"/>
  <c r="E32" i="5"/>
  <c r="D32" i="5"/>
  <c r="C32" i="5"/>
  <c r="B32" i="5"/>
  <c r="U31" i="5"/>
  <c r="T31" i="5"/>
  <c r="S31" i="5"/>
  <c r="R31" i="5"/>
  <c r="V31" i="5" s="1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U30" i="5"/>
  <c r="T30" i="5"/>
  <c r="S30" i="5"/>
  <c r="R30" i="5"/>
  <c r="V30" i="5" s="1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U29" i="5"/>
  <c r="T29" i="5"/>
  <c r="S29" i="5"/>
  <c r="R29" i="5"/>
  <c r="V29" i="5" s="1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U28" i="5"/>
  <c r="T28" i="5"/>
  <c r="S28" i="5"/>
  <c r="R28" i="5"/>
  <c r="V28" i="5" s="1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U27" i="5"/>
  <c r="T27" i="5"/>
  <c r="S27" i="5"/>
  <c r="R27" i="5"/>
  <c r="V27" i="5" s="1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U26" i="5"/>
  <c r="T26" i="5"/>
  <c r="S26" i="5"/>
  <c r="R26" i="5"/>
  <c r="V26" i="5" s="1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U25" i="5"/>
  <c r="T25" i="5"/>
  <c r="S25" i="5"/>
  <c r="R25" i="5"/>
  <c r="V25" i="5" s="1"/>
  <c r="Q25" i="5"/>
  <c r="P25" i="5"/>
  <c r="O25" i="5"/>
  <c r="N25" i="5"/>
  <c r="Y25" i="5" s="1"/>
  <c r="M25" i="5"/>
  <c r="L25" i="5"/>
  <c r="K25" i="5"/>
  <c r="J25" i="5"/>
  <c r="I25" i="5"/>
  <c r="H25" i="5"/>
  <c r="G25" i="5"/>
  <c r="F25" i="5"/>
  <c r="E25" i="5"/>
  <c r="D25" i="5"/>
  <c r="C25" i="5"/>
  <c r="B25" i="5"/>
  <c r="U24" i="5"/>
  <c r="T24" i="5"/>
  <c r="S24" i="5"/>
  <c r="R24" i="5"/>
  <c r="V24" i="5" s="1"/>
  <c r="Q24" i="5"/>
  <c r="P24" i="5"/>
  <c r="O24" i="5"/>
  <c r="N24" i="5"/>
  <c r="Y24" i="5" s="1"/>
  <c r="M24" i="5"/>
  <c r="L24" i="5"/>
  <c r="K24" i="5"/>
  <c r="J24" i="5"/>
  <c r="I24" i="5"/>
  <c r="H24" i="5"/>
  <c r="G24" i="5"/>
  <c r="F24" i="5"/>
  <c r="E24" i="5"/>
  <c r="D24" i="5"/>
  <c r="C24" i="5"/>
  <c r="B24" i="5"/>
  <c r="U23" i="5"/>
  <c r="T23" i="5"/>
  <c r="S23" i="5"/>
  <c r="R23" i="5"/>
  <c r="V23" i="5" s="1"/>
  <c r="Q23" i="5"/>
  <c r="P23" i="5"/>
  <c r="O23" i="5"/>
  <c r="N23" i="5"/>
  <c r="Y23" i="5" s="1"/>
  <c r="M23" i="5"/>
  <c r="L23" i="5"/>
  <c r="K23" i="5"/>
  <c r="J23" i="5"/>
  <c r="I23" i="5"/>
  <c r="H23" i="5"/>
  <c r="G23" i="5"/>
  <c r="F23" i="5"/>
  <c r="E23" i="5"/>
  <c r="D23" i="5"/>
  <c r="C23" i="5"/>
  <c r="B23" i="5"/>
  <c r="U22" i="5"/>
  <c r="T22" i="5"/>
  <c r="S22" i="5"/>
  <c r="R22" i="5"/>
  <c r="V22" i="5" s="1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U21" i="5"/>
  <c r="T21" i="5"/>
  <c r="S21" i="5"/>
  <c r="R21" i="5"/>
  <c r="V21" i="5" s="1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U20" i="5"/>
  <c r="T20" i="5"/>
  <c r="S20" i="5"/>
  <c r="R20" i="5"/>
  <c r="V20" i="5" s="1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U19" i="5"/>
  <c r="T19" i="5"/>
  <c r="S19" i="5"/>
  <c r="R19" i="5"/>
  <c r="V19" i="5" s="1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U17" i="5"/>
  <c r="T17" i="5"/>
  <c r="S17" i="5"/>
  <c r="R17" i="5"/>
  <c r="V17" i="5" s="1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U16" i="5"/>
  <c r="T16" i="5"/>
  <c r="S16" i="5"/>
  <c r="R16" i="5"/>
  <c r="V16" i="5" s="1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U15" i="5"/>
  <c r="T15" i="5"/>
  <c r="S15" i="5"/>
  <c r="R15" i="5"/>
  <c r="V15" i="5" s="1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U13" i="5"/>
  <c r="T13" i="5"/>
  <c r="S13" i="5"/>
  <c r="R13" i="5"/>
  <c r="V13" i="5" s="1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U12" i="5"/>
  <c r="T12" i="5"/>
  <c r="S12" i="5"/>
  <c r="R12" i="5"/>
  <c r="V12" i="5" s="1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U11" i="5"/>
  <c r="T11" i="5"/>
  <c r="S11" i="5"/>
  <c r="R11" i="5"/>
  <c r="V11" i="5" s="1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U10" i="5"/>
  <c r="T10" i="5"/>
  <c r="S10" i="5"/>
  <c r="R10" i="5"/>
  <c r="V10" i="5" s="1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U9" i="5"/>
  <c r="T9" i="5"/>
  <c r="S9" i="5"/>
  <c r="R9" i="5"/>
  <c r="Q9" i="5"/>
  <c r="P9" i="5"/>
  <c r="O9" i="5"/>
  <c r="N9" i="5"/>
  <c r="Y9" i="5" s="1"/>
  <c r="M9" i="5"/>
  <c r="L9" i="5"/>
  <c r="K9" i="5"/>
  <c r="J9" i="5"/>
  <c r="I9" i="5"/>
  <c r="H9" i="5"/>
  <c r="G9" i="5"/>
  <c r="F9" i="5"/>
  <c r="E9" i="5"/>
  <c r="D9" i="5"/>
  <c r="C9" i="5"/>
  <c r="B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X8" i="5" s="1"/>
  <c r="E8" i="5"/>
  <c r="D8" i="5"/>
  <c r="C8" i="5"/>
  <c r="B8" i="5"/>
  <c r="U7" i="5"/>
  <c r="T7" i="5"/>
  <c r="S7" i="5"/>
  <c r="R7" i="5"/>
  <c r="V7" i="5" s="1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U6" i="5"/>
  <c r="T6" i="5"/>
  <c r="S6" i="5"/>
  <c r="R6" i="5"/>
  <c r="V6" i="5" s="1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U5" i="5"/>
  <c r="T5" i="5"/>
  <c r="S5" i="5"/>
  <c r="R5" i="5"/>
  <c r="V5" i="5" s="1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U4" i="5"/>
  <c r="T4" i="5"/>
  <c r="S4" i="5"/>
  <c r="R4" i="5"/>
  <c r="V4" i="5" s="1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B4" i="5"/>
  <c r="U3" i="5"/>
  <c r="T3" i="5"/>
  <c r="S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3" i="5"/>
  <c r="A3" i="4" a="1"/>
  <c r="A3" i="4" s="1"/>
  <c r="A4" i="4" a="1"/>
  <c r="A4" i="4" s="1"/>
  <c r="A5" i="4" a="1"/>
  <c r="A5" i="4" s="1"/>
  <c r="A6" i="4" a="1"/>
  <c r="A6" i="4" s="1"/>
  <c r="A7" i="4" a="1"/>
  <c r="A7" i="4" s="1"/>
  <c r="A8" i="4" a="1"/>
  <c r="A8" i="4" s="1"/>
  <c r="A9" i="4" a="1"/>
  <c r="A9" i="4" s="1"/>
  <c r="A10" i="4" a="1"/>
  <c r="A10" i="4" s="1"/>
  <c r="A11" i="4" a="1"/>
  <c r="A11" i="4" s="1"/>
  <c r="A12" i="4" a="1"/>
  <c r="A12" i="4" s="1"/>
  <c r="A13" i="4" a="1"/>
  <c r="A13" i="4" s="1"/>
  <c r="A14" i="4" a="1"/>
  <c r="A14" i="4" s="1"/>
  <c r="A15" i="4" a="1"/>
  <c r="A15" i="4" s="1"/>
  <c r="A16" i="4" a="1"/>
  <c r="A16" i="4" s="1"/>
  <c r="A17" i="4" a="1"/>
  <c r="A17" i="4" s="1"/>
  <c r="A18" i="4" a="1"/>
  <c r="A18" i="4" s="1"/>
  <c r="A19" i="4" a="1"/>
  <c r="A19" i="4" s="1"/>
  <c r="A20" i="4" a="1"/>
  <c r="A20" i="4" s="1"/>
  <c r="A21" i="4" a="1"/>
  <c r="A21" i="4" s="1"/>
  <c r="A22" i="4" a="1"/>
  <c r="A22" i="4" s="1"/>
  <c r="A23" i="4" a="1"/>
  <c r="A23" i="4" s="1"/>
  <c r="A24" i="4" a="1"/>
  <c r="A24" i="4" s="1"/>
  <c r="A25" i="4" a="1"/>
  <c r="A25" i="4" s="1"/>
  <c r="A26" i="4" a="1"/>
  <c r="A26" i="4" s="1"/>
  <c r="A27" i="4" a="1"/>
  <c r="A27" i="4" s="1"/>
  <c r="A28" i="4" a="1"/>
  <c r="A28" i="4" s="1"/>
  <c r="A29" i="4" a="1"/>
  <c r="A29" i="4" s="1"/>
  <c r="A30" i="4" a="1"/>
  <c r="A30" i="4" s="1"/>
  <c r="A31" i="4" a="1"/>
  <c r="A31" i="4" s="1"/>
  <c r="A32" i="4" a="1"/>
  <c r="A32" i="4" s="1"/>
  <c r="A33" i="4" a="1"/>
  <c r="A33" i="4" s="1"/>
  <c r="A34" i="4" a="1"/>
  <c r="A34" i="4" s="1"/>
  <c r="A35" i="4" a="1"/>
  <c r="A35" i="4" s="1"/>
  <c r="A36" i="4" a="1"/>
  <c r="A36" i="4" s="1"/>
  <c r="A37" i="4" a="1"/>
  <c r="A37" i="4" s="1"/>
  <c r="A38" i="4" a="1"/>
  <c r="A38" i="4" s="1"/>
  <c r="A39" i="4" a="1"/>
  <c r="A39" i="4" s="1"/>
  <c r="A40" i="4" a="1"/>
  <c r="A40" i="4" s="1"/>
  <c r="A41" i="4" a="1"/>
  <c r="A41" i="4" s="1"/>
  <c r="A42" i="4" a="1"/>
  <c r="A42" i="4" s="1"/>
  <c r="A43" i="4" a="1"/>
  <c r="A43" i="4" s="1"/>
  <c r="A44" i="4" a="1"/>
  <c r="A44" i="4" s="1"/>
  <c r="A45" i="4" a="1"/>
  <c r="A45" i="4" s="1"/>
  <c r="A46" i="4" a="1"/>
  <c r="A46" i="4" s="1"/>
  <c r="A47" i="4" a="1"/>
  <c r="A47" i="4" s="1"/>
  <c r="A48" i="4" a="1"/>
  <c r="A48" i="4" s="1"/>
  <c r="A49" i="4" a="1"/>
  <c r="A49" i="4" s="1"/>
  <c r="A50" i="4" a="1"/>
  <c r="A50" i="4" s="1"/>
  <c r="A51" i="4" a="1"/>
  <c r="A51" i="4" s="1"/>
  <c r="A52" i="4" a="1"/>
  <c r="A52" i="4" s="1"/>
  <c r="A53" i="4" a="1"/>
  <c r="A53" i="4" s="1"/>
  <c r="A54" i="4" a="1"/>
  <c r="A54" i="4" s="1"/>
  <c r="A55" i="4" a="1"/>
  <c r="A55" i="4" s="1"/>
  <c r="A56" i="4" a="1"/>
  <c r="A56" i="4" s="1"/>
  <c r="A57" i="4" a="1"/>
  <c r="A57" i="4" s="1"/>
  <c r="A58" i="4" a="1"/>
  <c r="A58" i="4" s="1"/>
  <c r="A59" i="4" a="1"/>
  <c r="A59" i="4" s="1"/>
  <c r="A60" i="4" a="1"/>
  <c r="A60" i="4" s="1"/>
  <c r="A61" i="4" a="1"/>
  <c r="A61" i="4" s="1"/>
  <c r="A62" i="4" a="1"/>
  <c r="A62" i="4" s="1"/>
  <c r="A63" i="4" a="1"/>
  <c r="A63" i="4" s="1"/>
  <c r="A64" i="4" a="1"/>
  <c r="A64" i="4" s="1"/>
  <c r="A65" i="4" a="1"/>
  <c r="A65" i="4" s="1"/>
  <c r="A66" i="4" a="1"/>
  <c r="A66" i="4" s="1"/>
  <c r="A67" i="4" a="1"/>
  <c r="A67" i="4" s="1"/>
  <c r="A68" i="4" a="1"/>
  <c r="A68" i="4" s="1"/>
  <c r="A69" i="4" a="1"/>
  <c r="A69" i="4" s="1"/>
  <c r="A70" i="4" a="1"/>
  <c r="A70" i="4" s="1"/>
  <c r="A71" i="4" a="1"/>
  <c r="A71" i="4" s="1"/>
  <c r="A72" i="4" a="1"/>
  <c r="A72" i="4" s="1"/>
  <c r="A73" i="4" a="1"/>
  <c r="A73" i="4" s="1"/>
  <c r="A74" i="4" a="1"/>
  <c r="A74" i="4" s="1"/>
  <c r="A75" i="4" a="1"/>
  <c r="A75" i="4" s="1"/>
  <c r="A76" i="4" a="1"/>
  <c r="A76" i="4" s="1"/>
  <c r="A77" i="4" a="1"/>
  <c r="A77" i="4" s="1"/>
  <c r="A78" i="4" a="1"/>
  <c r="A78" i="4" s="1"/>
  <c r="A79" i="4" a="1"/>
  <c r="A79" i="4" s="1"/>
  <c r="A80" i="4" a="1"/>
  <c r="A80" i="4" s="1"/>
  <c r="A81" i="4" a="1"/>
  <c r="A81" i="4" s="1"/>
  <c r="A82" i="4" a="1"/>
  <c r="A82" i="4" s="1"/>
  <c r="A83" i="4" a="1"/>
  <c r="A83" i="4" s="1"/>
  <c r="A84" i="4" a="1"/>
  <c r="A84" i="4" s="1"/>
  <c r="A85" i="4" a="1"/>
  <c r="A85" i="4" s="1"/>
  <c r="A86" i="4" a="1"/>
  <c r="A86" i="4" s="1"/>
  <c r="A87" i="4" a="1"/>
  <c r="A87" i="4" s="1"/>
  <c r="A88" i="4" a="1"/>
  <c r="A88" i="4" s="1"/>
  <c r="A89" i="4" a="1"/>
  <c r="A89" i="4" s="1"/>
  <c r="A90" i="4" a="1"/>
  <c r="A90" i="4" s="1"/>
  <c r="A91" i="4" a="1"/>
  <c r="A91" i="4" s="1"/>
  <c r="A92" i="4" a="1"/>
  <c r="A92" i="4" s="1"/>
  <c r="A93" i="4" a="1"/>
  <c r="A93" i="4" s="1"/>
  <c r="A94" i="4" a="1"/>
  <c r="A94" i="4" s="1"/>
  <c r="A95" i="4" a="1"/>
  <c r="A95" i="4" s="1"/>
  <c r="A96" i="4" a="1"/>
  <c r="A96" i="4" s="1"/>
  <c r="A97" i="4" a="1"/>
  <c r="A97" i="4" s="1"/>
  <c r="A98" i="4" a="1"/>
  <c r="A98" i="4" s="1"/>
  <c r="A99" i="4" a="1"/>
  <c r="A99" i="4" s="1"/>
  <c r="A100" i="4" a="1"/>
  <c r="A100" i="4" s="1"/>
  <c r="A2" i="4" a="1"/>
  <c r="A2" i="4" s="1"/>
  <c r="I100" i="4"/>
  <c r="H100" i="4"/>
  <c r="G100" i="4"/>
  <c r="F100" i="4"/>
  <c r="E100" i="4"/>
  <c r="D100" i="4"/>
  <c r="I99" i="4"/>
  <c r="H99" i="4"/>
  <c r="G99" i="4"/>
  <c r="F99" i="4"/>
  <c r="E99" i="4"/>
  <c r="D99" i="4"/>
  <c r="I98" i="4"/>
  <c r="H98" i="4"/>
  <c r="G98" i="4"/>
  <c r="F98" i="4"/>
  <c r="E98" i="4"/>
  <c r="D98" i="4"/>
  <c r="I97" i="4"/>
  <c r="H97" i="4"/>
  <c r="G97" i="4"/>
  <c r="F97" i="4"/>
  <c r="E97" i="4"/>
  <c r="D97" i="4"/>
  <c r="I96" i="4"/>
  <c r="H96" i="4"/>
  <c r="G96" i="4"/>
  <c r="F96" i="4"/>
  <c r="E96" i="4"/>
  <c r="D96" i="4"/>
  <c r="I95" i="4"/>
  <c r="H95" i="4"/>
  <c r="G95" i="4"/>
  <c r="F95" i="4"/>
  <c r="E95" i="4"/>
  <c r="D95" i="4"/>
  <c r="I94" i="4"/>
  <c r="H94" i="4"/>
  <c r="G94" i="4"/>
  <c r="F94" i="4"/>
  <c r="E94" i="4"/>
  <c r="D94" i="4"/>
  <c r="I93" i="4"/>
  <c r="H93" i="4"/>
  <c r="G93" i="4"/>
  <c r="F93" i="4"/>
  <c r="E93" i="4"/>
  <c r="D93" i="4"/>
  <c r="I92" i="4"/>
  <c r="H92" i="4"/>
  <c r="G92" i="4"/>
  <c r="F92" i="4"/>
  <c r="E92" i="4"/>
  <c r="D92" i="4"/>
  <c r="I91" i="4"/>
  <c r="H91" i="4"/>
  <c r="G91" i="4"/>
  <c r="F91" i="4"/>
  <c r="E91" i="4"/>
  <c r="D91" i="4"/>
  <c r="I90" i="4"/>
  <c r="H90" i="4"/>
  <c r="G90" i="4"/>
  <c r="F90" i="4"/>
  <c r="E90" i="4"/>
  <c r="D90" i="4"/>
  <c r="I89" i="4"/>
  <c r="H89" i="4"/>
  <c r="G89" i="4"/>
  <c r="F89" i="4"/>
  <c r="E89" i="4"/>
  <c r="D89" i="4"/>
  <c r="I88" i="4"/>
  <c r="H88" i="4"/>
  <c r="G88" i="4"/>
  <c r="F88" i="4"/>
  <c r="E88" i="4"/>
  <c r="D88" i="4"/>
  <c r="I87" i="4"/>
  <c r="H87" i="4"/>
  <c r="G87" i="4"/>
  <c r="F87" i="4"/>
  <c r="E87" i="4"/>
  <c r="D87" i="4"/>
  <c r="I86" i="4"/>
  <c r="H86" i="4"/>
  <c r="G86" i="4"/>
  <c r="F86" i="4"/>
  <c r="E86" i="4"/>
  <c r="D86" i="4"/>
  <c r="I85" i="4"/>
  <c r="H85" i="4"/>
  <c r="G85" i="4"/>
  <c r="F85" i="4"/>
  <c r="E85" i="4"/>
  <c r="D85" i="4"/>
  <c r="I84" i="4"/>
  <c r="H84" i="4"/>
  <c r="G84" i="4"/>
  <c r="F84" i="4"/>
  <c r="E84" i="4"/>
  <c r="D84" i="4"/>
  <c r="I83" i="4"/>
  <c r="H83" i="4"/>
  <c r="G83" i="4"/>
  <c r="F83" i="4"/>
  <c r="E83" i="4"/>
  <c r="D83" i="4"/>
  <c r="I82" i="4"/>
  <c r="H82" i="4"/>
  <c r="G82" i="4"/>
  <c r="F82" i="4"/>
  <c r="E82" i="4"/>
  <c r="D82" i="4"/>
  <c r="I81" i="4"/>
  <c r="H81" i="4"/>
  <c r="G81" i="4"/>
  <c r="F81" i="4"/>
  <c r="E81" i="4"/>
  <c r="D81" i="4"/>
  <c r="I80" i="4"/>
  <c r="H80" i="4"/>
  <c r="G80" i="4"/>
  <c r="F80" i="4"/>
  <c r="E80" i="4"/>
  <c r="D80" i="4"/>
  <c r="I79" i="4"/>
  <c r="H79" i="4"/>
  <c r="G79" i="4"/>
  <c r="F79" i="4"/>
  <c r="E79" i="4"/>
  <c r="D79" i="4"/>
  <c r="I78" i="4"/>
  <c r="H78" i="4"/>
  <c r="G78" i="4"/>
  <c r="F78" i="4"/>
  <c r="E78" i="4"/>
  <c r="D78" i="4"/>
  <c r="I77" i="4"/>
  <c r="H77" i="4"/>
  <c r="G77" i="4"/>
  <c r="F77" i="4"/>
  <c r="E77" i="4"/>
  <c r="D77" i="4"/>
  <c r="I76" i="4"/>
  <c r="H76" i="4"/>
  <c r="G76" i="4"/>
  <c r="F76" i="4"/>
  <c r="E76" i="4"/>
  <c r="D76" i="4"/>
  <c r="I75" i="4"/>
  <c r="H75" i="4"/>
  <c r="G75" i="4"/>
  <c r="F75" i="4"/>
  <c r="E75" i="4"/>
  <c r="D75" i="4"/>
  <c r="I74" i="4"/>
  <c r="H74" i="4"/>
  <c r="G74" i="4"/>
  <c r="F74" i="4"/>
  <c r="E74" i="4"/>
  <c r="D74" i="4"/>
  <c r="I73" i="4"/>
  <c r="H73" i="4"/>
  <c r="G73" i="4"/>
  <c r="F73" i="4"/>
  <c r="E73" i="4"/>
  <c r="D73" i="4"/>
  <c r="I72" i="4"/>
  <c r="H72" i="4"/>
  <c r="G72" i="4"/>
  <c r="F72" i="4"/>
  <c r="E72" i="4"/>
  <c r="D72" i="4"/>
  <c r="I71" i="4"/>
  <c r="H71" i="4"/>
  <c r="G71" i="4"/>
  <c r="F71" i="4"/>
  <c r="E71" i="4"/>
  <c r="D71" i="4"/>
  <c r="I70" i="4"/>
  <c r="H70" i="4"/>
  <c r="G70" i="4"/>
  <c r="F70" i="4"/>
  <c r="E70" i="4"/>
  <c r="D70" i="4"/>
  <c r="I69" i="4"/>
  <c r="H69" i="4"/>
  <c r="G69" i="4"/>
  <c r="F69" i="4"/>
  <c r="E69" i="4"/>
  <c r="D69" i="4"/>
  <c r="I68" i="4"/>
  <c r="H68" i="4"/>
  <c r="G68" i="4"/>
  <c r="F68" i="4"/>
  <c r="E68" i="4"/>
  <c r="D68" i="4"/>
  <c r="I67" i="4"/>
  <c r="H67" i="4"/>
  <c r="G67" i="4"/>
  <c r="F67" i="4"/>
  <c r="E67" i="4"/>
  <c r="D67" i="4"/>
  <c r="I66" i="4"/>
  <c r="H66" i="4"/>
  <c r="G66" i="4"/>
  <c r="F66" i="4"/>
  <c r="E66" i="4"/>
  <c r="D66" i="4"/>
  <c r="I65" i="4"/>
  <c r="H65" i="4"/>
  <c r="G65" i="4"/>
  <c r="F65" i="4"/>
  <c r="E65" i="4"/>
  <c r="D65" i="4"/>
  <c r="I64" i="4"/>
  <c r="H64" i="4"/>
  <c r="G64" i="4"/>
  <c r="F64" i="4"/>
  <c r="E64" i="4"/>
  <c r="D64" i="4"/>
  <c r="I63" i="4"/>
  <c r="H63" i="4"/>
  <c r="G63" i="4"/>
  <c r="F63" i="4"/>
  <c r="E63" i="4"/>
  <c r="D63" i="4"/>
  <c r="I62" i="4"/>
  <c r="H62" i="4"/>
  <c r="G62" i="4"/>
  <c r="F62" i="4"/>
  <c r="E62" i="4"/>
  <c r="D62" i="4"/>
  <c r="I61" i="4"/>
  <c r="H61" i="4"/>
  <c r="G61" i="4"/>
  <c r="F61" i="4"/>
  <c r="E61" i="4"/>
  <c r="D61" i="4"/>
  <c r="I60" i="4"/>
  <c r="H60" i="4"/>
  <c r="G60" i="4"/>
  <c r="F60" i="4"/>
  <c r="E60" i="4"/>
  <c r="D60" i="4"/>
  <c r="I59" i="4"/>
  <c r="H59" i="4"/>
  <c r="G59" i="4"/>
  <c r="F59" i="4"/>
  <c r="E59" i="4"/>
  <c r="D59" i="4"/>
  <c r="I58" i="4"/>
  <c r="H58" i="4"/>
  <c r="G58" i="4"/>
  <c r="F58" i="4"/>
  <c r="E58" i="4"/>
  <c r="D58" i="4"/>
  <c r="I57" i="4"/>
  <c r="H57" i="4"/>
  <c r="G57" i="4"/>
  <c r="F57" i="4"/>
  <c r="E57" i="4"/>
  <c r="D57" i="4"/>
  <c r="I56" i="4"/>
  <c r="H56" i="4"/>
  <c r="G56" i="4"/>
  <c r="F56" i="4"/>
  <c r="E56" i="4"/>
  <c r="D56" i="4"/>
  <c r="I55" i="4"/>
  <c r="H55" i="4"/>
  <c r="G55" i="4"/>
  <c r="F55" i="4"/>
  <c r="E55" i="4"/>
  <c r="D55" i="4"/>
  <c r="I54" i="4"/>
  <c r="H54" i="4"/>
  <c r="G54" i="4"/>
  <c r="F54" i="4"/>
  <c r="E54" i="4"/>
  <c r="D54" i="4"/>
  <c r="I53" i="4"/>
  <c r="H53" i="4"/>
  <c r="G53" i="4"/>
  <c r="F53" i="4"/>
  <c r="E53" i="4"/>
  <c r="D53" i="4"/>
  <c r="I52" i="4"/>
  <c r="H52" i="4"/>
  <c r="G52" i="4"/>
  <c r="F52" i="4"/>
  <c r="E52" i="4"/>
  <c r="D52" i="4"/>
  <c r="I51" i="4"/>
  <c r="H51" i="4"/>
  <c r="G51" i="4"/>
  <c r="F51" i="4"/>
  <c r="E51" i="4"/>
  <c r="D51" i="4"/>
  <c r="I50" i="4"/>
  <c r="H50" i="4"/>
  <c r="G50" i="4"/>
  <c r="F50" i="4"/>
  <c r="E50" i="4"/>
  <c r="D50" i="4"/>
  <c r="I49" i="4"/>
  <c r="H49" i="4"/>
  <c r="G49" i="4"/>
  <c r="F49" i="4"/>
  <c r="E49" i="4"/>
  <c r="D49" i="4"/>
  <c r="I48" i="4"/>
  <c r="H48" i="4"/>
  <c r="G48" i="4"/>
  <c r="F48" i="4"/>
  <c r="E48" i="4"/>
  <c r="D48" i="4"/>
  <c r="I47" i="4"/>
  <c r="H47" i="4"/>
  <c r="G47" i="4"/>
  <c r="F47" i="4"/>
  <c r="E47" i="4"/>
  <c r="D47" i="4"/>
  <c r="I46" i="4"/>
  <c r="H46" i="4"/>
  <c r="G46" i="4"/>
  <c r="F46" i="4"/>
  <c r="E46" i="4"/>
  <c r="D46" i="4"/>
  <c r="I45" i="4"/>
  <c r="H45" i="4"/>
  <c r="G45" i="4"/>
  <c r="F45" i="4"/>
  <c r="E45" i="4"/>
  <c r="D45" i="4"/>
  <c r="I44" i="4"/>
  <c r="H44" i="4"/>
  <c r="G44" i="4"/>
  <c r="F44" i="4"/>
  <c r="E44" i="4"/>
  <c r="D44" i="4"/>
  <c r="I43" i="4"/>
  <c r="H43" i="4"/>
  <c r="G43" i="4"/>
  <c r="F43" i="4"/>
  <c r="E43" i="4"/>
  <c r="D43" i="4"/>
  <c r="I42" i="4"/>
  <c r="H42" i="4"/>
  <c r="G42" i="4"/>
  <c r="F42" i="4"/>
  <c r="E42" i="4"/>
  <c r="D42" i="4"/>
  <c r="I41" i="4"/>
  <c r="H41" i="4"/>
  <c r="G41" i="4"/>
  <c r="F41" i="4"/>
  <c r="E41" i="4"/>
  <c r="D41" i="4"/>
  <c r="I40" i="4"/>
  <c r="H40" i="4"/>
  <c r="G40" i="4"/>
  <c r="F40" i="4"/>
  <c r="E40" i="4"/>
  <c r="D40" i="4"/>
  <c r="I39" i="4"/>
  <c r="H39" i="4"/>
  <c r="G39" i="4"/>
  <c r="F39" i="4"/>
  <c r="E39" i="4"/>
  <c r="D39" i="4"/>
  <c r="I38" i="4"/>
  <c r="H38" i="4"/>
  <c r="G38" i="4"/>
  <c r="F38" i="4"/>
  <c r="E38" i="4"/>
  <c r="D38" i="4"/>
  <c r="I37" i="4"/>
  <c r="H37" i="4"/>
  <c r="G37" i="4"/>
  <c r="F37" i="4"/>
  <c r="E37" i="4"/>
  <c r="D37" i="4"/>
  <c r="I36" i="4"/>
  <c r="H36" i="4"/>
  <c r="G36" i="4"/>
  <c r="F36" i="4"/>
  <c r="E36" i="4"/>
  <c r="D36" i="4"/>
  <c r="I35" i="4"/>
  <c r="H35" i="4"/>
  <c r="G35" i="4"/>
  <c r="F35" i="4"/>
  <c r="E35" i="4"/>
  <c r="D35" i="4"/>
  <c r="I34" i="4"/>
  <c r="H34" i="4"/>
  <c r="G34" i="4"/>
  <c r="F34" i="4"/>
  <c r="E34" i="4"/>
  <c r="D34" i="4"/>
  <c r="I33" i="4"/>
  <c r="H33" i="4"/>
  <c r="G33" i="4"/>
  <c r="F33" i="4"/>
  <c r="E33" i="4"/>
  <c r="D33" i="4"/>
  <c r="I32" i="4"/>
  <c r="H32" i="4"/>
  <c r="G32" i="4"/>
  <c r="F32" i="4"/>
  <c r="E32" i="4"/>
  <c r="D32" i="4"/>
  <c r="I31" i="4"/>
  <c r="H31" i="4"/>
  <c r="G31" i="4"/>
  <c r="F31" i="4"/>
  <c r="E31" i="4"/>
  <c r="D31" i="4"/>
  <c r="I30" i="4"/>
  <c r="H30" i="4"/>
  <c r="G30" i="4"/>
  <c r="F30" i="4"/>
  <c r="E30" i="4"/>
  <c r="D30" i="4"/>
  <c r="I29" i="4"/>
  <c r="H29" i="4"/>
  <c r="G29" i="4"/>
  <c r="F29" i="4"/>
  <c r="E29" i="4"/>
  <c r="D29" i="4"/>
  <c r="I28" i="4"/>
  <c r="H28" i="4"/>
  <c r="G28" i="4"/>
  <c r="F28" i="4"/>
  <c r="E28" i="4"/>
  <c r="D28" i="4"/>
  <c r="I27" i="4"/>
  <c r="H27" i="4"/>
  <c r="G27" i="4"/>
  <c r="F27" i="4"/>
  <c r="E27" i="4"/>
  <c r="D27" i="4"/>
  <c r="I26" i="4"/>
  <c r="H26" i="4"/>
  <c r="G26" i="4"/>
  <c r="F26" i="4"/>
  <c r="E26" i="4"/>
  <c r="D26" i="4"/>
  <c r="I25" i="4"/>
  <c r="H25" i="4"/>
  <c r="G25" i="4"/>
  <c r="F25" i="4"/>
  <c r="E25" i="4"/>
  <c r="D25" i="4"/>
  <c r="I24" i="4"/>
  <c r="H24" i="4"/>
  <c r="G24" i="4"/>
  <c r="F24" i="4"/>
  <c r="E24" i="4"/>
  <c r="D24" i="4"/>
  <c r="I23" i="4"/>
  <c r="H23" i="4"/>
  <c r="G23" i="4"/>
  <c r="F23" i="4"/>
  <c r="E23" i="4"/>
  <c r="D23" i="4"/>
  <c r="I22" i="4"/>
  <c r="H22" i="4"/>
  <c r="G22" i="4"/>
  <c r="F22" i="4"/>
  <c r="E22" i="4"/>
  <c r="D22" i="4"/>
  <c r="I21" i="4"/>
  <c r="H21" i="4"/>
  <c r="G21" i="4"/>
  <c r="F21" i="4"/>
  <c r="E21" i="4"/>
  <c r="D21" i="4"/>
  <c r="I20" i="4"/>
  <c r="H20" i="4"/>
  <c r="G20" i="4"/>
  <c r="F20" i="4"/>
  <c r="E20" i="4"/>
  <c r="D20" i="4"/>
  <c r="I19" i="4"/>
  <c r="H19" i="4"/>
  <c r="G19" i="4"/>
  <c r="F19" i="4"/>
  <c r="E19" i="4"/>
  <c r="D19" i="4"/>
  <c r="I18" i="4"/>
  <c r="H18" i="4"/>
  <c r="G18" i="4"/>
  <c r="F18" i="4"/>
  <c r="E18" i="4"/>
  <c r="D18" i="4"/>
  <c r="I17" i="4"/>
  <c r="H17" i="4"/>
  <c r="G17" i="4"/>
  <c r="F17" i="4"/>
  <c r="E17" i="4"/>
  <c r="D17" i="4"/>
  <c r="I16" i="4"/>
  <c r="H16" i="4"/>
  <c r="G16" i="4"/>
  <c r="F16" i="4"/>
  <c r="E16" i="4"/>
  <c r="D16" i="4"/>
  <c r="I15" i="4"/>
  <c r="H15" i="4"/>
  <c r="G15" i="4"/>
  <c r="F15" i="4"/>
  <c r="E15" i="4"/>
  <c r="D15" i="4"/>
  <c r="I14" i="4"/>
  <c r="H14" i="4"/>
  <c r="G14" i="4"/>
  <c r="F14" i="4"/>
  <c r="E14" i="4"/>
  <c r="D14" i="4"/>
  <c r="I13" i="4"/>
  <c r="H13" i="4"/>
  <c r="G13" i="4"/>
  <c r="F13" i="4"/>
  <c r="E13" i="4"/>
  <c r="D13" i="4"/>
  <c r="I12" i="4"/>
  <c r="H12" i="4"/>
  <c r="G12" i="4"/>
  <c r="F12" i="4"/>
  <c r="E12" i="4"/>
  <c r="D12" i="4"/>
  <c r="I11" i="4"/>
  <c r="H11" i="4"/>
  <c r="G11" i="4"/>
  <c r="F11" i="4"/>
  <c r="E11" i="4"/>
  <c r="D11" i="4"/>
  <c r="I10" i="4"/>
  <c r="H10" i="4"/>
  <c r="G10" i="4"/>
  <c r="F10" i="4"/>
  <c r="E10" i="4"/>
  <c r="D10" i="4"/>
  <c r="I9" i="4"/>
  <c r="H9" i="4"/>
  <c r="G9" i="4"/>
  <c r="F9" i="4"/>
  <c r="E9" i="4"/>
  <c r="D9" i="4"/>
  <c r="I8" i="4"/>
  <c r="H8" i="4"/>
  <c r="G8" i="4"/>
  <c r="F8" i="4"/>
  <c r="E8" i="4"/>
  <c r="D8" i="4"/>
  <c r="I7" i="4"/>
  <c r="H7" i="4"/>
  <c r="G7" i="4"/>
  <c r="F7" i="4"/>
  <c r="E7" i="4"/>
  <c r="D7" i="4"/>
  <c r="I6" i="4"/>
  <c r="H6" i="4"/>
  <c r="G6" i="4"/>
  <c r="F6" i="4"/>
  <c r="E6" i="4"/>
  <c r="D6" i="4"/>
  <c r="I5" i="4"/>
  <c r="H5" i="4"/>
  <c r="G5" i="4"/>
  <c r="F5" i="4"/>
  <c r="E5" i="4"/>
  <c r="D5" i="4"/>
  <c r="I4" i="4"/>
  <c r="H4" i="4"/>
  <c r="G4" i="4"/>
  <c r="F4" i="4"/>
  <c r="E4" i="4"/>
  <c r="D4" i="4"/>
  <c r="I3" i="4"/>
  <c r="H3" i="4"/>
  <c r="G3" i="4"/>
  <c r="F3" i="4"/>
  <c r="E3" i="4"/>
  <c r="D3" i="4"/>
  <c r="I2" i="4"/>
  <c r="H2" i="4"/>
  <c r="G2" i="4"/>
  <c r="F2" i="4"/>
  <c r="E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2" i="4"/>
  <c r="D2" i="4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2" i="3"/>
  <c r="V3" i="5" l="1"/>
  <c r="V45" i="5"/>
  <c r="V42" i="5"/>
  <c r="V35" i="5"/>
  <c r="V38" i="5"/>
  <c r="V34" i="5"/>
  <c r="Y17" i="5"/>
  <c r="V9" i="5"/>
  <c r="V8" i="5"/>
  <c r="V14" i="5"/>
  <c r="V50" i="5"/>
  <c r="V41" i="5"/>
  <c r="V36" i="5"/>
  <c r="V18" i="5"/>
  <c r="X33" i="5"/>
  <c r="Y21" i="5"/>
  <c r="Y15" i="5"/>
  <c r="Y13" i="5"/>
  <c r="X24" i="5"/>
  <c r="X41" i="5"/>
  <c r="X3" i="5"/>
  <c r="Y22" i="5"/>
  <c r="V58" i="12"/>
  <c r="U58" i="12"/>
  <c r="T58" i="12"/>
  <c r="R58" i="12"/>
  <c r="Q58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C58" i="12"/>
  <c r="V57" i="12"/>
  <c r="U57" i="12"/>
  <c r="T57" i="12"/>
  <c r="R57" i="12"/>
  <c r="Q57" i="12"/>
  <c r="P57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V56" i="12"/>
  <c r="U56" i="12"/>
  <c r="T56" i="12"/>
  <c r="R56" i="12"/>
  <c r="Q56" i="12"/>
  <c r="P56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V55" i="12"/>
  <c r="U55" i="12"/>
  <c r="T55" i="12"/>
  <c r="R55" i="12"/>
  <c r="Q55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M54" i="12"/>
  <c r="V54" i="12"/>
  <c r="U54" i="12"/>
  <c r="T54" i="12"/>
  <c r="R54" i="12"/>
  <c r="Q54" i="12"/>
  <c r="P54" i="12"/>
  <c r="O54" i="12"/>
  <c r="N54" i="12"/>
  <c r="L54" i="12"/>
  <c r="K54" i="12"/>
  <c r="J54" i="12"/>
  <c r="I54" i="12"/>
  <c r="H54" i="12"/>
  <c r="G54" i="12"/>
  <c r="F54" i="12"/>
  <c r="E54" i="12"/>
  <c r="D54" i="12"/>
  <c r="C54" i="12"/>
  <c r="V53" i="12"/>
  <c r="U53" i="12"/>
  <c r="T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M52" i="12"/>
  <c r="V52" i="12"/>
  <c r="U52" i="12"/>
  <c r="T52" i="12"/>
  <c r="R52" i="12"/>
  <c r="Q52" i="12"/>
  <c r="P52" i="12"/>
  <c r="O52" i="12"/>
  <c r="N52" i="12"/>
  <c r="L52" i="12"/>
  <c r="K52" i="12"/>
  <c r="J52" i="12"/>
  <c r="I52" i="12"/>
  <c r="H52" i="12"/>
  <c r="G52" i="12"/>
  <c r="F52" i="12"/>
  <c r="E52" i="12"/>
  <c r="D52" i="12"/>
  <c r="C52" i="12"/>
  <c r="M51" i="12"/>
  <c r="V51" i="12"/>
  <c r="U51" i="12"/>
  <c r="T51" i="12"/>
  <c r="R51" i="12"/>
  <c r="Q51" i="12"/>
  <c r="P51" i="12"/>
  <c r="O51" i="12"/>
  <c r="N51" i="12"/>
  <c r="L51" i="12"/>
  <c r="K51" i="12"/>
  <c r="J51" i="12"/>
  <c r="I51" i="12"/>
  <c r="H51" i="12"/>
  <c r="G51" i="12"/>
  <c r="F51" i="12"/>
  <c r="E51" i="12"/>
  <c r="D51" i="12"/>
  <c r="C51" i="12"/>
  <c r="V50" i="12"/>
  <c r="U50" i="12"/>
  <c r="T50" i="12"/>
  <c r="R50" i="12"/>
  <c r="Q50" i="12"/>
  <c r="P50" i="12"/>
  <c r="O50" i="12"/>
  <c r="N50" i="12"/>
  <c r="M50" i="12"/>
  <c r="C50" i="12"/>
  <c r="D50" i="12"/>
  <c r="E50" i="12"/>
  <c r="F50" i="12"/>
  <c r="G50" i="12"/>
  <c r="H50" i="12"/>
  <c r="I50" i="12"/>
  <c r="J50" i="12"/>
  <c r="K50" i="12"/>
  <c r="L50" i="12"/>
  <c r="M49" i="12"/>
  <c r="O49" i="12"/>
  <c r="V49" i="12"/>
  <c r="U49" i="12"/>
  <c r="T49" i="12"/>
  <c r="R49" i="12"/>
  <c r="Q49" i="12"/>
  <c r="P49" i="12"/>
  <c r="N49" i="12"/>
  <c r="L49" i="12"/>
  <c r="K49" i="12"/>
  <c r="J49" i="12"/>
  <c r="I49" i="12"/>
  <c r="H49" i="12"/>
  <c r="G49" i="12"/>
  <c r="F49" i="12"/>
  <c r="E49" i="12"/>
  <c r="K48" i="12"/>
  <c r="V48" i="12"/>
  <c r="E48" i="12"/>
  <c r="F48" i="12"/>
  <c r="G48" i="12"/>
  <c r="H48" i="12"/>
  <c r="I48" i="12"/>
  <c r="J48" i="12"/>
  <c r="L48" i="12"/>
  <c r="M48" i="12"/>
  <c r="N48" i="12"/>
  <c r="O48" i="12"/>
  <c r="P48" i="12"/>
  <c r="Q48" i="12"/>
  <c r="R48" i="12"/>
  <c r="T48" i="12"/>
  <c r="U48" i="12"/>
  <c r="C48" i="12"/>
  <c r="V47" i="12"/>
  <c r="U47" i="12"/>
  <c r="T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C46" i="12"/>
  <c r="D46" i="12"/>
  <c r="G46" i="12"/>
  <c r="H46" i="12"/>
  <c r="I46" i="12"/>
  <c r="J46" i="12"/>
  <c r="K46" i="12"/>
  <c r="L46" i="12"/>
  <c r="M46" i="12"/>
  <c r="N46" i="12"/>
  <c r="E46" i="12"/>
  <c r="O46" i="12"/>
  <c r="P46" i="12"/>
  <c r="Q46" i="12"/>
  <c r="R46" i="12"/>
  <c r="T46" i="12"/>
  <c r="U46" i="12"/>
  <c r="V46" i="12"/>
  <c r="F46" i="12"/>
  <c r="C45" i="12"/>
  <c r="F45" i="12"/>
  <c r="G45" i="12"/>
  <c r="H45" i="12"/>
  <c r="I45" i="12"/>
  <c r="J45" i="12"/>
  <c r="K45" i="12"/>
  <c r="L45" i="12"/>
  <c r="M45" i="12"/>
  <c r="N45" i="12"/>
  <c r="O45" i="12"/>
  <c r="P45" i="12"/>
  <c r="Q45" i="12"/>
  <c r="R45" i="12"/>
  <c r="T45" i="12"/>
  <c r="U45" i="12"/>
  <c r="V45" i="12"/>
  <c r="D45" i="12"/>
  <c r="E45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P44" i="12"/>
  <c r="Q44" i="12"/>
  <c r="R44" i="12"/>
  <c r="T44" i="12"/>
  <c r="U44" i="12"/>
  <c r="V44" i="12"/>
  <c r="M43" i="12"/>
  <c r="C43" i="12"/>
  <c r="D43" i="12"/>
  <c r="E43" i="12"/>
  <c r="F43" i="12"/>
  <c r="G43" i="12"/>
  <c r="H43" i="12"/>
  <c r="I43" i="12"/>
  <c r="J43" i="12"/>
  <c r="K43" i="12"/>
  <c r="L43" i="12"/>
  <c r="N43" i="12"/>
  <c r="O43" i="12"/>
  <c r="P43" i="12"/>
  <c r="Q43" i="12"/>
  <c r="R43" i="12"/>
  <c r="T43" i="12"/>
  <c r="U43" i="12"/>
  <c r="V43" i="12"/>
  <c r="F42" i="12"/>
  <c r="D42" i="12"/>
  <c r="Q42" i="12"/>
  <c r="P42" i="12"/>
  <c r="O42" i="12"/>
  <c r="N42" i="12"/>
  <c r="M42" i="12"/>
  <c r="L42" i="12"/>
  <c r="K42" i="12"/>
  <c r="J42" i="12"/>
  <c r="I42" i="12"/>
  <c r="H42" i="12"/>
  <c r="V42" i="12"/>
  <c r="U42" i="12"/>
  <c r="T42" i="12"/>
  <c r="R42" i="12"/>
  <c r="G42" i="12"/>
  <c r="C42" i="12"/>
  <c r="E42" i="12"/>
  <c r="N41" i="12"/>
  <c r="V41" i="12"/>
  <c r="U41" i="12"/>
  <c r="T41" i="12"/>
  <c r="F41" i="12"/>
  <c r="H41" i="12"/>
  <c r="J41" i="12"/>
  <c r="L41" i="12"/>
  <c r="R41" i="12"/>
  <c r="O41" i="12"/>
  <c r="P41" i="12"/>
  <c r="Q41" i="12"/>
  <c r="M41" i="12"/>
  <c r="K41" i="12"/>
  <c r="I41" i="12"/>
  <c r="G41" i="12"/>
  <c r="E41" i="12"/>
  <c r="D41" i="12"/>
  <c r="C41" i="12"/>
  <c r="D40" i="12"/>
  <c r="H40" i="12"/>
  <c r="M40" i="12"/>
  <c r="O40" i="12"/>
  <c r="R40" i="12"/>
  <c r="U40" i="12"/>
  <c r="C40" i="12"/>
  <c r="E40" i="12"/>
  <c r="F40" i="12"/>
  <c r="G40" i="12"/>
  <c r="I40" i="12"/>
  <c r="J40" i="12"/>
  <c r="K40" i="12"/>
  <c r="L40" i="12"/>
  <c r="N40" i="12"/>
  <c r="V40" i="12"/>
  <c r="T40" i="12"/>
  <c r="Q40" i="12"/>
  <c r="P40" i="12"/>
  <c r="P39" i="12"/>
  <c r="V39" i="12"/>
  <c r="U39" i="12"/>
  <c r="R39" i="12"/>
  <c r="O39" i="12"/>
  <c r="M39" i="12"/>
  <c r="L39" i="12"/>
  <c r="J39" i="12"/>
  <c r="C39" i="12"/>
  <c r="E39" i="12"/>
  <c r="F39" i="12"/>
  <c r="G39" i="12"/>
  <c r="H39" i="12"/>
  <c r="I39" i="12"/>
  <c r="K39" i="12"/>
  <c r="N39" i="12"/>
  <c r="Q39" i="12"/>
  <c r="T39" i="12"/>
  <c r="R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P38" i="12"/>
  <c r="Q38" i="12"/>
  <c r="T38" i="12"/>
  <c r="U38" i="12"/>
  <c r="V38" i="12"/>
  <c r="R37" i="12"/>
  <c r="Q37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U37" i="12"/>
  <c r="V37" i="12"/>
  <c r="T37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T36" i="12"/>
  <c r="U36" i="12"/>
  <c r="V36" i="12"/>
  <c r="T35" i="12"/>
  <c r="D35" i="12"/>
  <c r="U35" i="12"/>
  <c r="V35" i="12"/>
  <c r="R35" i="12"/>
  <c r="C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C34" i="12"/>
  <c r="J34" i="12"/>
  <c r="K34" i="12"/>
  <c r="L34" i="12"/>
  <c r="I34" i="12"/>
  <c r="M34" i="12"/>
  <c r="N34" i="12"/>
  <c r="O34" i="12"/>
  <c r="P34" i="12"/>
  <c r="V34" i="12"/>
  <c r="U34" i="12"/>
  <c r="T34" i="12"/>
  <c r="R34" i="12"/>
  <c r="H34" i="12"/>
  <c r="G34" i="12"/>
  <c r="F34" i="12"/>
  <c r="E34" i="12"/>
  <c r="D34" i="12"/>
  <c r="Q34" i="12"/>
  <c r="G33" i="12"/>
  <c r="R33" i="12"/>
  <c r="U33" i="12"/>
  <c r="V33" i="12"/>
  <c r="Q33" i="12"/>
  <c r="P33" i="12"/>
  <c r="O33" i="12"/>
  <c r="N33" i="12"/>
  <c r="M33" i="12"/>
  <c r="L33" i="12"/>
  <c r="K33" i="12"/>
  <c r="J33" i="12"/>
  <c r="I33" i="12"/>
  <c r="H33" i="12"/>
  <c r="F33" i="12"/>
  <c r="E33" i="12"/>
  <c r="D33" i="12"/>
  <c r="C33" i="12"/>
  <c r="T33" i="12"/>
  <c r="V32" i="12"/>
  <c r="U32" i="12"/>
  <c r="T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R31" i="12"/>
  <c r="N31" i="12"/>
  <c r="M31" i="12"/>
  <c r="L31" i="12"/>
  <c r="K31" i="12"/>
  <c r="J31" i="12"/>
  <c r="I31" i="12"/>
  <c r="H31" i="12"/>
  <c r="G31" i="12"/>
  <c r="F31" i="12"/>
  <c r="E31" i="12"/>
  <c r="O31" i="12"/>
  <c r="D31" i="12"/>
  <c r="C31" i="12"/>
  <c r="U31" i="12"/>
  <c r="V31" i="12"/>
  <c r="T31" i="12"/>
  <c r="Q31" i="12"/>
  <c r="P31" i="12"/>
  <c r="Q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R30" i="12"/>
  <c r="T30" i="12"/>
  <c r="U30" i="12"/>
  <c r="V30" i="12"/>
  <c r="P30" i="12"/>
  <c r="Q29" i="12"/>
  <c r="T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R29" i="12"/>
  <c r="U29" i="12"/>
  <c r="V29" i="12"/>
  <c r="G28" i="12"/>
  <c r="F28" i="12"/>
  <c r="E28" i="12"/>
  <c r="D28" i="12"/>
  <c r="C28" i="12"/>
  <c r="H28" i="12"/>
  <c r="I28" i="12"/>
  <c r="J28" i="12"/>
  <c r="K28" i="12"/>
  <c r="L28" i="12"/>
  <c r="M28" i="12"/>
  <c r="N28" i="12"/>
  <c r="O28" i="12"/>
  <c r="P28" i="12"/>
  <c r="Q28" i="12"/>
  <c r="R28" i="12"/>
  <c r="T28" i="12"/>
  <c r="U28" i="12"/>
  <c r="V28" i="12"/>
  <c r="K27" i="12"/>
  <c r="Q27" i="12"/>
  <c r="C27" i="12"/>
  <c r="D27" i="12"/>
  <c r="E27" i="12"/>
  <c r="F27" i="12"/>
  <c r="G27" i="12"/>
  <c r="H27" i="12"/>
  <c r="I27" i="12"/>
  <c r="J27" i="12"/>
  <c r="L27" i="12"/>
  <c r="M27" i="12"/>
  <c r="N27" i="12"/>
  <c r="O27" i="12"/>
  <c r="P27" i="12"/>
  <c r="V27" i="12"/>
  <c r="U27" i="12"/>
  <c r="T27" i="12"/>
  <c r="R27" i="12"/>
  <c r="C26" i="12"/>
  <c r="D26" i="12"/>
  <c r="E26" i="12"/>
  <c r="F26" i="12"/>
  <c r="G26" i="12"/>
  <c r="H26" i="12"/>
  <c r="I26" i="12"/>
  <c r="J26" i="12"/>
  <c r="K26" i="12"/>
  <c r="L26" i="12"/>
  <c r="M26" i="12"/>
  <c r="R26" i="12"/>
  <c r="T26" i="12"/>
  <c r="U26" i="12"/>
  <c r="V26" i="12"/>
  <c r="N26" i="12"/>
  <c r="O26" i="12"/>
  <c r="P26" i="12"/>
  <c r="Q26" i="12"/>
  <c r="C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T25" i="12"/>
  <c r="U25" i="12"/>
  <c r="V25" i="12"/>
  <c r="D25" i="12"/>
  <c r="E25" i="12"/>
  <c r="H24" i="12"/>
  <c r="E24" i="12"/>
  <c r="I24" i="12"/>
  <c r="J24" i="12"/>
  <c r="K24" i="12"/>
  <c r="L24" i="12"/>
  <c r="M24" i="12"/>
  <c r="N24" i="12"/>
  <c r="C24" i="12"/>
  <c r="D24" i="12"/>
  <c r="O24" i="12"/>
  <c r="P24" i="12"/>
  <c r="Q24" i="12"/>
  <c r="R24" i="12"/>
  <c r="T24" i="12"/>
  <c r="U24" i="12"/>
  <c r="V24" i="12"/>
  <c r="G24" i="12"/>
  <c r="F24" i="12"/>
  <c r="E23" i="12"/>
  <c r="F23" i="12"/>
  <c r="C23" i="12"/>
  <c r="D23" i="12"/>
  <c r="V23" i="12"/>
  <c r="U23" i="12"/>
  <c r="T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D22" i="12"/>
  <c r="C22" i="12"/>
  <c r="E22" i="12"/>
  <c r="F22" i="12"/>
  <c r="G22" i="12"/>
  <c r="H22" i="12"/>
  <c r="I22" i="12"/>
  <c r="J22" i="12"/>
  <c r="K22" i="12"/>
  <c r="L22" i="12"/>
  <c r="M22" i="12"/>
  <c r="N22" i="12"/>
  <c r="P22" i="12"/>
  <c r="Q22" i="12"/>
  <c r="R22" i="12"/>
  <c r="T22" i="12"/>
  <c r="U22" i="12"/>
  <c r="V22" i="12"/>
  <c r="O22" i="12"/>
  <c r="O21" i="12"/>
  <c r="M21" i="12"/>
  <c r="V21" i="12"/>
  <c r="U21" i="12"/>
  <c r="T21" i="12"/>
  <c r="R21" i="12"/>
  <c r="Q21" i="12"/>
  <c r="P21" i="12"/>
  <c r="N21" i="12"/>
  <c r="L21" i="12"/>
  <c r="K21" i="12"/>
  <c r="J21" i="12"/>
  <c r="I21" i="12"/>
  <c r="H21" i="12"/>
  <c r="G21" i="12"/>
  <c r="F21" i="12"/>
  <c r="E21" i="12"/>
  <c r="D21" i="12"/>
  <c r="C21" i="12"/>
  <c r="K20" i="12"/>
  <c r="V20" i="12"/>
  <c r="D20" i="12"/>
  <c r="E20" i="12"/>
  <c r="F20" i="12"/>
  <c r="G20" i="12"/>
  <c r="H20" i="12"/>
  <c r="I20" i="12"/>
  <c r="J20" i="12"/>
  <c r="L20" i="12"/>
  <c r="M20" i="12"/>
  <c r="N20" i="12"/>
  <c r="O20" i="12"/>
  <c r="P20" i="12"/>
  <c r="Q20" i="12"/>
  <c r="R20" i="12"/>
  <c r="T20" i="12"/>
  <c r="U20" i="12"/>
  <c r="C20" i="12"/>
  <c r="V19" i="12"/>
  <c r="U19" i="12"/>
  <c r="T19" i="12"/>
  <c r="R19" i="12"/>
  <c r="Q19" i="12"/>
  <c r="P19" i="12"/>
  <c r="O19" i="12"/>
  <c r="N19" i="12"/>
  <c r="M19" i="12"/>
  <c r="L19" i="12"/>
  <c r="K19" i="12"/>
  <c r="J19" i="12"/>
  <c r="D19" i="12"/>
  <c r="I19" i="12"/>
  <c r="H19" i="12"/>
  <c r="G19" i="12"/>
  <c r="F19" i="12"/>
  <c r="E19" i="12"/>
  <c r="C19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P18" i="12"/>
  <c r="Q18" i="12"/>
  <c r="R18" i="12"/>
  <c r="T18" i="12"/>
  <c r="U18" i="12"/>
  <c r="V18" i="12"/>
  <c r="V17" i="12"/>
  <c r="F17" i="12"/>
  <c r="C17" i="12"/>
  <c r="D17" i="12"/>
  <c r="E17" i="12"/>
  <c r="G17" i="12"/>
  <c r="H17" i="12"/>
  <c r="I17" i="12"/>
  <c r="K17" i="12"/>
  <c r="M17" i="12"/>
  <c r="N17" i="12"/>
  <c r="O17" i="12"/>
  <c r="P17" i="12"/>
  <c r="Q17" i="12"/>
  <c r="R17" i="12"/>
  <c r="T17" i="12"/>
  <c r="U17" i="12"/>
  <c r="L17" i="12"/>
  <c r="J17" i="12"/>
  <c r="C16" i="12"/>
  <c r="D16" i="12"/>
  <c r="E16" i="12"/>
  <c r="F16" i="12"/>
  <c r="G16" i="12"/>
  <c r="H16" i="12"/>
  <c r="I16" i="12"/>
  <c r="J16" i="12"/>
  <c r="K16" i="12"/>
  <c r="L16" i="12"/>
  <c r="M16" i="12"/>
  <c r="T16" i="12"/>
  <c r="N16" i="12"/>
  <c r="O16" i="12"/>
  <c r="P16" i="12"/>
  <c r="Q16" i="12"/>
  <c r="R16" i="12"/>
  <c r="V16" i="12"/>
  <c r="U16" i="12"/>
  <c r="M15" i="12"/>
  <c r="C15" i="12"/>
  <c r="D15" i="12"/>
  <c r="E15" i="12"/>
  <c r="F15" i="12"/>
  <c r="G15" i="12"/>
  <c r="H15" i="12"/>
  <c r="I15" i="12"/>
  <c r="J15" i="12"/>
  <c r="K15" i="12"/>
  <c r="L15" i="12"/>
  <c r="N15" i="12"/>
  <c r="O15" i="12"/>
  <c r="P15" i="12"/>
  <c r="Q15" i="12"/>
  <c r="R15" i="12"/>
  <c r="T15" i="12"/>
  <c r="U15" i="12"/>
  <c r="V15" i="12"/>
  <c r="F14" i="12"/>
  <c r="C14" i="12"/>
  <c r="H14" i="12"/>
  <c r="J14" i="12"/>
  <c r="K14" i="12"/>
  <c r="L14" i="12"/>
  <c r="M14" i="12"/>
  <c r="N14" i="12"/>
  <c r="O14" i="12"/>
  <c r="P14" i="12"/>
  <c r="Q14" i="12"/>
  <c r="R14" i="12"/>
  <c r="T14" i="12"/>
  <c r="U14" i="12"/>
  <c r="V14" i="12"/>
  <c r="I14" i="12"/>
  <c r="E14" i="12"/>
  <c r="D14" i="12"/>
  <c r="G14" i="12"/>
  <c r="C13" i="12"/>
  <c r="H13" i="12"/>
  <c r="I13" i="12"/>
  <c r="J13" i="12"/>
  <c r="K13" i="12"/>
  <c r="L13" i="12"/>
  <c r="M13" i="12"/>
  <c r="N13" i="12"/>
  <c r="O13" i="12"/>
  <c r="P13" i="12"/>
  <c r="Q13" i="12"/>
  <c r="R13" i="12"/>
  <c r="T13" i="12"/>
  <c r="U13" i="12"/>
  <c r="V13" i="12"/>
  <c r="G13" i="12"/>
  <c r="F13" i="12"/>
  <c r="E13" i="12"/>
  <c r="D13" i="12"/>
  <c r="J12" i="12"/>
  <c r="I12" i="12"/>
  <c r="H12" i="12"/>
  <c r="G12" i="12"/>
  <c r="F12" i="12"/>
  <c r="E12" i="12"/>
  <c r="D12" i="12"/>
  <c r="C12" i="12"/>
  <c r="V12" i="12"/>
  <c r="U12" i="12"/>
  <c r="T12" i="12"/>
  <c r="R12" i="12"/>
  <c r="Q12" i="12"/>
  <c r="P12" i="12"/>
  <c r="O12" i="12"/>
  <c r="N12" i="12"/>
  <c r="M12" i="12"/>
  <c r="L12" i="12"/>
  <c r="K12" i="12"/>
  <c r="L11" i="12"/>
  <c r="K11" i="12"/>
  <c r="J11" i="12"/>
  <c r="I11" i="12"/>
  <c r="H11" i="12"/>
  <c r="G11" i="12"/>
  <c r="F11" i="12"/>
  <c r="E11" i="12"/>
  <c r="D11" i="12"/>
  <c r="C11" i="12"/>
  <c r="V11" i="12"/>
  <c r="U11" i="12"/>
  <c r="T11" i="12"/>
  <c r="R11" i="12"/>
  <c r="Q11" i="12"/>
  <c r="P11" i="12"/>
  <c r="O11" i="12"/>
  <c r="N11" i="12"/>
  <c r="M11" i="12"/>
  <c r="M10" i="12"/>
  <c r="L10" i="12"/>
  <c r="K10" i="12"/>
  <c r="J10" i="12"/>
  <c r="N10" i="12"/>
  <c r="O10" i="12"/>
  <c r="P10" i="12"/>
  <c r="Q10" i="12"/>
  <c r="R10" i="12"/>
  <c r="T10" i="12"/>
  <c r="U10" i="12"/>
  <c r="V10" i="12"/>
  <c r="F10" i="12"/>
  <c r="E10" i="12"/>
  <c r="D10" i="12"/>
  <c r="C10" i="12"/>
  <c r="I10" i="12"/>
  <c r="H10" i="12"/>
  <c r="G10" i="12"/>
  <c r="R9" i="12"/>
  <c r="H9" i="12"/>
  <c r="V9" i="12"/>
  <c r="O9" i="12"/>
  <c r="C9" i="12"/>
  <c r="D9" i="12"/>
  <c r="E9" i="12"/>
  <c r="F9" i="12"/>
  <c r="G9" i="12"/>
  <c r="I9" i="12"/>
  <c r="N9" i="12"/>
  <c r="M9" i="12"/>
  <c r="L9" i="12"/>
  <c r="K9" i="12"/>
  <c r="J9" i="12"/>
  <c r="T9" i="12"/>
  <c r="U9" i="12"/>
  <c r="P9" i="12"/>
  <c r="Q9" i="12"/>
  <c r="D8" i="12"/>
  <c r="F8" i="12"/>
  <c r="R8" i="12"/>
  <c r="L8" i="12"/>
  <c r="C8" i="12"/>
  <c r="J8" i="12"/>
  <c r="K8" i="12"/>
  <c r="M8" i="12"/>
  <c r="P8" i="12"/>
  <c r="V8" i="12"/>
  <c r="O8" i="12"/>
  <c r="N8" i="12"/>
  <c r="I8" i="12"/>
  <c r="G8" i="12"/>
  <c r="Q8" i="12"/>
  <c r="U8" i="12"/>
  <c r="H8" i="12"/>
  <c r="T8" i="12"/>
  <c r="E8" i="12"/>
  <c r="U7" i="12"/>
  <c r="C7" i="12"/>
  <c r="L7" i="12"/>
  <c r="K7" i="12"/>
  <c r="J7" i="12"/>
  <c r="I7" i="12"/>
  <c r="G7" i="12"/>
  <c r="R7" i="12"/>
  <c r="T7" i="12"/>
  <c r="V7" i="12"/>
  <c r="O7" i="12"/>
  <c r="H7" i="12"/>
  <c r="F7" i="12"/>
  <c r="E7" i="12"/>
  <c r="Q7" i="12"/>
  <c r="N7" i="12"/>
  <c r="P7" i="12"/>
  <c r="M7" i="12"/>
  <c r="D7" i="12"/>
  <c r="J6" i="12"/>
  <c r="U6" i="12"/>
  <c r="I6" i="12"/>
  <c r="H6" i="12"/>
  <c r="F6" i="12"/>
  <c r="K6" i="12"/>
  <c r="D6" i="12"/>
  <c r="O6" i="12"/>
  <c r="V6" i="12"/>
  <c r="T6" i="12"/>
  <c r="R6" i="12"/>
  <c r="Q6" i="12"/>
  <c r="P6" i="12"/>
  <c r="N6" i="12"/>
  <c r="M6" i="12"/>
  <c r="E6" i="12"/>
  <c r="L6" i="12"/>
  <c r="G6" i="12"/>
  <c r="C6" i="12"/>
  <c r="J5" i="12"/>
  <c r="K5" i="12"/>
  <c r="M5" i="12"/>
  <c r="D5" i="12"/>
  <c r="H5" i="12"/>
  <c r="L5" i="12"/>
  <c r="V5" i="12"/>
  <c r="P5" i="12"/>
  <c r="F5" i="12"/>
  <c r="Q5" i="12"/>
  <c r="C5" i="12"/>
  <c r="G5" i="12"/>
  <c r="T5" i="12"/>
  <c r="N5" i="12"/>
  <c r="I5" i="12"/>
  <c r="E5" i="12"/>
  <c r="U5" i="12"/>
  <c r="O5" i="12"/>
  <c r="R5" i="12"/>
  <c r="C4" i="12"/>
  <c r="D4" i="12"/>
  <c r="H4" i="12"/>
  <c r="L4" i="12"/>
  <c r="M4" i="12"/>
  <c r="N4" i="12"/>
  <c r="O4" i="12"/>
  <c r="P4" i="12"/>
  <c r="T4" i="12"/>
  <c r="K4" i="12"/>
  <c r="V4" i="12"/>
  <c r="U4" i="12"/>
  <c r="R4" i="12"/>
  <c r="Q4" i="12"/>
  <c r="J4" i="12"/>
  <c r="I4" i="12"/>
  <c r="G4" i="12"/>
  <c r="F4" i="12"/>
  <c r="E4" i="12"/>
  <c r="Z53" i="5"/>
  <c r="Z18" i="5"/>
  <c r="Z15" i="5"/>
  <c r="Z40" i="5"/>
  <c r="Z24" i="5"/>
  <c r="Z33" i="5"/>
  <c r="Z31" i="5"/>
  <c r="Z17" i="5"/>
  <c r="Z14" i="5"/>
  <c r="Z32" i="5"/>
  <c r="S47" i="12"/>
  <c r="S46" i="12"/>
  <c r="S45" i="12"/>
  <c r="S44" i="12"/>
  <c r="S43" i="12"/>
  <c r="S42" i="12"/>
  <c r="S41" i="12"/>
  <c r="S40" i="12"/>
  <c r="S39" i="12"/>
  <c r="S38" i="12"/>
  <c r="S37" i="12"/>
  <c r="S36" i="12"/>
  <c r="S35" i="12"/>
  <c r="S34" i="12"/>
  <c r="S33" i="12"/>
  <c r="S32" i="12"/>
  <c r="S31" i="12"/>
  <c r="S30" i="12"/>
  <c r="S29" i="12"/>
  <c r="S28" i="12"/>
  <c r="S27" i="12"/>
  <c r="S26" i="12"/>
  <c r="S25" i="12"/>
  <c r="S24" i="12"/>
  <c r="S23" i="12"/>
  <c r="S22" i="12"/>
  <c r="S21" i="12"/>
  <c r="S20" i="12"/>
  <c r="S19" i="12"/>
  <c r="S18" i="12"/>
  <c r="S17" i="12"/>
  <c r="S16" i="12"/>
  <c r="S55" i="12"/>
  <c r="S53" i="12"/>
  <c r="S51" i="12"/>
  <c r="S49" i="12"/>
  <c r="S15" i="12"/>
  <c r="S14" i="12"/>
  <c r="S13" i="12"/>
  <c r="S12" i="12"/>
  <c r="S11" i="12"/>
  <c r="S10" i="12"/>
  <c r="S9" i="12"/>
  <c r="S8" i="12"/>
  <c r="S7" i="12"/>
  <c r="S6" i="12"/>
  <c r="S5" i="12"/>
  <c r="S4" i="12"/>
  <c r="S58" i="12"/>
  <c r="S57" i="12"/>
  <c r="S56" i="12"/>
  <c r="S54" i="12"/>
  <c r="S52" i="12"/>
  <c r="S50" i="12"/>
  <c r="S48" i="12"/>
  <c r="W48" i="12"/>
  <c r="W47" i="12"/>
  <c r="W46" i="12"/>
  <c r="W45" i="12"/>
  <c r="W44" i="12"/>
  <c r="W43" i="12"/>
  <c r="W42" i="12"/>
  <c r="W41" i="12"/>
  <c r="W40" i="12"/>
  <c r="W39" i="12"/>
  <c r="W16" i="12"/>
  <c r="W13" i="12"/>
  <c r="W12" i="12"/>
  <c r="W8" i="12"/>
  <c r="W5" i="12"/>
  <c r="W38" i="12"/>
  <c r="W37" i="12"/>
  <c r="W36" i="12"/>
  <c r="W35" i="12"/>
  <c r="W34" i="12"/>
  <c r="W33" i="12"/>
  <c r="W32" i="12"/>
  <c r="W31" i="12"/>
  <c r="W30" i="12"/>
  <c r="W29" i="12"/>
  <c r="W10" i="12"/>
  <c r="W4" i="12"/>
  <c r="W58" i="12"/>
  <c r="W55" i="12"/>
  <c r="W28" i="12"/>
  <c r="W27" i="12"/>
  <c r="W26" i="12"/>
  <c r="W25" i="12"/>
  <c r="W24" i="12"/>
  <c r="W23" i="12"/>
  <c r="W22" i="12"/>
  <c r="W21" i="12"/>
  <c r="W20" i="12"/>
  <c r="W19" i="12"/>
  <c r="W9" i="12"/>
  <c r="W6" i="12"/>
  <c r="W57" i="12"/>
  <c r="W54" i="12"/>
  <c r="W53" i="12"/>
  <c r="W18" i="12"/>
  <c r="W17" i="12"/>
  <c r="W15" i="12"/>
  <c r="W14" i="12"/>
  <c r="W11" i="12"/>
  <c r="W7" i="12"/>
  <c r="W56" i="12"/>
  <c r="W52" i="12"/>
  <c r="W51" i="12"/>
  <c r="W50" i="12"/>
  <c r="W49" i="12"/>
  <c r="Z23" i="5"/>
  <c r="Z21" i="5"/>
  <c r="Z9" i="5"/>
  <c r="X25" i="5"/>
  <c r="Y5" i="5"/>
  <c r="Z6" i="12" s="1"/>
  <c r="X34" i="5"/>
  <c r="Y26" i="5"/>
  <c r="Z22" i="5"/>
  <c r="Z11" i="5"/>
  <c r="X7" i="5"/>
  <c r="Y8" i="12" s="1"/>
  <c r="Y3" i="5"/>
  <c r="Y53" i="5"/>
  <c r="Z50" i="5"/>
  <c r="X40" i="5"/>
  <c r="Z3" i="5"/>
  <c r="Y41" i="5"/>
  <c r="Y35" i="5"/>
  <c r="Y4" i="5"/>
  <c r="Z5" i="12" s="1"/>
  <c r="X4" i="5"/>
  <c r="X26" i="5"/>
  <c r="Y27" i="12" s="1"/>
  <c r="Z41" i="5"/>
  <c r="Z25" i="5"/>
  <c r="Y11" i="5"/>
  <c r="Z12" i="12" s="1"/>
  <c r="X11" i="5"/>
  <c r="Y12" i="12" s="1"/>
  <c r="Z48" i="5"/>
  <c r="Z6" i="5"/>
  <c r="Z4" i="5"/>
  <c r="Y34" i="5"/>
  <c r="Z35" i="12" s="1"/>
  <c r="X10" i="5"/>
  <c r="Y8" i="5"/>
  <c r="Z26" i="5"/>
  <c r="X19" i="5"/>
  <c r="Z10" i="5"/>
  <c r="Y56" i="5"/>
  <c r="X56" i="5"/>
  <c r="Z51" i="5"/>
  <c r="Y49" i="5"/>
  <c r="X46" i="5"/>
  <c r="X43" i="5"/>
  <c r="Z42" i="5"/>
  <c r="X35" i="5"/>
  <c r="Z13" i="5"/>
  <c r="Z55" i="5"/>
  <c r="Z43" i="5"/>
  <c r="Y28" i="5"/>
  <c r="X22" i="5"/>
  <c r="Z28" i="5"/>
  <c r="X42" i="5"/>
  <c r="Z29" i="5"/>
  <c r="X27" i="5"/>
  <c r="Z19" i="5"/>
  <c r="Z47" i="5"/>
  <c r="X38" i="5"/>
  <c r="X31" i="5"/>
  <c r="Z27" i="5"/>
  <c r="X23" i="5"/>
  <c r="X53" i="5"/>
  <c r="Z52" i="5"/>
  <c r="Y51" i="5"/>
  <c r="Y43" i="5"/>
  <c r="X37" i="5"/>
  <c r="Y30" i="5"/>
  <c r="Y57" i="5"/>
  <c r="Y31" i="5"/>
  <c r="Y10" i="5"/>
  <c r="Y7" i="5"/>
  <c r="X14" i="5"/>
  <c r="Y42" i="5"/>
  <c r="X30" i="5"/>
  <c r="Y27" i="5"/>
  <c r="Y16" i="5"/>
  <c r="Z34" i="5"/>
  <c r="Z12" i="5"/>
  <c r="Z5" i="5"/>
  <c r="Y19" i="5"/>
  <c r="Y12" i="5"/>
  <c r="X47" i="5"/>
  <c r="X44" i="5"/>
  <c r="Y52" i="5"/>
  <c r="X12" i="5"/>
  <c r="X54" i="5"/>
  <c r="X29" i="5"/>
  <c r="X13" i="5"/>
  <c r="X5" i="5"/>
  <c r="X57" i="5"/>
  <c r="X55" i="5"/>
  <c r="X52" i="5"/>
  <c r="X51" i="5"/>
  <c r="Z49" i="5"/>
  <c r="Z39" i="5"/>
  <c r="X17" i="5"/>
  <c r="X9" i="5"/>
  <c r="Y10" i="12" s="1"/>
  <c r="X6" i="5"/>
  <c r="Y50" i="5"/>
  <c r="Y14" i="5"/>
  <c r="Z8" i="5"/>
  <c r="Z35" i="5"/>
  <c r="X28" i="5"/>
  <c r="Y20" i="5"/>
  <c r="X18" i="5"/>
  <c r="Y37" i="5"/>
  <c r="Z57" i="5"/>
  <c r="Z56" i="5"/>
  <c r="Z54" i="5"/>
  <c r="X50" i="5"/>
  <c r="Z45" i="5"/>
  <c r="Y45" i="5"/>
  <c r="Y38" i="5"/>
  <c r="Z37" i="5"/>
  <c r="X36" i="5"/>
  <c r="X21" i="5"/>
  <c r="Y18" i="5"/>
  <c r="Z7" i="5"/>
  <c r="Y6" i="5"/>
  <c r="Z44" i="5"/>
  <c r="X39" i="5"/>
  <c r="Z20" i="5"/>
  <c r="X20" i="5"/>
  <c r="Y54" i="5"/>
  <c r="Y48" i="5"/>
  <c r="X48" i="5"/>
  <c r="Y47" i="5"/>
  <c r="Z46" i="5"/>
  <c r="X16" i="5"/>
  <c r="X15" i="5"/>
  <c r="X49" i="5"/>
  <c r="Y46" i="5"/>
  <c r="Z38" i="5"/>
  <c r="Z36" i="5"/>
  <c r="Z30" i="5"/>
  <c r="Y29" i="5"/>
  <c r="Z16" i="5"/>
  <c r="W57" i="5"/>
  <c r="AA57" i="5"/>
  <c r="W56" i="5"/>
  <c r="AA56" i="5"/>
  <c r="AA55" i="5"/>
  <c r="W55" i="5"/>
  <c r="AA54" i="5"/>
  <c r="W54" i="5"/>
  <c r="AA53" i="5"/>
  <c r="W53" i="5"/>
  <c r="W52" i="5"/>
  <c r="AA52" i="5"/>
  <c r="W51" i="5"/>
  <c r="AA51" i="5"/>
  <c r="W50" i="5"/>
  <c r="AA50" i="5"/>
  <c r="AA49" i="5"/>
  <c r="W49" i="5"/>
  <c r="AA48" i="5"/>
  <c r="W48" i="5"/>
  <c r="W47" i="5"/>
  <c r="AA47" i="5"/>
  <c r="W46" i="5"/>
  <c r="AA46" i="5"/>
  <c r="W45" i="5"/>
  <c r="AA45" i="5"/>
  <c r="AA44" i="5"/>
  <c r="W44" i="5"/>
  <c r="AA43" i="5"/>
  <c r="W43" i="5"/>
  <c r="AA42" i="5"/>
  <c r="W42" i="5"/>
  <c r="AA41" i="5"/>
  <c r="W41" i="5"/>
  <c r="AA40" i="5"/>
  <c r="W40" i="5"/>
  <c r="W39" i="5"/>
  <c r="AA39" i="5"/>
  <c r="AA38" i="5"/>
  <c r="W38" i="5"/>
  <c r="AA37" i="5"/>
  <c r="W37" i="5"/>
  <c r="AA36" i="5"/>
  <c r="W36" i="5"/>
  <c r="AA35" i="5"/>
  <c r="W35" i="5"/>
  <c r="W34" i="5"/>
  <c r="AA34" i="5"/>
  <c r="W33" i="5"/>
  <c r="AA33" i="5"/>
  <c r="W32" i="5"/>
  <c r="AA32" i="5"/>
  <c r="W31" i="5"/>
  <c r="AA31" i="5"/>
  <c r="W30" i="5"/>
  <c r="AA30" i="5"/>
  <c r="W29" i="5"/>
  <c r="AA29" i="5"/>
  <c r="W28" i="5"/>
  <c r="AA28" i="5"/>
  <c r="W27" i="5"/>
  <c r="AA27" i="5"/>
  <c r="W26" i="5"/>
  <c r="AA26" i="5"/>
  <c r="AA25" i="5"/>
  <c r="W25" i="5"/>
  <c r="AA24" i="5"/>
  <c r="W24" i="5"/>
  <c r="AA23" i="5"/>
  <c r="W23" i="5"/>
  <c r="W22" i="5"/>
  <c r="AA22" i="5"/>
  <c r="W21" i="5"/>
  <c r="AA21" i="5"/>
  <c r="W20" i="5"/>
  <c r="AA20" i="5"/>
  <c r="W19" i="5"/>
  <c r="AA19" i="5"/>
  <c r="W18" i="5"/>
  <c r="AA18" i="5"/>
  <c r="W17" i="5"/>
  <c r="AA17" i="5"/>
  <c r="W16" i="5"/>
  <c r="AA16" i="5"/>
  <c r="AA15" i="5"/>
  <c r="W15" i="5"/>
  <c r="AA14" i="5"/>
  <c r="W14" i="5"/>
  <c r="AA13" i="5"/>
  <c r="W13" i="5"/>
  <c r="AA12" i="5"/>
  <c r="W12" i="5"/>
  <c r="AA11" i="5"/>
  <c r="W11" i="5"/>
  <c r="W10" i="5"/>
  <c r="AA10" i="5"/>
  <c r="AA9" i="5"/>
  <c r="W9" i="5"/>
  <c r="W8" i="5"/>
  <c r="AA8" i="5"/>
  <c r="W7" i="5"/>
  <c r="AA7" i="5"/>
  <c r="W6" i="5"/>
  <c r="AA6" i="5"/>
  <c r="AA5" i="5"/>
  <c r="W5" i="5"/>
  <c r="AA4" i="5"/>
  <c r="W4" i="5"/>
  <c r="B3" i="5"/>
  <c r="C3" i="5"/>
  <c r="F52" i="3"/>
  <c r="D52" i="3"/>
  <c r="E52" i="3"/>
  <c r="F53" i="3"/>
  <c r="D53" i="3"/>
  <c r="E53" i="3"/>
  <c r="F54" i="3"/>
  <c r="D54" i="3"/>
  <c r="E54" i="3"/>
  <c r="F55" i="3"/>
  <c r="D55" i="3"/>
  <c r="E55" i="3"/>
  <c r="F56" i="3"/>
  <c r="D56" i="3"/>
  <c r="E56" i="3"/>
  <c r="F57" i="3"/>
  <c r="D57" i="3"/>
  <c r="E57" i="3"/>
  <c r="D3" i="3"/>
  <c r="F3" i="3"/>
  <c r="E3" i="3"/>
  <c r="D4" i="3"/>
  <c r="E4" i="3"/>
  <c r="F4" i="3"/>
  <c r="E5" i="3"/>
  <c r="D5" i="3"/>
  <c r="F5" i="3"/>
  <c r="D6" i="3"/>
  <c r="E6" i="3"/>
  <c r="F6" i="3"/>
  <c r="F7" i="3"/>
  <c r="E7" i="3"/>
  <c r="D7" i="3"/>
  <c r="E8" i="3"/>
  <c r="F8" i="3"/>
  <c r="D8" i="3"/>
  <c r="E9" i="3"/>
  <c r="F9" i="3"/>
  <c r="D9" i="3"/>
  <c r="E10" i="3"/>
  <c r="F10" i="3"/>
  <c r="D10" i="3"/>
  <c r="E11" i="3"/>
  <c r="F11" i="3"/>
  <c r="D11" i="3"/>
  <c r="E12" i="3"/>
  <c r="F12" i="3"/>
  <c r="D12" i="3"/>
  <c r="E13" i="3"/>
  <c r="F13" i="3"/>
  <c r="D13" i="3"/>
  <c r="E14" i="3"/>
  <c r="D14" i="3"/>
  <c r="F14" i="3"/>
  <c r="E15" i="3"/>
  <c r="D15" i="3"/>
  <c r="F15" i="3"/>
  <c r="D16" i="3"/>
  <c r="E16" i="3"/>
  <c r="F16" i="3"/>
  <c r="F17" i="3"/>
  <c r="E17" i="3"/>
  <c r="D17" i="3"/>
  <c r="D18" i="3"/>
  <c r="F18" i="3"/>
  <c r="E18" i="3"/>
  <c r="E19" i="3"/>
  <c r="D19" i="3"/>
  <c r="F19" i="3"/>
  <c r="F20" i="3"/>
  <c r="E20" i="3"/>
  <c r="D20" i="3"/>
  <c r="F21" i="3"/>
  <c r="E21" i="3"/>
  <c r="D21" i="3"/>
  <c r="D22" i="3"/>
  <c r="F22" i="3"/>
  <c r="E22" i="3"/>
  <c r="F23" i="3"/>
  <c r="E23" i="3"/>
  <c r="D23" i="3"/>
  <c r="E24" i="3"/>
  <c r="F24" i="3"/>
  <c r="D24" i="3"/>
  <c r="E25" i="3"/>
  <c r="F25" i="3"/>
  <c r="D25" i="3"/>
  <c r="F26" i="3"/>
  <c r="E26" i="3"/>
  <c r="D26" i="3"/>
  <c r="F27" i="3"/>
  <c r="D27" i="3"/>
  <c r="E27" i="3"/>
  <c r="F28" i="3"/>
  <c r="D28" i="3"/>
  <c r="E28" i="3"/>
  <c r="D29" i="3"/>
  <c r="F29" i="3"/>
  <c r="E29" i="3"/>
  <c r="E30" i="3"/>
  <c r="F30" i="3"/>
  <c r="D30" i="3"/>
  <c r="D31" i="3"/>
  <c r="E31" i="3"/>
  <c r="F31" i="3"/>
  <c r="F32" i="3"/>
  <c r="D32" i="3"/>
  <c r="E32" i="3"/>
  <c r="D33" i="3"/>
  <c r="F33" i="3"/>
  <c r="E33" i="3"/>
  <c r="D34" i="3"/>
  <c r="F34" i="3"/>
  <c r="E34" i="3"/>
  <c r="E35" i="3"/>
  <c r="F35" i="3"/>
  <c r="D35" i="3"/>
  <c r="D36" i="3"/>
  <c r="F36" i="3"/>
  <c r="E36" i="3"/>
  <c r="E37" i="3"/>
  <c r="D37" i="3"/>
  <c r="F37" i="3"/>
  <c r="E38" i="3"/>
  <c r="D38" i="3"/>
  <c r="F38" i="3"/>
  <c r="E39" i="3"/>
  <c r="D39" i="3"/>
  <c r="F39" i="3"/>
  <c r="E40" i="3"/>
  <c r="D40" i="3"/>
  <c r="F40" i="3"/>
  <c r="D41" i="3"/>
  <c r="E41" i="3"/>
  <c r="F41" i="3"/>
  <c r="D42" i="3"/>
  <c r="E42" i="3"/>
  <c r="F42" i="3"/>
  <c r="F43" i="3"/>
  <c r="E43" i="3"/>
  <c r="D43" i="3"/>
  <c r="E44" i="3"/>
  <c r="D44" i="3"/>
  <c r="F44" i="3"/>
  <c r="D45" i="3"/>
  <c r="F45" i="3"/>
  <c r="E45" i="3"/>
  <c r="F46" i="3"/>
  <c r="E46" i="3"/>
  <c r="D46" i="3"/>
  <c r="F47" i="3"/>
  <c r="E47" i="3"/>
  <c r="D47" i="3"/>
  <c r="F48" i="3"/>
  <c r="E48" i="3"/>
  <c r="D48" i="3"/>
  <c r="F49" i="3"/>
  <c r="E49" i="3"/>
  <c r="D49" i="3"/>
  <c r="F50" i="3"/>
  <c r="E50" i="3"/>
  <c r="D50" i="3"/>
  <c r="F51" i="3"/>
  <c r="E51" i="3"/>
  <c r="D51" i="3"/>
  <c r="F2" i="3"/>
  <c r="E2" i="3"/>
  <c r="D2" i="3"/>
  <c r="Y26" i="12" l="1"/>
  <c r="Y35" i="12"/>
  <c r="Z54" i="12"/>
  <c r="Z27" i="12"/>
  <c r="Z42" i="12"/>
  <c r="Y41" i="12"/>
  <c r="Z57" i="12"/>
  <c r="Y57" i="12"/>
  <c r="Z50" i="12"/>
  <c r="Y47" i="12"/>
  <c r="Y44" i="12"/>
  <c r="Y36" i="12"/>
  <c r="Z29" i="12"/>
  <c r="Y23" i="12"/>
  <c r="Y43" i="12"/>
  <c r="Y28" i="12"/>
  <c r="Y39" i="12"/>
  <c r="Y32" i="12"/>
  <c r="Y24" i="12"/>
  <c r="Y54" i="12"/>
  <c r="Z52" i="12"/>
  <c r="Z44" i="12"/>
  <c r="Y38" i="12"/>
  <c r="Z31" i="12"/>
  <c r="Z58" i="12"/>
  <c r="Z32" i="12"/>
  <c r="Z22" i="12"/>
  <c r="Y15" i="12"/>
  <c r="Z43" i="12"/>
  <c r="Y31" i="12"/>
  <c r="Z28" i="12"/>
  <c r="Z17" i="12"/>
  <c r="Y48" i="12"/>
  <c r="Y45" i="12"/>
  <c r="Z53" i="12"/>
  <c r="Y55" i="12"/>
  <c r="Y30" i="12"/>
  <c r="Z36" i="12"/>
  <c r="Z11" i="12"/>
  <c r="Z20" i="12"/>
  <c r="Z19" i="12"/>
  <c r="Z10" i="12"/>
  <c r="Z9" i="12"/>
  <c r="Z8" i="12"/>
  <c r="Z7" i="12"/>
  <c r="Y11" i="12"/>
  <c r="Y19" i="12"/>
  <c r="Y20" i="12"/>
  <c r="Y5" i="12"/>
  <c r="Y9" i="12"/>
  <c r="Y7" i="12"/>
  <c r="Y6" i="12"/>
  <c r="C37" i="12"/>
  <c r="C49" i="12"/>
  <c r="D39" i="12"/>
  <c r="D37" i="12"/>
  <c r="D48" i="12"/>
  <c r="D49" i="12"/>
  <c r="D58" i="12"/>
  <c r="Z38" i="12"/>
  <c r="Z40" i="12"/>
  <c r="Z55" i="12"/>
  <c r="Z56" i="12"/>
  <c r="Z4" i="12"/>
  <c r="Z51" i="12"/>
  <c r="Z48" i="12"/>
  <c r="Z37" i="12"/>
  <c r="Z47" i="12"/>
  <c r="Z14" i="12"/>
  <c r="Z15" i="12"/>
  <c r="Z46" i="12"/>
  <c r="Z39" i="12"/>
  <c r="Z30" i="12"/>
  <c r="Z16" i="12"/>
  <c r="Z18" i="12"/>
  <c r="Z45" i="12"/>
  <c r="Z24" i="12"/>
  <c r="Z25" i="12"/>
  <c r="Z26" i="12"/>
  <c r="Z23" i="12"/>
  <c r="Z33" i="12"/>
  <c r="Z41" i="12"/>
  <c r="Z34" i="12"/>
  <c r="Z49" i="12"/>
  <c r="Y58" i="12"/>
  <c r="Y17" i="12"/>
  <c r="Y53" i="12"/>
  <c r="Y37" i="12"/>
  <c r="Y52" i="12"/>
  <c r="Y56" i="12"/>
  <c r="Y33" i="12"/>
  <c r="Y34" i="12"/>
  <c r="Y51" i="12"/>
  <c r="Y42" i="12"/>
  <c r="Y40" i="12"/>
  <c r="Y4" i="12"/>
  <c r="Y49" i="12"/>
  <c r="Y50" i="12"/>
  <c r="Y14" i="12"/>
  <c r="Y46" i="12"/>
  <c r="Y29" i="12"/>
  <c r="Y16" i="12"/>
  <c r="Y18" i="12"/>
  <c r="Y25" i="12"/>
  <c r="Z13" i="12"/>
  <c r="Z21" i="12"/>
  <c r="Y13" i="12"/>
  <c r="Y21" i="12"/>
  <c r="Y22" i="12"/>
  <c r="AA48" i="12"/>
  <c r="AA47" i="12"/>
  <c r="AA46" i="12"/>
  <c r="AA45" i="12"/>
  <c r="AA44" i="12"/>
  <c r="AA43" i="12"/>
  <c r="AA42" i="12"/>
  <c r="AA41" i="12"/>
  <c r="AA40" i="12"/>
  <c r="AA39" i="12"/>
  <c r="AA9" i="12"/>
  <c r="AA7" i="12"/>
  <c r="AA6" i="12"/>
  <c r="AA38" i="12"/>
  <c r="AA37" i="12"/>
  <c r="AA36" i="12"/>
  <c r="AA35" i="12"/>
  <c r="AA34" i="12"/>
  <c r="AA33" i="12"/>
  <c r="AA32" i="12"/>
  <c r="AA31" i="12"/>
  <c r="AA30" i="12"/>
  <c r="AA29" i="12"/>
  <c r="AA5" i="12"/>
  <c r="AA57" i="12"/>
  <c r="AA50" i="12"/>
  <c r="AA49" i="12"/>
  <c r="AA28" i="12"/>
  <c r="AA27" i="12"/>
  <c r="AA26" i="12"/>
  <c r="AA25" i="12"/>
  <c r="AA24" i="12"/>
  <c r="AA23" i="12"/>
  <c r="AA22" i="12"/>
  <c r="AA21" i="12"/>
  <c r="AA20" i="12"/>
  <c r="AA19" i="12"/>
  <c r="AA15" i="12"/>
  <c r="AA14" i="12"/>
  <c r="AA13" i="12"/>
  <c r="AA12" i="12"/>
  <c r="AA11" i="12"/>
  <c r="AA10" i="12"/>
  <c r="AA56" i="12"/>
  <c r="AA52" i="12"/>
  <c r="AA51" i="12"/>
  <c r="AA18" i="12"/>
  <c r="AA17" i="12"/>
  <c r="AA16" i="12"/>
  <c r="AA8" i="12"/>
  <c r="AA4" i="12"/>
  <c r="AA58" i="12"/>
  <c r="AA55" i="12"/>
  <c r="AA54" i="12"/>
  <c r="AA53" i="12"/>
  <c r="AA3" i="5"/>
  <c r="W3" i="5"/>
  <c r="X53" i="12" l="1"/>
  <c r="X52" i="12"/>
  <c r="X40" i="12"/>
  <c r="X6" i="12"/>
  <c r="X48" i="12"/>
  <c r="X47" i="12"/>
  <c r="X46" i="12"/>
  <c r="X32" i="12"/>
  <c r="X23" i="12"/>
  <c r="X11" i="12"/>
  <c r="X44" i="12"/>
  <c r="X43" i="12"/>
  <c r="X42" i="12"/>
  <c r="X41" i="12"/>
  <c r="X34" i="12"/>
  <c r="X30" i="12"/>
  <c r="X24" i="12"/>
  <c r="X7" i="12"/>
  <c r="X38" i="12"/>
  <c r="X37" i="12"/>
  <c r="X36" i="12"/>
  <c r="X35" i="12"/>
  <c r="X33" i="12"/>
  <c r="X25" i="12"/>
  <c r="X22" i="12"/>
  <c r="X5" i="12"/>
  <c r="X29" i="12"/>
  <c r="X19" i="12"/>
  <c r="X18" i="12"/>
  <c r="X17" i="12"/>
  <c r="X16" i="12"/>
  <c r="X15" i="12"/>
  <c r="X14" i="12"/>
  <c r="X13" i="12"/>
  <c r="X12" i="12"/>
  <c r="X4" i="12"/>
  <c r="X49" i="12"/>
  <c r="X8" i="12"/>
  <c r="X57" i="12"/>
  <c r="X55" i="12"/>
  <c r="X54" i="12"/>
  <c r="X51" i="12"/>
  <c r="X50" i="12"/>
  <c r="X31" i="12"/>
  <c r="X28" i="12"/>
  <c r="X26" i="12"/>
  <c r="X20" i="12"/>
  <c r="X10" i="12"/>
  <c r="X9" i="12"/>
  <c r="X56" i="12"/>
  <c r="X45" i="12"/>
  <c r="X27" i="12"/>
  <c r="X21" i="12"/>
  <c r="X58" i="12"/>
  <c r="X39" i="12"/>
  <c r="AB48" i="12"/>
  <c r="AB47" i="12"/>
  <c r="AB46" i="12"/>
  <c r="AB45" i="12"/>
  <c r="AB44" i="12"/>
  <c r="AB43" i="12"/>
  <c r="AB42" i="12"/>
  <c r="AB41" i="12"/>
  <c r="AB40" i="12"/>
  <c r="AB39" i="12"/>
  <c r="AB14" i="12"/>
  <c r="AB10" i="12"/>
  <c r="AB38" i="12"/>
  <c r="AB37" i="12"/>
  <c r="AB36" i="12"/>
  <c r="AB35" i="12"/>
  <c r="AB34" i="12"/>
  <c r="AB33" i="12"/>
  <c r="AB32" i="12"/>
  <c r="AB31" i="12"/>
  <c r="AB30" i="12"/>
  <c r="AB29" i="12"/>
  <c r="AB15" i="12"/>
  <c r="AB13" i="12"/>
  <c r="AB11" i="12"/>
  <c r="AB8" i="12"/>
  <c r="AB6" i="12"/>
  <c r="AB56" i="12"/>
  <c r="AB54" i="12"/>
  <c r="AB53" i="12"/>
  <c r="AB52" i="12"/>
  <c r="AB51" i="12"/>
  <c r="AB28" i="12"/>
  <c r="AB27" i="12"/>
  <c r="AB26" i="12"/>
  <c r="AB25" i="12"/>
  <c r="AB24" i="12"/>
  <c r="AB23" i="12"/>
  <c r="AB22" i="12"/>
  <c r="AB21" i="12"/>
  <c r="AB20" i="12"/>
  <c r="AB19" i="12"/>
  <c r="AB16" i="12"/>
  <c r="AB7" i="12"/>
  <c r="AB4" i="12"/>
  <c r="AB58" i="12"/>
  <c r="AB55" i="12"/>
  <c r="AB50" i="12"/>
  <c r="AB49" i="12"/>
  <c r="AB18" i="12"/>
  <c r="AB17" i="12"/>
  <c r="AB12" i="12"/>
  <c r="AB9" i="12"/>
  <c r="AB5" i="12"/>
  <c r="AB57" i="12"/>
  <c r="B54" i="12" l="1"/>
  <c r="B36" i="12"/>
  <c r="B30" i="12"/>
  <c r="B45" i="12" l="1"/>
  <c r="B26" i="12"/>
  <c r="B7" i="12"/>
  <c r="B51" i="12"/>
  <c r="B12" i="12"/>
  <c r="B9" i="12"/>
  <c r="B16" i="12" l="1"/>
  <c r="B41" i="12"/>
  <c r="B33" i="12"/>
  <c r="B10" i="12"/>
  <c r="B49" i="12" l="1"/>
  <c r="B17" i="12" l="1"/>
  <c r="B47" i="12"/>
  <c r="B21" i="12"/>
  <c r="B24" i="12"/>
  <c r="B27" i="12"/>
  <c r="B39" i="12" l="1"/>
  <c r="B15" i="12"/>
  <c r="B38" i="12"/>
  <c r="B53" i="12"/>
  <c r="B56" i="12"/>
  <c r="B44" i="12"/>
  <c r="B5" i="12"/>
  <c r="B50" i="12" l="1"/>
  <c r="B35" i="12"/>
  <c r="B23" i="12"/>
  <c r="B28" i="12"/>
  <c r="B34" i="12"/>
  <c r="B40" i="12" l="1"/>
  <c r="B19" i="12"/>
  <c r="B18" i="12"/>
  <c r="B57" i="12"/>
  <c r="B11" i="12" l="1"/>
  <c r="B42" i="12"/>
  <c r="B6" i="12"/>
  <c r="B48" i="12"/>
  <c r="B46" i="12"/>
  <c r="B37" i="12" l="1"/>
  <c r="B32" i="12"/>
  <c r="B14" i="12"/>
  <c r="B29" i="12"/>
  <c r="B31" i="12"/>
  <c r="B58" i="12"/>
  <c r="B25" i="12" l="1"/>
  <c r="B13" i="12"/>
  <c r="B22" i="12"/>
  <c r="B20" i="12"/>
  <c r="B8" i="12"/>
  <c r="B55" i="12" l="1"/>
  <c r="B52" i="12"/>
  <c r="B43" i="12"/>
  <c r="B4" i="1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<sst xmlns="http://schemas.openxmlformats.org/spreadsheetml/2006/main" count="2566" uniqueCount="839">
  <si>
    <t>Key</t>
  </si>
  <si>
    <t>Match</t>
  </si>
  <si>
    <t>Alliance</t>
  </si>
  <si>
    <t>Team</t>
  </si>
  <si>
    <t>Comments</t>
  </si>
  <si>
    <t>TBA Key</t>
  </si>
  <si>
    <t>FIRST Key</t>
  </si>
  <si>
    <t>Name</t>
  </si>
  <si>
    <t>Location</t>
  </si>
  <si>
    <t>Start Date</t>
  </si>
  <si>
    <t>Team Number</t>
  </si>
  <si>
    <t>Nickname</t>
  </si>
  <si>
    <t>Auto</t>
  </si>
  <si>
    <t>Teleop</t>
  </si>
  <si>
    <t>Endgame</t>
  </si>
  <si>
    <t>Overall</t>
  </si>
  <si>
    <t>Scouter PIN</t>
  </si>
  <si>
    <t>A-Stop Activated</t>
  </si>
  <si>
    <t>Total Fuel Scored</t>
  </si>
  <si>
    <t>Speed to Shoot Fuel</t>
  </si>
  <si>
    <t>Accuracy to Shoot Fuel</t>
  </si>
  <si>
    <t>Collect from Neutral Zone</t>
  </si>
  <si>
    <t>Was Intake Good</t>
  </si>
  <si>
    <t>Defensive Whole Game</t>
  </si>
  <si>
    <t>Grade Robot's Performance</t>
  </si>
  <si>
    <t>Total Points Scored</t>
  </si>
  <si>
    <t>Shot from Same Position</t>
  </si>
  <si>
    <t>Total Ranking Points</t>
  </si>
  <si>
    <t>Post Match</t>
  </si>
  <si>
    <t>Matches Scouted</t>
  </si>
  <si>
    <t>Complete</t>
  </si>
  <si>
    <t>Blue 1</t>
  </si>
  <si>
    <t>Blue 2</t>
  </si>
  <si>
    <t>Blue 3</t>
  </si>
  <si>
    <t>Red 1</t>
  </si>
  <si>
    <t>Red 2</t>
  </si>
  <si>
    <t>Red 3</t>
  </si>
  <si>
    <t>Match has not yet been scouted</t>
  </si>
  <si>
    <t>Match has been scouted</t>
  </si>
  <si>
    <t>Match was scouted more than once</t>
  </si>
  <si>
    <t>Wrong team was scouted</t>
  </si>
  <si>
    <t>TBA</t>
  </si>
  <si>
    <t>FRC</t>
  </si>
  <si>
    <t>Statbotics</t>
  </si>
  <si>
    <t>Robot Moved in Auto</t>
  </si>
  <si>
    <t>Number of Fuel Scored</t>
  </si>
  <si>
    <t>Autonomous</t>
  </si>
  <si>
    <t>Result of Match</t>
  </si>
  <si>
    <t>Supercharged RP</t>
  </si>
  <si>
    <t>Traversal RP</t>
  </si>
  <si>
    <t>Energized RP</t>
  </si>
  <si>
    <t>Weights</t>
  </si>
  <si>
    <t>team_number</t>
  </si>
  <si>
    <t>team_name</t>
  </si>
  <si>
    <t>city</t>
  </si>
  <si>
    <t>state_prov</t>
  </si>
  <si>
    <t>country</t>
  </si>
  <si>
    <t>robot_image_url</t>
  </si>
  <si>
    <t>USA</t>
  </si>
  <si>
    <t>Operation Orange</t>
  </si>
  <si>
    <t>Hamilton</t>
  </si>
  <si>
    <t>Ohio</t>
  </si>
  <si>
    <t>https://i.imgur.com/RuZlAXRm.jpg</t>
  </si>
  <si>
    <t>Respawn Robotics</t>
  </si>
  <si>
    <t>https://i.imgur.com/u3XKFg1m.jpg</t>
  </si>
  <si>
    <t>The Final Countdown</t>
  </si>
  <si>
    <t>https://i.imgur.com/PV1Bz4Nm.jpg</t>
  </si>
  <si>
    <t>Fairport Robotics</t>
  </si>
  <si>
    <t>Fairport</t>
  </si>
  <si>
    <t>New York</t>
  </si>
  <si>
    <t>https://i.imgur.com/YhxfLG2m.jpg</t>
  </si>
  <si>
    <t>Illinois</t>
  </si>
  <si>
    <t>The Flying Circuits</t>
  </si>
  <si>
    <t>Pepper Pike</t>
  </si>
  <si>
    <t>https://i.imgur.com/Rsxi2A0m.jpg</t>
  </si>
  <si>
    <t>Warren</t>
  </si>
  <si>
    <t>CougarTech</t>
  </si>
  <si>
    <t>Honeoye Falls</t>
  </si>
  <si>
    <t>https://i.imgur.com/6WdcxMKm.jpg</t>
  </si>
  <si>
    <t>match_key</t>
  </si>
  <si>
    <t>scheduled_date</t>
  </si>
  <si>
    <t>scheduled_time</t>
  </si>
  <si>
    <t>comp_level</t>
  </si>
  <si>
    <t>match_number</t>
  </si>
  <si>
    <t>set_number</t>
  </si>
  <si>
    <t>red1</t>
  </si>
  <si>
    <t>red2</t>
  </si>
  <si>
    <t>red3</t>
  </si>
  <si>
    <t>blue1</t>
  </si>
  <si>
    <t>blue2</t>
  </si>
  <si>
    <t>blue3</t>
  </si>
  <si>
    <t>red_score</t>
  </si>
  <si>
    <t>blue_score</t>
  </si>
  <si>
    <t>qm</t>
  </si>
  <si>
    <t>sf</t>
  </si>
  <si>
    <t>f</t>
  </si>
  <si>
    <t>From</t>
  </si>
  <si>
    <t>Match Time</t>
  </si>
  <si>
    <t>1.Blue 1</t>
  </si>
  <si>
    <t xml:space="preserve">Carter Silva </t>
  </si>
  <si>
    <t>b1</t>
  </si>
  <si>
    <t>Hello World!</t>
  </si>
  <si>
    <t>1.Blue 2</t>
  </si>
  <si>
    <t>b2</t>
  </si>
  <si>
    <t>1.Blue 3</t>
  </si>
  <si>
    <t xml:space="preserve">Connor Rapp </t>
  </si>
  <si>
    <t>b3</t>
  </si>
  <si>
    <t>1.Red 1</t>
  </si>
  <si>
    <t xml:space="preserve">Colby Jackson </t>
  </si>
  <si>
    <t>r1</t>
  </si>
  <si>
    <t>1.Red 2</t>
  </si>
  <si>
    <t xml:space="preserve">Jonah Woika </t>
  </si>
  <si>
    <t>r2</t>
  </si>
  <si>
    <t>1.Red 3</t>
  </si>
  <si>
    <t xml:space="preserve">Eli Harrison </t>
  </si>
  <si>
    <t>r3</t>
  </si>
  <si>
    <t>2.Blue 1</t>
  </si>
  <si>
    <t xml:space="preserve">Caitlin Munier </t>
  </si>
  <si>
    <t>2.Blue 2</t>
  </si>
  <si>
    <t xml:space="preserve">Rachel Case </t>
  </si>
  <si>
    <t>2.Blue 3</t>
  </si>
  <si>
    <t>2.Red 1</t>
  </si>
  <si>
    <t xml:space="preserve">Nicholas Munier </t>
  </si>
  <si>
    <t>2.Red 2</t>
  </si>
  <si>
    <t xml:space="preserve">Mason Silva </t>
  </si>
  <si>
    <t>2.Red 3</t>
  </si>
  <si>
    <t xml:space="preserve">Gianmarco D'Angelo  </t>
  </si>
  <si>
    <t>3.Blue 1</t>
  </si>
  <si>
    <t xml:space="preserve">Kai  Wilbur </t>
  </si>
  <si>
    <t>3.Blue 2</t>
  </si>
  <si>
    <t xml:space="preserve">Amanah Obaji </t>
  </si>
  <si>
    <t>3.Blue 3</t>
  </si>
  <si>
    <t xml:space="preserve">Andrew Crawford  </t>
  </si>
  <si>
    <t>3.Red 1</t>
  </si>
  <si>
    <t>3.Red 2</t>
  </si>
  <si>
    <t>3.Red 3</t>
  </si>
  <si>
    <t xml:space="preserve">Domenic Giammusso </t>
  </si>
  <si>
    <t>4.Blue 1</t>
  </si>
  <si>
    <t>4.Blue 2</t>
  </si>
  <si>
    <t>4.Blue 3</t>
  </si>
  <si>
    <t>4.Red 1</t>
  </si>
  <si>
    <t xml:space="preserve">Madison DeCicca </t>
  </si>
  <si>
    <t>4.Red 2</t>
  </si>
  <si>
    <t>4.Red 3</t>
  </si>
  <si>
    <t xml:space="preserve">Dean Blanchard </t>
  </si>
  <si>
    <t>5.Blue 1</t>
  </si>
  <si>
    <t xml:space="preserve">Celton Norter </t>
  </si>
  <si>
    <t>5.Blue 2</t>
  </si>
  <si>
    <t>5.Blue 3</t>
  </si>
  <si>
    <t>5.Red 1</t>
  </si>
  <si>
    <t>5.Red 2</t>
  </si>
  <si>
    <t xml:space="preserve">Vaishu Das </t>
  </si>
  <si>
    <t>5.Red 3</t>
  </si>
  <si>
    <t>6.Blue 1</t>
  </si>
  <si>
    <t>6.Blue 2</t>
  </si>
  <si>
    <t>6.Blue 3</t>
  </si>
  <si>
    <t>6.Red 1</t>
  </si>
  <si>
    <t>6.Red 2</t>
  </si>
  <si>
    <t>6.Red 3</t>
  </si>
  <si>
    <t xml:space="preserve">Ruth Christensen </t>
  </si>
  <si>
    <t>7.Blue 1</t>
  </si>
  <si>
    <t xml:space="preserve">Tetra Ukav </t>
  </si>
  <si>
    <t>7.Blue 2</t>
  </si>
  <si>
    <t>7.Blue 3</t>
  </si>
  <si>
    <t>7.Red 1</t>
  </si>
  <si>
    <t>7.Red 2</t>
  </si>
  <si>
    <t>7.Red 3</t>
  </si>
  <si>
    <t>8.Blue 1</t>
  </si>
  <si>
    <t>8.Blue 2</t>
  </si>
  <si>
    <t>8.Blue 3</t>
  </si>
  <si>
    <t xml:space="preserve">Matthew Mazzota </t>
  </si>
  <si>
    <t>8.Red 1</t>
  </si>
  <si>
    <t xml:space="preserve">Autumn Schoenfeld </t>
  </si>
  <si>
    <t>8.Red 2</t>
  </si>
  <si>
    <t>8.Red 3</t>
  </si>
  <si>
    <t>9.Blue 1</t>
  </si>
  <si>
    <t>9.Blue 2</t>
  </si>
  <si>
    <t>9.Blue 3</t>
  </si>
  <si>
    <t>9.Red 1</t>
  </si>
  <si>
    <t xml:space="preserve">Nathan DeVito </t>
  </si>
  <si>
    <t>9.Red 2</t>
  </si>
  <si>
    <t xml:space="preserve">Arthur Sayre </t>
  </si>
  <si>
    <t>9.Red 3</t>
  </si>
  <si>
    <t>10.Blue 1</t>
  </si>
  <si>
    <t>10.Blue 2</t>
  </si>
  <si>
    <t>10.Blue 3</t>
  </si>
  <si>
    <t>10.Red 1</t>
  </si>
  <si>
    <t>10.Red 2</t>
  </si>
  <si>
    <t>10.Red 3</t>
  </si>
  <si>
    <t>11.Blue 1</t>
  </si>
  <si>
    <t>11.Blue 2</t>
  </si>
  <si>
    <t xml:space="preserve">Ethan Stiffler </t>
  </si>
  <si>
    <t>11.Blue 3</t>
  </si>
  <si>
    <t>11.Red 1</t>
  </si>
  <si>
    <t>11.Red 2</t>
  </si>
  <si>
    <t>11.Red 3</t>
  </si>
  <si>
    <t>12.Blue 1</t>
  </si>
  <si>
    <t>12.Blue 2</t>
  </si>
  <si>
    <t>12.Blue 3</t>
  </si>
  <si>
    <t>12.Red 1</t>
  </si>
  <si>
    <t>12.Red 2</t>
  </si>
  <si>
    <t>12.Red 3</t>
  </si>
  <si>
    <t>13.Blue 1</t>
  </si>
  <si>
    <t>13.Blue 2</t>
  </si>
  <si>
    <t>13.Blue 3</t>
  </si>
  <si>
    <t>13.Red 1</t>
  </si>
  <si>
    <t>13.Red 2</t>
  </si>
  <si>
    <t>13.Red 3</t>
  </si>
  <si>
    <t>14.Blue 1</t>
  </si>
  <si>
    <t>14.Blue 2</t>
  </si>
  <si>
    <t>14.Blue 3</t>
  </si>
  <si>
    <t>14.Red 1</t>
  </si>
  <si>
    <t>14.Red 2</t>
  </si>
  <si>
    <t>14.Red 3</t>
  </si>
  <si>
    <t>15.Blue 1</t>
  </si>
  <si>
    <t>15.Blue 2</t>
  </si>
  <si>
    <t>15.Blue 3</t>
  </si>
  <si>
    <t>15.Red 1</t>
  </si>
  <si>
    <t>15.Red 2</t>
  </si>
  <si>
    <t>15.Red 3</t>
  </si>
  <si>
    <t>16.Blue 1</t>
  </si>
  <si>
    <t>16.Blue 2</t>
  </si>
  <si>
    <t>16.Blue 3</t>
  </si>
  <si>
    <t>16.Red 1</t>
  </si>
  <si>
    <t>16.Red 2</t>
  </si>
  <si>
    <t>16.Red 3</t>
  </si>
  <si>
    <t>17.Blue 1</t>
  </si>
  <si>
    <t>17.Blue 2</t>
  </si>
  <si>
    <t>17.Blue 3</t>
  </si>
  <si>
    <t xml:space="preserve">Tyler Hignett </t>
  </si>
  <si>
    <t>17.Red 1</t>
  </si>
  <si>
    <t>17.Red 2</t>
  </si>
  <si>
    <t>17.Red 3</t>
  </si>
  <si>
    <t>18.Blue 1</t>
  </si>
  <si>
    <t>18.Blue 2</t>
  </si>
  <si>
    <t>18.Blue 3</t>
  </si>
  <si>
    <t>18.Red 1</t>
  </si>
  <si>
    <t>18.Red 2</t>
  </si>
  <si>
    <t>18.Red 3</t>
  </si>
  <si>
    <t>19.Blue 1</t>
  </si>
  <si>
    <t>19.Blue 2</t>
  </si>
  <si>
    <t>19.Blue 3</t>
  </si>
  <si>
    <t>19.Red 1</t>
  </si>
  <si>
    <t>19.Red 2</t>
  </si>
  <si>
    <t>19.Red 3</t>
  </si>
  <si>
    <t>20.Blue 1</t>
  </si>
  <si>
    <t>20.Blue 2</t>
  </si>
  <si>
    <t>20.Blue 3</t>
  </si>
  <si>
    <t>20.Red 1</t>
  </si>
  <si>
    <t>20.Red 2</t>
  </si>
  <si>
    <t>20.Red 3</t>
  </si>
  <si>
    <t>21.Blue 1</t>
  </si>
  <si>
    <t xml:space="preserve">Runa Hunt </t>
  </si>
  <si>
    <t>21.Blue 2</t>
  </si>
  <si>
    <t>21.Blue 3</t>
  </si>
  <si>
    <t>21.Red 1</t>
  </si>
  <si>
    <t>21.Red 2</t>
  </si>
  <si>
    <t>21.Red 3</t>
  </si>
  <si>
    <t>22.Blue 1</t>
  </si>
  <si>
    <t>22.Blue 2</t>
  </si>
  <si>
    <t>22.Blue 3</t>
  </si>
  <si>
    <t>22.Red 1</t>
  </si>
  <si>
    <t>22.Red 2</t>
  </si>
  <si>
    <t>22.Red 3</t>
  </si>
  <si>
    <t>23.Blue 1</t>
  </si>
  <si>
    <t>23.Blue 2</t>
  </si>
  <si>
    <t>23.Blue 3</t>
  </si>
  <si>
    <t>23.Red 1</t>
  </si>
  <si>
    <t>23.Red 2</t>
  </si>
  <si>
    <t>23.Red 3</t>
  </si>
  <si>
    <t>24.Blue 1</t>
  </si>
  <si>
    <t>24.Blue 2</t>
  </si>
  <si>
    <t>24.Blue 3</t>
  </si>
  <si>
    <t>24.Red 1</t>
  </si>
  <si>
    <t>24.Red 2</t>
  </si>
  <si>
    <t>24.Red 3</t>
  </si>
  <si>
    <t>25.Blue 1</t>
  </si>
  <si>
    <t>25.Blue 2</t>
  </si>
  <si>
    <t>25.Blue 3</t>
  </si>
  <si>
    <t>25.Red 1</t>
  </si>
  <si>
    <t>25.Red 2</t>
  </si>
  <si>
    <t>25.Red 3</t>
  </si>
  <si>
    <t>26.Blue 1</t>
  </si>
  <si>
    <t>26.Blue 2</t>
  </si>
  <si>
    <t>26.Blue 3</t>
  </si>
  <si>
    <t>26.Red 1</t>
  </si>
  <si>
    <t>26.Red 2</t>
  </si>
  <si>
    <t>26.Red 3</t>
  </si>
  <si>
    <t>27.Blue 1</t>
  </si>
  <si>
    <t>27.Blue 2</t>
  </si>
  <si>
    <t>27.Blue 3</t>
  </si>
  <si>
    <t>27.Red 1</t>
  </si>
  <si>
    <t>27.Red 2</t>
  </si>
  <si>
    <t>27.Red 3</t>
  </si>
  <si>
    <t>28.Blue 1</t>
  </si>
  <si>
    <t>28.Blue 2</t>
  </si>
  <si>
    <t>28.Blue 3</t>
  </si>
  <si>
    <t>28.Red 1</t>
  </si>
  <si>
    <t>28.Red 2</t>
  </si>
  <si>
    <t>28.Red 3</t>
  </si>
  <si>
    <t>29.Blue 1</t>
  </si>
  <si>
    <t>29.Blue 2</t>
  </si>
  <si>
    <t>29.Blue 3</t>
  </si>
  <si>
    <t>29.Red 1</t>
  </si>
  <si>
    <t>29.Red 2</t>
  </si>
  <si>
    <t>29.Red 3</t>
  </si>
  <si>
    <t>30.Blue 1</t>
  </si>
  <si>
    <t>30.Blue 2</t>
  </si>
  <si>
    <t>30.Blue 3</t>
  </si>
  <si>
    <t>30.Red 1</t>
  </si>
  <si>
    <t>30.Red 2</t>
  </si>
  <si>
    <t>30.Red 3</t>
  </si>
  <si>
    <t>31.Blue 1</t>
  </si>
  <si>
    <t>31.Blue 2</t>
  </si>
  <si>
    <t>31.Blue 3</t>
  </si>
  <si>
    <t>31.Red 1</t>
  </si>
  <si>
    <t>31.Red 2</t>
  </si>
  <si>
    <t>31.Red 3</t>
  </si>
  <si>
    <t>32.Blue 1</t>
  </si>
  <si>
    <t>32.Blue 2</t>
  </si>
  <si>
    <t>32.Blue 3</t>
  </si>
  <si>
    <t>32.Red 1</t>
  </si>
  <si>
    <t>32.Red 2</t>
  </si>
  <si>
    <t>32.Red 3</t>
  </si>
  <si>
    <t>33.Blue 1</t>
  </si>
  <si>
    <t>33.Blue 2</t>
  </si>
  <si>
    <t>33.Blue 3</t>
  </si>
  <si>
    <t>33.Red 1</t>
  </si>
  <si>
    <t>33.Red 2</t>
  </si>
  <si>
    <t>33.Red 3</t>
  </si>
  <si>
    <t>34.Blue 1</t>
  </si>
  <si>
    <t>34.Blue 2</t>
  </si>
  <si>
    <t>34.Blue 3</t>
  </si>
  <si>
    <t>34.Red 1</t>
  </si>
  <si>
    <t>34.Red 2</t>
  </si>
  <si>
    <t>34.Red 3</t>
  </si>
  <si>
    <t>35.Blue 1</t>
  </si>
  <si>
    <t>35.Blue 2</t>
  </si>
  <si>
    <t>35.Blue 3</t>
  </si>
  <si>
    <t>35.Red 1</t>
  </si>
  <si>
    <t>35.Red 2</t>
  </si>
  <si>
    <t>35.Red 3</t>
  </si>
  <si>
    <t>36.Blue 1</t>
  </si>
  <si>
    <t>36.Blue 2</t>
  </si>
  <si>
    <t>36.Blue 3</t>
  </si>
  <si>
    <t>36.Red 1</t>
  </si>
  <si>
    <t>36.Red 2</t>
  </si>
  <si>
    <t>36.Red 3</t>
  </si>
  <si>
    <t>37.Blue 1</t>
  </si>
  <si>
    <t>37.Blue 2</t>
  </si>
  <si>
    <t>37.Blue 3</t>
  </si>
  <si>
    <t>37.Red 1</t>
  </si>
  <si>
    <t>37.Red 2</t>
  </si>
  <si>
    <t>37.Red 3</t>
  </si>
  <si>
    <t>38.Blue 1</t>
  </si>
  <si>
    <t>38.Blue 2</t>
  </si>
  <si>
    <t>38.Blue 3</t>
  </si>
  <si>
    <t>38.Red 1</t>
  </si>
  <si>
    <t>38.Red 2</t>
  </si>
  <si>
    <t>38.Red 3</t>
  </si>
  <si>
    <t>39.Blue 1</t>
  </si>
  <si>
    <t>39.Blue 2</t>
  </si>
  <si>
    <t>39.Blue 3</t>
  </si>
  <si>
    <t>39.Red 1</t>
  </si>
  <si>
    <t>39.Red 2</t>
  </si>
  <si>
    <t>39.Red 3</t>
  </si>
  <si>
    <t>40.Blue 1</t>
  </si>
  <si>
    <t>40.Blue 2</t>
  </si>
  <si>
    <t>40.Blue 3</t>
  </si>
  <si>
    <t>40.Red 1</t>
  </si>
  <si>
    <t>40.Red 2</t>
  </si>
  <si>
    <t>40.Red 3</t>
  </si>
  <si>
    <t>41.Blue 1</t>
  </si>
  <si>
    <t>41.Blue 2</t>
  </si>
  <si>
    <t>41.Blue 3</t>
  </si>
  <si>
    <t>41.Red 1</t>
  </si>
  <si>
    <t>41.Red 2</t>
  </si>
  <si>
    <t>41.Red 3</t>
  </si>
  <si>
    <t>42.Blue 1</t>
  </si>
  <si>
    <t>42.Blue 2</t>
  </si>
  <si>
    <t>42.Blue 3</t>
  </si>
  <si>
    <t>42.Red 1</t>
  </si>
  <si>
    <t>42.Red 2</t>
  </si>
  <si>
    <t>42.Red 3</t>
  </si>
  <si>
    <t>43.Blue 1</t>
  </si>
  <si>
    <t>43.Blue 2</t>
  </si>
  <si>
    <t>43.Blue 3</t>
  </si>
  <si>
    <t>43.Red 1</t>
  </si>
  <si>
    <t>43.Red 2</t>
  </si>
  <si>
    <t>43.Red 3</t>
  </si>
  <si>
    <t>44.Blue 1</t>
  </si>
  <si>
    <t>44.Blue 2</t>
  </si>
  <si>
    <t>44.Blue 3</t>
  </si>
  <si>
    <t>44.Red 1</t>
  </si>
  <si>
    <t>44.Red 2</t>
  </si>
  <si>
    <t>44.Red 3</t>
  </si>
  <si>
    <t>45.Blue 1</t>
  </si>
  <si>
    <t>45.Blue 2</t>
  </si>
  <si>
    <t>45.Blue 3</t>
  </si>
  <si>
    <t>45.Red 1</t>
  </si>
  <si>
    <t>45.Red 2</t>
  </si>
  <si>
    <t>45.Red 3</t>
  </si>
  <si>
    <t>46.Blue 1</t>
  </si>
  <si>
    <t>46.Blue 2</t>
  </si>
  <si>
    <t>46.Blue 3</t>
  </si>
  <si>
    <t>46.Red 1</t>
  </si>
  <si>
    <t>46.Red 2</t>
  </si>
  <si>
    <t>46.Red 3</t>
  </si>
  <si>
    <t>47.Blue 1</t>
  </si>
  <si>
    <t>47.Blue 2</t>
  </si>
  <si>
    <t>47.Blue 3</t>
  </si>
  <si>
    <t>47.Red 1</t>
  </si>
  <si>
    <t>47.Red 2</t>
  </si>
  <si>
    <t>47.Red 3</t>
  </si>
  <si>
    <t>48.Blue 1</t>
  </si>
  <si>
    <t>48.Blue 2</t>
  </si>
  <si>
    <t>48.Blue 3</t>
  </si>
  <si>
    <t>48.Red 1</t>
  </si>
  <si>
    <t>48.Red 2</t>
  </si>
  <si>
    <t>48.Red 3</t>
  </si>
  <si>
    <t>49.Blue 1</t>
  </si>
  <si>
    <t>49.Blue 2</t>
  </si>
  <si>
    <t>49.Blue 3</t>
  </si>
  <si>
    <t>49.Red 1</t>
  </si>
  <si>
    <t>49.Red 2</t>
  </si>
  <si>
    <t>49.Red 3</t>
  </si>
  <si>
    <t>50.Blue 1</t>
  </si>
  <si>
    <t>50.Blue 2</t>
  </si>
  <si>
    <t>50.Blue 3</t>
  </si>
  <si>
    <t>50.Red 1</t>
  </si>
  <si>
    <t>50.Red 2</t>
  </si>
  <si>
    <t>50.Red 3</t>
  </si>
  <si>
    <t>51.Blue 1</t>
  </si>
  <si>
    <t>51.Blue 2</t>
  </si>
  <si>
    <t>51.Blue 3</t>
  </si>
  <si>
    <t>51.Red 1</t>
  </si>
  <si>
    <t>51.Red 2</t>
  </si>
  <si>
    <t>51.Red 3</t>
  </si>
  <si>
    <t>52.Blue 1</t>
  </si>
  <si>
    <t>52.Blue 2</t>
  </si>
  <si>
    <t>52.Blue 3</t>
  </si>
  <si>
    <t>52.Red 1</t>
  </si>
  <si>
    <t>52.Red 2</t>
  </si>
  <si>
    <t>52.Red 3</t>
  </si>
  <si>
    <t>53.Blue 1</t>
  </si>
  <si>
    <t>53.Blue 2</t>
  </si>
  <si>
    <t>53.Blue 3</t>
  </si>
  <si>
    <t>53.Red 1</t>
  </si>
  <si>
    <t>53.Red 2</t>
  </si>
  <si>
    <t>53.Red 3</t>
  </si>
  <si>
    <t>54.Blue 1</t>
  </si>
  <si>
    <t>54.Blue 2</t>
  </si>
  <si>
    <t>54.Blue 3</t>
  </si>
  <si>
    <t>54.Red 1</t>
  </si>
  <si>
    <t>54.Red 2</t>
  </si>
  <si>
    <t>54.Red 3</t>
  </si>
  <si>
    <t>55.Blue 1</t>
  </si>
  <si>
    <t>55.Blue 2</t>
  </si>
  <si>
    <t>55.Blue 3</t>
  </si>
  <si>
    <t>55.Red 1</t>
  </si>
  <si>
    <t>55.Red 2</t>
  </si>
  <si>
    <t>55.Red 3</t>
  </si>
  <si>
    <t>56.Blue 1</t>
  </si>
  <si>
    <t>56.Blue 2</t>
  </si>
  <si>
    <t>56.Blue 3</t>
  </si>
  <si>
    <t>56.Red 1</t>
  </si>
  <si>
    <t>56.Red 2</t>
  </si>
  <si>
    <t>56.Red 3</t>
  </si>
  <si>
    <t>57.Blue 1</t>
  </si>
  <si>
    <t>57.Blue 2</t>
  </si>
  <si>
    <t>57.Blue 3</t>
  </si>
  <si>
    <t>57.Red 1</t>
  </si>
  <si>
    <t>57.Red 2</t>
  </si>
  <si>
    <t>57.Red 3</t>
  </si>
  <si>
    <t>58.Blue 1</t>
  </si>
  <si>
    <t>58.Blue 2</t>
  </si>
  <si>
    <t>58.Blue 3</t>
  </si>
  <si>
    <t>58.Red 1</t>
  </si>
  <si>
    <t>58.Red 2</t>
  </si>
  <si>
    <t>58.Red 3</t>
  </si>
  <si>
    <t>59.Blue 1</t>
  </si>
  <si>
    <t>59.Blue 2</t>
  </si>
  <si>
    <t>59.Blue 3</t>
  </si>
  <si>
    <t>59.Red 1</t>
  </si>
  <si>
    <t>59.Red 2</t>
  </si>
  <si>
    <t>59.Red 3</t>
  </si>
  <si>
    <t>60.Blue 1</t>
  </si>
  <si>
    <t>60.Blue 2</t>
  </si>
  <si>
    <t>60.Blue 3</t>
  </si>
  <si>
    <t>60.Red 1</t>
  </si>
  <si>
    <t>60.Red 2</t>
  </si>
  <si>
    <t>60.Red 3</t>
  </si>
  <si>
    <t>61.Blue 1</t>
  </si>
  <si>
    <t>61.Blue 2</t>
  </si>
  <si>
    <t>61.Blue 3</t>
  </si>
  <si>
    <t>61.Red 1</t>
  </si>
  <si>
    <t>61.Red 2</t>
  </si>
  <si>
    <t>61.Red 3</t>
  </si>
  <si>
    <t>62.Blue 1</t>
  </si>
  <si>
    <t>62.Blue 2</t>
  </si>
  <si>
    <t>62.Blue 3</t>
  </si>
  <si>
    <t>62.Red 1</t>
  </si>
  <si>
    <t>62.Red 2</t>
  </si>
  <si>
    <t>62.Red 3</t>
  </si>
  <si>
    <t>63.Blue 1</t>
  </si>
  <si>
    <t>63.Blue 2</t>
  </si>
  <si>
    <t>63.Blue 3</t>
  </si>
  <si>
    <t>63.Red 1</t>
  </si>
  <si>
    <t>63.Red 2</t>
  </si>
  <si>
    <t>63.Red 3</t>
  </si>
  <si>
    <t>64.Blue 1</t>
  </si>
  <si>
    <t>64.Blue 2</t>
  </si>
  <si>
    <t>64.Blue 3</t>
  </si>
  <si>
    <t>64.Red 1</t>
  </si>
  <si>
    <t>64.Red 2</t>
  </si>
  <si>
    <t>64.Red 3</t>
  </si>
  <si>
    <t>65.Blue 1</t>
  </si>
  <si>
    <t>65.Blue 2</t>
  </si>
  <si>
    <t>65.Blue 3</t>
  </si>
  <si>
    <t>65.Red 1</t>
  </si>
  <si>
    <t>65.Red 2</t>
  </si>
  <si>
    <t>65.Red 3</t>
  </si>
  <si>
    <t>66.Blue 1</t>
  </si>
  <si>
    <t>66.Blue 2</t>
  </si>
  <si>
    <t>66.Blue 3</t>
  </si>
  <si>
    <t>66.Red 1</t>
  </si>
  <si>
    <t>66.Red 2</t>
  </si>
  <si>
    <t>66.Red 3</t>
  </si>
  <si>
    <t>67.Blue 1</t>
  </si>
  <si>
    <t>67.Blue 2</t>
  </si>
  <si>
    <t>67.Blue 3</t>
  </si>
  <si>
    <t>67.Red 1</t>
  </si>
  <si>
    <t>67.Red 2</t>
  </si>
  <si>
    <t>67.Red 3</t>
  </si>
  <si>
    <t>68.Blue 1</t>
  </si>
  <si>
    <t>68.Blue 2</t>
  </si>
  <si>
    <t>68.Blue 3</t>
  </si>
  <si>
    <t>68.Red 1</t>
  </si>
  <si>
    <t>68.Red 2</t>
  </si>
  <si>
    <t>68.Red 3</t>
  </si>
  <si>
    <t>69.Blue 1</t>
  </si>
  <si>
    <t>69.Blue 2</t>
  </si>
  <si>
    <t>69.Blue 3</t>
  </si>
  <si>
    <t>69.Red 1</t>
  </si>
  <si>
    <t>69.Red 2</t>
  </si>
  <si>
    <t>69.Red 3</t>
  </si>
  <si>
    <t>70.Blue 1</t>
  </si>
  <si>
    <t>70.Blue 2</t>
  </si>
  <si>
    <t>70.Blue 3</t>
  </si>
  <si>
    <t>70.Red 1</t>
  </si>
  <si>
    <t>70.Red 2</t>
  </si>
  <si>
    <t>70.Red 3</t>
  </si>
  <si>
    <t>71.Blue 1</t>
  </si>
  <si>
    <t>71.Blue 2</t>
  </si>
  <si>
    <t>71.Blue 3</t>
  </si>
  <si>
    <t>71.Red 1</t>
  </si>
  <si>
    <t>71.Red 2</t>
  </si>
  <si>
    <t>71.Red 3</t>
  </si>
  <si>
    <t>72.Blue 1</t>
  </si>
  <si>
    <t>72.Blue 2</t>
  </si>
  <si>
    <t>72.Blue 3</t>
  </si>
  <si>
    <t>72.Red 1</t>
  </si>
  <si>
    <t>72.Red 2</t>
  </si>
  <si>
    <t>72.Red 3</t>
  </si>
  <si>
    <t>73.Blue 1</t>
  </si>
  <si>
    <t>73.Blue 2</t>
  </si>
  <si>
    <t>73.Blue 3</t>
  </si>
  <si>
    <t>73.Red 1</t>
  </si>
  <si>
    <t>73.Red 2</t>
  </si>
  <si>
    <t>73.Red 3</t>
  </si>
  <si>
    <t>74.Blue 1</t>
  </si>
  <si>
    <t>74.Blue 2</t>
  </si>
  <si>
    <t>74.Blue 3</t>
  </si>
  <si>
    <t>74.Red 1</t>
  </si>
  <si>
    <t>74.Red 2</t>
  </si>
  <si>
    <t>74.Red 3</t>
  </si>
  <si>
    <t>75.Blue 1</t>
  </si>
  <si>
    <t>75.Blue 2</t>
  </si>
  <si>
    <t>75.Blue 3</t>
  </si>
  <si>
    <t>75.Red 1</t>
  </si>
  <si>
    <t>75.Red 2</t>
  </si>
  <si>
    <t>75.Red 3</t>
  </si>
  <si>
    <t>76.Blue 1</t>
  </si>
  <si>
    <t>76.Blue 2</t>
  </si>
  <si>
    <t>76.Blue 3</t>
  </si>
  <si>
    <t>76.Red 1</t>
  </si>
  <si>
    <t>76.Red 2</t>
  </si>
  <si>
    <t>76.Red 3</t>
  </si>
  <si>
    <t>77.Blue 1</t>
  </si>
  <si>
    <t>77.Blue 2</t>
  </si>
  <si>
    <t>77.Blue 3</t>
  </si>
  <si>
    <t>77.Red 1</t>
  </si>
  <si>
    <t>77.Red 2</t>
  </si>
  <si>
    <t>77.Red 3</t>
  </si>
  <si>
    <t>78.Blue 1</t>
  </si>
  <si>
    <t>78.Blue 2</t>
  </si>
  <si>
    <t>78.Blue 3</t>
  </si>
  <si>
    <t>78.Red 1</t>
  </si>
  <si>
    <t>78.Red 2</t>
  </si>
  <si>
    <t>78.Red 3</t>
  </si>
  <si>
    <t>79.Blue 1</t>
  </si>
  <si>
    <t>79.Blue 2</t>
  </si>
  <si>
    <t>79.Blue 3</t>
  </si>
  <si>
    <t>79.Red 1</t>
  </si>
  <si>
    <t>79.Red 2</t>
  </si>
  <si>
    <t>79.Red 3</t>
  </si>
  <si>
    <t>80.Blue 1</t>
  </si>
  <si>
    <t>80.Blue 2</t>
  </si>
  <si>
    <t>80.Blue 3</t>
  </si>
  <si>
    <t>80.Red 1</t>
  </si>
  <si>
    <t>80.Red 2</t>
  </si>
  <si>
    <t>80.Red 3</t>
  </si>
  <si>
    <t>81.Blue 1</t>
  </si>
  <si>
    <t>81.Blue 2</t>
  </si>
  <si>
    <t>81.Blue 3</t>
  </si>
  <si>
    <t>81.Red 1</t>
  </si>
  <si>
    <t>81.Red 2</t>
  </si>
  <si>
    <t>81.Red 3</t>
  </si>
  <si>
    <t>82.Blue 1</t>
  </si>
  <si>
    <t>82.Blue 2</t>
  </si>
  <si>
    <t>82.Blue 3</t>
  </si>
  <si>
    <t>82.Red 1</t>
  </si>
  <si>
    <t>82.Red 2</t>
  </si>
  <si>
    <t>82.Red 3</t>
  </si>
  <si>
    <t>83.Blue 1</t>
  </si>
  <si>
    <t>83.Blue 2</t>
  </si>
  <si>
    <t>83.Blue 3</t>
  </si>
  <si>
    <t>83.Red 1</t>
  </si>
  <si>
    <t>83.Red 2</t>
  </si>
  <si>
    <t>83.Red 3</t>
  </si>
  <si>
    <t>Type</t>
  </si>
  <si>
    <t>The Rocketeers</t>
  </si>
  <si>
    <t>Clifton Park</t>
  </si>
  <si>
    <t>Team E.L.I.T.E.</t>
  </si>
  <si>
    <t>https://i.imgur.com/8ifeaLjm.jpg</t>
  </si>
  <si>
    <t>X-CATS</t>
  </si>
  <si>
    <t>Rochester</t>
  </si>
  <si>
    <t>Mechanical Marauders</t>
  </si>
  <si>
    <t>Bay Shore</t>
  </si>
  <si>
    <t>G.R.R. (Greater Rochester Robotics)</t>
  </si>
  <si>
    <t>Churchville</t>
  </si>
  <si>
    <t>https://i.imgur.com/20ZRK4sm.jpg</t>
  </si>
  <si>
    <t>POBots</t>
  </si>
  <si>
    <t>Plainview</t>
  </si>
  <si>
    <t>https://www.instagram.com/p/DWAYYZdiTM0</t>
  </si>
  <si>
    <t>The Circuit Stompers</t>
  </si>
  <si>
    <t>Newfane</t>
  </si>
  <si>
    <t>Rust Belt Robotics</t>
  </si>
  <si>
    <t>Buffalo</t>
  </si>
  <si>
    <t>Longwood RoboLions</t>
  </si>
  <si>
    <t>Middle Island</t>
  </si>
  <si>
    <t>https://i.imgur.com/0ZxGbH9m.jpg</t>
  </si>
  <si>
    <t>Code Red Robotics</t>
  </si>
  <si>
    <t>Ithaca</t>
  </si>
  <si>
    <t>StuyPulse</t>
  </si>
  <si>
    <t>The Mechanical Bulls</t>
  </si>
  <si>
    <t>Smithtown</t>
  </si>
  <si>
    <t>https://www.instagram.com/p/DWFxHYBDMdW</t>
  </si>
  <si>
    <t>Hot Rocks</t>
  </si>
  <si>
    <t>Hilo</t>
  </si>
  <si>
    <t>Hawaii</t>
  </si>
  <si>
    <t>SPARX</t>
  </si>
  <si>
    <t>Webster</t>
  </si>
  <si>
    <t>Finney Falcons</t>
  </si>
  <si>
    <t>Penfield</t>
  </si>
  <si>
    <t>https://i.imgur.com/3NsyoH1m.jpg</t>
  </si>
  <si>
    <t>XQ Robotix Team 1450</t>
  </si>
  <si>
    <t>Hicksville J-Birds</t>
  </si>
  <si>
    <t>Hicksville</t>
  </si>
  <si>
    <t>https://i.imgur.com/LffoL4dm.jpg</t>
  </si>
  <si>
    <t>Warlocks</t>
  </si>
  <si>
    <t>Lockport</t>
  </si>
  <si>
    <t>https://i.imgur.com/uabr1W5m.jpg</t>
  </si>
  <si>
    <t>Rolling Thunder</t>
  </si>
  <si>
    <t>https://i.imgur.com/jyK3jZSm.jpg</t>
  </si>
  <si>
    <t>Raider Robotics</t>
  </si>
  <si>
    <t>Palmyra</t>
  </si>
  <si>
    <t>https://www.instagram.com/p/DWTy2szgBxF</t>
  </si>
  <si>
    <t>Devil Tech</t>
  </si>
  <si>
    <t>Victor</t>
  </si>
  <si>
    <t>Scitobor Robotics</t>
  </si>
  <si>
    <t>Shortsville</t>
  </si>
  <si>
    <t>Greece Gladiators</t>
  </si>
  <si>
    <t>Lindblom Electric Eagles</t>
  </si>
  <si>
    <t>Chicago</t>
  </si>
  <si>
    <t>https://i.imgur.com/kB0dQZam.jpg</t>
  </si>
  <si>
    <t>Mercy Robotics-Xcentrics</t>
  </si>
  <si>
    <t>TAN(X)</t>
  </si>
  <si>
    <t>Canandaigua</t>
  </si>
  <si>
    <t>Ranger Robotics</t>
  </si>
  <si>
    <t>Spencerport</t>
  </si>
  <si>
    <t>https://i.imgur.com/Z1joP93m.jpg</t>
  </si>
  <si>
    <t>Team 0xBE4</t>
  </si>
  <si>
    <t>Ballston Spa</t>
  </si>
  <si>
    <t>IgKnighters</t>
  </si>
  <si>
    <t>https://i.imgur.com/ASzeksgm.jpg</t>
  </si>
  <si>
    <t>Pittsford Panthers</t>
  </si>
  <si>
    <t>Pittsford</t>
  </si>
  <si>
    <t>Electric Fire</t>
  </si>
  <si>
    <t>Elmira</t>
  </si>
  <si>
    <t>Roc City Robotix</t>
  </si>
  <si>
    <t>SUITS</t>
  </si>
  <si>
    <t>Honeoye</t>
  </si>
  <si>
    <t>Hardwired</t>
  </si>
  <si>
    <t>Orleans County</t>
  </si>
  <si>
    <t>Raid Zero</t>
  </si>
  <si>
    <t>Taipei</t>
  </si>
  <si>
    <t>Taipei Special Municipality</t>
  </si>
  <si>
    <t>Chinese Taipei</t>
  </si>
  <si>
    <t>Infernobotix</t>
  </si>
  <si>
    <t>Center Moriches</t>
  </si>
  <si>
    <t>Electric Mayhem</t>
  </si>
  <si>
    <t>Ultime</t>
  </si>
  <si>
    <t>Trois-Rivieres</t>
  </si>
  <si>
    <t>Québec</t>
  </si>
  <si>
    <t>Canada</t>
  </si>
  <si>
    <t>https://i.imgur.com/CooFWjOm.jpg</t>
  </si>
  <si>
    <t>Alumiboti</t>
  </si>
  <si>
    <t>Ward Melville Iron Patriots</t>
  </si>
  <si>
    <t>East Setauket</t>
  </si>
  <si>
    <t>Cadet Robotics</t>
  </si>
  <si>
    <t>Hilton</t>
  </si>
  <si>
    <t>Savage Tumaz</t>
  </si>
  <si>
    <t>The ROBOlympians</t>
  </si>
  <si>
    <t>Lake Placid</t>
  </si>
  <si>
    <t>Tigers</t>
  </si>
  <si>
    <t>Raid One</t>
  </si>
  <si>
    <t>Taipei City</t>
  </si>
  <si>
    <t>Syosset SuperSonics</t>
  </si>
  <si>
    <t>Syosset</t>
  </si>
  <si>
    <t>Magnificat MagnifiBots</t>
  </si>
  <si>
    <t>Rocky River</t>
  </si>
  <si>
    <t>https://i.imgur.com/wKEfKJpm.jpg</t>
  </si>
  <si>
    <t>Crimson Jewels</t>
  </si>
  <si>
    <t>Amped</t>
  </si>
  <si>
    <t>2026nyro_qm1</t>
  </si>
  <si>
    <t>2026nyro_qm2</t>
  </si>
  <si>
    <t>2026nyro_qm3</t>
  </si>
  <si>
    <t>2026nyro_qm4</t>
  </si>
  <si>
    <t>2026nyro_qm5</t>
  </si>
  <si>
    <t>2026nyro_qm6</t>
  </si>
  <si>
    <t>2026nyro_qm7</t>
  </si>
  <si>
    <t>2026nyro_qm8</t>
  </si>
  <si>
    <t>2026nyro_qm9</t>
  </si>
  <si>
    <t>2026nyro_qm10</t>
  </si>
  <si>
    <t>2026nyro_qm11</t>
  </si>
  <si>
    <t>2026nyro_qm12</t>
  </si>
  <si>
    <t>2026nyro_qm13</t>
  </si>
  <si>
    <t>2026nyro_qm14</t>
  </si>
  <si>
    <t>2026nyro_qm15</t>
  </si>
  <si>
    <t>2026nyro_qm16</t>
  </si>
  <si>
    <t>2026nyro_qm17</t>
  </si>
  <si>
    <t>2026nyro_qm18</t>
  </si>
  <si>
    <t>2026nyro_qm19</t>
  </si>
  <si>
    <t>2026nyro_qm20</t>
  </si>
  <si>
    <t>2026nyro_qm21</t>
  </si>
  <si>
    <t>2026nyro_qm22</t>
  </si>
  <si>
    <t>2026nyro_qm23</t>
  </si>
  <si>
    <t>2026nyro_qm24</t>
  </si>
  <si>
    <t>2026nyro_qm25</t>
  </si>
  <si>
    <t>2026nyro_qm26</t>
  </si>
  <si>
    <t>2026nyro_qm27</t>
  </si>
  <si>
    <t>2026nyro_qm28</t>
  </si>
  <si>
    <t>2026nyro_qm29</t>
  </si>
  <si>
    <t>2026nyro_qm30</t>
  </si>
  <si>
    <t>2026nyro_qm31</t>
  </si>
  <si>
    <t>2026nyro_qm32</t>
  </si>
  <si>
    <t>2026nyro_qm33</t>
  </si>
  <si>
    <t>2026nyro_qm34</t>
  </si>
  <si>
    <t>2026nyro_qm35</t>
  </si>
  <si>
    <t>2026nyro_qm36</t>
  </si>
  <si>
    <t>2026nyro_qm37</t>
  </si>
  <si>
    <t>2026nyro_qm38</t>
  </si>
  <si>
    <t>2026nyro_qm39</t>
  </si>
  <si>
    <t>2026nyro_qm40</t>
  </si>
  <si>
    <t>2026nyro_qm41</t>
  </si>
  <si>
    <t>2026nyro_qm42</t>
  </si>
  <si>
    <t>2026nyro_qm43</t>
  </si>
  <si>
    <t>2026nyro_qm44</t>
  </si>
  <si>
    <t>2026nyro_qm45</t>
  </si>
  <si>
    <t>2026nyro_qm46</t>
  </si>
  <si>
    <t>2026nyro_qm47</t>
  </si>
  <si>
    <t>2026nyro_qm48</t>
  </si>
  <si>
    <t>2026nyro_qm49</t>
  </si>
  <si>
    <t>2026nyro_qm50</t>
  </si>
  <si>
    <t>2026nyro_qm51</t>
  </si>
  <si>
    <t>2026nyro_qm52</t>
  </si>
  <si>
    <t>2026nyro_qm53</t>
  </si>
  <si>
    <t>2026nyro_qm54</t>
  </si>
  <si>
    <t>2026nyro_qm55</t>
  </si>
  <si>
    <t>2026nyro_qm56</t>
  </si>
  <si>
    <t>2026nyro_qm57</t>
  </si>
  <si>
    <t>2026nyro_qm58</t>
  </si>
  <si>
    <t>2026nyro_qm59</t>
  </si>
  <si>
    <t>2026nyro_qm60</t>
  </si>
  <si>
    <t>2026nyro_qm61</t>
  </si>
  <si>
    <t>2026nyro_qm62</t>
  </si>
  <si>
    <t>2026nyro_qm63</t>
  </si>
  <si>
    <t>2026nyro_qm64</t>
  </si>
  <si>
    <t>2026nyro_qm65</t>
  </si>
  <si>
    <t>2026nyro_qm66</t>
  </si>
  <si>
    <t>2026nyro_qm67</t>
  </si>
  <si>
    <t>2026nyro_qm68</t>
  </si>
  <si>
    <t>2026nyro_qm69</t>
  </si>
  <si>
    <t>2026nyro_qm70</t>
  </si>
  <si>
    <t>2026nyro_qm71</t>
  </si>
  <si>
    <t>2026nyro_qm72</t>
  </si>
  <si>
    <t>2026nyro_qm73</t>
  </si>
  <si>
    <t>2026nyro_qm74</t>
  </si>
  <si>
    <t>2026nyro_qm75</t>
  </si>
  <si>
    <t>2026nyro_qm76</t>
  </si>
  <si>
    <t>2026nyro_qm77</t>
  </si>
  <si>
    <t>2026nyro_qm78</t>
  </si>
  <si>
    <t>2026nyro_qm79</t>
  </si>
  <si>
    <t>2026nyro_qm80</t>
  </si>
  <si>
    <t>2026nyro_qm81</t>
  </si>
  <si>
    <t>2026nyro_qm82</t>
  </si>
  <si>
    <t>2026nyro_qm83</t>
  </si>
  <si>
    <t>2026nyro_sf1m1</t>
  </si>
  <si>
    <t>2026nyro_sf2m1</t>
  </si>
  <si>
    <t>2026nyro_sf3m1</t>
  </si>
  <si>
    <t>2026nyro_sf4m1</t>
  </si>
  <si>
    <t>2026nyro_sf5m1</t>
  </si>
  <si>
    <t>2026nyro_sf6m1</t>
  </si>
  <si>
    <t>2026nyro_sf7m1</t>
  </si>
  <si>
    <t>2026nyro_sf8m1</t>
  </si>
  <si>
    <t>2026nyro_sf9m1</t>
  </si>
  <si>
    <t>2026nyro_sf10m1</t>
  </si>
  <si>
    <t>2026nyro_sf11m1</t>
  </si>
  <si>
    <t>2026nyro_sf12m1</t>
  </si>
  <si>
    <t>2026nyro_sf13m1</t>
  </si>
  <si>
    <t>2026nyro_f1m1</t>
  </si>
  <si>
    <t>2026nyro_f1m2</t>
  </si>
  <si>
    <t>2026nyro_f1m3</t>
  </si>
  <si>
    <t>Team Rank</t>
  </si>
  <si>
    <t>Collect from opposing Alliance</t>
  </si>
  <si>
    <t>Did relay Fuel</t>
  </si>
  <si>
    <t>Did bulldoze fuel</t>
  </si>
  <si>
    <t>Team Points Scored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</si>
</sst>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0.0%"/>
  </numFmts>
  <fonts count="14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2" tint="-9.9978637043366805E-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 (Body)"/>
    </font>
    <font>
      <b/>
      <sz val="11"/>
      <color theme="0"/>
      <name val="Calibri (Body)"/>
    </font>
  </fonts>
  <fills count="14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595959"/>
        <bgColor rgb="FF595959"/>
      </patternFill>
    </fill>
    <fill>
      <patternFill patternType="solid">
        <fgColor rgb="FF2471A3"/>
        <bgColor rgb="FF2471A3"/>
      </patternFill>
    </fill>
    <fill>
      <patternFill patternType="solid">
        <fgColor rgb="FFCB4335"/>
        <bgColor rgb="FFCB4335"/>
      </patternFill>
    </fill>
    <fill>
      <patternFill patternType="solid">
        <fgColor rgb="FFD68910"/>
        <bgColor rgb="FFD68910"/>
      </patternFill>
    </fill>
    <fill>
      <patternFill patternType="solid">
        <fgColor rgb="FF00B050"/>
        <bgColor rgb="FF595959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rgb="FFC8D6A1"/>
      </patternFill>
    </fill>
    <fill>
      <patternFill patternType="solid">
        <fgColor theme="5" tint="0.59999389629810485"/>
        <bgColor rgb="FFFFFF54"/>
      </patternFill>
    </fill>
    <fill>
      <patternFill patternType="solid">
        <fgColor theme="9" tint="0.59999389629810485"/>
        <bgColor rgb="FFF5C242"/>
      </patternFill>
    </fill>
    <fill>
      <patternFill patternType="solid">
        <fgColor theme="1" tint="0.34998626667073579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9" fontId="11" fillId="0" borderId="0" applyFont="0" applyFill="0" applyBorder="0" applyAlignment="0" applyProtection="0"/>
  </cellStyleXfs>
  <cellXfs count="81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3" fillId="3" borderId="0" xfId="0" applyFont="1" applyFill="1" applyAlignment="1">
      <alignment horizontal="center" vertical="center"/>
    </xf>
    <xf numFmtId="0" fontId="3" fillId="3" borderId="5" xfId="0" applyFont="1" applyFill="1" applyBorder="1" applyAlignment="1">
      <alignment horizontal="left" textRotation="90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6" fillId="0" borderId="0" xfId="0" applyFont="1"/>
    <xf numFmtId="0" fontId="3" fillId="3" borderId="4" xfId="0" applyFont="1" applyFill="1" applyBorder="1" applyAlignment="1">
      <alignment horizontal="center" textRotation="90"/>
    </xf>
    <xf numFmtId="0" fontId="8" fillId="0" borderId="0" xfId="0" applyFont="1"/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textRotation="90"/>
    </xf>
    <xf numFmtId="0" fontId="5" fillId="3" borderId="2" xfId="0" applyFont="1" applyFill="1" applyBorder="1" applyAlignment="1">
      <alignment horizontal="center" textRotation="90"/>
    </xf>
    <xf numFmtId="0" fontId="1" fillId="4" borderId="1" xfId="0" applyFont="1" applyFill="1" applyBorder="1" applyAlignment="1">
      <alignment horizontal="center" textRotation="90"/>
    </xf>
    <xf numFmtId="0" fontId="1" fillId="4" borderId="2" xfId="0" applyFont="1" applyFill="1" applyBorder="1" applyAlignment="1">
      <alignment horizontal="center" textRotation="90"/>
    </xf>
    <xf numFmtId="0" fontId="1" fillId="5" borderId="1" xfId="0" applyFont="1" applyFill="1" applyBorder="1" applyAlignment="1">
      <alignment horizontal="center" textRotation="90"/>
    </xf>
    <xf numFmtId="0" fontId="1" fillId="5" borderId="2" xfId="0" applyFont="1" applyFill="1" applyBorder="1" applyAlignment="1">
      <alignment horizontal="center" textRotation="90"/>
    </xf>
    <xf numFmtId="0" fontId="1" fillId="6" borderId="1" xfId="0" applyFont="1" applyFill="1" applyBorder="1" applyAlignment="1">
      <alignment horizontal="center" textRotation="90"/>
    </xf>
    <xf numFmtId="0" fontId="1" fillId="6" borderId="2" xfId="0" applyFont="1" applyFill="1" applyBorder="1" applyAlignment="1">
      <alignment horizontal="center" textRotation="90"/>
    </xf>
    <xf numFmtId="0" fontId="1" fillId="3" borderId="6" xfId="0" applyFont="1" applyFill="1" applyBorder="1" applyAlignment="1">
      <alignment horizontal="center" textRotation="90"/>
    </xf>
    <xf numFmtId="0" fontId="1" fillId="7" borderId="1" xfId="0" applyFont="1" applyFill="1" applyBorder="1" applyAlignment="1">
      <alignment horizontal="center" textRotation="90"/>
    </xf>
    <xf numFmtId="0" fontId="1" fillId="7" borderId="2" xfId="0" applyFont="1" applyFill="1" applyBorder="1" applyAlignment="1">
      <alignment horizontal="center" textRotation="90"/>
    </xf>
    <xf numFmtId="0" fontId="1" fillId="7" borderId="3" xfId="0" applyFont="1" applyFill="1" applyBorder="1" applyAlignment="1">
      <alignment horizontal="center" textRotation="90"/>
    </xf>
    <xf numFmtId="0" fontId="1" fillId="3" borderId="7" xfId="0" applyFont="1" applyFill="1" applyBorder="1" applyAlignment="1">
      <alignment horizontal="center" textRotation="90"/>
    </xf>
    <xf numFmtId="0" fontId="1" fillId="3" borderId="8" xfId="0" applyFont="1" applyFill="1" applyBorder="1" applyAlignment="1">
      <alignment horizontal="center" textRotation="90"/>
    </xf>
    <xf numFmtId="164" fontId="3" fillId="4" borderId="2" xfId="0" applyNumberFormat="1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164" fontId="1" fillId="5" borderId="2" xfId="0" applyNumberFormat="1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164" fontId="1" fillId="6" borderId="2" xfId="0" applyNumberFormat="1" applyFont="1" applyFill="1" applyBorder="1" applyAlignment="1">
      <alignment horizontal="center"/>
    </xf>
    <xf numFmtId="164" fontId="7" fillId="8" borderId="7" xfId="0" applyNumberFormat="1" applyFont="1" applyFill="1" applyBorder="1" applyAlignment="1">
      <alignment horizontal="center"/>
    </xf>
    <xf numFmtId="164" fontId="1" fillId="3" borderId="6" xfId="0" applyNumberFormat="1" applyFont="1" applyFill="1" applyBorder="1" applyAlignment="1">
      <alignment horizontal="center"/>
    </xf>
    <xf numFmtId="164" fontId="1" fillId="3" borderId="7" xfId="0" applyNumberFormat="1" applyFont="1" applyFill="1" applyBorder="1" applyAlignment="1">
      <alignment horizontal="center"/>
    </xf>
    <xf numFmtId="164" fontId="1" fillId="3" borderId="8" xfId="0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 textRotation="90"/>
    </xf>
    <xf numFmtId="164" fontId="1" fillId="4" borderId="2" xfId="0" applyNumberFormat="1" applyFont="1" applyFill="1" applyBorder="1" applyAlignment="1">
      <alignment horizontal="center"/>
    </xf>
    <xf numFmtId="164" fontId="3" fillId="3" borderId="3" xfId="0" applyNumberFormat="1" applyFont="1" applyFill="1" applyBorder="1" applyAlignment="1">
      <alignment horizontal="center"/>
    </xf>
    <xf numFmtId="0" fontId="9" fillId="9" borderId="0" xfId="0" applyFont="1" applyFill="1"/>
    <xf numFmtId="0" fontId="10" fillId="0" borderId="0" xfId="1"/>
    <xf numFmtId="14" fontId="0" fillId="0" borderId="0" xfId="0" applyNumberFormat="1"/>
    <xf numFmtId="18" fontId="0" fillId="0" borderId="0" xfId="0" applyNumberFormat="1"/>
    <xf numFmtId="0" fontId="10" fillId="0" borderId="0" xfId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10" borderId="0" xfId="0" applyFill="1"/>
    <xf numFmtId="0" fontId="0" fillId="11" borderId="0" xfId="0" applyFill="1"/>
    <xf numFmtId="0" fontId="0" fillId="12" borderId="0" xfId="0" applyFill="1"/>
    <xf numFmtId="166" fontId="0" fillId="0" borderId="0" xfId="2" applyNumberFormat="1" applyFont="1"/>
    <xf numFmtId="0" fontId="12" fillId="3" borderId="4" xfId="0" applyFont="1" applyFill="1" applyBorder="1" applyAlignment="1">
      <alignment horizontal="center" textRotation="90"/>
    </xf>
    <xf numFmtId="0" fontId="12" fillId="3" borderId="6" xfId="0" applyFont="1" applyFill="1" applyBorder="1" applyAlignment="1">
      <alignment horizontal="center" textRotation="90"/>
    </xf>
    <xf numFmtId="0" fontId="13" fillId="13" borderId="0" xfId="0" applyFont="1" applyFill="1" applyAlignment="1">
      <alignment horizontal="right"/>
    </xf>
    <xf numFmtId="2" fontId="13" fillId="13" borderId="0" xfId="2" applyNumberFormat="1" applyFont="1" applyFill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right"/>
    </xf>
    <xf numFmtId="0" fontId="1" fillId="3" borderId="0" xfId="0" applyFont="1" applyFill="1" applyAlignment="1">
      <alignment horizontal="right"/>
    </xf>
    <xf numFmtId="0" fontId="1" fillId="3" borderId="6" xfId="0" applyFont="1" applyFill="1" applyBorder="1" applyAlignment="1">
      <alignment horizontal="right"/>
    </xf>
    <xf numFmtId="0" fontId="1" fillId="3" borderId="7" xfId="0" applyFont="1" applyFill="1" applyBorder="1" applyAlignment="1">
      <alignment horizontal="right"/>
    </xf>
    <xf numFmtId="0" fontId="7" fillId="8" borderId="1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0" fontId="1" fillId="5" borderId="10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5" borderId="11" xfId="0" applyFont="1" applyFill="1" applyBorder="1" applyAlignment="1">
      <alignment horizontal="center"/>
    </xf>
    <xf numFmtId="0" fontId="7" fillId="13" borderId="0" xfId="0" applyFont="1" applyFill="1"/>
    <xf numFmtId="0" fontId="7" fillId="13" borderId="0" xfId="0" applyFont="1" applyFill="1" applyAlignment="1">
      <alignment horizontal="center"/>
    </xf>
    <xf numFmtId="14" fontId="7" fillId="13" borderId="0" xfId="0" applyNumberFormat="1" applyFont="1" applyFill="1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3"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86"/>
  <sheetViews>
    <sheetView tabSelected="1"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 x14ac:dyDescent="0.2"/>
  <sheetData>
    <row r="1" spans="1:25" ht="125" customHeight="1" thickBot="1" x14ac:dyDescent="0.25">
      <c r="A1" s="14" t="s">
        <v>0</v>
      </c>
      <c r="B1" s="15" t="s">
        <v>16</v>
      </c>
      <c r="C1" s="15" t="s">
        <v>1</v>
      </c>
      <c r="D1" s="15" t="s">
        <v>2</v>
      </c>
      <c r="E1" s="15" t="s">
        <v>3</v>
      </c>
      <c r="F1" s="16" t="s">
        <v>44</v>
      </c>
      <c r="G1" s="17" t="s">
        <v>17</v>
      </c>
      <c r="H1" s="17" t="s">
        <v>18</v>
      </c>
      <c r="I1" s="18" t="s">
        <v>19</v>
      </c>
      <c r="J1" s="19" t="s">
        <v>20</v>
      </c>
      <c r="K1" s="19" t="s">
        <v>45</v>
      </c>
      <c r="L1" s="19" t="s">
        <v>21</v>
      </c>
      <c r="M1" s="19" t="s">
        <v>835</v>
      </c>
      <c r="N1" s="19" t="s">
        <v>836</v>
      </c>
      <c r="O1" s="19" t="s">
        <v>837</v>
      </c>
      <c r="P1" s="19" t="s">
        <v>22</v>
      </c>
      <c r="Q1" s="20" t="s">
        <v>23</v>
      </c>
      <c r="R1" s="21" t="s">
        <v>26</v>
      </c>
      <c r="S1" s="21" t="s">
        <v>24</v>
      </c>
      <c r="T1" s="23" t="s">
        <v>47</v>
      </c>
      <c r="U1" s="24" t="s">
        <v>50</v>
      </c>
      <c r="V1" s="24" t="s">
        <v>48</v>
      </c>
      <c r="W1" s="24" t="s">
        <v>49</v>
      </c>
      <c r="X1" s="24" t="s">
        <v>838</v>
      </c>
      <c r="Y1" s="25" t="s">
        <v>4</v>
      </c>
    </row>
    <row r="2" spans="1:25" ht="16" customHeight="1" x14ac:dyDescent="0.2">
      <c r="A2" s="1" t="s">
        <v>98</v>
      </c>
      <c r="B2" s="2" t="s">
        <v>229</v>
      </c>
      <c r="C2" s="2">
        <v>1</v>
      </c>
      <c r="D2" s="2" t="s">
        <v>100</v>
      </c>
      <c r="E2" s="2">
        <v>5528</v>
      </c>
      <c r="F2" s="2">
        <v>1</v>
      </c>
      <c r="G2" s="2">
        <v>-1</v>
      </c>
      <c r="H2" s="2">
        <v>4</v>
      </c>
      <c r="I2" s="2">
        <v>2</v>
      </c>
      <c r="J2" s="2">
        <v>3</v>
      </c>
      <c r="K2" s="2">
        <v>1</v>
      </c>
      <c r="L2" s="2">
        <v>0</v>
      </c>
      <c r="M2" s="2">
        <v>1</v>
      </c>
      <c r="N2" s="2">
        <v>1</v>
      </c>
      <c r="O2" s="2">
        <v>1</v>
      </c>
      <c r="P2" s="2">
        <v>1</v>
      </c>
      <c r="Q2">
        <v>0</v>
      </c>
      <c r="R2">
        <v>1</v>
      </c>
      <c r="S2">
        <v>4</v>
      </c>
      <c r="T2">
        <v>0</v>
      </c>
      <c r="U2">
        <v>0</v>
      </c>
      <c r="V2">
        <v>0</v>
      </c>
      <c r="W2">
        <v>0</v>
      </c>
      <c r="X2">
        <v>356</v>
      </c>
      <c r="Y2" t="s">
        <v>101</v>
      </c>
    </row>
    <row r="3" spans="1:25" ht="16" customHeight="1" x14ac:dyDescent="0.2">
      <c r="A3" s="1" t="s">
        <v>102</v>
      </c>
      <c r="B3" s="2" t="s">
        <v>130</v>
      </c>
      <c r="C3" s="2">
        <v>1</v>
      </c>
      <c r="D3" s="2" t="s">
        <v>103</v>
      </c>
      <c r="E3" s="2">
        <v>1405</v>
      </c>
      <c r="F3" s="2">
        <v>1</v>
      </c>
      <c r="G3" s="2">
        <v>0</v>
      </c>
      <c r="H3" s="2">
        <v>5</v>
      </c>
      <c r="I3" s="2">
        <v>3</v>
      </c>
      <c r="J3" s="2">
        <v>2</v>
      </c>
      <c r="K3" s="2">
        <v>1</v>
      </c>
      <c r="L3" s="2">
        <v>0</v>
      </c>
      <c r="M3" s="2">
        <v>0</v>
      </c>
      <c r="N3" s="2">
        <v>1</v>
      </c>
      <c r="O3" s="2">
        <v>0</v>
      </c>
      <c r="P3" s="2">
        <v>0</v>
      </c>
      <c r="Q3">
        <v>1</v>
      </c>
      <c r="R3">
        <v>1</v>
      </c>
      <c r="S3">
        <v>2</v>
      </c>
      <c r="T3">
        <v>-1</v>
      </c>
      <c r="U3">
        <v>1</v>
      </c>
      <c r="V3">
        <v>0</v>
      </c>
      <c r="W3">
        <v>1</v>
      </c>
      <c r="X3">
        <v>25</v>
      </c>
      <c r="Y3" t="s">
        <v>101</v>
      </c>
    </row>
    <row r="4" spans="1:25" ht="16" customHeight="1" x14ac:dyDescent="0.2">
      <c r="A4" s="1" t="s">
        <v>104</v>
      </c>
      <c r="B4" s="2" t="s">
        <v>122</v>
      </c>
      <c r="C4" s="2">
        <v>1</v>
      </c>
      <c r="D4" s="2" t="s">
        <v>106</v>
      </c>
      <c r="E4" s="2">
        <v>7030</v>
      </c>
      <c r="F4" s="2">
        <v>0</v>
      </c>
      <c r="G4" s="2">
        <v>1</v>
      </c>
      <c r="H4" s="2">
        <v>5</v>
      </c>
      <c r="I4" s="2">
        <v>1</v>
      </c>
      <c r="J4" s="2">
        <v>1</v>
      </c>
      <c r="K4" s="2">
        <v>2</v>
      </c>
      <c r="L4" s="2">
        <v>1</v>
      </c>
      <c r="M4" s="2">
        <v>0</v>
      </c>
      <c r="N4" s="2">
        <v>0</v>
      </c>
      <c r="O4" s="2">
        <v>1</v>
      </c>
      <c r="P4" s="2">
        <v>1</v>
      </c>
      <c r="Q4">
        <v>0</v>
      </c>
      <c r="R4">
        <v>1</v>
      </c>
      <c r="S4">
        <v>-1</v>
      </c>
      <c r="T4">
        <v>-1</v>
      </c>
      <c r="U4">
        <v>1</v>
      </c>
      <c r="V4">
        <v>1</v>
      </c>
      <c r="W4">
        <v>1</v>
      </c>
      <c r="X4">
        <v>245</v>
      </c>
      <c r="Y4" t="s">
        <v>101</v>
      </c>
    </row>
    <row r="5" spans="1:25" ht="16" customHeight="1" x14ac:dyDescent="0.2">
      <c r="A5" s="1" t="s">
        <v>107</v>
      </c>
      <c r="B5" s="2" t="s">
        <v>130</v>
      </c>
      <c r="C5" s="2">
        <v>1</v>
      </c>
      <c r="D5" s="2" t="s">
        <v>109</v>
      </c>
      <c r="E5" s="2">
        <v>810</v>
      </c>
      <c r="F5" s="2">
        <v>1</v>
      </c>
      <c r="G5" s="2">
        <v>-1</v>
      </c>
      <c r="H5" s="2">
        <v>4</v>
      </c>
      <c r="I5" s="2">
        <v>1</v>
      </c>
      <c r="J5" s="2">
        <v>1</v>
      </c>
      <c r="K5" s="2">
        <v>4</v>
      </c>
      <c r="L5" s="2">
        <v>0</v>
      </c>
      <c r="M5" s="2">
        <v>0</v>
      </c>
      <c r="N5" s="2">
        <v>1</v>
      </c>
      <c r="O5" s="2">
        <v>0</v>
      </c>
      <c r="P5" s="2">
        <v>1</v>
      </c>
      <c r="Q5">
        <v>0</v>
      </c>
      <c r="R5">
        <v>1</v>
      </c>
      <c r="S5">
        <v>1</v>
      </c>
      <c r="T5">
        <v>1</v>
      </c>
      <c r="U5">
        <v>0</v>
      </c>
      <c r="V5">
        <v>1</v>
      </c>
      <c r="W5">
        <v>1</v>
      </c>
      <c r="X5">
        <v>327</v>
      </c>
      <c r="Y5" t="s">
        <v>101</v>
      </c>
    </row>
    <row r="6" spans="1:25" ht="16" customHeight="1" x14ac:dyDescent="0.2">
      <c r="A6" s="1" t="s">
        <v>110</v>
      </c>
      <c r="B6" s="2" t="s">
        <v>144</v>
      </c>
      <c r="C6" s="2">
        <v>1</v>
      </c>
      <c r="D6" s="2" t="s">
        <v>112</v>
      </c>
      <c r="E6" s="2">
        <v>564</v>
      </c>
      <c r="F6" s="2">
        <v>1</v>
      </c>
      <c r="G6" s="2">
        <v>-1</v>
      </c>
      <c r="H6" s="2">
        <v>3</v>
      </c>
      <c r="I6" s="2">
        <v>3</v>
      </c>
      <c r="J6" s="2">
        <v>3</v>
      </c>
      <c r="K6" s="2">
        <v>5</v>
      </c>
      <c r="L6" s="2">
        <v>1</v>
      </c>
      <c r="M6" s="2">
        <v>0</v>
      </c>
      <c r="N6" s="2">
        <v>0</v>
      </c>
      <c r="O6" s="2">
        <v>1</v>
      </c>
      <c r="P6" s="2">
        <v>0</v>
      </c>
      <c r="Q6">
        <v>1</v>
      </c>
      <c r="R6">
        <v>0</v>
      </c>
      <c r="S6">
        <v>-1</v>
      </c>
      <c r="T6">
        <v>-1</v>
      </c>
      <c r="U6">
        <v>1</v>
      </c>
      <c r="V6">
        <v>0</v>
      </c>
      <c r="W6">
        <v>0</v>
      </c>
      <c r="X6">
        <v>433</v>
      </c>
      <c r="Y6" t="s">
        <v>101</v>
      </c>
    </row>
    <row r="7" spans="1:25" ht="16" customHeight="1" x14ac:dyDescent="0.2">
      <c r="A7" s="1" t="s">
        <v>113</v>
      </c>
      <c r="B7" s="2" t="s">
        <v>122</v>
      </c>
      <c r="C7" s="2">
        <v>1</v>
      </c>
      <c r="D7" s="2" t="s">
        <v>115</v>
      </c>
      <c r="E7" s="2">
        <v>10922</v>
      </c>
      <c r="F7" s="2">
        <v>0</v>
      </c>
      <c r="G7" s="2">
        <v>0</v>
      </c>
      <c r="H7" s="2">
        <v>2</v>
      </c>
      <c r="I7" s="2">
        <v>2</v>
      </c>
      <c r="J7" s="2">
        <v>3</v>
      </c>
      <c r="K7" s="2">
        <v>3</v>
      </c>
      <c r="L7" s="2">
        <v>0</v>
      </c>
      <c r="M7" s="2">
        <v>0</v>
      </c>
      <c r="N7" s="2">
        <v>0</v>
      </c>
      <c r="O7" s="2">
        <v>1</v>
      </c>
      <c r="P7" s="2">
        <v>1</v>
      </c>
      <c r="Q7">
        <v>1</v>
      </c>
      <c r="R7">
        <v>1</v>
      </c>
      <c r="S7">
        <v>4</v>
      </c>
      <c r="T7">
        <v>0</v>
      </c>
      <c r="U7">
        <v>1</v>
      </c>
      <c r="V7">
        <v>0</v>
      </c>
      <c r="W7">
        <v>0</v>
      </c>
      <c r="X7">
        <v>107</v>
      </c>
      <c r="Y7" t="s">
        <v>101</v>
      </c>
    </row>
    <row r="8" spans="1:25" ht="16" customHeight="1" x14ac:dyDescent="0.2">
      <c r="A8" s="1" t="s">
        <v>116</v>
      </c>
      <c r="B8" s="2" t="s">
        <v>229</v>
      </c>
      <c r="C8" s="2">
        <v>2</v>
      </c>
      <c r="D8" s="2" t="s">
        <v>100</v>
      </c>
      <c r="E8" s="2">
        <v>1591</v>
      </c>
      <c r="F8" s="2">
        <v>1</v>
      </c>
      <c r="G8" s="2">
        <v>0</v>
      </c>
      <c r="H8" s="2">
        <v>1</v>
      </c>
      <c r="I8" s="2">
        <v>3</v>
      </c>
      <c r="J8" s="2">
        <v>2</v>
      </c>
      <c r="K8" s="2">
        <v>4</v>
      </c>
      <c r="L8" s="2">
        <v>0</v>
      </c>
      <c r="M8" s="2">
        <v>1</v>
      </c>
      <c r="N8" s="2">
        <v>0</v>
      </c>
      <c r="O8" s="2">
        <v>1</v>
      </c>
      <c r="P8" s="2">
        <v>0</v>
      </c>
      <c r="Q8">
        <v>1</v>
      </c>
      <c r="R8">
        <v>0</v>
      </c>
      <c r="S8">
        <v>2</v>
      </c>
      <c r="T8">
        <v>0</v>
      </c>
      <c r="U8">
        <v>1</v>
      </c>
      <c r="V8">
        <v>1</v>
      </c>
      <c r="W8">
        <v>1</v>
      </c>
      <c r="X8">
        <v>259</v>
      </c>
      <c r="Y8" t="s">
        <v>101</v>
      </c>
    </row>
    <row r="9" spans="1:25" ht="16" customHeight="1" x14ac:dyDescent="0.2">
      <c r="A9" s="1" t="s">
        <v>118</v>
      </c>
      <c r="B9" s="2" t="s">
        <v>126</v>
      </c>
      <c r="C9" s="2">
        <v>2</v>
      </c>
      <c r="D9" s="2" t="s">
        <v>103</v>
      </c>
      <c r="E9" s="2">
        <v>432</v>
      </c>
      <c r="F9" s="2">
        <v>0</v>
      </c>
      <c r="G9" s="2">
        <v>1</v>
      </c>
      <c r="H9" s="2">
        <v>4</v>
      </c>
      <c r="I9" s="2">
        <v>2</v>
      </c>
      <c r="J9" s="2">
        <v>3</v>
      </c>
      <c r="K9" s="2">
        <v>5</v>
      </c>
      <c r="L9" s="2">
        <v>0</v>
      </c>
      <c r="M9" s="2">
        <v>1</v>
      </c>
      <c r="N9" s="2">
        <v>0</v>
      </c>
      <c r="O9" s="2">
        <v>1</v>
      </c>
      <c r="P9" s="2">
        <v>0</v>
      </c>
      <c r="Q9">
        <v>0</v>
      </c>
      <c r="R9">
        <v>1</v>
      </c>
      <c r="S9">
        <v>2</v>
      </c>
      <c r="T9">
        <v>0</v>
      </c>
      <c r="U9">
        <v>1</v>
      </c>
      <c r="V9">
        <v>0</v>
      </c>
      <c r="W9">
        <v>1</v>
      </c>
      <c r="X9">
        <v>291</v>
      </c>
      <c r="Y9" t="s">
        <v>101</v>
      </c>
    </row>
    <row r="10" spans="1:25" ht="16" customHeight="1" x14ac:dyDescent="0.2">
      <c r="A10" s="1" t="s">
        <v>120</v>
      </c>
      <c r="B10" s="2" t="s">
        <v>128</v>
      </c>
      <c r="C10" s="2">
        <v>2</v>
      </c>
      <c r="D10" s="2" t="s">
        <v>106</v>
      </c>
      <c r="E10" s="2">
        <v>1468</v>
      </c>
      <c r="F10" s="2">
        <v>0</v>
      </c>
      <c r="G10" s="2">
        <v>1</v>
      </c>
      <c r="H10" s="2">
        <v>4</v>
      </c>
      <c r="I10" s="2">
        <v>3</v>
      </c>
      <c r="J10" s="2">
        <v>2</v>
      </c>
      <c r="K10" s="2">
        <v>1</v>
      </c>
      <c r="L10" s="2">
        <v>0</v>
      </c>
      <c r="M10" s="2">
        <v>1</v>
      </c>
      <c r="N10" s="2">
        <v>1</v>
      </c>
      <c r="O10" s="2">
        <v>0</v>
      </c>
      <c r="P10" s="2">
        <v>1</v>
      </c>
      <c r="Q10">
        <v>1</v>
      </c>
      <c r="R10">
        <v>0</v>
      </c>
      <c r="S10">
        <v>2</v>
      </c>
      <c r="T10">
        <v>-1</v>
      </c>
      <c r="U10">
        <v>1</v>
      </c>
      <c r="V10">
        <v>1</v>
      </c>
      <c r="W10">
        <v>0</v>
      </c>
      <c r="X10">
        <v>207</v>
      </c>
      <c r="Y10" t="s">
        <v>101</v>
      </c>
    </row>
    <row r="11" spans="1:25" ht="16" customHeight="1" x14ac:dyDescent="0.2">
      <c r="A11" s="1" t="s">
        <v>121</v>
      </c>
      <c r="B11" s="2" t="s">
        <v>99</v>
      </c>
      <c r="C11" s="2">
        <v>2</v>
      </c>
      <c r="D11" s="2" t="s">
        <v>109</v>
      </c>
      <c r="E11" s="2">
        <v>1559</v>
      </c>
      <c r="F11" s="2">
        <v>0</v>
      </c>
      <c r="G11" s="2">
        <v>-1</v>
      </c>
      <c r="H11" s="2">
        <v>4</v>
      </c>
      <c r="I11" s="2">
        <v>1</v>
      </c>
      <c r="J11" s="2">
        <v>3</v>
      </c>
      <c r="K11" s="2">
        <v>5</v>
      </c>
      <c r="L11" s="2">
        <v>0</v>
      </c>
      <c r="M11" s="2">
        <v>0</v>
      </c>
      <c r="N11" s="2">
        <v>1</v>
      </c>
      <c r="O11" s="2">
        <v>1</v>
      </c>
      <c r="P11" s="2">
        <v>1</v>
      </c>
      <c r="Q11">
        <v>0</v>
      </c>
      <c r="R11">
        <v>0</v>
      </c>
      <c r="S11">
        <v>-1</v>
      </c>
      <c r="T11">
        <v>-1</v>
      </c>
      <c r="U11">
        <v>0</v>
      </c>
      <c r="V11">
        <v>1</v>
      </c>
      <c r="W11">
        <v>1</v>
      </c>
      <c r="X11">
        <v>495</v>
      </c>
      <c r="Y11" t="s">
        <v>101</v>
      </c>
    </row>
    <row r="12" spans="1:25" ht="16" customHeight="1" x14ac:dyDescent="0.2">
      <c r="A12" s="1" t="s">
        <v>123</v>
      </c>
      <c r="B12" s="2" t="s">
        <v>105</v>
      </c>
      <c r="C12" s="2">
        <v>2</v>
      </c>
      <c r="D12" s="2" t="s">
        <v>112</v>
      </c>
      <c r="E12" s="2">
        <v>4253</v>
      </c>
      <c r="F12" s="2">
        <v>0</v>
      </c>
      <c r="G12" s="2">
        <v>0</v>
      </c>
      <c r="H12" s="2">
        <v>3</v>
      </c>
      <c r="I12" s="2">
        <v>3</v>
      </c>
      <c r="J12" s="2">
        <v>1</v>
      </c>
      <c r="K12" s="2">
        <v>5</v>
      </c>
      <c r="L12" s="2">
        <v>0</v>
      </c>
      <c r="M12" s="2">
        <v>0</v>
      </c>
      <c r="N12" s="2">
        <v>0</v>
      </c>
      <c r="O12" s="2">
        <v>1</v>
      </c>
      <c r="P12" s="2">
        <v>0</v>
      </c>
      <c r="Q12">
        <v>1</v>
      </c>
      <c r="R12">
        <v>0</v>
      </c>
      <c r="S12">
        <v>3</v>
      </c>
      <c r="T12">
        <v>0</v>
      </c>
      <c r="U12">
        <v>0</v>
      </c>
      <c r="V12">
        <v>1</v>
      </c>
      <c r="W12">
        <v>0</v>
      </c>
      <c r="X12">
        <v>481</v>
      </c>
      <c r="Y12" t="s">
        <v>101</v>
      </c>
    </row>
    <row r="13" spans="1:25" ht="16" customHeight="1" x14ac:dyDescent="0.2">
      <c r="A13" s="1" t="s">
        <v>125</v>
      </c>
      <c r="B13" s="2" t="s">
        <v>151</v>
      </c>
      <c r="C13" s="2">
        <v>2</v>
      </c>
      <c r="D13" s="2" t="s">
        <v>115</v>
      </c>
      <c r="E13" s="2">
        <v>271</v>
      </c>
      <c r="F13" s="2">
        <v>1</v>
      </c>
      <c r="G13" s="2">
        <v>-1</v>
      </c>
      <c r="H13" s="2">
        <v>1</v>
      </c>
      <c r="I13" s="2">
        <v>2</v>
      </c>
      <c r="J13" s="2">
        <v>3</v>
      </c>
      <c r="K13" s="2">
        <v>2</v>
      </c>
      <c r="L13" s="2">
        <v>1</v>
      </c>
      <c r="M13" s="2">
        <v>0</v>
      </c>
      <c r="N13" s="2">
        <v>1</v>
      </c>
      <c r="O13" s="2">
        <v>1</v>
      </c>
      <c r="P13" s="2">
        <v>0</v>
      </c>
      <c r="Q13">
        <v>1</v>
      </c>
      <c r="R13">
        <v>0</v>
      </c>
      <c r="S13">
        <v>-1</v>
      </c>
      <c r="T13">
        <v>-1</v>
      </c>
      <c r="U13">
        <v>1</v>
      </c>
      <c r="V13">
        <v>0</v>
      </c>
      <c r="W13">
        <v>0</v>
      </c>
      <c r="X13">
        <v>465</v>
      </c>
      <c r="Y13" t="s">
        <v>101</v>
      </c>
    </row>
    <row r="14" spans="1:25" ht="16" customHeight="1" x14ac:dyDescent="0.2">
      <c r="A14" s="1" t="s">
        <v>127</v>
      </c>
      <c r="B14" s="2" t="s">
        <v>124</v>
      </c>
      <c r="C14" s="2">
        <v>3</v>
      </c>
      <c r="D14" s="2" t="s">
        <v>100</v>
      </c>
      <c r="E14" s="2">
        <v>10223</v>
      </c>
      <c r="F14" s="2">
        <v>1</v>
      </c>
      <c r="G14" s="2">
        <v>1</v>
      </c>
      <c r="H14" s="2">
        <v>5</v>
      </c>
      <c r="I14" s="2">
        <v>3</v>
      </c>
      <c r="J14" s="2">
        <v>1</v>
      </c>
      <c r="K14" s="2">
        <v>5</v>
      </c>
      <c r="L14" s="2">
        <v>0</v>
      </c>
      <c r="M14" s="2">
        <v>0</v>
      </c>
      <c r="N14" s="2">
        <v>0</v>
      </c>
      <c r="O14" s="2">
        <v>1</v>
      </c>
      <c r="P14" s="2">
        <v>1</v>
      </c>
      <c r="Q14">
        <v>0</v>
      </c>
      <c r="R14">
        <v>0</v>
      </c>
      <c r="S14">
        <v>3</v>
      </c>
      <c r="T14">
        <v>-1</v>
      </c>
      <c r="U14">
        <v>0</v>
      </c>
      <c r="V14">
        <v>1</v>
      </c>
      <c r="W14">
        <v>0</v>
      </c>
      <c r="X14">
        <v>483</v>
      </c>
      <c r="Y14" t="s">
        <v>101</v>
      </c>
    </row>
    <row r="15" spans="1:25" ht="16" customHeight="1" x14ac:dyDescent="0.2">
      <c r="A15" s="1" t="s">
        <v>129</v>
      </c>
      <c r="B15" s="2" t="s">
        <v>126</v>
      </c>
      <c r="C15" s="2">
        <v>3</v>
      </c>
      <c r="D15" s="2" t="s">
        <v>103</v>
      </c>
      <c r="E15" s="2">
        <v>191</v>
      </c>
      <c r="F15" s="2">
        <v>0</v>
      </c>
      <c r="G15" s="2">
        <v>-1</v>
      </c>
      <c r="H15" s="2">
        <v>5</v>
      </c>
      <c r="I15" s="2">
        <v>1</v>
      </c>
      <c r="J15" s="2">
        <v>2</v>
      </c>
      <c r="K15" s="2">
        <v>2</v>
      </c>
      <c r="L15" s="2">
        <v>0</v>
      </c>
      <c r="M15" s="2">
        <v>1</v>
      </c>
      <c r="N15" s="2">
        <v>1</v>
      </c>
      <c r="O15" s="2">
        <v>0</v>
      </c>
      <c r="P15" s="2">
        <v>1</v>
      </c>
      <c r="Q15">
        <v>0</v>
      </c>
      <c r="R15">
        <v>1</v>
      </c>
      <c r="S15">
        <v>3</v>
      </c>
      <c r="T15">
        <v>1</v>
      </c>
      <c r="U15">
        <v>0</v>
      </c>
      <c r="V15">
        <v>0</v>
      </c>
      <c r="W15">
        <v>0</v>
      </c>
      <c r="X15">
        <v>444</v>
      </c>
      <c r="Y15" t="s">
        <v>101</v>
      </c>
    </row>
    <row r="16" spans="1:25" ht="16" customHeight="1" x14ac:dyDescent="0.2">
      <c r="A16" s="1" t="s">
        <v>131</v>
      </c>
      <c r="B16" s="2" t="s">
        <v>172</v>
      </c>
      <c r="C16" s="2">
        <v>3</v>
      </c>
      <c r="D16" s="2" t="s">
        <v>106</v>
      </c>
      <c r="E16" s="2">
        <v>578</v>
      </c>
      <c r="F16" s="2">
        <v>1</v>
      </c>
      <c r="G16" s="2">
        <v>0</v>
      </c>
      <c r="H16" s="2">
        <v>3</v>
      </c>
      <c r="I16" s="2">
        <v>1</v>
      </c>
      <c r="J16" s="2">
        <v>2</v>
      </c>
      <c r="K16" s="2">
        <v>5</v>
      </c>
      <c r="L16" s="2">
        <v>1</v>
      </c>
      <c r="M16" s="2">
        <v>0</v>
      </c>
      <c r="N16" s="2">
        <v>0</v>
      </c>
      <c r="O16" s="2">
        <v>0</v>
      </c>
      <c r="P16" s="2">
        <v>1</v>
      </c>
      <c r="Q16">
        <v>1</v>
      </c>
      <c r="R16">
        <v>0</v>
      </c>
      <c r="S16">
        <v>4</v>
      </c>
      <c r="T16">
        <v>0</v>
      </c>
      <c r="U16">
        <v>0</v>
      </c>
      <c r="V16">
        <v>0</v>
      </c>
      <c r="W16">
        <v>0</v>
      </c>
      <c r="X16">
        <v>124</v>
      </c>
      <c r="Y16" t="s">
        <v>101</v>
      </c>
    </row>
    <row r="17" spans="1:25" ht="16" customHeight="1" x14ac:dyDescent="0.2">
      <c r="A17" s="1" t="s">
        <v>133</v>
      </c>
      <c r="B17" s="2" t="s">
        <v>170</v>
      </c>
      <c r="C17" s="2">
        <v>3</v>
      </c>
      <c r="D17" s="2" t="s">
        <v>109</v>
      </c>
      <c r="E17" s="2">
        <v>3173</v>
      </c>
      <c r="F17" s="2">
        <v>0</v>
      </c>
      <c r="G17" s="2">
        <v>0</v>
      </c>
      <c r="H17" s="2">
        <v>4</v>
      </c>
      <c r="I17" s="2">
        <v>2</v>
      </c>
      <c r="J17" s="2">
        <v>1</v>
      </c>
      <c r="K17" s="2">
        <v>1</v>
      </c>
      <c r="L17" s="2">
        <v>1</v>
      </c>
      <c r="M17" s="2">
        <v>1</v>
      </c>
      <c r="N17" s="2">
        <v>0</v>
      </c>
      <c r="O17" s="2">
        <v>1</v>
      </c>
      <c r="P17" s="2">
        <v>0</v>
      </c>
      <c r="Q17">
        <v>1</v>
      </c>
      <c r="R17">
        <v>0</v>
      </c>
      <c r="S17">
        <v>1</v>
      </c>
      <c r="T17">
        <v>1</v>
      </c>
      <c r="U17">
        <v>0</v>
      </c>
      <c r="V17">
        <v>0</v>
      </c>
      <c r="W17">
        <v>1</v>
      </c>
      <c r="X17">
        <v>282</v>
      </c>
      <c r="Y17" t="s">
        <v>101</v>
      </c>
    </row>
    <row r="18" spans="1:25" ht="16" customHeight="1" x14ac:dyDescent="0.2">
      <c r="A18" s="1" t="s">
        <v>134</v>
      </c>
      <c r="B18" s="2" t="s">
        <v>144</v>
      </c>
      <c r="C18" s="2">
        <v>3</v>
      </c>
      <c r="D18" s="2" t="s">
        <v>112</v>
      </c>
      <c r="E18" s="2">
        <v>7903</v>
      </c>
      <c r="F18" s="2">
        <v>0</v>
      </c>
      <c r="G18" s="2">
        <v>0</v>
      </c>
      <c r="H18" s="2">
        <v>2</v>
      </c>
      <c r="I18" s="2">
        <v>3</v>
      </c>
      <c r="J18" s="2">
        <v>1</v>
      </c>
      <c r="K18" s="2">
        <v>2</v>
      </c>
      <c r="L18" s="2">
        <v>1</v>
      </c>
      <c r="M18" s="2">
        <v>1</v>
      </c>
      <c r="N18" s="2">
        <v>1</v>
      </c>
      <c r="O18" s="2">
        <v>1</v>
      </c>
      <c r="P18" s="2">
        <v>1</v>
      </c>
      <c r="Q18">
        <v>1</v>
      </c>
      <c r="R18">
        <v>1</v>
      </c>
      <c r="S18">
        <v>3</v>
      </c>
      <c r="T18">
        <v>1</v>
      </c>
      <c r="U18">
        <v>1</v>
      </c>
      <c r="V18">
        <v>0</v>
      </c>
      <c r="W18">
        <v>0</v>
      </c>
      <c r="X18">
        <v>36</v>
      </c>
      <c r="Y18" t="s">
        <v>101</v>
      </c>
    </row>
    <row r="19" spans="1:25" ht="16" customHeight="1" x14ac:dyDescent="0.2">
      <c r="A19" s="1" t="s">
        <v>135</v>
      </c>
      <c r="B19" s="2" t="s">
        <v>132</v>
      </c>
      <c r="C19" s="2">
        <v>3</v>
      </c>
      <c r="D19" s="2" t="s">
        <v>115</v>
      </c>
      <c r="E19" s="2">
        <v>3015</v>
      </c>
      <c r="F19" s="2">
        <v>0</v>
      </c>
      <c r="G19" s="2">
        <v>0</v>
      </c>
      <c r="H19" s="2">
        <v>2</v>
      </c>
      <c r="I19" s="2">
        <v>1</v>
      </c>
      <c r="J19" s="2">
        <v>1</v>
      </c>
      <c r="K19" s="2">
        <v>3</v>
      </c>
      <c r="L19" s="2">
        <v>0</v>
      </c>
      <c r="M19" s="2">
        <v>1</v>
      </c>
      <c r="N19" s="2">
        <v>0</v>
      </c>
      <c r="O19" s="2">
        <v>0</v>
      </c>
      <c r="P19" s="2">
        <v>1</v>
      </c>
      <c r="Q19">
        <v>0</v>
      </c>
      <c r="R19">
        <v>0</v>
      </c>
      <c r="S19">
        <v>2</v>
      </c>
      <c r="T19">
        <v>1</v>
      </c>
      <c r="U19">
        <v>0</v>
      </c>
      <c r="V19">
        <v>1</v>
      </c>
      <c r="W19">
        <v>0</v>
      </c>
      <c r="X19">
        <v>241</v>
      </c>
      <c r="Y19" t="s">
        <v>101</v>
      </c>
    </row>
    <row r="20" spans="1:25" ht="16" customHeight="1" x14ac:dyDescent="0.2">
      <c r="A20" s="1" t="s">
        <v>137</v>
      </c>
      <c r="B20" s="2" t="s">
        <v>252</v>
      </c>
      <c r="C20" s="2">
        <v>4</v>
      </c>
      <c r="D20" s="2" t="s">
        <v>100</v>
      </c>
      <c r="E20" s="2">
        <v>1511</v>
      </c>
      <c r="F20" s="2">
        <v>0</v>
      </c>
      <c r="G20" s="2">
        <v>0</v>
      </c>
      <c r="H20" s="2">
        <v>3</v>
      </c>
      <c r="I20" s="2">
        <v>1</v>
      </c>
      <c r="J20" s="2">
        <v>1</v>
      </c>
      <c r="K20" s="2">
        <v>1</v>
      </c>
      <c r="L20" s="2">
        <v>0</v>
      </c>
      <c r="M20" s="2">
        <v>1</v>
      </c>
      <c r="N20" s="2">
        <v>0</v>
      </c>
      <c r="O20" s="2">
        <v>0</v>
      </c>
      <c r="P20" s="2">
        <v>1</v>
      </c>
      <c r="Q20">
        <v>1</v>
      </c>
      <c r="R20">
        <v>0</v>
      </c>
      <c r="S20">
        <v>1</v>
      </c>
      <c r="T20">
        <v>-1</v>
      </c>
      <c r="U20">
        <v>1</v>
      </c>
      <c r="V20">
        <v>0</v>
      </c>
      <c r="W20">
        <v>0</v>
      </c>
      <c r="X20">
        <v>495</v>
      </c>
      <c r="Y20" t="s">
        <v>101</v>
      </c>
    </row>
    <row r="21" spans="1:25" ht="16" customHeight="1" x14ac:dyDescent="0.2">
      <c r="A21" s="1" t="s">
        <v>138</v>
      </c>
      <c r="B21" s="2" t="s">
        <v>181</v>
      </c>
      <c r="C21" s="2">
        <v>4</v>
      </c>
      <c r="D21" s="2" t="s">
        <v>103</v>
      </c>
      <c r="E21" s="2">
        <v>3951</v>
      </c>
      <c r="F21" s="2">
        <v>0</v>
      </c>
      <c r="G21" s="2">
        <v>-1</v>
      </c>
      <c r="H21" s="2">
        <v>1</v>
      </c>
      <c r="I21" s="2">
        <v>1</v>
      </c>
      <c r="J21" s="2">
        <v>2</v>
      </c>
      <c r="K21" s="2">
        <v>4</v>
      </c>
      <c r="L21" s="2">
        <v>0</v>
      </c>
      <c r="M21" s="2">
        <v>1</v>
      </c>
      <c r="N21" s="2">
        <v>0</v>
      </c>
      <c r="O21" s="2">
        <v>0</v>
      </c>
      <c r="P21" s="2">
        <v>1</v>
      </c>
      <c r="Q21">
        <v>1</v>
      </c>
      <c r="R21">
        <v>0</v>
      </c>
      <c r="S21">
        <v>-1</v>
      </c>
      <c r="T21">
        <v>0</v>
      </c>
      <c r="U21">
        <v>0</v>
      </c>
      <c r="V21">
        <v>0</v>
      </c>
      <c r="W21">
        <v>0</v>
      </c>
      <c r="X21">
        <v>25</v>
      </c>
      <c r="Y21" t="s">
        <v>101</v>
      </c>
    </row>
    <row r="22" spans="1:25" ht="16" customHeight="1" x14ac:dyDescent="0.2">
      <c r="A22" s="1" t="s">
        <v>139</v>
      </c>
      <c r="B22" s="2" t="s">
        <v>141</v>
      </c>
      <c r="C22" s="2">
        <v>4</v>
      </c>
      <c r="D22" s="2" t="s">
        <v>106</v>
      </c>
      <c r="E22" s="2">
        <v>4458</v>
      </c>
      <c r="F22" s="2">
        <v>0</v>
      </c>
      <c r="G22" s="2">
        <v>1</v>
      </c>
      <c r="H22" s="2">
        <v>3</v>
      </c>
      <c r="I22" s="2">
        <v>3</v>
      </c>
      <c r="J22" s="2">
        <v>2</v>
      </c>
      <c r="K22" s="2">
        <v>5</v>
      </c>
      <c r="L22" s="2">
        <v>1</v>
      </c>
      <c r="M22" s="2">
        <v>0</v>
      </c>
      <c r="N22" s="2">
        <v>0</v>
      </c>
      <c r="O22" s="2">
        <v>1</v>
      </c>
      <c r="P22" s="2">
        <v>1</v>
      </c>
      <c r="Q22">
        <v>0</v>
      </c>
      <c r="R22">
        <v>1</v>
      </c>
      <c r="S22">
        <v>1</v>
      </c>
      <c r="T22">
        <v>1</v>
      </c>
      <c r="U22">
        <v>1</v>
      </c>
      <c r="V22">
        <v>1</v>
      </c>
      <c r="W22">
        <v>0</v>
      </c>
      <c r="X22">
        <v>85</v>
      </c>
      <c r="Y22" t="s">
        <v>101</v>
      </c>
    </row>
    <row r="23" spans="1:25" ht="16" customHeight="1" x14ac:dyDescent="0.2">
      <c r="A23" s="1" t="s">
        <v>140</v>
      </c>
      <c r="B23" s="2" t="s">
        <v>119</v>
      </c>
      <c r="C23" s="2">
        <v>4</v>
      </c>
      <c r="D23" s="2" t="s">
        <v>109</v>
      </c>
      <c r="E23" s="2">
        <v>1518</v>
      </c>
      <c r="F23" s="2">
        <v>1</v>
      </c>
      <c r="G23" s="2">
        <v>-1</v>
      </c>
      <c r="H23" s="2">
        <v>2</v>
      </c>
      <c r="I23" s="2">
        <v>1</v>
      </c>
      <c r="J23" s="2">
        <v>2</v>
      </c>
      <c r="K23" s="2">
        <v>4</v>
      </c>
      <c r="L23" s="2">
        <v>0</v>
      </c>
      <c r="M23" s="2">
        <v>1</v>
      </c>
      <c r="N23" s="2">
        <v>1</v>
      </c>
      <c r="O23" s="2">
        <v>1</v>
      </c>
      <c r="P23" s="2">
        <v>0</v>
      </c>
      <c r="Q23">
        <v>1</v>
      </c>
      <c r="R23">
        <v>0</v>
      </c>
      <c r="S23">
        <v>4</v>
      </c>
      <c r="T23">
        <v>0</v>
      </c>
      <c r="U23">
        <v>1</v>
      </c>
      <c r="V23">
        <v>0</v>
      </c>
      <c r="W23">
        <v>0</v>
      </c>
      <c r="X23">
        <v>418</v>
      </c>
      <c r="Y23" t="s">
        <v>101</v>
      </c>
    </row>
    <row r="24" spans="1:25" ht="16" customHeight="1" x14ac:dyDescent="0.2">
      <c r="A24" s="1" t="s">
        <v>142</v>
      </c>
      <c r="B24" s="2" t="s">
        <v>181</v>
      </c>
      <c r="C24" s="2">
        <v>4</v>
      </c>
      <c r="D24" s="2" t="s">
        <v>112</v>
      </c>
      <c r="E24" s="2">
        <v>3799</v>
      </c>
      <c r="F24" s="2">
        <v>1</v>
      </c>
      <c r="G24" s="2">
        <v>-1</v>
      </c>
      <c r="H24" s="2">
        <v>2</v>
      </c>
      <c r="I24" s="2">
        <v>3</v>
      </c>
      <c r="J24" s="2">
        <v>3</v>
      </c>
      <c r="K24" s="2">
        <v>1</v>
      </c>
      <c r="L24" s="2">
        <v>1</v>
      </c>
      <c r="M24" s="2">
        <v>0</v>
      </c>
      <c r="N24" s="2">
        <v>1</v>
      </c>
      <c r="O24" s="2">
        <v>0</v>
      </c>
      <c r="P24" s="2">
        <v>0</v>
      </c>
      <c r="Q24">
        <v>0</v>
      </c>
      <c r="R24">
        <v>0</v>
      </c>
      <c r="S24">
        <v>4</v>
      </c>
      <c r="T24">
        <v>1</v>
      </c>
      <c r="U24">
        <v>0</v>
      </c>
      <c r="V24">
        <v>0</v>
      </c>
      <c r="W24">
        <v>1</v>
      </c>
      <c r="X24">
        <v>295</v>
      </c>
      <c r="Y24" t="s">
        <v>101</v>
      </c>
    </row>
    <row r="25" spans="1:25" ht="16" customHeight="1" x14ac:dyDescent="0.2">
      <c r="A25" s="1" t="s">
        <v>143</v>
      </c>
      <c r="B25" s="2" t="s">
        <v>117</v>
      </c>
      <c r="C25" s="2">
        <v>4</v>
      </c>
      <c r="D25" s="2" t="s">
        <v>115</v>
      </c>
      <c r="E25" s="2">
        <v>378</v>
      </c>
      <c r="F25" s="2">
        <v>0</v>
      </c>
      <c r="G25" s="2">
        <v>0</v>
      </c>
      <c r="H25" s="2">
        <v>4</v>
      </c>
      <c r="I25" s="2">
        <v>1</v>
      </c>
      <c r="J25" s="2">
        <v>3</v>
      </c>
      <c r="K25" s="2">
        <v>3</v>
      </c>
      <c r="L25" s="2">
        <v>1</v>
      </c>
      <c r="M25" s="2">
        <v>1</v>
      </c>
      <c r="N25" s="2">
        <v>1</v>
      </c>
      <c r="O25" s="2">
        <v>0</v>
      </c>
      <c r="P25" s="2">
        <v>0</v>
      </c>
      <c r="Q25">
        <v>0</v>
      </c>
      <c r="R25">
        <v>1</v>
      </c>
      <c r="S25">
        <v>1</v>
      </c>
      <c r="T25">
        <v>-1</v>
      </c>
      <c r="U25">
        <v>1</v>
      </c>
      <c r="V25">
        <v>0</v>
      </c>
      <c r="W25">
        <v>1</v>
      </c>
      <c r="X25">
        <v>325</v>
      </c>
      <c r="Y25" t="s">
        <v>101</v>
      </c>
    </row>
    <row r="26" spans="1:25" ht="16" customHeight="1" x14ac:dyDescent="0.2">
      <c r="A26" s="1" t="s">
        <v>145</v>
      </c>
      <c r="B26" s="2" t="s">
        <v>105</v>
      </c>
      <c r="C26" s="2">
        <v>5</v>
      </c>
      <c r="D26" s="2" t="s">
        <v>100</v>
      </c>
      <c r="E26" s="2">
        <v>5590</v>
      </c>
      <c r="F26" s="2">
        <v>1</v>
      </c>
      <c r="G26" s="2">
        <v>1</v>
      </c>
      <c r="H26" s="2">
        <v>1</v>
      </c>
      <c r="I26" s="2">
        <v>1</v>
      </c>
      <c r="J26" s="2">
        <v>3</v>
      </c>
      <c r="K26" s="2">
        <v>2</v>
      </c>
      <c r="L26" s="2">
        <v>0</v>
      </c>
      <c r="M26" s="2">
        <v>0</v>
      </c>
      <c r="N26" s="2">
        <v>1</v>
      </c>
      <c r="O26" s="2">
        <v>0</v>
      </c>
      <c r="P26" s="2">
        <v>1</v>
      </c>
      <c r="Q26">
        <v>0</v>
      </c>
      <c r="R26">
        <v>1</v>
      </c>
      <c r="S26">
        <v>-1</v>
      </c>
      <c r="T26">
        <v>1</v>
      </c>
      <c r="U26">
        <v>1</v>
      </c>
      <c r="V26">
        <v>1</v>
      </c>
      <c r="W26">
        <v>1</v>
      </c>
      <c r="X26">
        <v>457</v>
      </c>
      <c r="Y26" t="s">
        <v>101</v>
      </c>
    </row>
    <row r="27" spans="1:25" ht="16" customHeight="1" x14ac:dyDescent="0.2">
      <c r="A27" s="1" t="s">
        <v>147</v>
      </c>
      <c r="B27" s="2" t="s">
        <v>122</v>
      </c>
      <c r="C27" s="2">
        <v>5</v>
      </c>
      <c r="D27" s="2" t="s">
        <v>103</v>
      </c>
      <c r="E27" s="2">
        <v>6423</v>
      </c>
      <c r="F27" s="2">
        <v>1</v>
      </c>
      <c r="G27" s="2">
        <v>-1</v>
      </c>
      <c r="H27" s="2">
        <v>4</v>
      </c>
      <c r="I27" s="2">
        <v>3</v>
      </c>
      <c r="J27" s="2">
        <v>2</v>
      </c>
      <c r="K27" s="2">
        <v>2</v>
      </c>
      <c r="L27" s="2">
        <v>1</v>
      </c>
      <c r="M27" s="2">
        <v>1</v>
      </c>
      <c r="N27" s="2">
        <v>0</v>
      </c>
      <c r="O27" s="2">
        <v>0</v>
      </c>
      <c r="P27" s="2">
        <v>0</v>
      </c>
      <c r="Q27">
        <v>0</v>
      </c>
      <c r="R27">
        <v>1</v>
      </c>
      <c r="S27">
        <v>4</v>
      </c>
      <c r="T27">
        <v>-1</v>
      </c>
      <c r="U27">
        <v>0</v>
      </c>
      <c r="V27">
        <v>0</v>
      </c>
      <c r="W27">
        <v>0</v>
      </c>
      <c r="X27">
        <v>348</v>
      </c>
      <c r="Y27" t="s">
        <v>101</v>
      </c>
    </row>
    <row r="28" spans="1:25" ht="16" customHeight="1" x14ac:dyDescent="0.2">
      <c r="A28" s="1" t="s">
        <v>148</v>
      </c>
      <c r="B28" s="2" t="s">
        <v>179</v>
      </c>
      <c r="C28" s="2">
        <v>5</v>
      </c>
      <c r="D28" s="2" t="s">
        <v>106</v>
      </c>
      <c r="E28" s="2">
        <v>325</v>
      </c>
      <c r="F28" s="2">
        <v>1</v>
      </c>
      <c r="G28" s="2">
        <v>-1</v>
      </c>
      <c r="H28" s="2">
        <v>2</v>
      </c>
      <c r="I28" s="2">
        <v>1</v>
      </c>
      <c r="J28" s="2">
        <v>2</v>
      </c>
      <c r="K28" s="2">
        <v>5</v>
      </c>
      <c r="L28" s="2">
        <v>0</v>
      </c>
      <c r="M28" s="2">
        <v>1</v>
      </c>
      <c r="N28" s="2">
        <v>0</v>
      </c>
      <c r="O28" s="2">
        <v>0</v>
      </c>
      <c r="P28" s="2">
        <v>1</v>
      </c>
      <c r="Q28">
        <v>0</v>
      </c>
      <c r="R28">
        <v>0</v>
      </c>
      <c r="S28">
        <v>1</v>
      </c>
      <c r="T28">
        <v>-1</v>
      </c>
      <c r="U28">
        <v>0</v>
      </c>
      <c r="V28">
        <v>0</v>
      </c>
      <c r="W28">
        <v>0</v>
      </c>
      <c r="X28">
        <v>267</v>
      </c>
      <c r="Y28" t="s">
        <v>101</v>
      </c>
    </row>
    <row r="29" spans="1:25" ht="16" customHeight="1" x14ac:dyDescent="0.2">
      <c r="A29" s="1" t="s">
        <v>149</v>
      </c>
      <c r="B29" s="2" t="s">
        <v>252</v>
      </c>
      <c r="C29" s="2">
        <v>5</v>
      </c>
      <c r="D29" s="2" t="s">
        <v>109</v>
      </c>
      <c r="E29" s="2">
        <v>3181</v>
      </c>
      <c r="F29" s="2">
        <v>0</v>
      </c>
      <c r="G29" s="2">
        <v>-1</v>
      </c>
      <c r="H29" s="2">
        <v>1</v>
      </c>
      <c r="I29" s="2">
        <v>2</v>
      </c>
      <c r="J29" s="2">
        <v>3</v>
      </c>
      <c r="K29" s="2">
        <v>4</v>
      </c>
      <c r="L29" s="2">
        <v>0</v>
      </c>
      <c r="M29" s="2">
        <v>1</v>
      </c>
      <c r="N29" s="2">
        <v>0</v>
      </c>
      <c r="O29" s="2">
        <v>1</v>
      </c>
      <c r="P29" s="2">
        <v>1</v>
      </c>
      <c r="Q29">
        <v>1</v>
      </c>
      <c r="R29">
        <v>0</v>
      </c>
      <c r="S29">
        <v>4</v>
      </c>
      <c r="T29">
        <v>0</v>
      </c>
      <c r="U29">
        <v>0</v>
      </c>
      <c r="V29">
        <v>1</v>
      </c>
      <c r="W29">
        <v>0</v>
      </c>
      <c r="X29">
        <v>417</v>
      </c>
      <c r="Y29" t="s">
        <v>101</v>
      </c>
    </row>
    <row r="30" spans="1:25" ht="16" customHeight="1" x14ac:dyDescent="0.2">
      <c r="A30" s="1" t="s">
        <v>150</v>
      </c>
      <c r="B30" s="2" t="s">
        <v>170</v>
      </c>
      <c r="C30" s="2">
        <v>5</v>
      </c>
      <c r="D30" s="2" t="s">
        <v>112</v>
      </c>
      <c r="E30" s="2">
        <v>1126</v>
      </c>
      <c r="F30" s="2">
        <v>0</v>
      </c>
      <c r="G30" s="2">
        <v>1</v>
      </c>
      <c r="H30" s="2">
        <v>4</v>
      </c>
      <c r="I30" s="2">
        <v>3</v>
      </c>
      <c r="J30" s="2">
        <v>3</v>
      </c>
      <c r="K30" s="2">
        <v>1</v>
      </c>
      <c r="L30" s="2">
        <v>0</v>
      </c>
      <c r="M30" s="2">
        <v>1</v>
      </c>
      <c r="N30" s="2">
        <v>1</v>
      </c>
      <c r="O30" s="2">
        <v>1</v>
      </c>
      <c r="P30" s="2">
        <v>1</v>
      </c>
      <c r="Q30">
        <v>0</v>
      </c>
      <c r="R30">
        <v>1</v>
      </c>
      <c r="S30">
        <v>3</v>
      </c>
      <c r="T30">
        <v>1</v>
      </c>
      <c r="U30">
        <v>0</v>
      </c>
      <c r="V30">
        <v>0</v>
      </c>
      <c r="W30">
        <v>1</v>
      </c>
      <c r="X30">
        <v>28</v>
      </c>
      <c r="Y30" t="s">
        <v>101</v>
      </c>
    </row>
    <row r="31" spans="1:25" ht="16" customHeight="1" x14ac:dyDescent="0.2">
      <c r="A31" s="1" t="s">
        <v>152</v>
      </c>
      <c r="B31" s="2" t="s">
        <v>151</v>
      </c>
      <c r="C31" s="2">
        <v>5</v>
      </c>
      <c r="D31" s="2" t="s">
        <v>115</v>
      </c>
      <c r="E31" s="2">
        <v>20</v>
      </c>
      <c r="F31" s="2">
        <v>0</v>
      </c>
      <c r="G31" s="2">
        <v>0</v>
      </c>
      <c r="H31" s="2">
        <v>2</v>
      </c>
      <c r="I31" s="2">
        <v>2</v>
      </c>
      <c r="J31" s="2">
        <v>1</v>
      </c>
      <c r="K31" s="2">
        <v>5</v>
      </c>
      <c r="L31" s="2">
        <v>0</v>
      </c>
      <c r="M31" s="2">
        <v>1</v>
      </c>
      <c r="N31" s="2">
        <v>0</v>
      </c>
      <c r="O31" s="2">
        <v>1</v>
      </c>
      <c r="P31" s="2">
        <v>1</v>
      </c>
      <c r="Q31">
        <v>1</v>
      </c>
      <c r="R31">
        <v>0</v>
      </c>
      <c r="S31">
        <v>-1</v>
      </c>
      <c r="T31">
        <v>-1</v>
      </c>
      <c r="U31">
        <v>1</v>
      </c>
      <c r="V31">
        <v>0</v>
      </c>
      <c r="W31">
        <v>0</v>
      </c>
      <c r="X31">
        <v>484</v>
      </c>
      <c r="Y31" t="s">
        <v>101</v>
      </c>
    </row>
    <row r="32" spans="1:25" ht="16" customHeight="1" x14ac:dyDescent="0.2">
      <c r="A32" s="1" t="s">
        <v>153</v>
      </c>
      <c r="B32" s="2" t="s">
        <v>191</v>
      </c>
      <c r="C32" s="2">
        <v>6</v>
      </c>
      <c r="D32" s="2" t="s">
        <v>100</v>
      </c>
      <c r="E32" s="2">
        <v>1507</v>
      </c>
      <c r="F32" s="2">
        <v>1</v>
      </c>
      <c r="G32" s="2">
        <v>1</v>
      </c>
      <c r="H32" s="2">
        <v>3</v>
      </c>
      <c r="I32" s="2">
        <v>2</v>
      </c>
      <c r="J32" s="2">
        <v>3</v>
      </c>
      <c r="K32" s="2">
        <v>2</v>
      </c>
      <c r="L32" s="2">
        <v>0</v>
      </c>
      <c r="M32" s="2">
        <v>1</v>
      </c>
      <c r="N32" s="2">
        <v>0</v>
      </c>
      <c r="O32" s="2">
        <v>0</v>
      </c>
      <c r="P32" s="2">
        <v>1</v>
      </c>
      <c r="Q32">
        <v>1</v>
      </c>
      <c r="R32">
        <v>0</v>
      </c>
      <c r="S32">
        <v>3</v>
      </c>
      <c r="T32">
        <v>0</v>
      </c>
      <c r="U32">
        <v>1</v>
      </c>
      <c r="V32">
        <v>1</v>
      </c>
      <c r="W32">
        <v>1</v>
      </c>
      <c r="X32">
        <v>368</v>
      </c>
      <c r="Y32" t="s">
        <v>101</v>
      </c>
    </row>
    <row r="33" spans="1:25" ht="16" customHeight="1" x14ac:dyDescent="0.2">
      <c r="A33" s="1" t="s">
        <v>154</v>
      </c>
      <c r="B33" s="2" t="s">
        <v>128</v>
      </c>
      <c r="C33" s="2">
        <v>6</v>
      </c>
      <c r="D33" s="2" t="s">
        <v>103</v>
      </c>
      <c r="E33" s="2">
        <v>144</v>
      </c>
      <c r="F33" s="2">
        <v>1</v>
      </c>
      <c r="G33" s="2">
        <v>0</v>
      </c>
      <c r="H33" s="2">
        <v>4</v>
      </c>
      <c r="I33" s="2">
        <v>3</v>
      </c>
      <c r="J33" s="2">
        <v>1</v>
      </c>
      <c r="K33" s="2">
        <v>4</v>
      </c>
      <c r="L33" s="2">
        <v>1</v>
      </c>
      <c r="M33" s="2">
        <v>1</v>
      </c>
      <c r="N33" s="2">
        <v>1</v>
      </c>
      <c r="O33" s="2">
        <v>0</v>
      </c>
      <c r="P33" s="2">
        <v>1</v>
      </c>
      <c r="Q33">
        <v>0</v>
      </c>
      <c r="R33">
        <v>1</v>
      </c>
      <c r="S33">
        <v>-1</v>
      </c>
      <c r="T33">
        <v>-1</v>
      </c>
      <c r="U33">
        <v>0</v>
      </c>
      <c r="V33">
        <v>0</v>
      </c>
      <c r="W33">
        <v>1</v>
      </c>
      <c r="X33">
        <v>88</v>
      </c>
      <c r="Y33" t="s">
        <v>101</v>
      </c>
    </row>
    <row r="34" spans="1:25" ht="16" customHeight="1" x14ac:dyDescent="0.2">
      <c r="A34" s="1" t="s">
        <v>155</v>
      </c>
      <c r="B34" s="2" t="s">
        <v>172</v>
      </c>
      <c r="C34" s="2">
        <v>6</v>
      </c>
      <c r="D34" s="2" t="s">
        <v>106</v>
      </c>
      <c r="E34" s="2">
        <v>424</v>
      </c>
      <c r="F34" s="2">
        <v>1</v>
      </c>
      <c r="G34" s="2">
        <v>0</v>
      </c>
      <c r="H34" s="2">
        <v>2</v>
      </c>
      <c r="I34" s="2">
        <v>2</v>
      </c>
      <c r="J34" s="2">
        <v>1</v>
      </c>
      <c r="K34" s="2">
        <v>3</v>
      </c>
      <c r="L34" s="2">
        <v>1</v>
      </c>
      <c r="M34" s="2">
        <v>0</v>
      </c>
      <c r="N34" s="2">
        <v>0</v>
      </c>
      <c r="O34" s="2">
        <v>0</v>
      </c>
      <c r="P34" s="2">
        <v>1</v>
      </c>
      <c r="Q34">
        <v>1</v>
      </c>
      <c r="R34">
        <v>1</v>
      </c>
      <c r="S34">
        <v>4</v>
      </c>
      <c r="T34">
        <v>0</v>
      </c>
      <c r="U34">
        <v>0</v>
      </c>
      <c r="V34">
        <v>1</v>
      </c>
      <c r="W34">
        <v>1</v>
      </c>
      <c r="X34">
        <v>240</v>
      </c>
      <c r="Y34" t="s">
        <v>101</v>
      </c>
    </row>
    <row r="35" spans="1:25" ht="16" customHeight="1" x14ac:dyDescent="0.2">
      <c r="A35" s="1" t="s">
        <v>156</v>
      </c>
      <c r="B35" s="2" t="s">
        <v>114</v>
      </c>
      <c r="C35" s="2">
        <v>6</v>
      </c>
      <c r="D35" s="2" t="s">
        <v>109</v>
      </c>
      <c r="E35" s="2">
        <v>3003</v>
      </c>
      <c r="F35" s="2">
        <v>1</v>
      </c>
      <c r="G35" s="2">
        <v>0</v>
      </c>
      <c r="H35" s="2">
        <v>3</v>
      </c>
      <c r="I35" s="2">
        <v>3</v>
      </c>
      <c r="J35" s="2">
        <v>3</v>
      </c>
      <c r="K35" s="2">
        <v>1</v>
      </c>
      <c r="L35" s="2">
        <v>0</v>
      </c>
      <c r="M35" s="2">
        <v>0</v>
      </c>
      <c r="N35" s="2">
        <v>1</v>
      </c>
      <c r="O35" s="2">
        <v>1</v>
      </c>
      <c r="P35" s="2">
        <v>0</v>
      </c>
      <c r="Q35">
        <v>0</v>
      </c>
      <c r="R35">
        <v>0</v>
      </c>
      <c r="S35">
        <v>1</v>
      </c>
      <c r="T35">
        <v>0</v>
      </c>
      <c r="U35">
        <v>0</v>
      </c>
      <c r="V35">
        <v>1</v>
      </c>
      <c r="W35">
        <v>0</v>
      </c>
      <c r="X35">
        <v>438</v>
      </c>
      <c r="Y35" t="s">
        <v>101</v>
      </c>
    </row>
    <row r="36" spans="1:25" ht="16" customHeight="1" x14ac:dyDescent="0.2">
      <c r="A36" s="1" t="s">
        <v>157</v>
      </c>
      <c r="B36" s="2" t="s">
        <v>114</v>
      </c>
      <c r="C36" s="2">
        <v>6</v>
      </c>
      <c r="D36" s="2" t="s">
        <v>112</v>
      </c>
      <c r="E36" s="2">
        <v>4093</v>
      </c>
      <c r="F36" s="2">
        <v>0</v>
      </c>
      <c r="G36" s="2">
        <v>1</v>
      </c>
      <c r="H36" s="2">
        <v>3</v>
      </c>
      <c r="I36" s="2">
        <v>2</v>
      </c>
      <c r="J36" s="2">
        <v>2</v>
      </c>
      <c r="K36" s="2">
        <v>1</v>
      </c>
      <c r="L36" s="2">
        <v>1</v>
      </c>
      <c r="M36" s="2">
        <v>0</v>
      </c>
      <c r="N36" s="2">
        <v>0</v>
      </c>
      <c r="O36" s="2">
        <v>1</v>
      </c>
      <c r="P36" s="2">
        <v>1</v>
      </c>
      <c r="Q36">
        <v>0</v>
      </c>
      <c r="R36">
        <v>1</v>
      </c>
      <c r="S36">
        <v>1</v>
      </c>
      <c r="T36">
        <v>-1</v>
      </c>
      <c r="U36">
        <v>1</v>
      </c>
      <c r="V36">
        <v>0</v>
      </c>
      <c r="W36">
        <v>0</v>
      </c>
      <c r="X36">
        <v>167</v>
      </c>
      <c r="Y36" t="s">
        <v>101</v>
      </c>
    </row>
    <row r="37" spans="1:25" ht="16" customHeight="1" x14ac:dyDescent="0.2">
      <c r="A37" s="1" t="s">
        <v>158</v>
      </c>
      <c r="B37" s="2" t="s">
        <v>170</v>
      </c>
      <c r="C37" s="2">
        <v>6</v>
      </c>
      <c r="D37" s="2" t="s">
        <v>115</v>
      </c>
      <c r="E37" s="2">
        <v>9767</v>
      </c>
      <c r="F37" s="2">
        <v>0</v>
      </c>
      <c r="G37" s="2">
        <v>1</v>
      </c>
      <c r="H37" s="2">
        <v>2</v>
      </c>
      <c r="I37" s="2">
        <v>1</v>
      </c>
      <c r="J37" s="2">
        <v>2</v>
      </c>
      <c r="K37" s="2">
        <v>5</v>
      </c>
      <c r="L37" s="2">
        <v>0</v>
      </c>
      <c r="M37" s="2">
        <v>1</v>
      </c>
      <c r="N37" s="2">
        <v>1</v>
      </c>
      <c r="O37" s="2">
        <v>1</v>
      </c>
      <c r="P37" s="2">
        <v>1</v>
      </c>
      <c r="Q37">
        <v>0</v>
      </c>
      <c r="R37">
        <v>1</v>
      </c>
      <c r="S37">
        <v>4</v>
      </c>
      <c r="T37">
        <v>1</v>
      </c>
      <c r="U37">
        <v>1</v>
      </c>
      <c r="V37">
        <v>1</v>
      </c>
      <c r="W37">
        <v>0</v>
      </c>
      <c r="X37">
        <v>492</v>
      </c>
      <c r="Y37" t="s">
        <v>101</v>
      </c>
    </row>
    <row r="38" spans="1:25" ht="16" customHeight="1" x14ac:dyDescent="0.2">
      <c r="A38" s="1" t="s">
        <v>160</v>
      </c>
      <c r="B38" s="2" t="s">
        <v>252</v>
      </c>
      <c r="C38" s="2">
        <v>7</v>
      </c>
      <c r="D38" s="2" t="s">
        <v>100</v>
      </c>
      <c r="E38" s="2">
        <v>4930</v>
      </c>
      <c r="F38" s="2">
        <v>1</v>
      </c>
      <c r="G38" s="2">
        <v>0</v>
      </c>
      <c r="H38" s="2">
        <v>3</v>
      </c>
      <c r="I38" s="2">
        <v>3</v>
      </c>
      <c r="J38" s="2">
        <v>2</v>
      </c>
      <c r="K38" s="2">
        <v>1</v>
      </c>
      <c r="L38" s="2">
        <v>0</v>
      </c>
      <c r="M38" s="2">
        <v>0</v>
      </c>
      <c r="N38" s="2">
        <v>0</v>
      </c>
      <c r="O38" s="2">
        <v>0</v>
      </c>
      <c r="P38" s="2">
        <v>1</v>
      </c>
      <c r="Q38">
        <v>0</v>
      </c>
      <c r="R38">
        <v>1</v>
      </c>
      <c r="S38">
        <v>3</v>
      </c>
      <c r="T38">
        <v>1</v>
      </c>
      <c r="U38">
        <v>0</v>
      </c>
      <c r="V38">
        <v>1</v>
      </c>
      <c r="W38">
        <v>0</v>
      </c>
      <c r="X38">
        <v>368</v>
      </c>
      <c r="Y38" t="s">
        <v>101</v>
      </c>
    </row>
    <row r="39" spans="1:25" ht="16" customHeight="1" x14ac:dyDescent="0.2">
      <c r="A39" s="1" t="s">
        <v>162</v>
      </c>
      <c r="B39" s="2" t="s">
        <v>170</v>
      </c>
      <c r="C39" s="2">
        <v>7</v>
      </c>
      <c r="D39" s="2" t="s">
        <v>103</v>
      </c>
      <c r="E39" s="2">
        <v>1056</v>
      </c>
      <c r="F39" s="2">
        <v>1</v>
      </c>
      <c r="G39" s="2">
        <v>-1</v>
      </c>
      <c r="H39" s="2">
        <v>4</v>
      </c>
      <c r="I39" s="2">
        <v>1</v>
      </c>
      <c r="J39" s="2">
        <v>3</v>
      </c>
      <c r="K39" s="2">
        <v>4</v>
      </c>
      <c r="L39" s="2">
        <v>0</v>
      </c>
      <c r="M39" s="2">
        <v>0</v>
      </c>
      <c r="N39" s="2">
        <v>1</v>
      </c>
      <c r="O39" s="2">
        <v>1</v>
      </c>
      <c r="P39" s="2">
        <v>0</v>
      </c>
      <c r="Q39">
        <v>0</v>
      </c>
      <c r="R39">
        <v>1</v>
      </c>
      <c r="S39">
        <v>4</v>
      </c>
      <c r="T39">
        <v>0</v>
      </c>
      <c r="U39">
        <v>1</v>
      </c>
      <c r="V39">
        <v>1</v>
      </c>
      <c r="W39">
        <v>0</v>
      </c>
      <c r="X39">
        <v>294</v>
      </c>
      <c r="Y39" t="s">
        <v>101</v>
      </c>
    </row>
    <row r="40" spans="1:25" ht="16" customHeight="1" x14ac:dyDescent="0.2">
      <c r="A40" s="1" t="s">
        <v>163</v>
      </c>
      <c r="B40" s="2" t="s">
        <v>126</v>
      </c>
      <c r="C40" s="2">
        <v>7</v>
      </c>
      <c r="D40" s="2" t="s">
        <v>106</v>
      </c>
      <c r="E40" s="2">
        <v>3044</v>
      </c>
      <c r="F40" s="2">
        <v>1</v>
      </c>
      <c r="G40" s="2">
        <v>1</v>
      </c>
      <c r="H40" s="2">
        <v>4</v>
      </c>
      <c r="I40" s="2">
        <v>2</v>
      </c>
      <c r="J40" s="2">
        <v>2</v>
      </c>
      <c r="K40" s="2">
        <v>4</v>
      </c>
      <c r="L40" s="2">
        <v>1</v>
      </c>
      <c r="M40" s="2">
        <v>1</v>
      </c>
      <c r="N40" s="2">
        <v>0</v>
      </c>
      <c r="O40" s="2">
        <v>0</v>
      </c>
      <c r="P40" s="2">
        <v>1</v>
      </c>
      <c r="Q40">
        <v>0</v>
      </c>
      <c r="R40">
        <v>1</v>
      </c>
      <c r="S40">
        <v>2</v>
      </c>
      <c r="T40">
        <v>0</v>
      </c>
      <c r="U40">
        <v>0</v>
      </c>
      <c r="V40">
        <v>1</v>
      </c>
      <c r="W40">
        <v>0</v>
      </c>
      <c r="X40">
        <v>470</v>
      </c>
      <c r="Y40" t="s">
        <v>101</v>
      </c>
    </row>
    <row r="41" spans="1:25" ht="16" customHeight="1" x14ac:dyDescent="0.2">
      <c r="A41" s="1" t="s">
        <v>164</v>
      </c>
      <c r="B41" s="2" t="s">
        <v>126</v>
      </c>
      <c r="C41" s="2">
        <v>7</v>
      </c>
      <c r="D41" s="2" t="s">
        <v>109</v>
      </c>
      <c r="E41" s="2">
        <v>1781</v>
      </c>
      <c r="F41" s="2">
        <v>0</v>
      </c>
      <c r="G41" s="2">
        <v>0</v>
      </c>
      <c r="H41" s="2">
        <v>5</v>
      </c>
      <c r="I41" s="2">
        <v>2</v>
      </c>
      <c r="J41" s="2">
        <v>3</v>
      </c>
      <c r="K41" s="2">
        <v>5</v>
      </c>
      <c r="L41" s="2">
        <v>1</v>
      </c>
      <c r="M41" s="2">
        <v>0</v>
      </c>
      <c r="N41" s="2">
        <v>0</v>
      </c>
      <c r="O41" s="2">
        <v>0</v>
      </c>
      <c r="P41" s="2">
        <v>1</v>
      </c>
      <c r="Q41">
        <v>1</v>
      </c>
      <c r="R41">
        <v>1</v>
      </c>
      <c r="S41">
        <v>3</v>
      </c>
      <c r="T41">
        <v>1</v>
      </c>
      <c r="U41">
        <v>1</v>
      </c>
      <c r="V41">
        <v>1</v>
      </c>
      <c r="W41">
        <v>1</v>
      </c>
      <c r="X41">
        <v>265</v>
      </c>
      <c r="Y41" t="s">
        <v>101</v>
      </c>
    </row>
    <row r="42" spans="1:25" ht="16" customHeight="1" x14ac:dyDescent="0.2">
      <c r="A42" s="1" t="s">
        <v>165</v>
      </c>
      <c r="B42" s="2" t="s">
        <v>181</v>
      </c>
      <c r="C42" s="2">
        <v>7</v>
      </c>
      <c r="D42" s="2" t="s">
        <v>112</v>
      </c>
      <c r="E42" s="2">
        <v>1450</v>
      </c>
      <c r="F42" s="2">
        <v>1</v>
      </c>
      <c r="G42" s="2">
        <v>-1</v>
      </c>
      <c r="H42" s="2">
        <v>2</v>
      </c>
      <c r="I42" s="2">
        <v>2</v>
      </c>
      <c r="J42" s="2">
        <v>2</v>
      </c>
      <c r="K42" s="2">
        <v>2</v>
      </c>
      <c r="L42" s="2">
        <v>1</v>
      </c>
      <c r="M42" s="2">
        <v>1</v>
      </c>
      <c r="N42" s="2">
        <v>0</v>
      </c>
      <c r="O42" s="2">
        <v>0</v>
      </c>
      <c r="P42" s="2">
        <v>0</v>
      </c>
      <c r="Q42">
        <v>1</v>
      </c>
      <c r="R42">
        <v>0</v>
      </c>
      <c r="S42">
        <v>1</v>
      </c>
      <c r="T42">
        <v>-1</v>
      </c>
      <c r="U42">
        <v>0</v>
      </c>
      <c r="V42">
        <v>1</v>
      </c>
      <c r="W42">
        <v>1</v>
      </c>
      <c r="X42">
        <v>463</v>
      </c>
      <c r="Y42" t="s">
        <v>101</v>
      </c>
    </row>
    <row r="43" spans="1:25" ht="16" customHeight="1" x14ac:dyDescent="0.2">
      <c r="A43" s="1" t="s">
        <v>166</v>
      </c>
      <c r="B43" s="2" t="s">
        <v>105</v>
      </c>
      <c r="C43" s="2">
        <v>7</v>
      </c>
      <c r="D43" s="2" t="s">
        <v>115</v>
      </c>
      <c r="E43" s="2">
        <v>8503</v>
      </c>
      <c r="F43" s="2">
        <v>0</v>
      </c>
      <c r="G43" s="2">
        <v>-1</v>
      </c>
      <c r="H43" s="2">
        <v>3</v>
      </c>
      <c r="I43" s="2">
        <v>2</v>
      </c>
      <c r="J43" s="2">
        <v>2</v>
      </c>
      <c r="K43" s="2">
        <v>3</v>
      </c>
      <c r="L43" s="2">
        <v>0</v>
      </c>
      <c r="M43" s="2">
        <v>0</v>
      </c>
      <c r="N43" s="2">
        <v>1</v>
      </c>
      <c r="O43" s="2">
        <v>0</v>
      </c>
      <c r="P43" s="2">
        <v>1</v>
      </c>
      <c r="Q43">
        <v>0</v>
      </c>
      <c r="R43">
        <v>0</v>
      </c>
      <c r="S43">
        <v>1</v>
      </c>
      <c r="T43">
        <v>-1</v>
      </c>
      <c r="U43">
        <v>1</v>
      </c>
      <c r="V43">
        <v>1</v>
      </c>
      <c r="W43">
        <v>1</v>
      </c>
      <c r="X43">
        <v>282</v>
      </c>
      <c r="Y43" t="s">
        <v>101</v>
      </c>
    </row>
    <row r="44" spans="1:25" ht="16" customHeight="1" x14ac:dyDescent="0.2">
      <c r="A44" s="1" t="s">
        <v>167</v>
      </c>
      <c r="B44" s="2" t="s">
        <v>99</v>
      </c>
      <c r="C44" s="2">
        <v>8</v>
      </c>
      <c r="D44" s="2" t="s">
        <v>100</v>
      </c>
      <c r="E44" s="2">
        <v>9016</v>
      </c>
      <c r="F44" s="2">
        <v>0</v>
      </c>
      <c r="G44" s="2">
        <v>0</v>
      </c>
      <c r="H44" s="2">
        <v>1</v>
      </c>
      <c r="I44" s="2">
        <v>1</v>
      </c>
      <c r="J44" s="2">
        <v>3</v>
      </c>
      <c r="K44" s="2">
        <v>1</v>
      </c>
      <c r="L44" s="2">
        <v>0</v>
      </c>
      <c r="M44" s="2">
        <v>0</v>
      </c>
      <c r="N44" s="2">
        <v>0</v>
      </c>
      <c r="O44" s="2">
        <v>1</v>
      </c>
      <c r="P44" s="2">
        <v>1</v>
      </c>
      <c r="Q44">
        <v>1</v>
      </c>
      <c r="R44">
        <v>1</v>
      </c>
      <c r="S44">
        <v>2</v>
      </c>
      <c r="T44">
        <v>0</v>
      </c>
      <c r="U44">
        <v>1</v>
      </c>
      <c r="V44">
        <v>0</v>
      </c>
      <c r="W44">
        <v>1</v>
      </c>
      <c r="X44">
        <v>281</v>
      </c>
      <c r="Y44" t="s">
        <v>101</v>
      </c>
    </row>
    <row r="45" spans="1:25" ht="16" customHeight="1" x14ac:dyDescent="0.2">
      <c r="A45" s="1" t="s">
        <v>168</v>
      </c>
      <c r="B45" s="2" t="s">
        <v>111</v>
      </c>
      <c r="C45" s="2">
        <v>8</v>
      </c>
      <c r="D45" s="2" t="s">
        <v>103</v>
      </c>
      <c r="E45" s="2">
        <v>6947</v>
      </c>
      <c r="F45" s="2">
        <v>1</v>
      </c>
      <c r="G45" s="2">
        <v>0</v>
      </c>
      <c r="H45" s="2">
        <v>5</v>
      </c>
      <c r="I45" s="2">
        <v>3</v>
      </c>
      <c r="J45" s="2">
        <v>2</v>
      </c>
      <c r="K45" s="2">
        <v>4</v>
      </c>
      <c r="L45" s="2">
        <v>1</v>
      </c>
      <c r="M45" s="2">
        <v>1</v>
      </c>
      <c r="N45" s="2">
        <v>1</v>
      </c>
      <c r="O45" s="2">
        <v>0</v>
      </c>
      <c r="P45" s="2">
        <v>0</v>
      </c>
      <c r="Q45">
        <v>1</v>
      </c>
      <c r="R45">
        <v>0</v>
      </c>
      <c r="S45">
        <v>2</v>
      </c>
      <c r="T45">
        <v>-1</v>
      </c>
      <c r="U45">
        <v>1</v>
      </c>
      <c r="V45">
        <v>0</v>
      </c>
      <c r="W45">
        <v>0</v>
      </c>
      <c r="X45">
        <v>463</v>
      </c>
      <c r="Y45" t="s">
        <v>101</v>
      </c>
    </row>
    <row r="46" spans="1:25" ht="16" customHeight="1" x14ac:dyDescent="0.2">
      <c r="A46" s="1" t="s">
        <v>169</v>
      </c>
      <c r="B46" s="2" t="s">
        <v>119</v>
      </c>
      <c r="C46" s="2">
        <v>8</v>
      </c>
      <c r="D46" s="2" t="s">
        <v>106</v>
      </c>
      <c r="E46" s="2">
        <v>6868</v>
      </c>
      <c r="F46" s="2">
        <v>0</v>
      </c>
      <c r="G46" s="2">
        <v>-1</v>
      </c>
      <c r="H46" s="2">
        <v>5</v>
      </c>
      <c r="I46" s="2">
        <v>1</v>
      </c>
      <c r="J46" s="2">
        <v>2</v>
      </c>
      <c r="K46" s="2">
        <v>3</v>
      </c>
      <c r="L46" s="2">
        <v>0</v>
      </c>
      <c r="M46" s="2">
        <v>1</v>
      </c>
      <c r="N46" s="2">
        <v>1</v>
      </c>
      <c r="O46" s="2">
        <v>0</v>
      </c>
      <c r="P46" s="2">
        <v>0</v>
      </c>
      <c r="Q46">
        <v>0</v>
      </c>
      <c r="R46">
        <v>1</v>
      </c>
      <c r="S46">
        <v>1</v>
      </c>
      <c r="T46">
        <v>1</v>
      </c>
      <c r="U46">
        <v>0</v>
      </c>
      <c r="V46">
        <v>1</v>
      </c>
      <c r="W46">
        <v>0</v>
      </c>
      <c r="X46">
        <v>123</v>
      </c>
      <c r="Y46" t="s">
        <v>101</v>
      </c>
    </row>
    <row r="47" spans="1:25" ht="16" customHeight="1" x14ac:dyDescent="0.2">
      <c r="A47" s="1" t="s">
        <v>171</v>
      </c>
      <c r="B47" s="2" t="s">
        <v>119</v>
      </c>
      <c r="C47" s="2">
        <v>8</v>
      </c>
      <c r="D47" s="2" t="s">
        <v>109</v>
      </c>
      <c r="E47" s="2">
        <v>340</v>
      </c>
      <c r="F47" s="2">
        <v>1</v>
      </c>
      <c r="G47" s="2">
        <v>0</v>
      </c>
      <c r="H47" s="2">
        <v>5</v>
      </c>
      <c r="I47" s="2">
        <v>2</v>
      </c>
      <c r="J47" s="2">
        <v>3</v>
      </c>
      <c r="K47" s="2">
        <v>5</v>
      </c>
      <c r="L47" s="2">
        <v>1</v>
      </c>
      <c r="M47" s="2">
        <v>0</v>
      </c>
      <c r="N47" s="2">
        <v>0</v>
      </c>
      <c r="O47" s="2">
        <v>0</v>
      </c>
      <c r="P47" s="2">
        <v>1</v>
      </c>
      <c r="Q47">
        <v>1</v>
      </c>
      <c r="R47">
        <v>0</v>
      </c>
      <c r="S47">
        <v>2</v>
      </c>
      <c r="T47">
        <v>0</v>
      </c>
      <c r="U47">
        <v>0</v>
      </c>
      <c r="V47">
        <v>1</v>
      </c>
      <c r="W47">
        <v>1</v>
      </c>
      <c r="X47">
        <v>439</v>
      </c>
      <c r="Y47" t="s">
        <v>101</v>
      </c>
    </row>
    <row r="48" spans="1:25" ht="16" customHeight="1" x14ac:dyDescent="0.2">
      <c r="A48" s="1" t="s">
        <v>173</v>
      </c>
      <c r="B48" s="2" t="s">
        <v>108</v>
      </c>
      <c r="C48" s="2">
        <v>8</v>
      </c>
      <c r="D48" s="2" t="s">
        <v>112</v>
      </c>
      <c r="E48" s="2">
        <v>1787</v>
      </c>
      <c r="F48" s="2">
        <v>1</v>
      </c>
      <c r="G48" s="2">
        <v>1</v>
      </c>
      <c r="H48" s="2">
        <v>4</v>
      </c>
      <c r="I48" s="2">
        <v>2</v>
      </c>
      <c r="J48" s="2">
        <v>2</v>
      </c>
      <c r="K48" s="2">
        <v>3</v>
      </c>
      <c r="L48" s="2">
        <v>1</v>
      </c>
      <c r="M48" s="2">
        <v>1</v>
      </c>
      <c r="N48" s="2">
        <v>0</v>
      </c>
      <c r="O48" s="2">
        <v>1</v>
      </c>
      <c r="P48" s="2">
        <v>1</v>
      </c>
      <c r="Q48">
        <v>0</v>
      </c>
      <c r="R48">
        <v>0</v>
      </c>
      <c r="S48">
        <v>-1</v>
      </c>
      <c r="T48">
        <v>-1</v>
      </c>
      <c r="U48">
        <v>0</v>
      </c>
      <c r="V48">
        <v>0</v>
      </c>
      <c r="W48">
        <v>0</v>
      </c>
      <c r="X48">
        <v>329</v>
      </c>
      <c r="Y48" t="s">
        <v>101</v>
      </c>
    </row>
    <row r="49" spans="1:25" ht="16" customHeight="1" x14ac:dyDescent="0.2">
      <c r="A49" s="1" t="s">
        <v>174</v>
      </c>
      <c r="B49" s="2" t="s">
        <v>128</v>
      </c>
      <c r="C49" s="2">
        <v>8</v>
      </c>
      <c r="D49" s="2" t="s">
        <v>115</v>
      </c>
      <c r="E49" s="2">
        <v>3838</v>
      </c>
      <c r="F49" s="2">
        <v>1</v>
      </c>
      <c r="G49" s="2">
        <v>-1</v>
      </c>
      <c r="H49" s="2">
        <v>1</v>
      </c>
      <c r="I49" s="2">
        <v>2</v>
      </c>
      <c r="J49" s="2">
        <v>2</v>
      </c>
      <c r="K49" s="2">
        <v>4</v>
      </c>
      <c r="L49" s="2">
        <v>1</v>
      </c>
      <c r="M49" s="2">
        <v>1</v>
      </c>
      <c r="N49" s="2">
        <v>0</v>
      </c>
      <c r="O49" s="2">
        <v>1</v>
      </c>
      <c r="P49" s="2">
        <v>1</v>
      </c>
      <c r="Q49">
        <v>1</v>
      </c>
      <c r="R49">
        <v>0</v>
      </c>
      <c r="S49">
        <v>3</v>
      </c>
      <c r="T49">
        <v>-1</v>
      </c>
      <c r="U49">
        <v>1</v>
      </c>
      <c r="V49">
        <v>1</v>
      </c>
      <c r="W49">
        <v>1</v>
      </c>
      <c r="X49">
        <v>446</v>
      </c>
      <c r="Y49" t="s">
        <v>101</v>
      </c>
    </row>
    <row r="50" spans="1:25" ht="16" customHeight="1" x14ac:dyDescent="0.2">
      <c r="A50" s="1" t="s">
        <v>175</v>
      </c>
      <c r="B50" s="2" t="s">
        <v>191</v>
      </c>
      <c r="C50" s="2">
        <v>9</v>
      </c>
      <c r="D50" s="2" t="s">
        <v>100</v>
      </c>
      <c r="E50" s="2">
        <v>2340</v>
      </c>
      <c r="F50" s="2">
        <v>1</v>
      </c>
      <c r="G50" s="2">
        <v>-1</v>
      </c>
      <c r="H50" s="2">
        <v>1</v>
      </c>
      <c r="I50" s="2">
        <v>3</v>
      </c>
      <c r="J50" s="2">
        <v>2</v>
      </c>
      <c r="K50" s="2">
        <v>3</v>
      </c>
      <c r="L50" s="2">
        <v>1</v>
      </c>
      <c r="M50" s="2">
        <v>0</v>
      </c>
      <c r="N50" s="2">
        <v>1</v>
      </c>
      <c r="O50" s="2">
        <v>0</v>
      </c>
      <c r="P50" s="2">
        <v>0</v>
      </c>
      <c r="Q50">
        <v>1</v>
      </c>
      <c r="R50">
        <v>0</v>
      </c>
      <c r="S50">
        <v>4</v>
      </c>
      <c r="T50">
        <v>-1</v>
      </c>
      <c r="U50">
        <v>1</v>
      </c>
      <c r="V50">
        <v>1</v>
      </c>
      <c r="W50">
        <v>0</v>
      </c>
      <c r="X50">
        <v>157</v>
      </c>
      <c r="Y50" t="s">
        <v>101</v>
      </c>
    </row>
    <row r="51" spans="1:25" ht="16" customHeight="1" x14ac:dyDescent="0.2">
      <c r="A51" s="1" t="s">
        <v>176</v>
      </c>
      <c r="B51" s="2" t="s">
        <v>159</v>
      </c>
      <c r="C51" s="2">
        <v>9</v>
      </c>
      <c r="D51" s="2" t="s">
        <v>103</v>
      </c>
      <c r="E51" s="2">
        <v>639</v>
      </c>
      <c r="F51" s="2">
        <v>0</v>
      </c>
      <c r="G51" s="2">
        <v>0</v>
      </c>
      <c r="H51" s="2">
        <v>1</v>
      </c>
      <c r="I51" s="2">
        <v>2</v>
      </c>
      <c r="J51" s="2">
        <v>2</v>
      </c>
      <c r="K51" s="2">
        <v>3</v>
      </c>
      <c r="L51" s="2">
        <v>0</v>
      </c>
      <c r="M51" s="2">
        <v>0</v>
      </c>
      <c r="N51" s="2">
        <v>0</v>
      </c>
      <c r="O51" s="2">
        <v>0</v>
      </c>
      <c r="P51" s="2">
        <v>1</v>
      </c>
      <c r="Q51">
        <v>0</v>
      </c>
      <c r="R51">
        <v>0</v>
      </c>
      <c r="S51">
        <v>-1</v>
      </c>
      <c r="T51">
        <v>0</v>
      </c>
      <c r="U51">
        <v>1</v>
      </c>
      <c r="V51">
        <v>0</v>
      </c>
      <c r="W51">
        <v>0</v>
      </c>
      <c r="X51">
        <v>266</v>
      </c>
      <c r="Y51" t="s">
        <v>101</v>
      </c>
    </row>
    <row r="52" spans="1:25" ht="16" customHeight="1" x14ac:dyDescent="0.2">
      <c r="A52" s="1" t="s">
        <v>177</v>
      </c>
      <c r="B52" s="2" t="s">
        <v>132</v>
      </c>
      <c r="C52" s="2">
        <v>9</v>
      </c>
      <c r="D52" s="2" t="s">
        <v>106</v>
      </c>
      <c r="E52" s="2">
        <v>2228</v>
      </c>
      <c r="F52" s="2">
        <v>0</v>
      </c>
      <c r="G52" s="2">
        <v>-1</v>
      </c>
      <c r="H52" s="2">
        <v>1</v>
      </c>
      <c r="I52" s="2">
        <v>2</v>
      </c>
      <c r="J52" s="2">
        <v>3</v>
      </c>
      <c r="K52" s="2">
        <v>5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>
        <v>1</v>
      </c>
      <c r="R52">
        <v>1</v>
      </c>
      <c r="S52">
        <v>3</v>
      </c>
      <c r="T52">
        <v>1</v>
      </c>
      <c r="U52">
        <v>0</v>
      </c>
      <c r="V52">
        <v>0</v>
      </c>
      <c r="W52">
        <v>1</v>
      </c>
      <c r="X52">
        <v>311</v>
      </c>
      <c r="Y52" t="s">
        <v>101</v>
      </c>
    </row>
    <row r="53" spans="1:25" ht="16" customHeight="1" x14ac:dyDescent="0.2">
      <c r="A53" s="1" t="s">
        <v>178</v>
      </c>
      <c r="B53" s="2" t="s">
        <v>117</v>
      </c>
      <c r="C53" s="2">
        <v>9</v>
      </c>
      <c r="D53" s="2" t="s">
        <v>109</v>
      </c>
      <c r="E53" s="2">
        <v>1585</v>
      </c>
      <c r="F53" s="2">
        <v>1</v>
      </c>
      <c r="G53" s="2">
        <v>-1</v>
      </c>
      <c r="H53" s="2">
        <v>4</v>
      </c>
      <c r="I53" s="2">
        <v>3</v>
      </c>
      <c r="J53" s="2">
        <v>2</v>
      </c>
      <c r="K53" s="2">
        <v>4</v>
      </c>
      <c r="L53" s="2">
        <v>1</v>
      </c>
      <c r="M53" s="2">
        <v>0</v>
      </c>
      <c r="N53" s="2">
        <v>1</v>
      </c>
      <c r="O53" s="2">
        <v>1</v>
      </c>
      <c r="P53" s="2">
        <v>1</v>
      </c>
      <c r="Q53">
        <v>0</v>
      </c>
      <c r="R53">
        <v>1</v>
      </c>
      <c r="S53">
        <v>-1</v>
      </c>
      <c r="T53">
        <v>1</v>
      </c>
      <c r="U53">
        <v>0</v>
      </c>
      <c r="V53">
        <v>1</v>
      </c>
      <c r="W53">
        <v>0</v>
      </c>
      <c r="X53">
        <v>27</v>
      </c>
      <c r="Y53" t="s">
        <v>101</v>
      </c>
    </row>
    <row r="54" spans="1:25" ht="16" customHeight="1" x14ac:dyDescent="0.2">
      <c r="A54" s="1" t="s">
        <v>180</v>
      </c>
      <c r="B54" s="2" t="s">
        <v>128</v>
      </c>
      <c r="C54" s="2">
        <v>9</v>
      </c>
      <c r="D54" s="2" t="s">
        <v>112</v>
      </c>
      <c r="E54" s="2">
        <v>353</v>
      </c>
      <c r="F54" s="2">
        <v>1</v>
      </c>
      <c r="G54" s="2">
        <v>0</v>
      </c>
      <c r="H54" s="2">
        <v>3</v>
      </c>
      <c r="I54" s="2">
        <v>3</v>
      </c>
      <c r="J54" s="2">
        <v>1</v>
      </c>
      <c r="K54" s="2">
        <v>2</v>
      </c>
      <c r="L54" s="2">
        <v>1</v>
      </c>
      <c r="M54" s="2">
        <v>0</v>
      </c>
      <c r="N54" s="2">
        <v>1</v>
      </c>
      <c r="O54" s="2">
        <v>0</v>
      </c>
      <c r="P54" s="2">
        <v>1</v>
      </c>
      <c r="Q54">
        <v>1</v>
      </c>
      <c r="R54">
        <v>0</v>
      </c>
      <c r="S54">
        <v>4</v>
      </c>
      <c r="T54">
        <v>-1</v>
      </c>
      <c r="U54">
        <v>0</v>
      </c>
      <c r="V54">
        <v>1</v>
      </c>
      <c r="W54">
        <v>0</v>
      </c>
      <c r="X54">
        <v>66</v>
      </c>
      <c r="Y54" t="s">
        <v>101</v>
      </c>
    </row>
    <row r="55" spans="1:25" ht="16" customHeight="1" x14ac:dyDescent="0.2">
      <c r="A55" s="1" t="s">
        <v>182</v>
      </c>
      <c r="B55" s="2" t="s">
        <v>130</v>
      </c>
      <c r="C55" s="2">
        <v>9</v>
      </c>
      <c r="D55" s="2" t="s">
        <v>115</v>
      </c>
      <c r="E55" s="2">
        <v>694</v>
      </c>
      <c r="F55" s="2">
        <v>0</v>
      </c>
      <c r="G55" s="2">
        <v>1</v>
      </c>
      <c r="H55" s="2">
        <v>1</v>
      </c>
      <c r="I55" s="2">
        <v>1</v>
      </c>
      <c r="J55" s="2">
        <v>1</v>
      </c>
      <c r="K55" s="2">
        <v>4</v>
      </c>
      <c r="L55" s="2">
        <v>1</v>
      </c>
      <c r="M55" s="2">
        <v>1</v>
      </c>
      <c r="N55" s="2">
        <v>0</v>
      </c>
      <c r="O55" s="2">
        <v>0</v>
      </c>
      <c r="P55" s="2">
        <v>1</v>
      </c>
      <c r="Q55">
        <v>0</v>
      </c>
      <c r="R55">
        <v>0</v>
      </c>
      <c r="S55">
        <v>2</v>
      </c>
      <c r="T55">
        <v>0</v>
      </c>
      <c r="U55">
        <v>0</v>
      </c>
      <c r="V55">
        <v>1</v>
      </c>
      <c r="W55">
        <v>0</v>
      </c>
      <c r="X55">
        <v>414</v>
      </c>
      <c r="Y55" t="s">
        <v>101</v>
      </c>
    </row>
    <row r="56" spans="1:25" ht="16" customHeight="1" x14ac:dyDescent="0.2">
      <c r="A56" s="1" t="s">
        <v>183</v>
      </c>
      <c r="B56" s="2" t="s">
        <v>132</v>
      </c>
      <c r="C56" s="2">
        <v>10</v>
      </c>
      <c r="D56" s="2" t="s">
        <v>100</v>
      </c>
      <c r="E56" s="2">
        <v>48</v>
      </c>
      <c r="F56" s="2">
        <v>0</v>
      </c>
      <c r="G56" s="2">
        <v>-1</v>
      </c>
      <c r="H56" s="2">
        <v>3</v>
      </c>
      <c r="I56" s="2">
        <v>3</v>
      </c>
      <c r="J56" s="2">
        <v>2</v>
      </c>
      <c r="K56" s="2">
        <v>4</v>
      </c>
      <c r="L56" s="2">
        <v>0</v>
      </c>
      <c r="M56" s="2">
        <v>1</v>
      </c>
      <c r="N56" s="2">
        <v>1</v>
      </c>
      <c r="O56" s="2">
        <v>1</v>
      </c>
      <c r="P56" s="2">
        <v>1</v>
      </c>
      <c r="Q56">
        <v>1</v>
      </c>
      <c r="R56">
        <v>0</v>
      </c>
      <c r="S56">
        <v>2</v>
      </c>
      <c r="T56">
        <v>1</v>
      </c>
      <c r="U56">
        <v>0</v>
      </c>
      <c r="V56">
        <v>1</v>
      </c>
      <c r="W56">
        <v>0</v>
      </c>
      <c r="X56">
        <v>221</v>
      </c>
      <c r="Y56" t="s">
        <v>101</v>
      </c>
    </row>
    <row r="57" spans="1:25" ht="16" customHeight="1" x14ac:dyDescent="0.2">
      <c r="A57" s="1" t="s">
        <v>184</v>
      </c>
      <c r="B57" s="2" t="s">
        <v>144</v>
      </c>
      <c r="C57" s="2">
        <v>10</v>
      </c>
      <c r="D57" s="2" t="s">
        <v>103</v>
      </c>
      <c r="E57" s="2">
        <v>7030</v>
      </c>
      <c r="F57" s="2">
        <v>1</v>
      </c>
      <c r="G57" s="2">
        <v>0</v>
      </c>
      <c r="H57" s="2">
        <v>5</v>
      </c>
      <c r="I57" s="2">
        <v>3</v>
      </c>
      <c r="J57" s="2">
        <v>3</v>
      </c>
      <c r="K57" s="2">
        <v>4</v>
      </c>
      <c r="L57" s="2">
        <v>0</v>
      </c>
      <c r="M57" s="2">
        <v>0</v>
      </c>
      <c r="N57" s="2">
        <v>1</v>
      </c>
      <c r="O57" s="2">
        <v>0</v>
      </c>
      <c r="P57" s="2">
        <v>1</v>
      </c>
      <c r="Q57">
        <v>1</v>
      </c>
      <c r="R57">
        <v>0</v>
      </c>
      <c r="S57">
        <v>4</v>
      </c>
      <c r="T57">
        <v>1</v>
      </c>
      <c r="U57">
        <v>0</v>
      </c>
      <c r="V57">
        <v>1</v>
      </c>
      <c r="W57">
        <v>0</v>
      </c>
      <c r="X57">
        <v>434</v>
      </c>
      <c r="Y57" t="s">
        <v>101</v>
      </c>
    </row>
    <row r="58" spans="1:25" ht="16" customHeight="1" x14ac:dyDescent="0.2">
      <c r="A58" s="1" t="s">
        <v>185</v>
      </c>
      <c r="B58" s="2" t="s">
        <v>191</v>
      </c>
      <c r="C58" s="2">
        <v>10</v>
      </c>
      <c r="D58" s="2" t="s">
        <v>106</v>
      </c>
      <c r="E58" s="2">
        <v>7903</v>
      </c>
      <c r="F58" s="2">
        <v>0</v>
      </c>
      <c r="G58" s="2">
        <v>0</v>
      </c>
      <c r="H58" s="2">
        <v>3</v>
      </c>
      <c r="I58" s="2">
        <v>3</v>
      </c>
      <c r="J58" s="2">
        <v>1</v>
      </c>
      <c r="K58" s="2">
        <v>1</v>
      </c>
      <c r="L58" s="2">
        <v>0</v>
      </c>
      <c r="M58" s="2">
        <v>1</v>
      </c>
      <c r="N58" s="2">
        <v>1</v>
      </c>
      <c r="O58" s="2">
        <v>0</v>
      </c>
      <c r="P58" s="2">
        <v>0</v>
      </c>
      <c r="Q58">
        <v>1</v>
      </c>
      <c r="R58">
        <v>1</v>
      </c>
      <c r="S58">
        <v>-1</v>
      </c>
      <c r="T58">
        <v>0</v>
      </c>
      <c r="U58">
        <v>0</v>
      </c>
      <c r="V58">
        <v>0</v>
      </c>
      <c r="W58">
        <v>1</v>
      </c>
      <c r="X58">
        <v>130</v>
      </c>
      <c r="Y58" t="s">
        <v>101</v>
      </c>
    </row>
    <row r="59" spans="1:25" ht="16" customHeight="1" x14ac:dyDescent="0.2">
      <c r="A59" s="1" t="s">
        <v>186</v>
      </c>
      <c r="B59" s="2" t="s">
        <v>229</v>
      </c>
      <c r="C59" s="2">
        <v>10</v>
      </c>
      <c r="D59" s="2" t="s">
        <v>109</v>
      </c>
      <c r="E59" s="2">
        <v>271</v>
      </c>
      <c r="F59" s="2">
        <v>0</v>
      </c>
      <c r="G59" s="2">
        <v>-1</v>
      </c>
      <c r="H59" s="2">
        <v>1</v>
      </c>
      <c r="I59" s="2">
        <v>2</v>
      </c>
      <c r="J59" s="2">
        <v>3</v>
      </c>
      <c r="K59" s="2">
        <v>5</v>
      </c>
      <c r="L59" s="2">
        <v>0</v>
      </c>
      <c r="M59" s="2">
        <v>0</v>
      </c>
      <c r="N59" s="2">
        <v>1</v>
      </c>
      <c r="O59" s="2">
        <v>0</v>
      </c>
      <c r="P59" s="2">
        <v>0</v>
      </c>
      <c r="Q59">
        <v>1</v>
      </c>
      <c r="R59">
        <v>0</v>
      </c>
      <c r="S59">
        <v>-1</v>
      </c>
      <c r="T59">
        <v>1</v>
      </c>
      <c r="U59">
        <v>1</v>
      </c>
      <c r="V59">
        <v>1</v>
      </c>
      <c r="W59">
        <v>0</v>
      </c>
      <c r="X59">
        <v>452</v>
      </c>
      <c r="Y59" t="s">
        <v>101</v>
      </c>
    </row>
    <row r="60" spans="1:25" ht="16" customHeight="1" x14ac:dyDescent="0.2">
      <c r="A60" s="1" t="s">
        <v>187</v>
      </c>
      <c r="B60" s="2" t="s">
        <v>126</v>
      </c>
      <c r="C60" s="2">
        <v>10</v>
      </c>
      <c r="D60" s="2" t="s">
        <v>112</v>
      </c>
      <c r="E60" s="2">
        <v>1405</v>
      </c>
      <c r="F60" s="2">
        <v>1</v>
      </c>
      <c r="G60" s="2">
        <v>1</v>
      </c>
      <c r="H60" s="2">
        <v>1</v>
      </c>
      <c r="I60" s="2">
        <v>1</v>
      </c>
      <c r="J60" s="2">
        <v>3</v>
      </c>
      <c r="K60" s="2">
        <v>3</v>
      </c>
      <c r="L60" s="2">
        <v>0</v>
      </c>
      <c r="M60" s="2">
        <v>1</v>
      </c>
      <c r="N60" s="2">
        <v>1</v>
      </c>
      <c r="O60" s="2">
        <v>1</v>
      </c>
      <c r="P60" s="2">
        <v>0</v>
      </c>
      <c r="Q60">
        <v>1</v>
      </c>
      <c r="R60">
        <v>0</v>
      </c>
      <c r="S60">
        <v>4</v>
      </c>
      <c r="T60">
        <v>-1</v>
      </c>
      <c r="U60">
        <v>0</v>
      </c>
      <c r="V60">
        <v>0</v>
      </c>
      <c r="W60">
        <v>1</v>
      </c>
      <c r="X60">
        <v>365</v>
      </c>
      <c r="Y60" t="s">
        <v>101</v>
      </c>
    </row>
    <row r="61" spans="1:25" ht="16" customHeight="1" x14ac:dyDescent="0.2">
      <c r="A61" s="1" t="s">
        <v>188</v>
      </c>
      <c r="B61" s="2" t="s">
        <v>161</v>
      </c>
      <c r="C61" s="2">
        <v>10</v>
      </c>
      <c r="D61" s="2" t="s">
        <v>115</v>
      </c>
      <c r="E61" s="2">
        <v>4458</v>
      </c>
      <c r="F61" s="2">
        <v>0</v>
      </c>
      <c r="G61" s="2">
        <v>-1</v>
      </c>
      <c r="H61" s="2">
        <v>5</v>
      </c>
      <c r="I61" s="2">
        <v>1</v>
      </c>
      <c r="J61" s="2">
        <v>1</v>
      </c>
      <c r="K61" s="2">
        <v>2</v>
      </c>
      <c r="L61" s="2">
        <v>1</v>
      </c>
      <c r="M61" s="2">
        <v>0</v>
      </c>
      <c r="N61" s="2">
        <v>0</v>
      </c>
      <c r="O61" s="2">
        <v>1</v>
      </c>
      <c r="P61" s="2">
        <v>1</v>
      </c>
      <c r="Q61">
        <v>0</v>
      </c>
      <c r="R61">
        <v>1</v>
      </c>
      <c r="S61">
        <v>3</v>
      </c>
      <c r="T61">
        <v>-1</v>
      </c>
      <c r="U61">
        <v>1</v>
      </c>
      <c r="V61">
        <v>0</v>
      </c>
      <c r="W61">
        <v>0</v>
      </c>
      <c r="X61">
        <v>367</v>
      </c>
      <c r="Y61" t="s">
        <v>101</v>
      </c>
    </row>
    <row r="62" spans="1:25" ht="16" customHeight="1" x14ac:dyDescent="0.2">
      <c r="A62" s="1" t="s">
        <v>189</v>
      </c>
      <c r="B62" s="2" t="s">
        <v>124</v>
      </c>
      <c r="C62" s="2">
        <v>11</v>
      </c>
      <c r="D62" s="2" t="s">
        <v>100</v>
      </c>
      <c r="E62" s="2">
        <v>3173</v>
      </c>
      <c r="F62" s="2">
        <v>1</v>
      </c>
      <c r="G62" s="2">
        <v>1</v>
      </c>
      <c r="H62" s="2">
        <v>1</v>
      </c>
      <c r="I62" s="2">
        <v>3</v>
      </c>
      <c r="J62" s="2">
        <v>1</v>
      </c>
      <c r="K62" s="2">
        <v>2</v>
      </c>
      <c r="L62" s="2">
        <v>1</v>
      </c>
      <c r="M62" s="2">
        <v>1</v>
      </c>
      <c r="N62" s="2">
        <v>1</v>
      </c>
      <c r="O62" s="2">
        <v>0</v>
      </c>
      <c r="P62" s="2">
        <v>1</v>
      </c>
      <c r="Q62">
        <v>0</v>
      </c>
      <c r="R62">
        <v>0</v>
      </c>
      <c r="S62">
        <v>2</v>
      </c>
      <c r="T62">
        <v>-1</v>
      </c>
      <c r="U62">
        <v>1</v>
      </c>
      <c r="V62">
        <v>0</v>
      </c>
      <c r="W62">
        <v>1</v>
      </c>
      <c r="X62">
        <v>165</v>
      </c>
      <c r="Y62" t="s">
        <v>101</v>
      </c>
    </row>
    <row r="63" spans="1:25" ht="16" customHeight="1" x14ac:dyDescent="0.2">
      <c r="A63" s="1" t="s">
        <v>190</v>
      </c>
      <c r="B63" s="2" t="s">
        <v>191</v>
      </c>
      <c r="C63" s="2">
        <v>11</v>
      </c>
      <c r="D63" s="2" t="s">
        <v>103</v>
      </c>
      <c r="E63" s="2">
        <v>578</v>
      </c>
      <c r="F63" s="2">
        <v>0</v>
      </c>
      <c r="G63" s="2">
        <v>1</v>
      </c>
      <c r="H63" s="2">
        <v>3</v>
      </c>
      <c r="I63" s="2">
        <v>1</v>
      </c>
      <c r="J63" s="2">
        <v>3</v>
      </c>
      <c r="K63" s="2">
        <v>4</v>
      </c>
      <c r="L63" s="2">
        <v>1</v>
      </c>
      <c r="M63" s="2">
        <v>0</v>
      </c>
      <c r="N63" s="2">
        <v>1</v>
      </c>
      <c r="O63" s="2">
        <v>1</v>
      </c>
      <c r="P63" s="2">
        <v>1</v>
      </c>
      <c r="Q63">
        <v>0</v>
      </c>
      <c r="R63">
        <v>1</v>
      </c>
      <c r="S63">
        <v>3</v>
      </c>
      <c r="T63">
        <v>-1</v>
      </c>
      <c r="U63">
        <v>1</v>
      </c>
      <c r="V63">
        <v>1</v>
      </c>
      <c r="W63">
        <v>0</v>
      </c>
      <c r="X63">
        <v>485</v>
      </c>
      <c r="Y63" t="s">
        <v>101</v>
      </c>
    </row>
    <row r="64" spans="1:25" ht="16" customHeight="1" x14ac:dyDescent="0.2">
      <c r="A64" s="1" t="s">
        <v>192</v>
      </c>
      <c r="B64" s="2" t="s">
        <v>99</v>
      </c>
      <c r="C64" s="2">
        <v>11</v>
      </c>
      <c r="D64" s="2" t="s">
        <v>106</v>
      </c>
      <c r="E64" s="2">
        <v>432</v>
      </c>
      <c r="F64" s="2">
        <v>1</v>
      </c>
      <c r="G64" s="2">
        <v>0</v>
      </c>
      <c r="H64" s="2">
        <v>5</v>
      </c>
      <c r="I64" s="2">
        <v>2</v>
      </c>
      <c r="J64" s="2">
        <v>3</v>
      </c>
      <c r="K64" s="2">
        <v>2</v>
      </c>
      <c r="L64" s="2">
        <v>1</v>
      </c>
      <c r="M64" s="2">
        <v>1</v>
      </c>
      <c r="N64" s="2">
        <v>0</v>
      </c>
      <c r="O64" s="2">
        <v>0</v>
      </c>
      <c r="P64" s="2">
        <v>0</v>
      </c>
      <c r="Q64">
        <v>0</v>
      </c>
      <c r="R64">
        <v>1</v>
      </c>
      <c r="S64">
        <v>4</v>
      </c>
      <c r="T64">
        <v>-1</v>
      </c>
      <c r="U64">
        <v>1</v>
      </c>
      <c r="V64">
        <v>0</v>
      </c>
      <c r="W64">
        <v>1</v>
      </c>
      <c r="X64">
        <v>338</v>
      </c>
      <c r="Y64" t="s">
        <v>101</v>
      </c>
    </row>
    <row r="65" spans="1:25" ht="16" customHeight="1" x14ac:dyDescent="0.2">
      <c r="A65" s="1" t="s">
        <v>193</v>
      </c>
      <c r="B65" s="2" t="s">
        <v>191</v>
      </c>
      <c r="C65" s="2">
        <v>11</v>
      </c>
      <c r="D65" s="2" t="s">
        <v>109</v>
      </c>
      <c r="E65" s="2">
        <v>20</v>
      </c>
      <c r="F65" s="2">
        <v>1</v>
      </c>
      <c r="G65" s="2">
        <v>0</v>
      </c>
      <c r="H65" s="2">
        <v>4</v>
      </c>
      <c r="I65" s="2">
        <v>3</v>
      </c>
      <c r="J65" s="2">
        <v>1</v>
      </c>
      <c r="K65" s="2">
        <v>4</v>
      </c>
      <c r="L65" s="2">
        <v>1</v>
      </c>
      <c r="M65" s="2">
        <v>1</v>
      </c>
      <c r="N65" s="2">
        <v>0</v>
      </c>
      <c r="O65" s="2">
        <v>0</v>
      </c>
      <c r="P65" s="2">
        <v>1</v>
      </c>
      <c r="Q65">
        <v>0</v>
      </c>
      <c r="R65">
        <v>1</v>
      </c>
      <c r="S65">
        <v>4</v>
      </c>
      <c r="T65">
        <v>0</v>
      </c>
      <c r="U65">
        <v>1</v>
      </c>
      <c r="V65">
        <v>1</v>
      </c>
      <c r="W65">
        <v>1</v>
      </c>
      <c r="X65">
        <v>433</v>
      </c>
      <c r="Y65" t="s">
        <v>101</v>
      </c>
    </row>
    <row r="66" spans="1:25" ht="16" customHeight="1" x14ac:dyDescent="0.2">
      <c r="A66" s="1" t="s">
        <v>194</v>
      </c>
      <c r="B66" s="2" t="s">
        <v>124</v>
      </c>
      <c r="C66" s="2">
        <v>11</v>
      </c>
      <c r="D66" s="2" t="s">
        <v>112</v>
      </c>
      <c r="E66" s="2">
        <v>10922</v>
      </c>
      <c r="F66" s="2">
        <v>1</v>
      </c>
      <c r="G66" s="2">
        <v>-1</v>
      </c>
      <c r="H66" s="2">
        <v>3</v>
      </c>
      <c r="I66" s="2">
        <v>1</v>
      </c>
      <c r="J66" s="2">
        <v>1</v>
      </c>
      <c r="K66" s="2">
        <v>3</v>
      </c>
      <c r="L66" s="2">
        <v>0</v>
      </c>
      <c r="M66" s="2">
        <v>1</v>
      </c>
      <c r="N66" s="2">
        <v>0</v>
      </c>
      <c r="O66" s="2">
        <v>0</v>
      </c>
      <c r="P66" s="2">
        <v>0</v>
      </c>
      <c r="Q66">
        <v>0</v>
      </c>
      <c r="R66">
        <v>1</v>
      </c>
      <c r="S66">
        <v>1</v>
      </c>
      <c r="T66">
        <v>0</v>
      </c>
      <c r="U66">
        <v>1</v>
      </c>
      <c r="V66">
        <v>1</v>
      </c>
      <c r="W66">
        <v>0</v>
      </c>
      <c r="X66">
        <v>145</v>
      </c>
      <c r="Y66" t="s">
        <v>101</v>
      </c>
    </row>
    <row r="67" spans="1:25" ht="16" customHeight="1" x14ac:dyDescent="0.2">
      <c r="A67" s="1" t="s">
        <v>195</v>
      </c>
      <c r="B67" s="2" t="s">
        <v>151</v>
      </c>
      <c r="C67" s="2">
        <v>11</v>
      </c>
      <c r="D67" s="2" t="s">
        <v>115</v>
      </c>
      <c r="E67" s="2">
        <v>1468</v>
      </c>
      <c r="F67" s="2">
        <v>1</v>
      </c>
      <c r="G67" s="2">
        <v>0</v>
      </c>
      <c r="H67" s="2">
        <v>4</v>
      </c>
      <c r="I67" s="2">
        <v>1</v>
      </c>
      <c r="J67" s="2">
        <v>1</v>
      </c>
      <c r="K67" s="2">
        <v>4</v>
      </c>
      <c r="L67" s="2">
        <v>1</v>
      </c>
      <c r="M67" s="2">
        <v>0</v>
      </c>
      <c r="N67" s="2">
        <v>1</v>
      </c>
      <c r="O67" s="2">
        <v>0</v>
      </c>
      <c r="P67" s="2">
        <v>0</v>
      </c>
      <c r="Q67">
        <v>1</v>
      </c>
      <c r="R67">
        <v>0</v>
      </c>
      <c r="S67">
        <v>4</v>
      </c>
      <c r="T67">
        <v>1</v>
      </c>
      <c r="U67">
        <v>1</v>
      </c>
      <c r="V67">
        <v>1</v>
      </c>
      <c r="W67">
        <v>0</v>
      </c>
      <c r="X67">
        <v>466</v>
      </c>
      <c r="Y67" t="s">
        <v>101</v>
      </c>
    </row>
    <row r="68" spans="1:25" ht="16" customHeight="1" x14ac:dyDescent="0.2">
      <c r="A68" s="1" t="s">
        <v>196</v>
      </c>
      <c r="B68" s="2" t="s">
        <v>114</v>
      </c>
      <c r="C68" s="2">
        <v>12</v>
      </c>
      <c r="D68" s="2" t="s">
        <v>100</v>
      </c>
      <c r="E68" s="2">
        <v>9767</v>
      </c>
      <c r="F68" s="2">
        <v>0</v>
      </c>
      <c r="G68" s="2">
        <v>0</v>
      </c>
      <c r="H68" s="2">
        <v>2</v>
      </c>
      <c r="I68" s="2">
        <v>3</v>
      </c>
      <c r="J68" s="2">
        <v>3</v>
      </c>
      <c r="K68" s="2">
        <v>4</v>
      </c>
      <c r="L68" s="2">
        <v>0</v>
      </c>
      <c r="M68" s="2">
        <v>0</v>
      </c>
      <c r="N68" s="2">
        <v>0</v>
      </c>
      <c r="O68" s="2">
        <v>1</v>
      </c>
      <c r="P68" s="2">
        <v>1</v>
      </c>
      <c r="Q68">
        <v>0</v>
      </c>
      <c r="R68">
        <v>0</v>
      </c>
      <c r="S68">
        <v>2</v>
      </c>
      <c r="T68">
        <v>0</v>
      </c>
      <c r="U68">
        <v>1</v>
      </c>
      <c r="V68">
        <v>0</v>
      </c>
      <c r="W68">
        <v>0</v>
      </c>
      <c r="X68">
        <v>405</v>
      </c>
      <c r="Y68" t="s">
        <v>101</v>
      </c>
    </row>
    <row r="69" spans="1:25" ht="16" customHeight="1" x14ac:dyDescent="0.2">
      <c r="A69" s="1" t="s">
        <v>197</v>
      </c>
      <c r="B69" s="2" t="s">
        <v>252</v>
      </c>
      <c r="C69" s="2">
        <v>12</v>
      </c>
      <c r="D69" s="2" t="s">
        <v>103</v>
      </c>
      <c r="E69" s="2">
        <v>6423</v>
      </c>
      <c r="F69" s="2">
        <v>0</v>
      </c>
      <c r="G69" s="2">
        <v>-1</v>
      </c>
      <c r="H69" s="2">
        <v>3</v>
      </c>
      <c r="I69" s="2">
        <v>2</v>
      </c>
      <c r="J69" s="2">
        <v>3</v>
      </c>
      <c r="K69" s="2">
        <v>3</v>
      </c>
      <c r="L69" s="2">
        <v>0</v>
      </c>
      <c r="M69" s="2">
        <v>1</v>
      </c>
      <c r="N69" s="2">
        <v>1</v>
      </c>
      <c r="O69" s="2">
        <v>0</v>
      </c>
      <c r="P69" s="2">
        <v>1</v>
      </c>
      <c r="Q69">
        <v>0</v>
      </c>
      <c r="R69">
        <v>1</v>
      </c>
      <c r="S69">
        <v>3</v>
      </c>
      <c r="T69">
        <v>-1</v>
      </c>
      <c r="U69">
        <v>0</v>
      </c>
      <c r="V69">
        <v>1</v>
      </c>
      <c r="W69">
        <v>0</v>
      </c>
      <c r="X69">
        <v>105</v>
      </c>
      <c r="Y69" t="s">
        <v>101</v>
      </c>
    </row>
    <row r="70" spans="1:25" ht="16" customHeight="1" x14ac:dyDescent="0.2">
      <c r="A70" s="1" t="s">
        <v>198</v>
      </c>
      <c r="B70" s="2" t="s">
        <v>146</v>
      </c>
      <c r="C70" s="2">
        <v>12</v>
      </c>
      <c r="D70" s="2" t="s">
        <v>106</v>
      </c>
      <c r="E70" s="2">
        <v>1126</v>
      </c>
      <c r="F70" s="2">
        <v>0</v>
      </c>
      <c r="G70" s="2">
        <v>0</v>
      </c>
      <c r="H70" s="2">
        <v>5</v>
      </c>
      <c r="I70" s="2">
        <v>3</v>
      </c>
      <c r="J70" s="2">
        <v>3</v>
      </c>
      <c r="K70" s="2">
        <v>4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>
        <v>1</v>
      </c>
      <c r="R70">
        <v>0</v>
      </c>
      <c r="S70">
        <v>2</v>
      </c>
      <c r="T70">
        <v>-1</v>
      </c>
      <c r="U70">
        <v>0</v>
      </c>
      <c r="V70">
        <v>1</v>
      </c>
      <c r="W70">
        <v>1</v>
      </c>
      <c r="X70">
        <v>58</v>
      </c>
      <c r="Y70" t="s">
        <v>101</v>
      </c>
    </row>
    <row r="71" spans="1:25" ht="16" customHeight="1" x14ac:dyDescent="0.2">
      <c r="A71" s="1" t="s">
        <v>199</v>
      </c>
      <c r="B71" s="2" t="s">
        <v>108</v>
      </c>
      <c r="C71" s="2">
        <v>12</v>
      </c>
      <c r="D71" s="2" t="s">
        <v>109</v>
      </c>
      <c r="E71" s="2">
        <v>564</v>
      </c>
      <c r="F71" s="2">
        <v>0</v>
      </c>
      <c r="G71" s="2">
        <v>-1</v>
      </c>
      <c r="H71" s="2">
        <v>2</v>
      </c>
      <c r="I71" s="2">
        <v>3</v>
      </c>
      <c r="J71" s="2">
        <v>2</v>
      </c>
      <c r="K71" s="2">
        <v>4</v>
      </c>
      <c r="L71" s="2">
        <v>0</v>
      </c>
      <c r="M71" s="2">
        <v>0</v>
      </c>
      <c r="N71" s="2">
        <v>1</v>
      </c>
      <c r="O71" s="2">
        <v>0</v>
      </c>
      <c r="P71" s="2">
        <v>1</v>
      </c>
      <c r="Q71">
        <v>0</v>
      </c>
      <c r="R71">
        <v>0</v>
      </c>
      <c r="S71">
        <v>2</v>
      </c>
      <c r="T71">
        <v>1</v>
      </c>
      <c r="U71">
        <v>1</v>
      </c>
      <c r="V71">
        <v>0</v>
      </c>
      <c r="W71">
        <v>0</v>
      </c>
      <c r="X71">
        <v>343</v>
      </c>
      <c r="Y71" t="s">
        <v>101</v>
      </c>
    </row>
    <row r="72" spans="1:25" ht="16" customHeight="1" x14ac:dyDescent="0.2">
      <c r="A72" s="1" t="s">
        <v>200</v>
      </c>
      <c r="B72" s="2" t="s">
        <v>191</v>
      </c>
      <c r="C72" s="2">
        <v>12</v>
      </c>
      <c r="D72" s="2" t="s">
        <v>112</v>
      </c>
      <c r="E72" s="2">
        <v>4093</v>
      </c>
      <c r="F72" s="2">
        <v>0</v>
      </c>
      <c r="G72" s="2">
        <v>-1</v>
      </c>
      <c r="H72" s="2">
        <v>1</v>
      </c>
      <c r="I72" s="2">
        <v>2</v>
      </c>
      <c r="J72" s="2">
        <v>2</v>
      </c>
      <c r="K72" s="2">
        <v>3</v>
      </c>
      <c r="L72" s="2">
        <v>1</v>
      </c>
      <c r="M72" s="2">
        <v>0</v>
      </c>
      <c r="N72" s="2">
        <v>1</v>
      </c>
      <c r="O72" s="2">
        <v>0</v>
      </c>
      <c r="P72" s="2">
        <v>1</v>
      </c>
      <c r="Q72">
        <v>0</v>
      </c>
      <c r="R72">
        <v>0</v>
      </c>
      <c r="S72">
        <v>3</v>
      </c>
      <c r="T72">
        <v>0</v>
      </c>
      <c r="U72">
        <v>1</v>
      </c>
      <c r="V72">
        <v>1</v>
      </c>
      <c r="W72">
        <v>1</v>
      </c>
      <c r="X72">
        <v>184</v>
      </c>
      <c r="Y72" t="s">
        <v>101</v>
      </c>
    </row>
    <row r="73" spans="1:25" ht="16" customHeight="1" x14ac:dyDescent="0.2">
      <c r="A73" s="1" t="s">
        <v>201</v>
      </c>
      <c r="B73" s="2" t="s">
        <v>132</v>
      </c>
      <c r="C73" s="2">
        <v>12</v>
      </c>
      <c r="D73" s="2" t="s">
        <v>115</v>
      </c>
      <c r="E73" s="2">
        <v>1518</v>
      </c>
      <c r="F73" s="2">
        <v>0</v>
      </c>
      <c r="G73" s="2">
        <v>0</v>
      </c>
      <c r="H73" s="2">
        <v>4</v>
      </c>
      <c r="I73" s="2">
        <v>1</v>
      </c>
      <c r="J73" s="2">
        <v>1</v>
      </c>
      <c r="K73" s="2">
        <v>4</v>
      </c>
      <c r="L73" s="2">
        <v>1</v>
      </c>
      <c r="M73" s="2">
        <v>1</v>
      </c>
      <c r="N73" s="2">
        <v>0</v>
      </c>
      <c r="O73" s="2">
        <v>0</v>
      </c>
      <c r="P73" s="2">
        <v>0</v>
      </c>
      <c r="Q73">
        <v>0</v>
      </c>
      <c r="R73">
        <v>0</v>
      </c>
      <c r="S73">
        <v>4</v>
      </c>
      <c r="T73">
        <v>-1</v>
      </c>
      <c r="U73">
        <v>0</v>
      </c>
      <c r="V73">
        <v>0</v>
      </c>
      <c r="W73">
        <v>0</v>
      </c>
      <c r="X73">
        <v>364</v>
      </c>
      <c r="Y73" t="s">
        <v>101</v>
      </c>
    </row>
    <row r="74" spans="1:25" ht="16" customHeight="1" x14ac:dyDescent="0.2">
      <c r="A74" s="1" t="s">
        <v>202</v>
      </c>
      <c r="B74" s="2" t="s">
        <v>159</v>
      </c>
      <c r="C74" s="2">
        <v>13</v>
      </c>
      <c r="D74" s="2" t="s">
        <v>100</v>
      </c>
      <c r="E74" s="2">
        <v>3799</v>
      </c>
      <c r="F74" s="2">
        <v>0</v>
      </c>
      <c r="G74" s="2">
        <v>0</v>
      </c>
      <c r="H74" s="2">
        <v>4</v>
      </c>
      <c r="I74" s="2">
        <v>1</v>
      </c>
      <c r="J74" s="2">
        <v>3</v>
      </c>
      <c r="K74" s="2">
        <v>2</v>
      </c>
      <c r="L74" s="2">
        <v>1</v>
      </c>
      <c r="M74" s="2">
        <v>1</v>
      </c>
      <c r="N74" s="2">
        <v>1</v>
      </c>
      <c r="O74" s="2">
        <v>0</v>
      </c>
      <c r="P74" s="2">
        <v>0</v>
      </c>
      <c r="Q74">
        <v>1</v>
      </c>
      <c r="R74">
        <v>1</v>
      </c>
      <c r="S74">
        <v>3</v>
      </c>
      <c r="T74">
        <v>1</v>
      </c>
      <c r="U74">
        <v>1</v>
      </c>
      <c r="V74">
        <v>0</v>
      </c>
      <c r="W74">
        <v>0</v>
      </c>
      <c r="X74">
        <v>75</v>
      </c>
      <c r="Y74" t="s">
        <v>101</v>
      </c>
    </row>
    <row r="75" spans="1:25" ht="16" customHeight="1" x14ac:dyDescent="0.2">
      <c r="A75" s="1" t="s">
        <v>203</v>
      </c>
      <c r="B75" s="2" t="s">
        <v>191</v>
      </c>
      <c r="C75" s="2">
        <v>13</v>
      </c>
      <c r="D75" s="2" t="s">
        <v>103</v>
      </c>
      <c r="E75" s="2">
        <v>3003</v>
      </c>
      <c r="F75" s="2">
        <v>0</v>
      </c>
      <c r="G75" s="2">
        <v>-1</v>
      </c>
      <c r="H75" s="2">
        <v>1</v>
      </c>
      <c r="I75" s="2">
        <v>3</v>
      </c>
      <c r="J75" s="2">
        <v>2</v>
      </c>
      <c r="K75" s="2">
        <v>5</v>
      </c>
      <c r="L75" s="2">
        <v>0</v>
      </c>
      <c r="M75" s="2">
        <v>1</v>
      </c>
      <c r="N75" s="2">
        <v>0</v>
      </c>
      <c r="O75" s="2">
        <v>0</v>
      </c>
      <c r="P75" s="2">
        <v>1</v>
      </c>
      <c r="Q75">
        <v>1</v>
      </c>
      <c r="R75">
        <v>0</v>
      </c>
      <c r="S75">
        <v>1</v>
      </c>
      <c r="T75">
        <v>-1</v>
      </c>
      <c r="U75">
        <v>0</v>
      </c>
      <c r="V75">
        <v>0</v>
      </c>
      <c r="W75">
        <v>1</v>
      </c>
      <c r="X75">
        <v>493</v>
      </c>
      <c r="Y75" t="s">
        <v>101</v>
      </c>
    </row>
    <row r="76" spans="1:25" ht="16" customHeight="1" x14ac:dyDescent="0.2">
      <c r="A76" s="1" t="s">
        <v>204</v>
      </c>
      <c r="B76" s="2" t="s">
        <v>119</v>
      </c>
      <c r="C76" s="2">
        <v>13</v>
      </c>
      <c r="D76" s="2" t="s">
        <v>106</v>
      </c>
      <c r="E76" s="2">
        <v>4253</v>
      </c>
      <c r="F76" s="2">
        <v>1</v>
      </c>
      <c r="G76" s="2">
        <v>1</v>
      </c>
      <c r="H76" s="2">
        <v>4</v>
      </c>
      <c r="I76" s="2">
        <v>2</v>
      </c>
      <c r="J76" s="2">
        <v>3</v>
      </c>
      <c r="K76" s="2">
        <v>4</v>
      </c>
      <c r="L76" s="2">
        <v>1</v>
      </c>
      <c r="M76" s="2">
        <v>1</v>
      </c>
      <c r="N76" s="2">
        <v>1</v>
      </c>
      <c r="O76" s="2">
        <v>1</v>
      </c>
      <c r="P76" s="2">
        <v>0</v>
      </c>
      <c r="Q76">
        <v>1</v>
      </c>
      <c r="R76">
        <v>1</v>
      </c>
      <c r="S76">
        <v>-1</v>
      </c>
      <c r="T76">
        <v>0</v>
      </c>
      <c r="U76">
        <v>0</v>
      </c>
      <c r="V76">
        <v>1</v>
      </c>
      <c r="W76">
        <v>0</v>
      </c>
      <c r="X76">
        <v>152</v>
      </c>
      <c r="Y76" t="s">
        <v>101</v>
      </c>
    </row>
    <row r="77" spans="1:25" ht="16" customHeight="1" x14ac:dyDescent="0.2">
      <c r="A77" s="1" t="s">
        <v>205</v>
      </c>
      <c r="B77" s="2" t="s">
        <v>119</v>
      </c>
      <c r="C77" s="2">
        <v>13</v>
      </c>
      <c r="D77" s="2" t="s">
        <v>109</v>
      </c>
      <c r="E77" s="2">
        <v>1056</v>
      </c>
      <c r="F77" s="2">
        <v>0</v>
      </c>
      <c r="G77" s="2">
        <v>0</v>
      </c>
      <c r="H77" s="2">
        <v>2</v>
      </c>
      <c r="I77" s="2">
        <v>2</v>
      </c>
      <c r="J77" s="2">
        <v>1</v>
      </c>
      <c r="K77" s="2">
        <v>4</v>
      </c>
      <c r="L77" s="2">
        <v>1</v>
      </c>
      <c r="M77" s="2">
        <v>1</v>
      </c>
      <c r="N77" s="2">
        <v>1</v>
      </c>
      <c r="O77" s="2">
        <v>0</v>
      </c>
      <c r="P77" s="2">
        <v>0</v>
      </c>
      <c r="Q77">
        <v>0</v>
      </c>
      <c r="R77">
        <v>1</v>
      </c>
      <c r="S77">
        <v>-1</v>
      </c>
      <c r="T77">
        <v>-1</v>
      </c>
      <c r="U77">
        <v>0</v>
      </c>
      <c r="V77">
        <v>1</v>
      </c>
      <c r="W77">
        <v>1</v>
      </c>
      <c r="X77">
        <v>412</v>
      </c>
      <c r="Y77" t="s">
        <v>101</v>
      </c>
    </row>
    <row r="78" spans="1:25" ht="16" customHeight="1" x14ac:dyDescent="0.2">
      <c r="A78" s="1" t="s">
        <v>206</v>
      </c>
      <c r="B78" s="2" t="s">
        <v>179</v>
      </c>
      <c r="C78" s="2">
        <v>13</v>
      </c>
      <c r="D78" s="2" t="s">
        <v>112</v>
      </c>
      <c r="E78" s="2">
        <v>10223</v>
      </c>
      <c r="F78" s="2">
        <v>0</v>
      </c>
      <c r="G78" s="2">
        <v>-1</v>
      </c>
      <c r="H78" s="2">
        <v>3</v>
      </c>
      <c r="I78" s="2">
        <v>1</v>
      </c>
      <c r="J78" s="2">
        <v>2</v>
      </c>
      <c r="K78" s="2">
        <v>4</v>
      </c>
      <c r="L78" s="2">
        <v>0</v>
      </c>
      <c r="M78" s="2">
        <v>0</v>
      </c>
      <c r="N78" s="2">
        <v>1</v>
      </c>
      <c r="O78" s="2">
        <v>0</v>
      </c>
      <c r="P78" s="2">
        <v>1</v>
      </c>
      <c r="Q78">
        <v>0</v>
      </c>
      <c r="R78">
        <v>1</v>
      </c>
      <c r="S78">
        <v>1</v>
      </c>
      <c r="T78">
        <v>-1</v>
      </c>
      <c r="U78">
        <v>1</v>
      </c>
      <c r="V78">
        <v>1</v>
      </c>
      <c r="W78">
        <v>1</v>
      </c>
      <c r="X78">
        <v>282</v>
      </c>
      <c r="Y78" t="s">
        <v>101</v>
      </c>
    </row>
    <row r="79" spans="1:25" ht="16" customHeight="1" x14ac:dyDescent="0.2">
      <c r="A79" s="1" t="s">
        <v>207</v>
      </c>
      <c r="B79" s="2" t="s">
        <v>172</v>
      </c>
      <c r="C79" s="2">
        <v>13</v>
      </c>
      <c r="D79" s="2" t="s">
        <v>115</v>
      </c>
      <c r="E79" s="2">
        <v>3181</v>
      </c>
      <c r="F79" s="2">
        <v>1</v>
      </c>
      <c r="G79" s="2">
        <v>0</v>
      </c>
      <c r="H79" s="2">
        <v>2</v>
      </c>
      <c r="I79" s="2">
        <v>2</v>
      </c>
      <c r="J79" s="2">
        <v>3</v>
      </c>
      <c r="K79" s="2">
        <v>5</v>
      </c>
      <c r="L79" s="2">
        <v>0</v>
      </c>
      <c r="M79" s="2">
        <v>0</v>
      </c>
      <c r="N79" s="2">
        <v>0</v>
      </c>
      <c r="O79" s="2">
        <v>1</v>
      </c>
      <c r="P79" s="2">
        <v>0</v>
      </c>
      <c r="Q79">
        <v>0</v>
      </c>
      <c r="R79">
        <v>1</v>
      </c>
      <c r="S79">
        <v>4</v>
      </c>
      <c r="T79">
        <v>0</v>
      </c>
      <c r="U79">
        <v>1</v>
      </c>
      <c r="V79">
        <v>1</v>
      </c>
      <c r="W79">
        <v>1</v>
      </c>
      <c r="X79">
        <v>107</v>
      </c>
      <c r="Y79" t="s">
        <v>101</v>
      </c>
    </row>
    <row r="80" spans="1:25" ht="16" customHeight="1" x14ac:dyDescent="0.2">
      <c r="A80" s="1" t="s">
        <v>208</v>
      </c>
      <c r="B80" s="2" t="s">
        <v>122</v>
      </c>
      <c r="C80" s="2">
        <v>14</v>
      </c>
      <c r="D80" s="2" t="s">
        <v>100</v>
      </c>
      <c r="E80" s="2">
        <v>3838</v>
      </c>
      <c r="F80" s="2">
        <v>0</v>
      </c>
      <c r="G80" s="2">
        <v>-1</v>
      </c>
      <c r="H80" s="2">
        <v>5</v>
      </c>
      <c r="I80" s="2">
        <v>2</v>
      </c>
      <c r="J80" s="2">
        <v>2</v>
      </c>
      <c r="K80" s="2">
        <v>2</v>
      </c>
      <c r="L80" s="2">
        <v>0</v>
      </c>
      <c r="M80" s="2">
        <v>0</v>
      </c>
      <c r="N80" s="2">
        <v>1</v>
      </c>
      <c r="O80" s="2">
        <v>0</v>
      </c>
      <c r="P80" s="2">
        <v>1</v>
      </c>
      <c r="Q80">
        <v>0</v>
      </c>
      <c r="R80">
        <v>1</v>
      </c>
      <c r="S80">
        <v>-1</v>
      </c>
      <c r="T80">
        <v>0</v>
      </c>
      <c r="U80">
        <v>0</v>
      </c>
      <c r="V80">
        <v>0</v>
      </c>
      <c r="W80">
        <v>0</v>
      </c>
      <c r="X80">
        <v>127</v>
      </c>
      <c r="Y80" t="s">
        <v>101</v>
      </c>
    </row>
    <row r="81" spans="1:25" ht="16" customHeight="1" x14ac:dyDescent="0.2">
      <c r="A81" s="1" t="s">
        <v>209</v>
      </c>
      <c r="B81" s="2" t="s">
        <v>111</v>
      </c>
      <c r="C81" s="2">
        <v>14</v>
      </c>
      <c r="D81" s="2" t="s">
        <v>103</v>
      </c>
      <c r="E81" s="2">
        <v>3951</v>
      </c>
      <c r="F81" s="2">
        <v>1</v>
      </c>
      <c r="G81" s="2">
        <v>1</v>
      </c>
      <c r="H81" s="2">
        <v>2</v>
      </c>
      <c r="I81" s="2">
        <v>1</v>
      </c>
      <c r="J81" s="2">
        <v>1</v>
      </c>
      <c r="K81" s="2">
        <v>2</v>
      </c>
      <c r="L81" s="2">
        <v>1</v>
      </c>
      <c r="M81" s="2">
        <v>1</v>
      </c>
      <c r="N81" s="2">
        <v>0</v>
      </c>
      <c r="O81" s="2">
        <v>1</v>
      </c>
      <c r="P81" s="2">
        <v>1</v>
      </c>
      <c r="Q81">
        <v>0</v>
      </c>
      <c r="R81">
        <v>1</v>
      </c>
      <c r="S81">
        <v>3</v>
      </c>
      <c r="T81">
        <v>0</v>
      </c>
      <c r="U81">
        <v>1</v>
      </c>
      <c r="V81">
        <v>1</v>
      </c>
      <c r="W81">
        <v>1</v>
      </c>
      <c r="X81">
        <v>117</v>
      </c>
      <c r="Y81" t="s">
        <v>101</v>
      </c>
    </row>
    <row r="82" spans="1:25" ht="16" customHeight="1" x14ac:dyDescent="0.2">
      <c r="A82" s="1" t="s">
        <v>210</v>
      </c>
      <c r="B82" s="2" t="s">
        <v>191</v>
      </c>
      <c r="C82" s="2">
        <v>14</v>
      </c>
      <c r="D82" s="2" t="s">
        <v>106</v>
      </c>
      <c r="E82" s="2">
        <v>8503</v>
      </c>
      <c r="F82" s="2">
        <v>0</v>
      </c>
      <c r="G82" s="2">
        <v>1</v>
      </c>
      <c r="H82" s="2">
        <v>1</v>
      </c>
      <c r="I82" s="2">
        <v>3</v>
      </c>
      <c r="J82" s="2">
        <v>3</v>
      </c>
      <c r="K82" s="2">
        <v>4</v>
      </c>
      <c r="L82" s="2">
        <v>1</v>
      </c>
      <c r="M82" s="2">
        <v>1</v>
      </c>
      <c r="N82" s="2">
        <v>1</v>
      </c>
      <c r="O82" s="2">
        <v>1</v>
      </c>
      <c r="P82" s="2">
        <v>1</v>
      </c>
      <c r="Q82">
        <v>1</v>
      </c>
      <c r="R82">
        <v>0</v>
      </c>
      <c r="S82">
        <v>-1</v>
      </c>
      <c r="T82">
        <v>1</v>
      </c>
      <c r="U82">
        <v>1</v>
      </c>
      <c r="V82">
        <v>1</v>
      </c>
      <c r="W82">
        <v>0</v>
      </c>
      <c r="X82">
        <v>290</v>
      </c>
      <c r="Y82" t="s">
        <v>101</v>
      </c>
    </row>
    <row r="83" spans="1:25" ht="16" customHeight="1" x14ac:dyDescent="0.2">
      <c r="A83" s="1" t="s">
        <v>211</v>
      </c>
      <c r="B83" s="2" t="s">
        <v>170</v>
      </c>
      <c r="C83" s="2">
        <v>14</v>
      </c>
      <c r="D83" s="2" t="s">
        <v>109</v>
      </c>
      <c r="E83" s="2">
        <v>810</v>
      </c>
      <c r="F83" s="2">
        <v>0</v>
      </c>
      <c r="G83" s="2">
        <v>-1</v>
      </c>
      <c r="H83" s="2">
        <v>1</v>
      </c>
      <c r="I83" s="2">
        <v>3</v>
      </c>
      <c r="J83" s="2">
        <v>1</v>
      </c>
      <c r="K83" s="2">
        <v>3</v>
      </c>
      <c r="L83" s="2">
        <v>0</v>
      </c>
      <c r="M83" s="2">
        <v>1</v>
      </c>
      <c r="N83" s="2">
        <v>1</v>
      </c>
      <c r="O83" s="2">
        <v>0</v>
      </c>
      <c r="P83" s="2">
        <v>1</v>
      </c>
      <c r="Q83">
        <v>0</v>
      </c>
      <c r="R83">
        <v>0</v>
      </c>
      <c r="S83">
        <v>-1</v>
      </c>
      <c r="T83">
        <v>0</v>
      </c>
      <c r="U83">
        <v>0</v>
      </c>
      <c r="V83">
        <v>0</v>
      </c>
      <c r="W83">
        <v>0</v>
      </c>
      <c r="X83">
        <v>312</v>
      </c>
      <c r="Y83" t="s">
        <v>101</v>
      </c>
    </row>
    <row r="84" spans="1:25" ht="16" customHeight="1" x14ac:dyDescent="0.2">
      <c r="A84" s="1" t="s">
        <v>212</v>
      </c>
      <c r="B84" s="2" t="s">
        <v>141</v>
      </c>
      <c r="C84" s="2">
        <v>14</v>
      </c>
      <c r="D84" s="2" t="s">
        <v>112</v>
      </c>
      <c r="E84" s="2">
        <v>144</v>
      </c>
      <c r="F84" s="2">
        <v>1</v>
      </c>
      <c r="G84" s="2">
        <v>1</v>
      </c>
      <c r="H84" s="2">
        <v>2</v>
      </c>
      <c r="I84" s="2">
        <v>2</v>
      </c>
      <c r="J84" s="2">
        <v>1</v>
      </c>
      <c r="K84" s="2">
        <v>2</v>
      </c>
      <c r="L84" s="2">
        <v>0</v>
      </c>
      <c r="M84" s="2">
        <v>1</v>
      </c>
      <c r="N84" s="2">
        <v>0</v>
      </c>
      <c r="O84" s="2">
        <v>1</v>
      </c>
      <c r="P84" s="2">
        <v>0</v>
      </c>
      <c r="Q84">
        <v>0</v>
      </c>
      <c r="R84">
        <v>0</v>
      </c>
      <c r="S84">
        <v>4</v>
      </c>
      <c r="T84">
        <v>0</v>
      </c>
      <c r="U84">
        <v>1</v>
      </c>
      <c r="V84">
        <v>1</v>
      </c>
      <c r="W84">
        <v>0</v>
      </c>
      <c r="X84">
        <v>87</v>
      </c>
      <c r="Y84" t="s">
        <v>101</v>
      </c>
    </row>
    <row r="85" spans="1:25" ht="16" customHeight="1" x14ac:dyDescent="0.2">
      <c r="A85" s="1" t="s">
        <v>213</v>
      </c>
      <c r="B85" s="2" t="s">
        <v>161</v>
      </c>
      <c r="C85" s="2">
        <v>14</v>
      </c>
      <c r="D85" s="2" t="s">
        <v>115</v>
      </c>
      <c r="E85" s="2">
        <v>5590</v>
      </c>
      <c r="F85" s="2">
        <v>0</v>
      </c>
      <c r="G85" s="2">
        <v>0</v>
      </c>
      <c r="H85" s="2">
        <v>2</v>
      </c>
      <c r="I85" s="2">
        <v>2</v>
      </c>
      <c r="J85" s="2">
        <v>2</v>
      </c>
      <c r="K85" s="2">
        <v>1</v>
      </c>
      <c r="L85" s="2">
        <v>1</v>
      </c>
      <c r="M85" s="2">
        <v>1</v>
      </c>
      <c r="N85" s="2">
        <v>0</v>
      </c>
      <c r="O85" s="2">
        <v>0</v>
      </c>
      <c r="P85" s="2">
        <v>1</v>
      </c>
      <c r="Q85">
        <v>1</v>
      </c>
      <c r="R85">
        <v>0</v>
      </c>
      <c r="S85">
        <v>1</v>
      </c>
      <c r="T85">
        <v>-1</v>
      </c>
      <c r="U85">
        <v>0</v>
      </c>
      <c r="V85">
        <v>0</v>
      </c>
      <c r="W85">
        <v>0</v>
      </c>
      <c r="X85">
        <v>94</v>
      </c>
      <c r="Y85" t="s">
        <v>101</v>
      </c>
    </row>
    <row r="86" spans="1:25" ht="16" customHeight="1" x14ac:dyDescent="0.2">
      <c r="A86" s="1" t="s">
        <v>214</v>
      </c>
      <c r="B86" s="2" t="s">
        <v>144</v>
      </c>
      <c r="C86" s="2">
        <v>15</v>
      </c>
      <c r="D86" s="2" t="s">
        <v>100</v>
      </c>
      <c r="E86" s="2">
        <v>1450</v>
      </c>
      <c r="F86" s="2">
        <v>0</v>
      </c>
      <c r="G86" s="2">
        <v>1</v>
      </c>
      <c r="H86" s="2">
        <v>4</v>
      </c>
      <c r="I86" s="2">
        <v>3</v>
      </c>
      <c r="J86" s="2">
        <v>2</v>
      </c>
      <c r="K86" s="2">
        <v>4</v>
      </c>
      <c r="L86" s="2">
        <v>1</v>
      </c>
      <c r="M86" s="2">
        <v>1</v>
      </c>
      <c r="N86" s="2">
        <v>1</v>
      </c>
      <c r="O86" s="2">
        <v>1</v>
      </c>
      <c r="P86" s="2">
        <v>0</v>
      </c>
      <c r="Q86">
        <v>1</v>
      </c>
      <c r="R86">
        <v>1</v>
      </c>
      <c r="S86">
        <v>-1</v>
      </c>
      <c r="T86">
        <v>0</v>
      </c>
      <c r="U86">
        <v>1</v>
      </c>
      <c r="V86">
        <v>1</v>
      </c>
      <c r="W86">
        <v>1</v>
      </c>
      <c r="X86">
        <v>463</v>
      </c>
      <c r="Y86" t="s">
        <v>101</v>
      </c>
    </row>
    <row r="87" spans="1:25" ht="16" customHeight="1" x14ac:dyDescent="0.2">
      <c r="A87" s="1" t="s">
        <v>215</v>
      </c>
      <c r="B87" s="2" t="s">
        <v>136</v>
      </c>
      <c r="C87" s="2">
        <v>15</v>
      </c>
      <c r="D87" s="2" t="s">
        <v>103</v>
      </c>
      <c r="E87" s="2">
        <v>3015</v>
      </c>
      <c r="F87" s="2">
        <v>0</v>
      </c>
      <c r="G87" s="2">
        <v>1</v>
      </c>
      <c r="H87" s="2">
        <v>5</v>
      </c>
      <c r="I87" s="2">
        <v>2</v>
      </c>
      <c r="J87" s="2">
        <v>2</v>
      </c>
      <c r="K87" s="2">
        <v>4</v>
      </c>
      <c r="L87" s="2">
        <v>1</v>
      </c>
      <c r="M87" s="2">
        <v>0</v>
      </c>
      <c r="N87" s="2">
        <v>1</v>
      </c>
      <c r="O87" s="2">
        <v>0</v>
      </c>
      <c r="P87" s="2">
        <v>1</v>
      </c>
      <c r="Q87">
        <v>1</v>
      </c>
      <c r="R87">
        <v>0</v>
      </c>
      <c r="S87">
        <v>3</v>
      </c>
      <c r="T87">
        <v>0</v>
      </c>
      <c r="U87">
        <v>0</v>
      </c>
      <c r="V87">
        <v>1</v>
      </c>
      <c r="W87">
        <v>1</v>
      </c>
      <c r="X87">
        <v>128</v>
      </c>
      <c r="Y87" t="s">
        <v>101</v>
      </c>
    </row>
    <row r="88" spans="1:25" ht="16" customHeight="1" x14ac:dyDescent="0.2">
      <c r="A88" s="1" t="s">
        <v>216</v>
      </c>
      <c r="B88" s="2" t="s">
        <v>146</v>
      </c>
      <c r="C88" s="2">
        <v>15</v>
      </c>
      <c r="D88" s="2" t="s">
        <v>106</v>
      </c>
      <c r="E88" s="2">
        <v>9016</v>
      </c>
      <c r="F88" s="2">
        <v>0</v>
      </c>
      <c r="G88" s="2">
        <v>1</v>
      </c>
      <c r="H88" s="2">
        <v>4</v>
      </c>
      <c r="I88" s="2">
        <v>2</v>
      </c>
      <c r="J88" s="2">
        <v>2</v>
      </c>
      <c r="K88" s="2">
        <v>4</v>
      </c>
      <c r="L88" s="2">
        <v>1</v>
      </c>
      <c r="M88" s="2">
        <v>0</v>
      </c>
      <c r="N88" s="2">
        <v>0</v>
      </c>
      <c r="O88" s="2">
        <v>0</v>
      </c>
      <c r="P88" s="2">
        <v>1</v>
      </c>
      <c r="Q88">
        <v>0</v>
      </c>
      <c r="R88">
        <v>0</v>
      </c>
      <c r="S88">
        <v>4</v>
      </c>
      <c r="T88">
        <v>1</v>
      </c>
      <c r="U88">
        <v>0</v>
      </c>
      <c r="V88">
        <v>1</v>
      </c>
      <c r="W88">
        <v>1</v>
      </c>
      <c r="X88">
        <v>86</v>
      </c>
      <c r="Y88" t="s">
        <v>101</v>
      </c>
    </row>
    <row r="89" spans="1:25" ht="16" customHeight="1" x14ac:dyDescent="0.2">
      <c r="A89" s="1" t="s">
        <v>217</v>
      </c>
      <c r="B89" s="2" t="s">
        <v>144</v>
      </c>
      <c r="C89" s="2">
        <v>15</v>
      </c>
      <c r="D89" s="2" t="s">
        <v>109</v>
      </c>
      <c r="E89" s="2">
        <v>639</v>
      </c>
      <c r="F89" s="2">
        <v>1</v>
      </c>
      <c r="G89" s="2">
        <v>1</v>
      </c>
      <c r="H89" s="2">
        <v>3</v>
      </c>
      <c r="I89" s="2">
        <v>2</v>
      </c>
      <c r="J89" s="2">
        <v>3</v>
      </c>
      <c r="K89" s="2">
        <v>5</v>
      </c>
      <c r="L89" s="2">
        <v>1</v>
      </c>
      <c r="M89" s="2">
        <v>1</v>
      </c>
      <c r="N89" s="2">
        <v>1</v>
      </c>
      <c r="O89" s="2">
        <v>0</v>
      </c>
      <c r="P89" s="2">
        <v>1</v>
      </c>
      <c r="Q89">
        <v>0</v>
      </c>
      <c r="R89">
        <v>0</v>
      </c>
      <c r="S89">
        <v>4</v>
      </c>
      <c r="T89">
        <v>0</v>
      </c>
      <c r="U89">
        <v>1</v>
      </c>
      <c r="V89">
        <v>1</v>
      </c>
      <c r="W89">
        <v>0</v>
      </c>
      <c r="X89">
        <v>379</v>
      </c>
      <c r="Y89" t="s">
        <v>101</v>
      </c>
    </row>
    <row r="90" spans="1:25" ht="16" customHeight="1" x14ac:dyDescent="0.2">
      <c r="A90" s="1" t="s">
        <v>218</v>
      </c>
      <c r="B90" s="2" t="s">
        <v>191</v>
      </c>
      <c r="C90" s="2">
        <v>15</v>
      </c>
      <c r="D90" s="2" t="s">
        <v>112</v>
      </c>
      <c r="E90" s="2">
        <v>5528</v>
      </c>
      <c r="F90" s="2">
        <v>1</v>
      </c>
      <c r="G90" s="2">
        <v>-1</v>
      </c>
      <c r="H90" s="2">
        <v>2</v>
      </c>
      <c r="I90" s="2">
        <v>3</v>
      </c>
      <c r="J90" s="2">
        <v>1</v>
      </c>
      <c r="K90" s="2">
        <v>4</v>
      </c>
      <c r="L90" s="2">
        <v>1</v>
      </c>
      <c r="M90" s="2">
        <v>0</v>
      </c>
      <c r="N90" s="2">
        <v>0</v>
      </c>
      <c r="O90" s="2">
        <v>0</v>
      </c>
      <c r="P90" s="2">
        <v>1</v>
      </c>
      <c r="Q90">
        <v>1</v>
      </c>
      <c r="R90">
        <v>0</v>
      </c>
      <c r="S90">
        <v>-1</v>
      </c>
      <c r="T90">
        <v>0</v>
      </c>
      <c r="U90">
        <v>0</v>
      </c>
      <c r="V90">
        <v>0</v>
      </c>
      <c r="W90">
        <v>0</v>
      </c>
      <c r="X90">
        <v>362</v>
      </c>
      <c r="Y90" t="s">
        <v>101</v>
      </c>
    </row>
    <row r="91" spans="1:25" ht="16" customHeight="1" x14ac:dyDescent="0.2">
      <c r="A91" s="1" t="s">
        <v>219</v>
      </c>
      <c r="B91" s="2" t="s">
        <v>181</v>
      </c>
      <c r="C91" s="2">
        <v>15</v>
      </c>
      <c r="D91" s="2" t="s">
        <v>115</v>
      </c>
      <c r="E91" s="2">
        <v>1591</v>
      </c>
      <c r="F91" s="2">
        <v>1</v>
      </c>
      <c r="G91" s="2">
        <v>-1</v>
      </c>
      <c r="H91" s="2">
        <v>5</v>
      </c>
      <c r="I91" s="2">
        <v>3</v>
      </c>
      <c r="J91" s="2">
        <v>1</v>
      </c>
      <c r="K91" s="2">
        <v>2</v>
      </c>
      <c r="L91" s="2">
        <v>0</v>
      </c>
      <c r="M91" s="2">
        <v>1</v>
      </c>
      <c r="N91" s="2">
        <v>1</v>
      </c>
      <c r="O91" s="2">
        <v>0</v>
      </c>
      <c r="P91" s="2">
        <v>0</v>
      </c>
      <c r="Q91">
        <v>0</v>
      </c>
      <c r="R91">
        <v>0</v>
      </c>
      <c r="S91">
        <v>2</v>
      </c>
      <c r="T91">
        <v>1</v>
      </c>
      <c r="U91">
        <v>1</v>
      </c>
      <c r="V91">
        <v>0</v>
      </c>
      <c r="W91">
        <v>0</v>
      </c>
      <c r="X91">
        <v>299</v>
      </c>
      <c r="Y91" t="s">
        <v>101</v>
      </c>
    </row>
    <row r="92" spans="1:25" ht="16" customHeight="1" x14ac:dyDescent="0.2">
      <c r="A92" s="1" t="s">
        <v>220</v>
      </c>
      <c r="B92" s="2" t="s">
        <v>99</v>
      </c>
      <c r="C92" s="2">
        <v>16</v>
      </c>
      <c r="D92" s="2" t="s">
        <v>100</v>
      </c>
      <c r="E92" s="2">
        <v>378</v>
      </c>
      <c r="F92" s="2">
        <v>0</v>
      </c>
      <c r="G92" s="2">
        <v>0</v>
      </c>
      <c r="H92" s="2">
        <v>3</v>
      </c>
      <c r="I92" s="2">
        <v>1</v>
      </c>
      <c r="J92" s="2">
        <v>2</v>
      </c>
      <c r="K92" s="2">
        <v>2</v>
      </c>
      <c r="L92" s="2">
        <v>0</v>
      </c>
      <c r="M92" s="2">
        <v>1</v>
      </c>
      <c r="N92" s="2">
        <v>0</v>
      </c>
      <c r="O92" s="2">
        <v>1</v>
      </c>
      <c r="P92" s="2">
        <v>0</v>
      </c>
      <c r="Q92">
        <v>0</v>
      </c>
      <c r="R92">
        <v>0</v>
      </c>
      <c r="S92">
        <v>2</v>
      </c>
      <c r="T92">
        <v>1</v>
      </c>
      <c r="U92">
        <v>0</v>
      </c>
      <c r="V92">
        <v>0</v>
      </c>
      <c r="W92">
        <v>0</v>
      </c>
      <c r="X92">
        <v>319</v>
      </c>
      <c r="Y92" t="s">
        <v>101</v>
      </c>
    </row>
    <row r="93" spans="1:25" ht="16" customHeight="1" x14ac:dyDescent="0.2">
      <c r="A93" s="1" t="s">
        <v>221</v>
      </c>
      <c r="B93" s="2" t="s">
        <v>99</v>
      </c>
      <c r="C93" s="2">
        <v>16</v>
      </c>
      <c r="D93" s="2" t="s">
        <v>103</v>
      </c>
      <c r="E93" s="2">
        <v>1585</v>
      </c>
      <c r="F93" s="2">
        <v>1</v>
      </c>
      <c r="G93" s="2">
        <v>1</v>
      </c>
      <c r="H93" s="2">
        <v>2</v>
      </c>
      <c r="I93" s="2">
        <v>3</v>
      </c>
      <c r="J93" s="2">
        <v>2</v>
      </c>
      <c r="K93" s="2">
        <v>1</v>
      </c>
      <c r="L93" s="2">
        <v>0</v>
      </c>
      <c r="M93" s="2">
        <v>0</v>
      </c>
      <c r="N93" s="2">
        <v>0</v>
      </c>
      <c r="O93" s="2">
        <v>1</v>
      </c>
      <c r="P93" s="2">
        <v>1</v>
      </c>
      <c r="Q93">
        <v>1</v>
      </c>
      <c r="R93">
        <v>0</v>
      </c>
      <c r="S93">
        <v>1</v>
      </c>
      <c r="T93">
        <v>-1</v>
      </c>
      <c r="U93">
        <v>0</v>
      </c>
      <c r="V93">
        <v>1</v>
      </c>
      <c r="W93">
        <v>1</v>
      </c>
      <c r="X93">
        <v>362</v>
      </c>
      <c r="Y93" t="s">
        <v>101</v>
      </c>
    </row>
    <row r="94" spans="1:25" ht="16" customHeight="1" x14ac:dyDescent="0.2">
      <c r="A94" s="1" t="s">
        <v>222</v>
      </c>
      <c r="B94" s="2" t="s">
        <v>151</v>
      </c>
      <c r="C94" s="2">
        <v>16</v>
      </c>
      <c r="D94" s="2" t="s">
        <v>106</v>
      </c>
      <c r="E94" s="2">
        <v>6947</v>
      </c>
      <c r="F94" s="2">
        <v>1</v>
      </c>
      <c r="G94" s="2">
        <v>-1</v>
      </c>
      <c r="H94" s="2">
        <v>2</v>
      </c>
      <c r="I94" s="2">
        <v>2</v>
      </c>
      <c r="J94" s="2">
        <v>3</v>
      </c>
      <c r="K94" s="2">
        <v>3</v>
      </c>
      <c r="L94" s="2">
        <v>0</v>
      </c>
      <c r="M94" s="2">
        <v>1</v>
      </c>
      <c r="N94" s="2">
        <v>0</v>
      </c>
      <c r="O94" s="2">
        <v>0</v>
      </c>
      <c r="P94" s="2">
        <v>0</v>
      </c>
      <c r="Q94">
        <v>1</v>
      </c>
      <c r="R94">
        <v>0</v>
      </c>
      <c r="S94">
        <v>2</v>
      </c>
      <c r="T94">
        <v>0</v>
      </c>
      <c r="U94">
        <v>0</v>
      </c>
      <c r="V94">
        <v>1</v>
      </c>
      <c r="W94">
        <v>1</v>
      </c>
      <c r="X94">
        <v>100</v>
      </c>
      <c r="Y94" t="s">
        <v>101</v>
      </c>
    </row>
    <row r="95" spans="1:25" ht="16" customHeight="1" x14ac:dyDescent="0.2">
      <c r="A95" s="1" t="s">
        <v>223</v>
      </c>
      <c r="B95" s="2" t="s">
        <v>181</v>
      </c>
      <c r="C95" s="2">
        <v>16</v>
      </c>
      <c r="D95" s="2" t="s">
        <v>109</v>
      </c>
      <c r="E95" s="2">
        <v>353</v>
      </c>
      <c r="F95" s="2">
        <v>1</v>
      </c>
      <c r="G95" s="2">
        <v>-1</v>
      </c>
      <c r="H95" s="2">
        <v>4</v>
      </c>
      <c r="I95" s="2">
        <v>3</v>
      </c>
      <c r="J95" s="2">
        <v>1</v>
      </c>
      <c r="K95" s="2">
        <v>1</v>
      </c>
      <c r="L95" s="2">
        <v>0</v>
      </c>
      <c r="M95" s="2">
        <v>0</v>
      </c>
      <c r="N95" s="2">
        <v>1</v>
      </c>
      <c r="O95" s="2">
        <v>1</v>
      </c>
      <c r="P95" s="2">
        <v>0</v>
      </c>
      <c r="Q95">
        <v>0</v>
      </c>
      <c r="R95">
        <v>0</v>
      </c>
      <c r="S95">
        <v>2</v>
      </c>
      <c r="T95">
        <v>1</v>
      </c>
      <c r="U95">
        <v>1</v>
      </c>
      <c r="V95">
        <v>1</v>
      </c>
      <c r="W95">
        <v>1</v>
      </c>
      <c r="X95">
        <v>367</v>
      </c>
      <c r="Y95" t="s">
        <v>101</v>
      </c>
    </row>
    <row r="96" spans="1:25" ht="16" customHeight="1" x14ac:dyDescent="0.2">
      <c r="A96" s="1" t="s">
        <v>224</v>
      </c>
      <c r="B96" s="2" t="s">
        <v>229</v>
      </c>
      <c r="C96" s="2">
        <v>16</v>
      </c>
      <c r="D96" s="2" t="s">
        <v>112</v>
      </c>
      <c r="E96" s="2">
        <v>4930</v>
      </c>
      <c r="F96" s="2">
        <v>0</v>
      </c>
      <c r="G96" s="2">
        <v>1</v>
      </c>
      <c r="H96" s="2">
        <v>5</v>
      </c>
      <c r="I96" s="2">
        <v>3</v>
      </c>
      <c r="J96" s="2">
        <v>1</v>
      </c>
      <c r="K96" s="2">
        <v>5</v>
      </c>
      <c r="L96" s="2">
        <v>1</v>
      </c>
      <c r="M96" s="2">
        <v>1</v>
      </c>
      <c r="N96" s="2">
        <v>1</v>
      </c>
      <c r="O96" s="2">
        <v>0</v>
      </c>
      <c r="P96" s="2">
        <v>0</v>
      </c>
      <c r="Q96">
        <v>0</v>
      </c>
      <c r="R96">
        <v>1</v>
      </c>
      <c r="S96">
        <v>2</v>
      </c>
      <c r="T96">
        <v>-1</v>
      </c>
      <c r="U96">
        <v>1</v>
      </c>
      <c r="V96">
        <v>0</v>
      </c>
      <c r="W96">
        <v>0</v>
      </c>
      <c r="X96">
        <v>316</v>
      </c>
      <c r="Y96" t="s">
        <v>101</v>
      </c>
    </row>
    <row r="97" spans="1:25" ht="16" customHeight="1" x14ac:dyDescent="0.2">
      <c r="A97" s="1" t="s">
        <v>225</v>
      </c>
      <c r="B97" s="2" t="s">
        <v>105</v>
      </c>
      <c r="C97" s="2">
        <v>16</v>
      </c>
      <c r="D97" s="2" t="s">
        <v>115</v>
      </c>
      <c r="E97" s="2">
        <v>48</v>
      </c>
      <c r="F97" s="2">
        <v>0</v>
      </c>
      <c r="G97" s="2">
        <v>0</v>
      </c>
      <c r="H97" s="2">
        <v>4</v>
      </c>
      <c r="I97" s="2">
        <v>1</v>
      </c>
      <c r="J97" s="2">
        <v>2</v>
      </c>
      <c r="K97" s="2">
        <v>1</v>
      </c>
      <c r="L97" s="2">
        <v>1</v>
      </c>
      <c r="M97" s="2">
        <v>0</v>
      </c>
      <c r="N97" s="2">
        <v>0</v>
      </c>
      <c r="O97" s="2">
        <v>1</v>
      </c>
      <c r="P97" s="2">
        <v>1</v>
      </c>
      <c r="Q97">
        <v>1</v>
      </c>
      <c r="R97">
        <v>0</v>
      </c>
      <c r="S97">
        <v>1</v>
      </c>
      <c r="T97">
        <v>1</v>
      </c>
      <c r="U97">
        <v>0</v>
      </c>
      <c r="V97">
        <v>1</v>
      </c>
      <c r="W97">
        <v>1</v>
      </c>
      <c r="X97">
        <v>301</v>
      </c>
      <c r="Y97" t="s">
        <v>101</v>
      </c>
    </row>
    <row r="98" spans="1:25" ht="16" customHeight="1" x14ac:dyDescent="0.2">
      <c r="A98" s="1" t="s">
        <v>226</v>
      </c>
      <c r="B98" s="2" t="s">
        <v>229</v>
      </c>
      <c r="C98" s="2">
        <v>17</v>
      </c>
      <c r="D98" s="2" t="s">
        <v>100</v>
      </c>
      <c r="E98" s="2">
        <v>424</v>
      </c>
      <c r="F98" s="2">
        <v>0</v>
      </c>
      <c r="G98" s="2">
        <v>-1</v>
      </c>
      <c r="H98" s="2">
        <v>3</v>
      </c>
      <c r="I98" s="2">
        <v>3</v>
      </c>
      <c r="J98" s="2">
        <v>3</v>
      </c>
      <c r="K98" s="2">
        <v>5</v>
      </c>
      <c r="L98" s="2">
        <v>1</v>
      </c>
      <c r="M98" s="2">
        <v>0</v>
      </c>
      <c r="N98" s="2">
        <v>0</v>
      </c>
      <c r="O98" s="2">
        <v>1</v>
      </c>
      <c r="P98" s="2">
        <v>0</v>
      </c>
      <c r="Q98">
        <v>0</v>
      </c>
      <c r="R98">
        <v>0</v>
      </c>
      <c r="S98">
        <v>1</v>
      </c>
      <c r="T98">
        <v>-1</v>
      </c>
      <c r="U98">
        <v>0</v>
      </c>
      <c r="V98">
        <v>1</v>
      </c>
      <c r="W98">
        <v>1</v>
      </c>
      <c r="X98">
        <v>210</v>
      </c>
      <c r="Y98" t="s">
        <v>101</v>
      </c>
    </row>
    <row r="99" spans="1:25" ht="16" customHeight="1" x14ac:dyDescent="0.2">
      <c r="A99" s="1" t="s">
        <v>227</v>
      </c>
      <c r="B99" s="2" t="s">
        <v>105</v>
      </c>
      <c r="C99" s="2">
        <v>17</v>
      </c>
      <c r="D99" s="2" t="s">
        <v>103</v>
      </c>
      <c r="E99" s="2">
        <v>2228</v>
      </c>
      <c r="F99" s="2">
        <v>0</v>
      </c>
      <c r="G99" s="2">
        <v>1</v>
      </c>
      <c r="H99" s="2">
        <v>4</v>
      </c>
      <c r="I99" s="2">
        <v>3</v>
      </c>
      <c r="J99" s="2">
        <v>3</v>
      </c>
      <c r="K99" s="2">
        <v>5</v>
      </c>
      <c r="L99" s="2">
        <v>0</v>
      </c>
      <c r="M99" s="2">
        <v>1</v>
      </c>
      <c r="N99" s="2">
        <v>1</v>
      </c>
      <c r="O99" s="2">
        <v>0</v>
      </c>
      <c r="P99" s="2">
        <v>0</v>
      </c>
      <c r="Q99">
        <v>1</v>
      </c>
      <c r="R99">
        <v>1</v>
      </c>
      <c r="S99">
        <v>2</v>
      </c>
      <c r="T99">
        <v>-1</v>
      </c>
      <c r="U99">
        <v>1</v>
      </c>
      <c r="V99">
        <v>0</v>
      </c>
      <c r="W99">
        <v>0</v>
      </c>
      <c r="X99">
        <v>218</v>
      </c>
      <c r="Y99" t="s">
        <v>101</v>
      </c>
    </row>
    <row r="100" spans="1:25" ht="16" customHeight="1" x14ac:dyDescent="0.2">
      <c r="A100" s="1" t="s">
        <v>228</v>
      </c>
      <c r="B100" s="2" t="s">
        <v>170</v>
      </c>
      <c r="C100" s="2">
        <v>17</v>
      </c>
      <c r="D100" s="2" t="s">
        <v>106</v>
      </c>
      <c r="E100" s="2">
        <v>1787</v>
      </c>
      <c r="F100" s="2">
        <v>1</v>
      </c>
      <c r="G100" s="2">
        <v>1</v>
      </c>
      <c r="H100" s="2">
        <v>1</v>
      </c>
      <c r="I100" s="2">
        <v>1</v>
      </c>
      <c r="J100" s="2">
        <v>1</v>
      </c>
      <c r="K100" s="2">
        <v>3</v>
      </c>
      <c r="L100" s="2">
        <v>1</v>
      </c>
      <c r="M100" s="2">
        <v>1</v>
      </c>
      <c r="N100" s="2">
        <v>1</v>
      </c>
      <c r="O100" s="2">
        <v>1</v>
      </c>
      <c r="P100" s="2">
        <v>1</v>
      </c>
      <c r="Q100">
        <v>0</v>
      </c>
      <c r="R100">
        <v>0</v>
      </c>
      <c r="S100">
        <v>2</v>
      </c>
      <c r="T100">
        <v>-1</v>
      </c>
      <c r="U100">
        <v>1</v>
      </c>
      <c r="V100">
        <v>1</v>
      </c>
      <c r="W100">
        <v>0</v>
      </c>
      <c r="X100">
        <v>58</v>
      </c>
      <c r="Y100" t="s">
        <v>101</v>
      </c>
    </row>
    <row r="101" spans="1:25" ht="16" customHeight="1" x14ac:dyDescent="0.2">
      <c r="A101" s="1" t="s">
        <v>230</v>
      </c>
      <c r="B101" s="2" t="s">
        <v>114</v>
      </c>
      <c r="C101" s="2">
        <v>17</v>
      </c>
      <c r="D101" s="2" t="s">
        <v>109</v>
      </c>
      <c r="E101" s="2">
        <v>1781</v>
      </c>
      <c r="F101" s="2">
        <v>1</v>
      </c>
      <c r="G101" s="2">
        <v>1</v>
      </c>
      <c r="H101" s="2">
        <v>4</v>
      </c>
      <c r="I101" s="2">
        <v>3</v>
      </c>
      <c r="J101" s="2">
        <v>3</v>
      </c>
      <c r="K101" s="2">
        <v>4</v>
      </c>
      <c r="L101" s="2">
        <v>0</v>
      </c>
      <c r="M101" s="2">
        <v>0</v>
      </c>
      <c r="N101" s="2">
        <v>1</v>
      </c>
      <c r="O101" s="2">
        <v>1</v>
      </c>
      <c r="P101" s="2">
        <v>0</v>
      </c>
      <c r="Q101">
        <v>1</v>
      </c>
      <c r="R101">
        <v>1</v>
      </c>
      <c r="S101">
        <v>3</v>
      </c>
      <c r="T101">
        <v>0</v>
      </c>
      <c r="U101">
        <v>0</v>
      </c>
      <c r="V101">
        <v>0</v>
      </c>
      <c r="W101">
        <v>0</v>
      </c>
      <c r="X101">
        <v>62</v>
      </c>
      <c r="Y101" t="s">
        <v>101</v>
      </c>
    </row>
    <row r="102" spans="1:25" ht="16" customHeight="1" x14ac:dyDescent="0.2">
      <c r="A102" s="1" t="s">
        <v>231</v>
      </c>
      <c r="B102" s="2" t="s">
        <v>126</v>
      </c>
      <c r="C102" s="2">
        <v>17</v>
      </c>
      <c r="D102" s="2" t="s">
        <v>112</v>
      </c>
      <c r="E102" s="2">
        <v>1507</v>
      </c>
      <c r="F102" s="2">
        <v>0</v>
      </c>
      <c r="G102" s="2">
        <v>0</v>
      </c>
      <c r="H102" s="2">
        <v>5</v>
      </c>
      <c r="I102" s="2">
        <v>2</v>
      </c>
      <c r="J102" s="2">
        <v>3</v>
      </c>
      <c r="K102" s="2">
        <v>2</v>
      </c>
      <c r="L102" s="2">
        <v>1</v>
      </c>
      <c r="M102" s="2">
        <v>1</v>
      </c>
      <c r="N102" s="2">
        <v>1</v>
      </c>
      <c r="O102" s="2">
        <v>1</v>
      </c>
      <c r="P102" s="2">
        <v>1</v>
      </c>
      <c r="Q102">
        <v>1</v>
      </c>
      <c r="R102">
        <v>1</v>
      </c>
      <c r="S102">
        <v>3</v>
      </c>
      <c r="T102">
        <v>0</v>
      </c>
      <c r="U102">
        <v>1</v>
      </c>
      <c r="V102">
        <v>1</v>
      </c>
      <c r="W102">
        <v>0</v>
      </c>
      <c r="X102">
        <v>190</v>
      </c>
      <c r="Y102" t="s">
        <v>101</v>
      </c>
    </row>
    <row r="103" spans="1:25" ht="16" customHeight="1" x14ac:dyDescent="0.2">
      <c r="A103" s="1" t="s">
        <v>232</v>
      </c>
      <c r="B103" s="2" t="s">
        <v>161</v>
      </c>
      <c r="C103" s="2">
        <v>17</v>
      </c>
      <c r="D103" s="2" t="s">
        <v>115</v>
      </c>
      <c r="E103" s="2">
        <v>2340</v>
      </c>
      <c r="F103" s="2">
        <v>1</v>
      </c>
      <c r="G103" s="2">
        <v>1</v>
      </c>
      <c r="H103" s="2">
        <v>1</v>
      </c>
      <c r="I103" s="2">
        <v>3</v>
      </c>
      <c r="J103" s="2">
        <v>1</v>
      </c>
      <c r="K103" s="2">
        <v>1</v>
      </c>
      <c r="L103" s="2">
        <v>1</v>
      </c>
      <c r="M103" s="2">
        <v>0</v>
      </c>
      <c r="N103" s="2">
        <v>1</v>
      </c>
      <c r="O103" s="2">
        <v>1</v>
      </c>
      <c r="P103" s="2">
        <v>1</v>
      </c>
      <c r="Q103">
        <v>1</v>
      </c>
      <c r="R103">
        <v>1</v>
      </c>
      <c r="S103">
        <v>1</v>
      </c>
      <c r="T103">
        <v>0</v>
      </c>
      <c r="U103">
        <v>0</v>
      </c>
      <c r="V103">
        <v>1</v>
      </c>
      <c r="W103">
        <v>0</v>
      </c>
      <c r="X103">
        <v>237</v>
      </c>
      <c r="Y103" t="s">
        <v>101</v>
      </c>
    </row>
    <row r="104" spans="1:25" ht="16" customHeight="1" x14ac:dyDescent="0.2">
      <c r="A104" s="1" t="s">
        <v>233</v>
      </c>
      <c r="B104" s="2" t="s">
        <v>159</v>
      </c>
      <c r="C104" s="2">
        <v>18</v>
      </c>
      <c r="D104" s="2" t="s">
        <v>100</v>
      </c>
      <c r="E104" s="2">
        <v>325</v>
      </c>
      <c r="F104" s="2">
        <v>1</v>
      </c>
      <c r="G104" s="2">
        <v>-1</v>
      </c>
      <c r="H104" s="2">
        <v>2</v>
      </c>
      <c r="I104" s="2">
        <v>3</v>
      </c>
      <c r="J104" s="2">
        <v>2</v>
      </c>
      <c r="K104" s="2">
        <v>3</v>
      </c>
      <c r="L104" s="2">
        <v>0</v>
      </c>
      <c r="M104" s="2">
        <v>1</v>
      </c>
      <c r="N104" s="2">
        <v>0</v>
      </c>
      <c r="O104" s="2">
        <v>0</v>
      </c>
      <c r="P104" s="2">
        <v>1</v>
      </c>
      <c r="Q104">
        <v>1</v>
      </c>
      <c r="R104">
        <v>0</v>
      </c>
      <c r="S104">
        <v>4</v>
      </c>
      <c r="T104">
        <v>1</v>
      </c>
      <c r="U104">
        <v>1</v>
      </c>
      <c r="V104">
        <v>0</v>
      </c>
      <c r="W104">
        <v>0</v>
      </c>
      <c r="X104">
        <v>71</v>
      </c>
      <c r="Y104" t="s">
        <v>101</v>
      </c>
    </row>
    <row r="105" spans="1:25" ht="16" customHeight="1" x14ac:dyDescent="0.2">
      <c r="A105" s="1" t="s">
        <v>234</v>
      </c>
      <c r="B105" s="2" t="s">
        <v>99</v>
      </c>
      <c r="C105" s="2">
        <v>18</v>
      </c>
      <c r="D105" s="2" t="s">
        <v>103</v>
      </c>
      <c r="E105" s="2">
        <v>694</v>
      </c>
      <c r="F105" s="2">
        <v>1</v>
      </c>
      <c r="G105" s="2">
        <v>0</v>
      </c>
      <c r="H105" s="2">
        <v>4</v>
      </c>
      <c r="I105" s="2">
        <v>2</v>
      </c>
      <c r="J105" s="2">
        <v>1</v>
      </c>
      <c r="K105" s="2">
        <v>2</v>
      </c>
      <c r="L105" s="2">
        <v>1</v>
      </c>
      <c r="M105" s="2">
        <v>1</v>
      </c>
      <c r="N105" s="2">
        <v>1</v>
      </c>
      <c r="O105" s="2">
        <v>0</v>
      </c>
      <c r="P105" s="2">
        <v>0</v>
      </c>
      <c r="Q105">
        <v>1</v>
      </c>
      <c r="R105">
        <v>0</v>
      </c>
      <c r="S105">
        <v>4</v>
      </c>
      <c r="T105">
        <v>0</v>
      </c>
      <c r="U105">
        <v>1</v>
      </c>
      <c r="V105">
        <v>0</v>
      </c>
      <c r="W105">
        <v>1</v>
      </c>
      <c r="X105">
        <v>458</v>
      </c>
      <c r="Y105" t="s">
        <v>101</v>
      </c>
    </row>
    <row r="106" spans="1:25" ht="16" customHeight="1" x14ac:dyDescent="0.2">
      <c r="A106" s="1" t="s">
        <v>235</v>
      </c>
      <c r="B106" s="2" t="s">
        <v>191</v>
      </c>
      <c r="C106" s="2">
        <v>18</v>
      </c>
      <c r="D106" s="2" t="s">
        <v>106</v>
      </c>
      <c r="E106" s="2">
        <v>1559</v>
      </c>
      <c r="F106" s="2">
        <v>1</v>
      </c>
      <c r="G106" s="2">
        <v>-1</v>
      </c>
      <c r="H106" s="2">
        <v>1</v>
      </c>
      <c r="I106" s="2">
        <v>3</v>
      </c>
      <c r="J106" s="2">
        <v>1</v>
      </c>
      <c r="K106" s="2">
        <v>4</v>
      </c>
      <c r="L106" s="2">
        <v>1</v>
      </c>
      <c r="M106" s="2">
        <v>1</v>
      </c>
      <c r="N106" s="2">
        <v>0</v>
      </c>
      <c r="O106" s="2">
        <v>1</v>
      </c>
      <c r="P106" s="2">
        <v>0</v>
      </c>
      <c r="Q106">
        <v>0</v>
      </c>
      <c r="R106">
        <v>1</v>
      </c>
      <c r="S106">
        <v>4</v>
      </c>
      <c r="T106">
        <v>0</v>
      </c>
      <c r="U106">
        <v>1</v>
      </c>
      <c r="V106">
        <v>1</v>
      </c>
      <c r="W106">
        <v>0</v>
      </c>
      <c r="X106">
        <v>346</v>
      </c>
      <c r="Y106" t="s">
        <v>101</v>
      </c>
    </row>
    <row r="107" spans="1:25" ht="16" customHeight="1" x14ac:dyDescent="0.2">
      <c r="A107" s="1" t="s">
        <v>236</v>
      </c>
      <c r="B107" s="2" t="s">
        <v>191</v>
      </c>
      <c r="C107" s="2">
        <v>18</v>
      </c>
      <c r="D107" s="2" t="s">
        <v>109</v>
      </c>
      <c r="E107" s="2">
        <v>191</v>
      </c>
      <c r="F107" s="2">
        <v>1</v>
      </c>
      <c r="G107" s="2">
        <v>0</v>
      </c>
      <c r="H107" s="2">
        <v>2</v>
      </c>
      <c r="I107" s="2">
        <v>2</v>
      </c>
      <c r="J107" s="2">
        <v>1</v>
      </c>
      <c r="K107" s="2">
        <v>5</v>
      </c>
      <c r="L107" s="2">
        <v>0</v>
      </c>
      <c r="M107" s="2">
        <v>0</v>
      </c>
      <c r="N107" s="2">
        <v>1</v>
      </c>
      <c r="O107" s="2">
        <v>1</v>
      </c>
      <c r="P107" s="2">
        <v>1</v>
      </c>
      <c r="Q107">
        <v>0</v>
      </c>
      <c r="R107">
        <v>1</v>
      </c>
      <c r="S107">
        <v>2</v>
      </c>
      <c r="T107">
        <v>1</v>
      </c>
      <c r="U107">
        <v>1</v>
      </c>
      <c r="V107">
        <v>0</v>
      </c>
      <c r="W107">
        <v>1</v>
      </c>
      <c r="X107">
        <v>289</v>
      </c>
      <c r="Y107" t="s">
        <v>101</v>
      </c>
    </row>
    <row r="108" spans="1:25" ht="16" customHeight="1" x14ac:dyDescent="0.2">
      <c r="A108" s="1" t="s">
        <v>237</v>
      </c>
      <c r="B108" s="2" t="s">
        <v>181</v>
      </c>
      <c r="C108" s="2">
        <v>18</v>
      </c>
      <c r="D108" s="2" t="s">
        <v>112</v>
      </c>
      <c r="E108" s="2">
        <v>340</v>
      </c>
      <c r="F108" s="2">
        <v>1</v>
      </c>
      <c r="G108" s="2">
        <v>1</v>
      </c>
      <c r="H108" s="2">
        <v>1</v>
      </c>
      <c r="I108" s="2">
        <v>2</v>
      </c>
      <c r="J108" s="2">
        <v>2</v>
      </c>
      <c r="K108" s="2">
        <v>4</v>
      </c>
      <c r="L108" s="2">
        <v>1</v>
      </c>
      <c r="M108" s="2">
        <v>0</v>
      </c>
      <c r="N108" s="2">
        <v>1</v>
      </c>
      <c r="O108" s="2">
        <v>0</v>
      </c>
      <c r="P108" s="2">
        <v>1</v>
      </c>
      <c r="Q108">
        <v>1</v>
      </c>
      <c r="R108">
        <v>1</v>
      </c>
      <c r="S108">
        <v>1</v>
      </c>
      <c r="T108">
        <v>1</v>
      </c>
      <c r="U108">
        <v>0</v>
      </c>
      <c r="V108">
        <v>0</v>
      </c>
      <c r="W108">
        <v>0</v>
      </c>
      <c r="X108">
        <v>459</v>
      </c>
      <c r="Y108" t="s">
        <v>101</v>
      </c>
    </row>
    <row r="109" spans="1:25" ht="16" customHeight="1" x14ac:dyDescent="0.2">
      <c r="A109" s="1" t="s">
        <v>238</v>
      </c>
      <c r="B109" s="2" t="s">
        <v>146</v>
      </c>
      <c r="C109" s="2">
        <v>18</v>
      </c>
      <c r="D109" s="2" t="s">
        <v>115</v>
      </c>
      <c r="E109" s="2">
        <v>3044</v>
      </c>
      <c r="F109" s="2">
        <v>1</v>
      </c>
      <c r="G109" s="2">
        <v>0</v>
      </c>
      <c r="H109" s="2">
        <v>5</v>
      </c>
      <c r="I109" s="2">
        <v>2</v>
      </c>
      <c r="J109" s="2">
        <v>2</v>
      </c>
      <c r="K109" s="2">
        <v>2</v>
      </c>
      <c r="L109" s="2">
        <v>1</v>
      </c>
      <c r="M109" s="2">
        <v>1</v>
      </c>
      <c r="N109" s="2">
        <v>1</v>
      </c>
      <c r="O109" s="2">
        <v>0</v>
      </c>
      <c r="P109" s="2">
        <v>1</v>
      </c>
      <c r="Q109">
        <v>0</v>
      </c>
      <c r="R109">
        <v>1</v>
      </c>
      <c r="S109">
        <v>4</v>
      </c>
      <c r="T109">
        <v>0</v>
      </c>
      <c r="U109">
        <v>1</v>
      </c>
      <c r="V109">
        <v>1</v>
      </c>
      <c r="W109">
        <v>0</v>
      </c>
      <c r="X109">
        <v>245</v>
      </c>
      <c r="Y109" t="s">
        <v>101</v>
      </c>
    </row>
    <row r="110" spans="1:25" ht="16" customHeight="1" x14ac:dyDescent="0.2">
      <c r="A110" s="1" t="s">
        <v>239</v>
      </c>
      <c r="B110" s="2" t="s">
        <v>130</v>
      </c>
      <c r="C110" s="2">
        <v>19</v>
      </c>
      <c r="D110" s="2" t="s">
        <v>100</v>
      </c>
      <c r="E110" s="2">
        <v>4253</v>
      </c>
      <c r="F110" s="2">
        <v>0</v>
      </c>
      <c r="G110" s="2">
        <v>-1</v>
      </c>
      <c r="H110" s="2">
        <v>4</v>
      </c>
      <c r="I110" s="2">
        <v>2</v>
      </c>
      <c r="J110" s="2">
        <v>2</v>
      </c>
      <c r="K110" s="2">
        <v>2</v>
      </c>
      <c r="L110" s="2">
        <v>0</v>
      </c>
      <c r="M110" s="2">
        <v>0</v>
      </c>
      <c r="N110" s="2">
        <v>0</v>
      </c>
      <c r="O110" s="2">
        <v>1</v>
      </c>
      <c r="P110" s="2">
        <v>1</v>
      </c>
      <c r="Q110">
        <v>0</v>
      </c>
      <c r="R110">
        <v>0</v>
      </c>
      <c r="S110">
        <v>3</v>
      </c>
      <c r="T110">
        <v>1</v>
      </c>
      <c r="U110">
        <v>1</v>
      </c>
      <c r="V110">
        <v>1</v>
      </c>
      <c r="W110">
        <v>0</v>
      </c>
      <c r="X110">
        <v>78</v>
      </c>
      <c r="Y110" t="s">
        <v>101</v>
      </c>
    </row>
    <row r="111" spans="1:25" ht="16" customHeight="1" x14ac:dyDescent="0.2">
      <c r="A111" s="1" t="s">
        <v>240</v>
      </c>
      <c r="B111" s="2" t="s">
        <v>136</v>
      </c>
      <c r="C111" s="2">
        <v>19</v>
      </c>
      <c r="D111" s="2" t="s">
        <v>103</v>
      </c>
      <c r="E111" s="2">
        <v>3173</v>
      </c>
      <c r="F111" s="2">
        <v>0</v>
      </c>
      <c r="G111" s="2">
        <v>0</v>
      </c>
      <c r="H111" s="2">
        <v>2</v>
      </c>
      <c r="I111" s="2">
        <v>1</v>
      </c>
      <c r="J111" s="2">
        <v>1</v>
      </c>
      <c r="K111" s="2">
        <v>4</v>
      </c>
      <c r="L111" s="2">
        <v>1</v>
      </c>
      <c r="M111" s="2">
        <v>1</v>
      </c>
      <c r="N111" s="2">
        <v>0</v>
      </c>
      <c r="O111" s="2">
        <v>0</v>
      </c>
      <c r="P111" s="2">
        <v>1</v>
      </c>
      <c r="Q111">
        <v>0</v>
      </c>
      <c r="R111">
        <v>0</v>
      </c>
      <c r="S111">
        <v>4</v>
      </c>
      <c r="T111">
        <v>0</v>
      </c>
      <c r="U111">
        <v>0</v>
      </c>
      <c r="V111">
        <v>0</v>
      </c>
      <c r="W111">
        <v>1</v>
      </c>
      <c r="X111">
        <v>348</v>
      </c>
      <c r="Y111" t="s">
        <v>101</v>
      </c>
    </row>
    <row r="112" spans="1:25" ht="16" customHeight="1" x14ac:dyDescent="0.2">
      <c r="A112" s="1" t="s">
        <v>241</v>
      </c>
      <c r="B112" s="2" t="s">
        <v>146</v>
      </c>
      <c r="C112" s="2">
        <v>19</v>
      </c>
      <c r="D112" s="2" t="s">
        <v>106</v>
      </c>
      <c r="E112" s="2">
        <v>6868</v>
      </c>
      <c r="F112" s="2">
        <v>1</v>
      </c>
      <c r="G112" s="2">
        <v>0</v>
      </c>
      <c r="H112" s="2">
        <v>1</v>
      </c>
      <c r="I112" s="2">
        <v>1</v>
      </c>
      <c r="J112" s="2">
        <v>2</v>
      </c>
      <c r="K112" s="2">
        <v>1</v>
      </c>
      <c r="L112" s="2">
        <v>1</v>
      </c>
      <c r="M112" s="2">
        <v>1</v>
      </c>
      <c r="N112" s="2">
        <v>0</v>
      </c>
      <c r="O112" s="2">
        <v>0</v>
      </c>
      <c r="P112" s="2">
        <v>1</v>
      </c>
      <c r="Q112">
        <v>1</v>
      </c>
      <c r="R112">
        <v>0</v>
      </c>
      <c r="S112">
        <v>3</v>
      </c>
      <c r="T112">
        <v>1</v>
      </c>
      <c r="U112">
        <v>1</v>
      </c>
      <c r="V112">
        <v>1</v>
      </c>
      <c r="W112">
        <v>0</v>
      </c>
      <c r="X112">
        <v>170</v>
      </c>
      <c r="Y112" t="s">
        <v>101</v>
      </c>
    </row>
    <row r="113" spans="1:25" ht="16" customHeight="1" x14ac:dyDescent="0.2">
      <c r="A113" s="1" t="s">
        <v>242</v>
      </c>
      <c r="B113" s="2" t="s">
        <v>114</v>
      </c>
      <c r="C113" s="2">
        <v>19</v>
      </c>
      <c r="D113" s="2" t="s">
        <v>109</v>
      </c>
      <c r="E113" s="2">
        <v>1511</v>
      </c>
      <c r="F113" s="2">
        <v>0</v>
      </c>
      <c r="G113" s="2">
        <v>1</v>
      </c>
      <c r="H113" s="2">
        <v>5</v>
      </c>
      <c r="I113" s="2">
        <v>2</v>
      </c>
      <c r="J113" s="2">
        <v>3</v>
      </c>
      <c r="K113" s="2">
        <v>1</v>
      </c>
      <c r="L113" s="2">
        <v>0</v>
      </c>
      <c r="M113" s="2">
        <v>1</v>
      </c>
      <c r="N113" s="2">
        <v>0</v>
      </c>
      <c r="O113" s="2">
        <v>1</v>
      </c>
      <c r="P113" s="2">
        <v>1</v>
      </c>
      <c r="Q113">
        <v>0</v>
      </c>
      <c r="R113">
        <v>0</v>
      </c>
      <c r="S113">
        <v>-1</v>
      </c>
      <c r="T113">
        <v>-1</v>
      </c>
      <c r="U113">
        <v>0</v>
      </c>
      <c r="V113">
        <v>0</v>
      </c>
      <c r="W113">
        <v>1</v>
      </c>
      <c r="X113">
        <v>55</v>
      </c>
      <c r="Y113" t="s">
        <v>101</v>
      </c>
    </row>
    <row r="114" spans="1:25" ht="16" customHeight="1" x14ac:dyDescent="0.2">
      <c r="A114" s="1" t="s">
        <v>243</v>
      </c>
      <c r="B114" s="2" t="s">
        <v>130</v>
      </c>
      <c r="C114" s="2">
        <v>19</v>
      </c>
      <c r="D114" s="2" t="s">
        <v>112</v>
      </c>
      <c r="E114" s="2">
        <v>1126</v>
      </c>
      <c r="F114" s="2">
        <v>0</v>
      </c>
      <c r="G114" s="2">
        <v>-1</v>
      </c>
      <c r="H114" s="2">
        <v>4</v>
      </c>
      <c r="I114" s="2">
        <v>2</v>
      </c>
      <c r="J114" s="2">
        <v>1</v>
      </c>
      <c r="K114" s="2">
        <v>3</v>
      </c>
      <c r="L114" s="2">
        <v>0</v>
      </c>
      <c r="M114" s="2">
        <v>1</v>
      </c>
      <c r="N114" s="2">
        <v>0</v>
      </c>
      <c r="O114" s="2">
        <v>1</v>
      </c>
      <c r="P114" s="2">
        <v>1</v>
      </c>
      <c r="Q114">
        <v>1</v>
      </c>
      <c r="R114">
        <v>1</v>
      </c>
      <c r="S114">
        <v>-1</v>
      </c>
      <c r="T114">
        <v>0</v>
      </c>
      <c r="U114">
        <v>0</v>
      </c>
      <c r="V114">
        <v>0</v>
      </c>
      <c r="W114">
        <v>0</v>
      </c>
      <c r="X114">
        <v>281</v>
      </c>
      <c r="Y114" t="s">
        <v>101</v>
      </c>
    </row>
    <row r="115" spans="1:25" ht="16" customHeight="1" x14ac:dyDescent="0.2">
      <c r="A115" s="1" t="s">
        <v>244</v>
      </c>
      <c r="B115" s="2" t="s">
        <v>181</v>
      </c>
      <c r="C115" s="2">
        <v>19</v>
      </c>
      <c r="D115" s="2" t="s">
        <v>115</v>
      </c>
      <c r="E115" s="2">
        <v>1405</v>
      </c>
      <c r="F115" s="2">
        <v>1</v>
      </c>
      <c r="G115" s="2">
        <v>1</v>
      </c>
      <c r="H115" s="2">
        <v>4</v>
      </c>
      <c r="I115" s="2">
        <v>3</v>
      </c>
      <c r="J115" s="2">
        <v>3</v>
      </c>
      <c r="K115" s="2">
        <v>3</v>
      </c>
      <c r="L115" s="2">
        <v>1</v>
      </c>
      <c r="M115" s="2">
        <v>1</v>
      </c>
      <c r="N115" s="2">
        <v>0</v>
      </c>
      <c r="O115" s="2">
        <v>0</v>
      </c>
      <c r="P115" s="2">
        <v>1</v>
      </c>
      <c r="Q115">
        <v>0</v>
      </c>
      <c r="R115">
        <v>1</v>
      </c>
      <c r="S115">
        <v>3</v>
      </c>
      <c r="T115">
        <v>-1</v>
      </c>
      <c r="U115">
        <v>1</v>
      </c>
      <c r="V115">
        <v>0</v>
      </c>
      <c r="W115">
        <v>0</v>
      </c>
      <c r="X115">
        <v>135</v>
      </c>
      <c r="Y115" t="s">
        <v>101</v>
      </c>
    </row>
    <row r="116" spans="1:25" ht="16" customHeight="1" x14ac:dyDescent="0.2">
      <c r="A116" s="1" t="s">
        <v>245</v>
      </c>
      <c r="B116" s="2" t="s">
        <v>124</v>
      </c>
      <c r="C116" s="2">
        <v>20</v>
      </c>
      <c r="D116" s="2" t="s">
        <v>100</v>
      </c>
      <c r="E116" s="2">
        <v>7903</v>
      </c>
      <c r="F116" s="2">
        <v>0</v>
      </c>
      <c r="G116" s="2">
        <v>0</v>
      </c>
      <c r="H116" s="2">
        <v>4</v>
      </c>
      <c r="I116" s="2">
        <v>2</v>
      </c>
      <c r="J116" s="2">
        <v>2</v>
      </c>
      <c r="K116" s="2">
        <v>1</v>
      </c>
      <c r="L116" s="2">
        <v>0</v>
      </c>
      <c r="M116" s="2">
        <v>0</v>
      </c>
      <c r="N116" s="2">
        <v>1</v>
      </c>
      <c r="O116" s="2">
        <v>1</v>
      </c>
      <c r="P116" s="2">
        <v>0</v>
      </c>
      <c r="Q116">
        <v>1</v>
      </c>
      <c r="R116">
        <v>0</v>
      </c>
      <c r="S116">
        <v>2</v>
      </c>
      <c r="T116">
        <v>0</v>
      </c>
      <c r="U116">
        <v>0</v>
      </c>
      <c r="V116">
        <v>1</v>
      </c>
      <c r="W116">
        <v>1</v>
      </c>
      <c r="X116">
        <v>311</v>
      </c>
      <c r="Y116" t="s">
        <v>101</v>
      </c>
    </row>
    <row r="117" spans="1:25" ht="16" customHeight="1" x14ac:dyDescent="0.2">
      <c r="A117" s="1" t="s">
        <v>246</v>
      </c>
      <c r="B117" s="2" t="s">
        <v>229</v>
      </c>
      <c r="C117" s="2">
        <v>20</v>
      </c>
      <c r="D117" s="2" t="s">
        <v>103</v>
      </c>
      <c r="E117" s="2">
        <v>3003</v>
      </c>
      <c r="F117" s="2">
        <v>1</v>
      </c>
      <c r="G117" s="2">
        <v>1</v>
      </c>
      <c r="H117" s="2">
        <v>4</v>
      </c>
      <c r="I117" s="2">
        <v>3</v>
      </c>
      <c r="J117" s="2">
        <v>3</v>
      </c>
      <c r="K117" s="2">
        <v>4</v>
      </c>
      <c r="L117" s="2">
        <v>1</v>
      </c>
      <c r="M117" s="2">
        <v>1</v>
      </c>
      <c r="N117" s="2">
        <v>0</v>
      </c>
      <c r="O117" s="2">
        <v>1</v>
      </c>
      <c r="P117" s="2">
        <v>1</v>
      </c>
      <c r="Q117">
        <v>1</v>
      </c>
      <c r="R117">
        <v>0</v>
      </c>
      <c r="S117">
        <v>1</v>
      </c>
      <c r="T117">
        <v>-1</v>
      </c>
      <c r="U117">
        <v>0</v>
      </c>
      <c r="V117">
        <v>1</v>
      </c>
      <c r="W117">
        <v>0</v>
      </c>
      <c r="X117">
        <v>454</v>
      </c>
      <c r="Y117" t="s">
        <v>101</v>
      </c>
    </row>
    <row r="118" spans="1:25" ht="16" customHeight="1" x14ac:dyDescent="0.2">
      <c r="A118" s="1" t="s">
        <v>247</v>
      </c>
      <c r="B118" s="2" t="s">
        <v>114</v>
      </c>
      <c r="C118" s="2">
        <v>20</v>
      </c>
      <c r="D118" s="2" t="s">
        <v>106</v>
      </c>
      <c r="E118" s="2">
        <v>3181</v>
      </c>
      <c r="F118" s="2">
        <v>1</v>
      </c>
      <c r="G118" s="2">
        <v>-1</v>
      </c>
      <c r="H118" s="2">
        <v>4</v>
      </c>
      <c r="I118" s="2">
        <v>2</v>
      </c>
      <c r="J118" s="2">
        <v>2</v>
      </c>
      <c r="K118" s="2">
        <v>2</v>
      </c>
      <c r="L118" s="2">
        <v>1</v>
      </c>
      <c r="M118" s="2">
        <v>0</v>
      </c>
      <c r="N118" s="2">
        <v>0</v>
      </c>
      <c r="O118" s="2">
        <v>1</v>
      </c>
      <c r="P118" s="2">
        <v>1</v>
      </c>
      <c r="Q118">
        <v>0</v>
      </c>
      <c r="R118">
        <v>1</v>
      </c>
      <c r="S118">
        <v>4</v>
      </c>
      <c r="T118">
        <v>-1</v>
      </c>
      <c r="U118">
        <v>0</v>
      </c>
      <c r="V118">
        <v>1</v>
      </c>
      <c r="W118">
        <v>0</v>
      </c>
      <c r="X118">
        <v>190</v>
      </c>
      <c r="Y118" t="s">
        <v>101</v>
      </c>
    </row>
    <row r="119" spans="1:25" ht="16" customHeight="1" x14ac:dyDescent="0.2">
      <c r="A119" s="1" t="s">
        <v>248</v>
      </c>
      <c r="B119" s="2" t="s">
        <v>122</v>
      </c>
      <c r="C119" s="2">
        <v>20</v>
      </c>
      <c r="D119" s="2" t="s">
        <v>109</v>
      </c>
      <c r="E119" s="2">
        <v>9767</v>
      </c>
      <c r="F119" s="2">
        <v>0</v>
      </c>
      <c r="G119" s="2">
        <v>1</v>
      </c>
      <c r="H119" s="2">
        <v>2</v>
      </c>
      <c r="I119" s="2">
        <v>3</v>
      </c>
      <c r="J119" s="2">
        <v>2</v>
      </c>
      <c r="K119" s="2">
        <v>1</v>
      </c>
      <c r="L119" s="2">
        <v>1</v>
      </c>
      <c r="M119" s="2">
        <v>0</v>
      </c>
      <c r="N119" s="2">
        <v>0</v>
      </c>
      <c r="O119" s="2">
        <v>1</v>
      </c>
      <c r="P119" s="2">
        <v>1</v>
      </c>
      <c r="Q119">
        <v>1</v>
      </c>
      <c r="R119">
        <v>1</v>
      </c>
      <c r="S119">
        <v>3</v>
      </c>
      <c r="T119">
        <v>0</v>
      </c>
      <c r="U119">
        <v>0</v>
      </c>
      <c r="V119">
        <v>0</v>
      </c>
      <c r="W119">
        <v>0</v>
      </c>
      <c r="X119">
        <v>495</v>
      </c>
      <c r="Y119" t="s">
        <v>101</v>
      </c>
    </row>
    <row r="120" spans="1:25" ht="16" customHeight="1" x14ac:dyDescent="0.2">
      <c r="A120" s="1" t="s">
        <v>249</v>
      </c>
      <c r="B120" s="2" t="s">
        <v>132</v>
      </c>
      <c r="C120" s="2">
        <v>20</v>
      </c>
      <c r="D120" s="2" t="s">
        <v>112</v>
      </c>
      <c r="E120" s="2">
        <v>10922</v>
      </c>
      <c r="F120" s="2">
        <v>0</v>
      </c>
      <c r="G120" s="2">
        <v>1</v>
      </c>
      <c r="H120" s="2">
        <v>4</v>
      </c>
      <c r="I120" s="2">
        <v>3</v>
      </c>
      <c r="J120" s="2">
        <v>3</v>
      </c>
      <c r="K120" s="2">
        <v>3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>
        <v>0</v>
      </c>
      <c r="R120">
        <v>1</v>
      </c>
      <c r="S120">
        <v>1</v>
      </c>
      <c r="T120">
        <v>1</v>
      </c>
      <c r="U120">
        <v>1</v>
      </c>
      <c r="V120">
        <v>1</v>
      </c>
      <c r="W120">
        <v>0</v>
      </c>
      <c r="X120">
        <v>82</v>
      </c>
      <c r="Y120" t="s">
        <v>101</v>
      </c>
    </row>
    <row r="121" spans="1:25" ht="16" customHeight="1" x14ac:dyDescent="0.2">
      <c r="A121" s="1" t="s">
        <v>250</v>
      </c>
      <c r="B121" s="2" t="s">
        <v>117</v>
      </c>
      <c r="C121" s="2">
        <v>20</v>
      </c>
      <c r="D121" s="2" t="s">
        <v>115</v>
      </c>
      <c r="E121" s="2">
        <v>3838</v>
      </c>
      <c r="F121" s="2">
        <v>1</v>
      </c>
      <c r="G121" s="2">
        <v>-1</v>
      </c>
      <c r="H121" s="2">
        <v>1</v>
      </c>
      <c r="I121" s="2">
        <v>3</v>
      </c>
      <c r="J121" s="2">
        <v>3</v>
      </c>
      <c r="K121" s="2">
        <v>4</v>
      </c>
      <c r="L121" s="2">
        <v>1</v>
      </c>
      <c r="M121" s="2">
        <v>0</v>
      </c>
      <c r="N121" s="2">
        <v>1</v>
      </c>
      <c r="O121" s="2">
        <v>0</v>
      </c>
      <c r="P121" s="2">
        <v>1</v>
      </c>
      <c r="Q121">
        <v>1</v>
      </c>
      <c r="R121">
        <v>0</v>
      </c>
      <c r="S121">
        <v>1</v>
      </c>
      <c r="T121">
        <v>1</v>
      </c>
      <c r="U121">
        <v>0</v>
      </c>
      <c r="V121">
        <v>0</v>
      </c>
      <c r="W121">
        <v>1</v>
      </c>
      <c r="X121">
        <v>167</v>
      </c>
      <c r="Y121" t="s">
        <v>101</v>
      </c>
    </row>
    <row r="122" spans="1:25" ht="16" customHeight="1" x14ac:dyDescent="0.2">
      <c r="A122" s="1" t="s">
        <v>251</v>
      </c>
      <c r="B122" s="2" t="s">
        <v>144</v>
      </c>
      <c r="C122" s="2">
        <v>21</v>
      </c>
      <c r="D122" s="2" t="s">
        <v>100</v>
      </c>
      <c r="E122" s="2">
        <v>9016</v>
      </c>
      <c r="F122" s="2">
        <v>1</v>
      </c>
      <c r="G122" s="2">
        <v>0</v>
      </c>
      <c r="H122" s="2">
        <v>5</v>
      </c>
      <c r="I122" s="2">
        <v>1</v>
      </c>
      <c r="J122" s="2">
        <v>2</v>
      </c>
      <c r="K122" s="2">
        <v>4</v>
      </c>
      <c r="L122" s="2">
        <v>1</v>
      </c>
      <c r="M122" s="2">
        <v>0</v>
      </c>
      <c r="N122" s="2">
        <v>0</v>
      </c>
      <c r="O122" s="2">
        <v>1</v>
      </c>
      <c r="P122" s="2">
        <v>0</v>
      </c>
      <c r="Q122">
        <v>0</v>
      </c>
      <c r="R122">
        <v>1</v>
      </c>
      <c r="S122">
        <v>1</v>
      </c>
      <c r="T122">
        <v>-1</v>
      </c>
      <c r="U122">
        <v>1</v>
      </c>
      <c r="V122">
        <v>1</v>
      </c>
      <c r="W122">
        <v>1</v>
      </c>
      <c r="X122">
        <v>44</v>
      </c>
      <c r="Y122" t="s">
        <v>101</v>
      </c>
    </row>
    <row r="123" spans="1:25" ht="16" customHeight="1" x14ac:dyDescent="0.2">
      <c r="A123" s="1" t="s">
        <v>253</v>
      </c>
      <c r="B123" s="2" t="s">
        <v>122</v>
      </c>
      <c r="C123" s="2">
        <v>21</v>
      </c>
      <c r="D123" s="2" t="s">
        <v>103</v>
      </c>
      <c r="E123" s="2">
        <v>144</v>
      </c>
      <c r="F123" s="2">
        <v>1</v>
      </c>
      <c r="G123" s="2">
        <v>0</v>
      </c>
      <c r="H123" s="2">
        <v>1</v>
      </c>
      <c r="I123" s="2">
        <v>3</v>
      </c>
      <c r="J123" s="2">
        <v>2</v>
      </c>
      <c r="K123" s="2">
        <v>5</v>
      </c>
      <c r="L123" s="2">
        <v>0</v>
      </c>
      <c r="M123" s="2">
        <v>1</v>
      </c>
      <c r="N123" s="2">
        <v>1</v>
      </c>
      <c r="O123" s="2">
        <v>1</v>
      </c>
      <c r="P123" s="2">
        <v>1</v>
      </c>
      <c r="Q123">
        <v>0</v>
      </c>
      <c r="R123">
        <v>0</v>
      </c>
      <c r="S123">
        <v>3</v>
      </c>
      <c r="T123">
        <v>1</v>
      </c>
      <c r="U123">
        <v>1</v>
      </c>
      <c r="V123">
        <v>1</v>
      </c>
      <c r="W123">
        <v>1</v>
      </c>
      <c r="X123">
        <v>424</v>
      </c>
      <c r="Y123" t="s">
        <v>101</v>
      </c>
    </row>
    <row r="124" spans="1:25" ht="16" customHeight="1" x14ac:dyDescent="0.2">
      <c r="A124" s="1" t="s">
        <v>254</v>
      </c>
      <c r="B124" s="2" t="s">
        <v>146</v>
      </c>
      <c r="C124" s="2">
        <v>21</v>
      </c>
      <c r="D124" s="2" t="s">
        <v>106</v>
      </c>
      <c r="E124" s="2">
        <v>3799</v>
      </c>
      <c r="F124" s="2">
        <v>0</v>
      </c>
      <c r="G124" s="2">
        <v>-1</v>
      </c>
      <c r="H124" s="2">
        <v>3</v>
      </c>
      <c r="I124" s="2">
        <v>3</v>
      </c>
      <c r="J124" s="2">
        <v>2</v>
      </c>
      <c r="K124" s="2">
        <v>2</v>
      </c>
      <c r="L124" s="2">
        <v>0</v>
      </c>
      <c r="M124" s="2">
        <v>1</v>
      </c>
      <c r="N124" s="2">
        <v>1</v>
      </c>
      <c r="O124" s="2">
        <v>0</v>
      </c>
      <c r="P124" s="2">
        <v>0</v>
      </c>
      <c r="Q124">
        <v>1</v>
      </c>
      <c r="R124">
        <v>0</v>
      </c>
      <c r="S124">
        <v>1</v>
      </c>
      <c r="T124">
        <v>0</v>
      </c>
      <c r="U124">
        <v>0</v>
      </c>
      <c r="V124">
        <v>0</v>
      </c>
      <c r="W124">
        <v>0</v>
      </c>
      <c r="X124">
        <v>497</v>
      </c>
      <c r="Y124" t="s">
        <v>101</v>
      </c>
    </row>
    <row r="125" spans="1:25" ht="16" customHeight="1" x14ac:dyDescent="0.2">
      <c r="A125" s="1" t="s">
        <v>255</v>
      </c>
      <c r="B125" s="2" t="s">
        <v>132</v>
      </c>
      <c r="C125" s="2">
        <v>21</v>
      </c>
      <c r="D125" s="2" t="s">
        <v>109</v>
      </c>
      <c r="E125" s="2">
        <v>7030</v>
      </c>
      <c r="F125" s="2">
        <v>0</v>
      </c>
      <c r="G125" s="2">
        <v>-1</v>
      </c>
      <c r="H125" s="2">
        <v>1</v>
      </c>
      <c r="I125" s="2">
        <v>2</v>
      </c>
      <c r="J125" s="2">
        <v>1</v>
      </c>
      <c r="K125" s="2">
        <v>1</v>
      </c>
      <c r="L125" s="2">
        <v>1</v>
      </c>
      <c r="M125" s="2">
        <v>0</v>
      </c>
      <c r="N125" s="2">
        <v>0</v>
      </c>
      <c r="O125" s="2">
        <v>0</v>
      </c>
      <c r="P125" s="2">
        <v>0</v>
      </c>
      <c r="Q125">
        <v>1</v>
      </c>
      <c r="R125">
        <v>1</v>
      </c>
      <c r="S125">
        <v>3</v>
      </c>
      <c r="T125">
        <v>0</v>
      </c>
      <c r="U125">
        <v>0</v>
      </c>
      <c r="V125">
        <v>0</v>
      </c>
      <c r="W125">
        <v>0</v>
      </c>
      <c r="X125">
        <v>77</v>
      </c>
      <c r="Y125" t="s">
        <v>101</v>
      </c>
    </row>
    <row r="126" spans="1:25" ht="16" customHeight="1" x14ac:dyDescent="0.2">
      <c r="A126" s="1" t="s">
        <v>256</v>
      </c>
      <c r="B126" s="2" t="s">
        <v>191</v>
      </c>
      <c r="C126" s="2">
        <v>21</v>
      </c>
      <c r="D126" s="2" t="s">
        <v>112</v>
      </c>
      <c r="E126" s="2">
        <v>20</v>
      </c>
      <c r="F126" s="2">
        <v>0</v>
      </c>
      <c r="G126" s="2">
        <v>1</v>
      </c>
      <c r="H126" s="2">
        <v>3</v>
      </c>
      <c r="I126" s="2">
        <v>1</v>
      </c>
      <c r="J126" s="2">
        <v>1</v>
      </c>
      <c r="K126" s="2">
        <v>5</v>
      </c>
      <c r="L126" s="2">
        <v>0</v>
      </c>
      <c r="M126" s="2">
        <v>1</v>
      </c>
      <c r="N126" s="2">
        <v>0</v>
      </c>
      <c r="O126" s="2">
        <v>1</v>
      </c>
      <c r="P126" s="2">
        <v>1</v>
      </c>
      <c r="Q126">
        <v>1</v>
      </c>
      <c r="R126">
        <v>0</v>
      </c>
      <c r="S126">
        <v>-1</v>
      </c>
      <c r="T126">
        <v>-1</v>
      </c>
      <c r="U126">
        <v>0</v>
      </c>
      <c r="V126">
        <v>0</v>
      </c>
      <c r="W126">
        <v>1</v>
      </c>
      <c r="X126">
        <v>198</v>
      </c>
      <c r="Y126" t="s">
        <v>101</v>
      </c>
    </row>
    <row r="127" spans="1:25" ht="16" customHeight="1" x14ac:dyDescent="0.2">
      <c r="A127" s="1" t="s">
        <v>257</v>
      </c>
      <c r="B127" s="2" t="s">
        <v>132</v>
      </c>
      <c r="C127" s="2">
        <v>21</v>
      </c>
      <c r="D127" s="2" t="s">
        <v>115</v>
      </c>
      <c r="E127" s="2">
        <v>3015</v>
      </c>
      <c r="F127" s="2">
        <v>0</v>
      </c>
      <c r="G127" s="2">
        <v>1</v>
      </c>
      <c r="H127" s="2">
        <v>1</v>
      </c>
      <c r="I127" s="2">
        <v>3</v>
      </c>
      <c r="J127" s="2">
        <v>2</v>
      </c>
      <c r="K127" s="2">
        <v>2</v>
      </c>
      <c r="L127" s="2">
        <v>1</v>
      </c>
      <c r="M127" s="2">
        <v>1</v>
      </c>
      <c r="N127" s="2">
        <v>1</v>
      </c>
      <c r="O127" s="2">
        <v>0</v>
      </c>
      <c r="P127" s="2">
        <v>0</v>
      </c>
      <c r="Q127">
        <v>0</v>
      </c>
      <c r="R127">
        <v>0</v>
      </c>
      <c r="S127">
        <v>2</v>
      </c>
      <c r="T127">
        <v>0</v>
      </c>
      <c r="U127">
        <v>1</v>
      </c>
      <c r="V127">
        <v>0</v>
      </c>
      <c r="W127">
        <v>1</v>
      </c>
      <c r="X127">
        <v>442</v>
      </c>
      <c r="Y127" t="s">
        <v>101</v>
      </c>
    </row>
    <row r="128" spans="1:25" ht="16" customHeight="1" x14ac:dyDescent="0.2">
      <c r="A128" s="1" t="s">
        <v>258</v>
      </c>
      <c r="B128" s="2" t="s">
        <v>161</v>
      </c>
      <c r="C128" s="2">
        <v>22</v>
      </c>
      <c r="D128" s="2" t="s">
        <v>100</v>
      </c>
      <c r="E128" s="2">
        <v>1585</v>
      </c>
      <c r="F128" s="2">
        <v>1</v>
      </c>
      <c r="G128" s="2">
        <v>0</v>
      </c>
      <c r="H128" s="2">
        <v>4</v>
      </c>
      <c r="I128" s="2">
        <v>3</v>
      </c>
      <c r="J128" s="2">
        <v>1</v>
      </c>
      <c r="K128" s="2">
        <v>5</v>
      </c>
      <c r="L128" s="2">
        <v>1</v>
      </c>
      <c r="M128" s="2">
        <v>1</v>
      </c>
      <c r="N128" s="2">
        <v>1</v>
      </c>
      <c r="O128" s="2">
        <v>0</v>
      </c>
      <c r="P128" s="2">
        <v>0</v>
      </c>
      <c r="Q128">
        <v>0</v>
      </c>
      <c r="R128">
        <v>1</v>
      </c>
      <c r="S128">
        <v>1</v>
      </c>
      <c r="T128">
        <v>0</v>
      </c>
      <c r="U128">
        <v>0</v>
      </c>
      <c r="V128">
        <v>1</v>
      </c>
      <c r="W128">
        <v>0</v>
      </c>
      <c r="X128">
        <v>49</v>
      </c>
      <c r="Y128" t="s">
        <v>101</v>
      </c>
    </row>
    <row r="129" spans="1:25" ht="16" customHeight="1" x14ac:dyDescent="0.2">
      <c r="A129" s="1" t="s">
        <v>259</v>
      </c>
      <c r="B129" s="2" t="s">
        <v>99</v>
      </c>
      <c r="C129" s="2">
        <v>22</v>
      </c>
      <c r="D129" s="2" t="s">
        <v>103</v>
      </c>
      <c r="E129" s="2">
        <v>432</v>
      </c>
      <c r="F129" s="2">
        <v>0</v>
      </c>
      <c r="G129" s="2">
        <v>0</v>
      </c>
      <c r="H129" s="2">
        <v>4</v>
      </c>
      <c r="I129" s="2">
        <v>1</v>
      </c>
      <c r="J129" s="2">
        <v>2</v>
      </c>
      <c r="K129" s="2">
        <v>3</v>
      </c>
      <c r="L129" s="2">
        <v>0</v>
      </c>
      <c r="M129" s="2">
        <v>1</v>
      </c>
      <c r="N129" s="2">
        <v>1</v>
      </c>
      <c r="O129" s="2">
        <v>1</v>
      </c>
      <c r="P129" s="2">
        <v>1</v>
      </c>
      <c r="Q129">
        <v>0</v>
      </c>
      <c r="R129">
        <v>0</v>
      </c>
      <c r="S129">
        <v>3</v>
      </c>
      <c r="T129">
        <v>1</v>
      </c>
      <c r="U129">
        <v>0</v>
      </c>
      <c r="V129">
        <v>1</v>
      </c>
      <c r="W129">
        <v>1</v>
      </c>
      <c r="X129">
        <v>493</v>
      </c>
      <c r="Y129" t="s">
        <v>101</v>
      </c>
    </row>
    <row r="130" spans="1:25" ht="16" customHeight="1" x14ac:dyDescent="0.2">
      <c r="A130" s="1" t="s">
        <v>260</v>
      </c>
      <c r="B130" s="2" t="s">
        <v>132</v>
      </c>
      <c r="C130" s="2">
        <v>22</v>
      </c>
      <c r="D130" s="2" t="s">
        <v>106</v>
      </c>
      <c r="E130" s="2">
        <v>564</v>
      </c>
      <c r="F130" s="2">
        <v>0</v>
      </c>
      <c r="G130" s="2">
        <v>0</v>
      </c>
      <c r="H130" s="2">
        <v>5</v>
      </c>
      <c r="I130" s="2">
        <v>3</v>
      </c>
      <c r="J130" s="2">
        <v>1</v>
      </c>
      <c r="K130" s="2">
        <v>1</v>
      </c>
      <c r="L130" s="2">
        <v>0</v>
      </c>
      <c r="M130" s="2">
        <v>1</v>
      </c>
      <c r="N130" s="2">
        <v>0</v>
      </c>
      <c r="O130" s="2">
        <v>1</v>
      </c>
      <c r="P130" s="2">
        <v>0</v>
      </c>
      <c r="Q130">
        <v>0</v>
      </c>
      <c r="R130">
        <v>1</v>
      </c>
      <c r="S130">
        <v>1</v>
      </c>
      <c r="T130">
        <v>-1</v>
      </c>
      <c r="U130">
        <v>0</v>
      </c>
      <c r="V130">
        <v>1</v>
      </c>
      <c r="W130">
        <v>0</v>
      </c>
      <c r="X130">
        <v>137</v>
      </c>
      <c r="Y130" t="s">
        <v>101</v>
      </c>
    </row>
    <row r="131" spans="1:25" ht="16" customHeight="1" x14ac:dyDescent="0.2">
      <c r="A131" s="1" t="s">
        <v>261</v>
      </c>
      <c r="B131" s="2" t="s">
        <v>119</v>
      </c>
      <c r="C131" s="2">
        <v>22</v>
      </c>
      <c r="D131" s="2" t="s">
        <v>109</v>
      </c>
      <c r="E131" s="2">
        <v>3951</v>
      </c>
      <c r="F131" s="2">
        <v>0</v>
      </c>
      <c r="G131" s="2">
        <v>0</v>
      </c>
      <c r="H131" s="2">
        <v>4</v>
      </c>
      <c r="I131" s="2">
        <v>1</v>
      </c>
      <c r="J131" s="2">
        <v>3</v>
      </c>
      <c r="K131" s="2">
        <v>1</v>
      </c>
      <c r="L131" s="2">
        <v>0</v>
      </c>
      <c r="M131" s="2">
        <v>0</v>
      </c>
      <c r="N131" s="2">
        <v>0</v>
      </c>
      <c r="O131" s="2">
        <v>0</v>
      </c>
      <c r="P131" s="2">
        <v>1</v>
      </c>
      <c r="Q131">
        <v>1</v>
      </c>
      <c r="R131">
        <v>0</v>
      </c>
      <c r="S131">
        <v>1</v>
      </c>
      <c r="T131">
        <v>1</v>
      </c>
      <c r="U131">
        <v>1</v>
      </c>
      <c r="V131">
        <v>1</v>
      </c>
      <c r="W131">
        <v>0</v>
      </c>
      <c r="X131">
        <v>393</v>
      </c>
      <c r="Y131" t="s">
        <v>101</v>
      </c>
    </row>
    <row r="132" spans="1:25" ht="16" customHeight="1" x14ac:dyDescent="0.2">
      <c r="A132" s="1" t="s">
        <v>262</v>
      </c>
      <c r="B132" s="2" t="s">
        <v>144</v>
      </c>
      <c r="C132" s="2">
        <v>22</v>
      </c>
      <c r="D132" s="2" t="s">
        <v>112</v>
      </c>
      <c r="E132" s="2">
        <v>1450</v>
      </c>
      <c r="F132" s="2">
        <v>1</v>
      </c>
      <c r="G132" s="2">
        <v>0</v>
      </c>
      <c r="H132" s="2">
        <v>3</v>
      </c>
      <c r="I132" s="2">
        <v>1</v>
      </c>
      <c r="J132" s="2">
        <v>3</v>
      </c>
      <c r="K132" s="2">
        <v>1</v>
      </c>
      <c r="L132" s="2">
        <v>1</v>
      </c>
      <c r="M132" s="2">
        <v>1</v>
      </c>
      <c r="N132" s="2">
        <v>1</v>
      </c>
      <c r="O132" s="2">
        <v>1</v>
      </c>
      <c r="P132" s="2">
        <v>0</v>
      </c>
      <c r="Q132">
        <v>0</v>
      </c>
      <c r="R132">
        <v>0</v>
      </c>
      <c r="S132">
        <v>3</v>
      </c>
      <c r="T132">
        <v>0</v>
      </c>
      <c r="U132">
        <v>0</v>
      </c>
      <c r="V132">
        <v>0</v>
      </c>
      <c r="W132">
        <v>0</v>
      </c>
      <c r="X132">
        <v>117</v>
      </c>
      <c r="Y132" t="s">
        <v>101</v>
      </c>
    </row>
    <row r="133" spans="1:25" ht="16" customHeight="1" x14ac:dyDescent="0.2">
      <c r="A133" s="1" t="s">
        <v>263</v>
      </c>
      <c r="B133" s="2" t="s">
        <v>111</v>
      </c>
      <c r="C133" s="2">
        <v>22</v>
      </c>
      <c r="D133" s="2" t="s">
        <v>115</v>
      </c>
      <c r="E133" s="2">
        <v>6947</v>
      </c>
      <c r="F133" s="2">
        <v>0</v>
      </c>
      <c r="G133" s="2">
        <v>1</v>
      </c>
      <c r="H133" s="2">
        <v>4</v>
      </c>
      <c r="I133" s="2">
        <v>3</v>
      </c>
      <c r="J133" s="2">
        <v>3</v>
      </c>
      <c r="K133" s="2">
        <v>1</v>
      </c>
      <c r="L133" s="2">
        <v>1</v>
      </c>
      <c r="M133" s="2">
        <v>1</v>
      </c>
      <c r="N133" s="2">
        <v>1</v>
      </c>
      <c r="O133" s="2">
        <v>0</v>
      </c>
      <c r="P133" s="2">
        <v>0</v>
      </c>
      <c r="Q133">
        <v>0</v>
      </c>
      <c r="R133">
        <v>0</v>
      </c>
      <c r="S133">
        <v>3</v>
      </c>
      <c r="T133">
        <v>0</v>
      </c>
      <c r="U133">
        <v>1</v>
      </c>
      <c r="V133">
        <v>1</v>
      </c>
      <c r="W133">
        <v>0</v>
      </c>
      <c r="X133">
        <v>343</v>
      </c>
      <c r="Y133" t="s">
        <v>101</v>
      </c>
    </row>
    <row r="134" spans="1:25" ht="16" customHeight="1" x14ac:dyDescent="0.2">
      <c r="A134" s="1" t="s">
        <v>264</v>
      </c>
      <c r="B134" s="2" t="s">
        <v>151</v>
      </c>
      <c r="C134" s="2">
        <v>23</v>
      </c>
      <c r="D134" s="2" t="s">
        <v>100</v>
      </c>
      <c r="E134" s="2">
        <v>4093</v>
      </c>
      <c r="F134" s="2">
        <v>1</v>
      </c>
      <c r="G134" s="2">
        <v>1</v>
      </c>
      <c r="H134" s="2">
        <v>1</v>
      </c>
      <c r="I134" s="2">
        <v>2</v>
      </c>
      <c r="J134" s="2">
        <v>2</v>
      </c>
      <c r="K134" s="2">
        <v>1</v>
      </c>
      <c r="L134" s="2">
        <v>0</v>
      </c>
      <c r="M134" s="2">
        <v>0</v>
      </c>
      <c r="N134" s="2">
        <v>1</v>
      </c>
      <c r="O134" s="2">
        <v>1</v>
      </c>
      <c r="P134" s="2">
        <v>1</v>
      </c>
      <c r="Q134">
        <v>1</v>
      </c>
      <c r="R134">
        <v>0</v>
      </c>
      <c r="S134">
        <v>2</v>
      </c>
      <c r="T134">
        <v>-1</v>
      </c>
      <c r="U134">
        <v>0</v>
      </c>
      <c r="V134">
        <v>0</v>
      </c>
      <c r="W134">
        <v>1</v>
      </c>
      <c r="X134">
        <v>302</v>
      </c>
      <c r="Y134" t="s">
        <v>101</v>
      </c>
    </row>
    <row r="135" spans="1:25" ht="16" customHeight="1" x14ac:dyDescent="0.2">
      <c r="A135" s="1" t="s">
        <v>265</v>
      </c>
      <c r="B135" s="2" t="s">
        <v>111</v>
      </c>
      <c r="C135" s="2">
        <v>23</v>
      </c>
      <c r="D135" s="2" t="s">
        <v>103</v>
      </c>
      <c r="E135" s="2">
        <v>2228</v>
      </c>
      <c r="F135" s="2">
        <v>0</v>
      </c>
      <c r="G135" s="2">
        <v>1</v>
      </c>
      <c r="H135" s="2">
        <v>1</v>
      </c>
      <c r="I135" s="2">
        <v>2</v>
      </c>
      <c r="J135" s="2">
        <v>1</v>
      </c>
      <c r="K135" s="2">
        <v>5</v>
      </c>
      <c r="L135" s="2">
        <v>1</v>
      </c>
      <c r="M135" s="2">
        <v>1</v>
      </c>
      <c r="N135" s="2">
        <v>0</v>
      </c>
      <c r="O135" s="2">
        <v>1</v>
      </c>
      <c r="P135" s="2">
        <v>0</v>
      </c>
      <c r="Q135">
        <v>0</v>
      </c>
      <c r="R135">
        <v>0</v>
      </c>
      <c r="S135">
        <v>3</v>
      </c>
      <c r="T135">
        <v>-1</v>
      </c>
      <c r="U135">
        <v>1</v>
      </c>
      <c r="V135">
        <v>0</v>
      </c>
      <c r="W135">
        <v>0</v>
      </c>
      <c r="X135">
        <v>247</v>
      </c>
      <c r="Y135" t="s">
        <v>101</v>
      </c>
    </row>
    <row r="136" spans="1:25" ht="16" customHeight="1" x14ac:dyDescent="0.2">
      <c r="A136" s="1" t="s">
        <v>266</v>
      </c>
      <c r="B136" s="2" t="s">
        <v>122</v>
      </c>
      <c r="C136" s="2">
        <v>23</v>
      </c>
      <c r="D136" s="2" t="s">
        <v>106</v>
      </c>
      <c r="E136" s="2">
        <v>578</v>
      </c>
      <c r="F136" s="2">
        <v>0</v>
      </c>
      <c r="G136" s="2">
        <v>1</v>
      </c>
      <c r="H136" s="2">
        <v>4</v>
      </c>
      <c r="I136" s="2">
        <v>3</v>
      </c>
      <c r="J136" s="2">
        <v>2</v>
      </c>
      <c r="K136" s="2">
        <v>1</v>
      </c>
      <c r="L136" s="2">
        <v>1</v>
      </c>
      <c r="M136" s="2">
        <v>0</v>
      </c>
      <c r="N136" s="2">
        <v>1</v>
      </c>
      <c r="O136" s="2">
        <v>1</v>
      </c>
      <c r="P136" s="2">
        <v>1</v>
      </c>
      <c r="Q136">
        <v>1</v>
      </c>
      <c r="R136">
        <v>0</v>
      </c>
      <c r="S136">
        <v>3</v>
      </c>
      <c r="T136">
        <v>1</v>
      </c>
      <c r="U136">
        <v>0</v>
      </c>
      <c r="V136">
        <v>0</v>
      </c>
      <c r="W136">
        <v>1</v>
      </c>
      <c r="X136">
        <v>276</v>
      </c>
      <c r="Y136" t="s">
        <v>101</v>
      </c>
    </row>
    <row r="137" spans="1:25" ht="16" customHeight="1" x14ac:dyDescent="0.2">
      <c r="A137" s="1" t="s">
        <v>267</v>
      </c>
      <c r="B137" s="2" t="s">
        <v>146</v>
      </c>
      <c r="C137" s="2">
        <v>23</v>
      </c>
      <c r="D137" s="2" t="s">
        <v>109</v>
      </c>
      <c r="E137" s="2">
        <v>1787</v>
      </c>
      <c r="F137" s="2">
        <v>0</v>
      </c>
      <c r="G137" s="2">
        <v>0</v>
      </c>
      <c r="H137" s="2">
        <v>2</v>
      </c>
      <c r="I137" s="2">
        <v>1</v>
      </c>
      <c r="J137" s="2">
        <v>3</v>
      </c>
      <c r="K137" s="2">
        <v>3</v>
      </c>
      <c r="L137" s="2">
        <v>1</v>
      </c>
      <c r="M137" s="2">
        <v>1</v>
      </c>
      <c r="N137" s="2">
        <v>0</v>
      </c>
      <c r="O137" s="2">
        <v>0</v>
      </c>
      <c r="P137" s="2">
        <v>0</v>
      </c>
      <c r="Q137">
        <v>1</v>
      </c>
      <c r="R137">
        <v>1</v>
      </c>
      <c r="S137">
        <v>4</v>
      </c>
      <c r="T137">
        <v>0</v>
      </c>
      <c r="U137">
        <v>0</v>
      </c>
      <c r="V137">
        <v>1</v>
      </c>
      <c r="W137">
        <v>0</v>
      </c>
      <c r="X137">
        <v>207</v>
      </c>
      <c r="Y137" t="s">
        <v>101</v>
      </c>
    </row>
    <row r="138" spans="1:25" ht="16" customHeight="1" x14ac:dyDescent="0.2">
      <c r="A138" s="1" t="s">
        <v>268</v>
      </c>
      <c r="B138" s="2" t="s">
        <v>117</v>
      </c>
      <c r="C138" s="2">
        <v>23</v>
      </c>
      <c r="D138" s="2" t="s">
        <v>112</v>
      </c>
      <c r="E138" s="2">
        <v>378</v>
      </c>
      <c r="F138" s="2">
        <v>1</v>
      </c>
      <c r="G138" s="2">
        <v>0</v>
      </c>
      <c r="H138" s="2">
        <v>5</v>
      </c>
      <c r="I138" s="2">
        <v>3</v>
      </c>
      <c r="J138" s="2">
        <v>2</v>
      </c>
      <c r="K138" s="2">
        <v>2</v>
      </c>
      <c r="L138" s="2">
        <v>1</v>
      </c>
      <c r="M138" s="2">
        <v>1</v>
      </c>
      <c r="N138" s="2">
        <v>0</v>
      </c>
      <c r="O138" s="2">
        <v>1</v>
      </c>
      <c r="P138" s="2">
        <v>0</v>
      </c>
      <c r="Q138">
        <v>1</v>
      </c>
      <c r="R138">
        <v>1</v>
      </c>
      <c r="S138">
        <v>-1</v>
      </c>
      <c r="T138">
        <v>0</v>
      </c>
      <c r="U138">
        <v>1</v>
      </c>
      <c r="V138">
        <v>0</v>
      </c>
      <c r="W138">
        <v>0</v>
      </c>
      <c r="X138">
        <v>88</v>
      </c>
      <c r="Y138" t="s">
        <v>101</v>
      </c>
    </row>
    <row r="139" spans="1:25" ht="16" customHeight="1" x14ac:dyDescent="0.2">
      <c r="A139" s="1" t="s">
        <v>269</v>
      </c>
      <c r="B139" s="2" t="s">
        <v>111</v>
      </c>
      <c r="C139" s="2">
        <v>23</v>
      </c>
      <c r="D139" s="2" t="s">
        <v>115</v>
      </c>
      <c r="E139" s="2">
        <v>1056</v>
      </c>
      <c r="F139" s="2">
        <v>0</v>
      </c>
      <c r="G139" s="2">
        <v>1</v>
      </c>
      <c r="H139" s="2">
        <v>5</v>
      </c>
      <c r="I139" s="2">
        <v>2</v>
      </c>
      <c r="J139" s="2">
        <v>2</v>
      </c>
      <c r="K139" s="2">
        <v>3</v>
      </c>
      <c r="L139" s="2">
        <v>1</v>
      </c>
      <c r="M139" s="2">
        <v>0</v>
      </c>
      <c r="N139" s="2">
        <v>0</v>
      </c>
      <c r="O139" s="2">
        <v>0</v>
      </c>
      <c r="P139" s="2">
        <v>1</v>
      </c>
      <c r="Q139">
        <v>0</v>
      </c>
      <c r="R139">
        <v>0</v>
      </c>
      <c r="S139">
        <v>3</v>
      </c>
      <c r="T139">
        <v>1</v>
      </c>
      <c r="U139">
        <v>1</v>
      </c>
      <c r="V139">
        <v>1</v>
      </c>
      <c r="W139">
        <v>1</v>
      </c>
      <c r="X139">
        <v>107</v>
      </c>
      <c r="Y139" t="s">
        <v>101</v>
      </c>
    </row>
    <row r="140" spans="1:25" ht="16" customHeight="1" x14ac:dyDescent="0.2">
      <c r="A140" s="1" t="s">
        <v>270</v>
      </c>
      <c r="B140" s="2" t="s">
        <v>172</v>
      </c>
      <c r="C140" s="2">
        <v>24</v>
      </c>
      <c r="D140" s="2" t="s">
        <v>100</v>
      </c>
      <c r="E140" s="2">
        <v>48</v>
      </c>
      <c r="F140" s="2">
        <v>0</v>
      </c>
      <c r="G140" s="2">
        <v>1</v>
      </c>
      <c r="H140" s="2">
        <v>2</v>
      </c>
      <c r="I140" s="2">
        <v>2</v>
      </c>
      <c r="J140" s="2">
        <v>3</v>
      </c>
      <c r="K140" s="2">
        <v>1</v>
      </c>
      <c r="L140" s="2">
        <v>0</v>
      </c>
      <c r="M140" s="2">
        <v>1</v>
      </c>
      <c r="N140" s="2">
        <v>1</v>
      </c>
      <c r="O140" s="2">
        <v>1</v>
      </c>
      <c r="P140" s="2">
        <v>1</v>
      </c>
      <c r="Q140">
        <v>1</v>
      </c>
      <c r="R140">
        <v>1</v>
      </c>
      <c r="S140">
        <v>4</v>
      </c>
      <c r="T140">
        <v>-1</v>
      </c>
      <c r="U140">
        <v>1</v>
      </c>
      <c r="V140">
        <v>0</v>
      </c>
      <c r="W140">
        <v>1</v>
      </c>
      <c r="X140">
        <v>466</v>
      </c>
      <c r="Y140" t="s">
        <v>101</v>
      </c>
    </row>
    <row r="141" spans="1:25" ht="16" customHeight="1" x14ac:dyDescent="0.2">
      <c r="A141" s="1" t="s">
        <v>271</v>
      </c>
      <c r="B141" s="2" t="s">
        <v>172</v>
      </c>
      <c r="C141" s="2">
        <v>24</v>
      </c>
      <c r="D141" s="2" t="s">
        <v>103</v>
      </c>
      <c r="E141" s="2">
        <v>1781</v>
      </c>
      <c r="F141" s="2">
        <v>1</v>
      </c>
      <c r="G141" s="2">
        <v>-1</v>
      </c>
      <c r="H141" s="2">
        <v>3</v>
      </c>
      <c r="I141" s="2">
        <v>1</v>
      </c>
      <c r="J141" s="2">
        <v>2</v>
      </c>
      <c r="K141" s="2">
        <v>3</v>
      </c>
      <c r="L141" s="2">
        <v>0</v>
      </c>
      <c r="M141" s="2">
        <v>0</v>
      </c>
      <c r="N141" s="2">
        <v>0</v>
      </c>
      <c r="O141" s="2">
        <v>1</v>
      </c>
      <c r="P141" s="2">
        <v>0</v>
      </c>
      <c r="Q141">
        <v>0</v>
      </c>
      <c r="R141">
        <v>1</v>
      </c>
      <c r="S141">
        <v>-1</v>
      </c>
      <c r="T141">
        <v>-1</v>
      </c>
      <c r="U141">
        <v>1</v>
      </c>
      <c r="V141">
        <v>1</v>
      </c>
      <c r="W141">
        <v>0</v>
      </c>
      <c r="X141">
        <v>43</v>
      </c>
      <c r="Y141" t="s">
        <v>101</v>
      </c>
    </row>
    <row r="142" spans="1:25" ht="16" customHeight="1" x14ac:dyDescent="0.2">
      <c r="A142" s="1" t="s">
        <v>272</v>
      </c>
      <c r="B142" s="2" t="s">
        <v>105</v>
      </c>
      <c r="C142" s="2">
        <v>24</v>
      </c>
      <c r="D142" s="2" t="s">
        <v>106</v>
      </c>
      <c r="E142" s="2">
        <v>810</v>
      </c>
      <c r="F142" s="2">
        <v>0</v>
      </c>
      <c r="G142" s="2">
        <v>0</v>
      </c>
      <c r="H142" s="2">
        <v>5</v>
      </c>
      <c r="I142" s="2">
        <v>3</v>
      </c>
      <c r="J142" s="2">
        <v>3</v>
      </c>
      <c r="K142" s="2">
        <v>5</v>
      </c>
      <c r="L142" s="2">
        <v>1</v>
      </c>
      <c r="M142" s="2">
        <v>1</v>
      </c>
      <c r="N142" s="2">
        <v>1</v>
      </c>
      <c r="O142" s="2">
        <v>1</v>
      </c>
      <c r="P142" s="2">
        <v>1</v>
      </c>
      <c r="Q142">
        <v>0</v>
      </c>
      <c r="R142">
        <v>1</v>
      </c>
      <c r="S142">
        <v>1</v>
      </c>
      <c r="T142">
        <v>1</v>
      </c>
      <c r="U142">
        <v>1</v>
      </c>
      <c r="V142">
        <v>0</v>
      </c>
      <c r="W142">
        <v>1</v>
      </c>
      <c r="X142">
        <v>39</v>
      </c>
      <c r="Y142" t="s">
        <v>101</v>
      </c>
    </row>
    <row r="143" spans="1:25" ht="16" customHeight="1" x14ac:dyDescent="0.2">
      <c r="A143" s="1" t="s">
        <v>273</v>
      </c>
      <c r="B143" s="2" t="s">
        <v>128</v>
      </c>
      <c r="C143" s="2">
        <v>24</v>
      </c>
      <c r="D143" s="2" t="s">
        <v>109</v>
      </c>
      <c r="E143" s="2">
        <v>639</v>
      </c>
      <c r="F143" s="2">
        <v>0</v>
      </c>
      <c r="G143" s="2">
        <v>-1</v>
      </c>
      <c r="H143" s="2">
        <v>3</v>
      </c>
      <c r="I143" s="2">
        <v>3</v>
      </c>
      <c r="J143" s="2">
        <v>2</v>
      </c>
      <c r="K143" s="2">
        <v>2</v>
      </c>
      <c r="L143" s="2">
        <v>1</v>
      </c>
      <c r="M143" s="2">
        <v>1</v>
      </c>
      <c r="N143" s="2">
        <v>0</v>
      </c>
      <c r="O143" s="2">
        <v>0</v>
      </c>
      <c r="P143" s="2">
        <v>1</v>
      </c>
      <c r="Q143">
        <v>1</v>
      </c>
      <c r="R143">
        <v>0</v>
      </c>
      <c r="S143">
        <v>-1</v>
      </c>
      <c r="T143">
        <v>-1</v>
      </c>
      <c r="U143">
        <v>1</v>
      </c>
      <c r="V143">
        <v>0</v>
      </c>
      <c r="W143">
        <v>1</v>
      </c>
      <c r="X143">
        <v>76</v>
      </c>
      <c r="Y143" t="s">
        <v>101</v>
      </c>
    </row>
    <row r="144" spans="1:25" ht="16" customHeight="1" x14ac:dyDescent="0.2">
      <c r="A144" s="1" t="s">
        <v>274</v>
      </c>
      <c r="B144" s="2" t="s">
        <v>122</v>
      </c>
      <c r="C144" s="2">
        <v>24</v>
      </c>
      <c r="D144" s="2" t="s">
        <v>112</v>
      </c>
      <c r="E144" s="2">
        <v>325</v>
      </c>
      <c r="F144" s="2">
        <v>1</v>
      </c>
      <c r="G144" s="2">
        <v>1</v>
      </c>
      <c r="H144" s="2">
        <v>3</v>
      </c>
      <c r="I144" s="2">
        <v>3</v>
      </c>
      <c r="J144" s="2">
        <v>3</v>
      </c>
      <c r="K144" s="2">
        <v>1</v>
      </c>
      <c r="L144" s="2">
        <v>1</v>
      </c>
      <c r="M144" s="2">
        <v>0</v>
      </c>
      <c r="N144" s="2">
        <v>1</v>
      </c>
      <c r="O144" s="2">
        <v>0</v>
      </c>
      <c r="P144" s="2">
        <v>1</v>
      </c>
      <c r="Q144">
        <v>1</v>
      </c>
      <c r="R144">
        <v>1</v>
      </c>
      <c r="S144">
        <v>4</v>
      </c>
      <c r="T144">
        <v>1</v>
      </c>
      <c r="U144">
        <v>1</v>
      </c>
      <c r="V144">
        <v>0</v>
      </c>
      <c r="W144">
        <v>1</v>
      </c>
      <c r="X144">
        <v>196</v>
      </c>
      <c r="Y144" t="s">
        <v>101</v>
      </c>
    </row>
    <row r="145" spans="1:25" ht="16" customHeight="1" x14ac:dyDescent="0.2">
      <c r="A145" s="1" t="s">
        <v>275</v>
      </c>
      <c r="B145" s="2" t="s">
        <v>130</v>
      </c>
      <c r="C145" s="2">
        <v>24</v>
      </c>
      <c r="D145" s="2" t="s">
        <v>115</v>
      </c>
      <c r="E145" s="2">
        <v>1518</v>
      </c>
      <c r="F145" s="2">
        <v>1</v>
      </c>
      <c r="G145" s="2">
        <v>0</v>
      </c>
      <c r="H145" s="2">
        <v>5</v>
      </c>
      <c r="I145" s="2">
        <v>2</v>
      </c>
      <c r="J145" s="2">
        <v>3</v>
      </c>
      <c r="K145" s="2">
        <v>5</v>
      </c>
      <c r="L145" s="2">
        <v>1</v>
      </c>
      <c r="M145" s="2">
        <v>1</v>
      </c>
      <c r="N145" s="2">
        <v>1</v>
      </c>
      <c r="O145" s="2">
        <v>0</v>
      </c>
      <c r="P145" s="2">
        <v>0</v>
      </c>
      <c r="Q145">
        <v>0</v>
      </c>
      <c r="R145">
        <v>1</v>
      </c>
      <c r="S145">
        <v>1</v>
      </c>
      <c r="T145">
        <v>-1</v>
      </c>
      <c r="U145">
        <v>0</v>
      </c>
      <c r="V145">
        <v>0</v>
      </c>
      <c r="W145">
        <v>0</v>
      </c>
      <c r="X145">
        <v>260</v>
      </c>
      <c r="Y145" t="s">
        <v>101</v>
      </c>
    </row>
    <row r="146" spans="1:25" ht="16" customHeight="1" x14ac:dyDescent="0.2">
      <c r="A146" s="1" t="s">
        <v>276</v>
      </c>
      <c r="B146" s="2" t="s">
        <v>181</v>
      </c>
      <c r="C146" s="2">
        <v>25</v>
      </c>
      <c r="D146" s="2" t="s">
        <v>100</v>
      </c>
      <c r="E146" s="2">
        <v>2340</v>
      </c>
      <c r="F146" s="2">
        <v>1</v>
      </c>
      <c r="G146" s="2">
        <v>1</v>
      </c>
      <c r="H146" s="2">
        <v>3</v>
      </c>
      <c r="I146" s="2">
        <v>3</v>
      </c>
      <c r="J146" s="2">
        <v>2</v>
      </c>
      <c r="K146" s="2">
        <v>4</v>
      </c>
      <c r="L146" s="2">
        <v>0</v>
      </c>
      <c r="M146" s="2">
        <v>1</v>
      </c>
      <c r="N146" s="2">
        <v>0</v>
      </c>
      <c r="O146" s="2">
        <v>0</v>
      </c>
      <c r="P146" s="2">
        <v>1</v>
      </c>
      <c r="Q146">
        <v>1</v>
      </c>
      <c r="R146">
        <v>0</v>
      </c>
      <c r="S146">
        <v>-1</v>
      </c>
      <c r="T146">
        <v>1</v>
      </c>
      <c r="U146">
        <v>1</v>
      </c>
      <c r="V146">
        <v>1</v>
      </c>
      <c r="W146">
        <v>1</v>
      </c>
      <c r="X146">
        <v>89</v>
      </c>
      <c r="Y146" t="s">
        <v>101</v>
      </c>
    </row>
    <row r="147" spans="1:25" ht="16" customHeight="1" x14ac:dyDescent="0.2">
      <c r="A147" s="1" t="s">
        <v>277</v>
      </c>
      <c r="B147" s="2" t="s">
        <v>252</v>
      </c>
      <c r="C147" s="2">
        <v>25</v>
      </c>
      <c r="D147" s="2" t="s">
        <v>103</v>
      </c>
      <c r="E147" s="2">
        <v>5590</v>
      </c>
      <c r="F147" s="2">
        <v>1</v>
      </c>
      <c r="G147" s="2">
        <v>0</v>
      </c>
      <c r="H147" s="2">
        <v>3</v>
      </c>
      <c r="I147" s="2">
        <v>1</v>
      </c>
      <c r="J147" s="2">
        <v>2</v>
      </c>
      <c r="K147" s="2">
        <v>2</v>
      </c>
      <c r="L147" s="2">
        <v>1</v>
      </c>
      <c r="M147" s="2">
        <v>0</v>
      </c>
      <c r="N147" s="2">
        <v>1</v>
      </c>
      <c r="O147" s="2">
        <v>0</v>
      </c>
      <c r="P147" s="2">
        <v>0</v>
      </c>
      <c r="Q147">
        <v>0</v>
      </c>
      <c r="R147">
        <v>0</v>
      </c>
      <c r="S147">
        <v>1</v>
      </c>
      <c r="T147">
        <v>0</v>
      </c>
      <c r="U147">
        <v>1</v>
      </c>
      <c r="V147">
        <v>1</v>
      </c>
      <c r="W147">
        <v>1</v>
      </c>
      <c r="X147">
        <v>178</v>
      </c>
      <c r="Y147" t="s">
        <v>101</v>
      </c>
    </row>
    <row r="148" spans="1:25" ht="16" customHeight="1" x14ac:dyDescent="0.2">
      <c r="A148" s="1" t="s">
        <v>278</v>
      </c>
      <c r="B148" s="2" t="s">
        <v>252</v>
      </c>
      <c r="C148" s="2">
        <v>25</v>
      </c>
      <c r="D148" s="2" t="s">
        <v>106</v>
      </c>
      <c r="E148" s="2">
        <v>191</v>
      </c>
      <c r="F148" s="2">
        <v>0</v>
      </c>
      <c r="G148" s="2">
        <v>-1</v>
      </c>
      <c r="H148" s="2">
        <v>5</v>
      </c>
      <c r="I148" s="2">
        <v>3</v>
      </c>
      <c r="J148" s="2">
        <v>2</v>
      </c>
      <c r="K148" s="2">
        <v>1</v>
      </c>
      <c r="L148" s="2">
        <v>0</v>
      </c>
      <c r="M148" s="2">
        <v>0</v>
      </c>
      <c r="N148" s="2">
        <v>1</v>
      </c>
      <c r="O148" s="2">
        <v>0</v>
      </c>
      <c r="P148" s="2">
        <v>0</v>
      </c>
      <c r="Q148">
        <v>0</v>
      </c>
      <c r="R148">
        <v>1</v>
      </c>
      <c r="S148">
        <v>1</v>
      </c>
      <c r="T148">
        <v>-1</v>
      </c>
      <c r="U148">
        <v>0</v>
      </c>
      <c r="V148">
        <v>0</v>
      </c>
      <c r="W148">
        <v>1</v>
      </c>
      <c r="X148">
        <v>125</v>
      </c>
      <c r="Y148" t="s">
        <v>101</v>
      </c>
    </row>
    <row r="149" spans="1:25" ht="16" customHeight="1" x14ac:dyDescent="0.2">
      <c r="A149" s="1" t="s">
        <v>279</v>
      </c>
      <c r="B149" s="2" t="s">
        <v>151</v>
      </c>
      <c r="C149" s="2">
        <v>25</v>
      </c>
      <c r="D149" s="2" t="s">
        <v>109</v>
      </c>
      <c r="E149" s="2">
        <v>1559</v>
      </c>
      <c r="F149" s="2">
        <v>0</v>
      </c>
      <c r="G149" s="2">
        <v>0</v>
      </c>
      <c r="H149" s="2">
        <v>2</v>
      </c>
      <c r="I149" s="2">
        <v>2</v>
      </c>
      <c r="J149" s="2">
        <v>2</v>
      </c>
      <c r="K149" s="2">
        <v>1</v>
      </c>
      <c r="L149" s="2">
        <v>1</v>
      </c>
      <c r="M149" s="2">
        <v>0</v>
      </c>
      <c r="N149" s="2">
        <v>1</v>
      </c>
      <c r="O149" s="2">
        <v>0</v>
      </c>
      <c r="P149" s="2">
        <v>0</v>
      </c>
      <c r="Q149">
        <v>1</v>
      </c>
      <c r="R149">
        <v>0</v>
      </c>
      <c r="S149">
        <v>4</v>
      </c>
      <c r="T149">
        <v>-1</v>
      </c>
      <c r="U149">
        <v>0</v>
      </c>
      <c r="V149">
        <v>0</v>
      </c>
      <c r="W149">
        <v>0</v>
      </c>
      <c r="X149">
        <v>424</v>
      </c>
      <c r="Y149" t="s">
        <v>101</v>
      </c>
    </row>
    <row r="150" spans="1:25" ht="16" customHeight="1" x14ac:dyDescent="0.2">
      <c r="A150" s="1" t="s">
        <v>280</v>
      </c>
      <c r="B150" s="2" t="s">
        <v>111</v>
      </c>
      <c r="C150" s="2">
        <v>25</v>
      </c>
      <c r="D150" s="2" t="s">
        <v>112</v>
      </c>
      <c r="E150" s="2">
        <v>1507</v>
      </c>
      <c r="F150" s="2">
        <v>0</v>
      </c>
      <c r="G150" s="2">
        <v>0</v>
      </c>
      <c r="H150" s="2">
        <v>2</v>
      </c>
      <c r="I150" s="2">
        <v>3</v>
      </c>
      <c r="J150" s="2">
        <v>2</v>
      </c>
      <c r="K150" s="2">
        <v>2</v>
      </c>
      <c r="L150" s="2">
        <v>1</v>
      </c>
      <c r="M150" s="2">
        <v>0</v>
      </c>
      <c r="N150" s="2">
        <v>1</v>
      </c>
      <c r="O150" s="2">
        <v>0</v>
      </c>
      <c r="P150" s="2">
        <v>1</v>
      </c>
      <c r="Q150">
        <v>0</v>
      </c>
      <c r="R150">
        <v>1</v>
      </c>
      <c r="S150">
        <v>4</v>
      </c>
      <c r="T150">
        <v>0</v>
      </c>
      <c r="U150">
        <v>1</v>
      </c>
      <c r="V150">
        <v>1</v>
      </c>
      <c r="W150">
        <v>1</v>
      </c>
      <c r="X150">
        <v>74</v>
      </c>
      <c r="Y150" t="s">
        <v>101</v>
      </c>
    </row>
    <row r="151" spans="1:25" ht="16" customHeight="1" x14ac:dyDescent="0.2">
      <c r="A151" s="1" t="s">
        <v>281</v>
      </c>
      <c r="B151" s="2" t="s">
        <v>111</v>
      </c>
      <c r="C151" s="2">
        <v>25</v>
      </c>
      <c r="D151" s="2" t="s">
        <v>115</v>
      </c>
      <c r="E151" s="2">
        <v>4930</v>
      </c>
      <c r="F151" s="2">
        <v>0</v>
      </c>
      <c r="G151" s="2">
        <v>0</v>
      </c>
      <c r="H151" s="2">
        <v>3</v>
      </c>
      <c r="I151" s="2">
        <v>1</v>
      </c>
      <c r="J151" s="2">
        <v>1</v>
      </c>
      <c r="K151" s="2">
        <v>2</v>
      </c>
      <c r="L151" s="2">
        <v>0</v>
      </c>
      <c r="M151" s="2">
        <v>1</v>
      </c>
      <c r="N151" s="2">
        <v>1</v>
      </c>
      <c r="O151" s="2">
        <v>1</v>
      </c>
      <c r="P151" s="2">
        <v>1</v>
      </c>
      <c r="Q151">
        <v>1</v>
      </c>
      <c r="R151">
        <v>1</v>
      </c>
      <c r="S151">
        <v>-1</v>
      </c>
      <c r="T151">
        <v>1</v>
      </c>
      <c r="U151">
        <v>0</v>
      </c>
      <c r="V151">
        <v>0</v>
      </c>
      <c r="W151">
        <v>0</v>
      </c>
      <c r="X151">
        <v>75</v>
      </c>
      <c r="Y151" t="s">
        <v>101</v>
      </c>
    </row>
    <row r="152" spans="1:25" ht="16" customHeight="1" x14ac:dyDescent="0.2">
      <c r="A152" s="1" t="s">
        <v>282</v>
      </c>
      <c r="B152" s="2" t="s">
        <v>119</v>
      </c>
      <c r="C152" s="2">
        <v>26</v>
      </c>
      <c r="D152" s="2" t="s">
        <v>100</v>
      </c>
      <c r="E152" s="2">
        <v>694</v>
      </c>
      <c r="F152" s="2">
        <v>1</v>
      </c>
      <c r="G152" s="2">
        <v>1</v>
      </c>
      <c r="H152" s="2">
        <v>3</v>
      </c>
      <c r="I152" s="2">
        <v>1</v>
      </c>
      <c r="J152" s="2">
        <v>2</v>
      </c>
      <c r="K152" s="2">
        <v>2</v>
      </c>
      <c r="L152" s="2">
        <v>1</v>
      </c>
      <c r="M152" s="2">
        <v>1</v>
      </c>
      <c r="N152" s="2">
        <v>1</v>
      </c>
      <c r="O152" s="2">
        <v>0</v>
      </c>
      <c r="P152" s="2">
        <v>0</v>
      </c>
      <c r="Q152">
        <v>1</v>
      </c>
      <c r="R152">
        <v>0</v>
      </c>
      <c r="S152">
        <v>2</v>
      </c>
      <c r="T152">
        <v>1</v>
      </c>
      <c r="U152">
        <v>1</v>
      </c>
      <c r="V152">
        <v>1</v>
      </c>
      <c r="W152">
        <v>1</v>
      </c>
      <c r="X152">
        <v>101</v>
      </c>
      <c r="Y152" t="s">
        <v>101</v>
      </c>
    </row>
    <row r="153" spans="1:25" ht="16" customHeight="1" x14ac:dyDescent="0.2">
      <c r="A153" s="1" t="s">
        <v>283</v>
      </c>
      <c r="B153" s="2" t="s">
        <v>159</v>
      </c>
      <c r="C153" s="2">
        <v>26</v>
      </c>
      <c r="D153" s="2" t="s">
        <v>103</v>
      </c>
      <c r="E153" s="2">
        <v>271</v>
      </c>
      <c r="F153" s="2">
        <v>0</v>
      </c>
      <c r="G153" s="2">
        <v>1</v>
      </c>
      <c r="H153" s="2">
        <v>2</v>
      </c>
      <c r="I153" s="2">
        <v>2</v>
      </c>
      <c r="J153" s="2">
        <v>1</v>
      </c>
      <c r="K153" s="2">
        <v>5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>
        <v>0</v>
      </c>
      <c r="R153">
        <v>1</v>
      </c>
      <c r="S153">
        <v>4</v>
      </c>
      <c r="T153">
        <v>1</v>
      </c>
      <c r="U153">
        <v>0</v>
      </c>
      <c r="V153">
        <v>1</v>
      </c>
      <c r="W153">
        <v>0</v>
      </c>
      <c r="X153">
        <v>58</v>
      </c>
      <c r="Y153" t="s">
        <v>101</v>
      </c>
    </row>
    <row r="154" spans="1:25" ht="16" customHeight="1" x14ac:dyDescent="0.2">
      <c r="A154" s="1" t="s">
        <v>284</v>
      </c>
      <c r="B154" s="2" t="s">
        <v>126</v>
      </c>
      <c r="C154" s="2">
        <v>26</v>
      </c>
      <c r="D154" s="2" t="s">
        <v>106</v>
      </c>
      <c r="E154" s="2">
        <v>1591</v>
      </c>
      <c r="F154" s="2">
        <v>1</v>
      </c>
      <c r="G154" s="2">
        <v>1</v>
      </c>
      <c r="H154" s="2">
        <v>4</v>
      </c>
      <c r="I154" s="2">
        <v>2</v>
      </c>
      <c r="J154" s="2">
        <v>2</v>
      </c>
      <c r="K154" s="2">
        <v>3</v>
      </c>
      <c r="L154" s="2">
        <v>0</v>
      </c>
      <c r="M154" s="2">
        <v>0</v>
      </c>
      <c r="N154" s="2">
        <v>1</v>
      </c>
      <c r="O154" s="2">
        <v>0</v>
      </c>
      <c r="P154" s="2">
        <v>0</v>
      </c>
      <c r="Q154">
        <v>1</v>
      </c>
      <c r="R154">
        <v>1</v>
      </c>
      <c r="S154">
        <v>3</v>
      </c>
      <c r="T154">
        <v>1</v>
      </c>
      <c r="U154">
        <v>0</v>
      </c>
      <c r="V154">
        <v>0</v>
      </c>
      <c r="W154">
        <v>0</v>
      </c>
      <c r="X154">
        <v>474</v>
      </c>
      <c r="Y154" t="s">
        <v>101</v>
      </c>
    </row>
    <row r="155" spans="1:25" ht="16" customHeight="1" x14ac:dyDescent="0.2">
      <c r="A155" s="1" t="s">
        <v>285</v>
      </c>
      <c r="B155" s="2" t="s">
        <v>172</v>
      </c>
      <c r="C155" s="2">
        <v>26</v>
      </c>
      <c r="D155" s="2" t="s">
        <v>109</v>
      </c>
      <c r="E155" s="2">
        <v>6868</v>
      </c>
      <c r="F155" s="2">
        <v>0</v>
      </c>
      <c r="G155" s="2">
        <v>0</v>
      </c>
      <c r="H155" s="2">
        <v>3</v>
      </c>
      <c r="I155" s="2">
        <v>2</v>
      </c>
      <c r="J155" s="2">
        <v>2</v>
      </c>
      <c r="K155" s="2">
        <v>4</v>
      </c>
      <c r="L155" s="2">
        <v>0</v>
      </c>
      <c r="M155" s="2">
        <v>0</v>
      </c>
      <c r="N155" s="2">
        <v>0</v>
      </c>
      <c r="O155" s="2">
        <v>1</v>
      </c>
      <c r="P155" s="2">
        <v>0</v>
      </c>
      <c r="Q155">
        <v>0</v>
      </c>
      <c r="R155">
        <v>1</v>
      </c>
      <c r="S155">
        <v>-1</v>
      </c>
      <c r="T155">
        <v>0</v>
      </c>
      <c r="U155">
        <v>1</v>
      </c>
      <c r="V155">
        <v>0</v>
      </c>
      <c r="W155">
        <v>0</v>
      </c>
      <c r="X155">
        <v>235</v>
      </c>
      <c r="Y155" t="s">
        <v>101</v>
      </c>
    </row>
    <row r="156" spans="1:25" ht="16" customHeight="1" x14ac:dyDescent="0.2">
      <c r="A156" s="1" t="s">
        <v>286</v>
      </c>
      <c r="B156" s="2" t="s">
        <v>105</v>
      </c>
      <c r="C156" s="2">
        <v>26</v>
      </c>
      <c r="D156" s="2" t="s">
        <v>112</v>
      </c>
      <c r="E156" s="2">
        <v>8503</v>
      </c>
      <c r="F156" s="2">
        <v>1</v>
      </c>
      <c r="G156" s="2">
        <v>-1</v>
      </c>
      <c r="H156" s="2">
        <v>1</v>
      </c>
      <c r="I156" s="2">
        <v>1</v>
      </c>
      <c r="J156" s="2">
        <v>3</v>
      </c>
      <c r="K156" s="2">
        <v>1</v>
      </c>
      <c r="L156" s="2">
        <v>1</v>
      </c>
      <c r="M156" s="2">
        <v>0</v>
      </c>
      <c r="N156" s="2">
        <v>0</v>
      </c>
      <c r="O156" s="2">
        <v>1</v>
      </c>
      <c r="P156" s="2">
        <v>0</v>
      </c>
      <c r="Q156">
        <v>1</v>
      </c>
      <c r="R156">
        <v>1</v>
      </c>
      <c r="S156">
        <v>1</v>
      </c>
      <c r="T156">
        <v>-1</v>
      </c>
      <c r="U156">
        <v>1</v>
      </c>
      <c r="V156">
        <v>1</v>
      </c>
      <c r="W156">
        <v>1</v>
      </c>
      <c r="X156">
        <v>358</v>
      </c>
      <c r="Y156" t="s">
        <v>101</v>
      </c>
    </row>
    <row r="157" spans="1:25" ht="16" customHeight="1" x14ac:dyDescent="0.2">
      <c r="A157" s="1" t="s">
        <v>287</v>
      </c>
      <c r="B157" s="2" t="s">
        <v>105</v>
      </c>
      <c r="C157" s="2">
        <v>26</v>
      </c>
      <c r="D157" s="2" t="s">
        <v>115</v>
      </c>
      <c r="E157" s="2">
        <v>424</v>
      </c>
      <c r="F157" s="2">
        <v>0</v>
      </c>
      <c r="G157" s="2">
        <v>0</v>
      </c>
      <c r="H157" s="2">
        <v>3</v>
      </c>
      <c r="I157" s="2">
        <v>3</v>
      </c>
      <c r="J157" s="2">
        <v>1</v>
      </c>
      <c r="K157" s="2">
        <v>4</v>
      </c>
      <c r="L157" s="2">
        <v>1</v>
      </c>
      <c r="M157" s="2">
        <v>0</v>
      </c>
      <c r="N157" s="2">
        <v>0</v>
      </c>
      <c r="O157" s="2">
        <v>1</v>
      </c>
      <c r="P157" s="2">
        <v>0</v>
      </c>
      <c r="Q157">
        <v>0</v>
      </c>
      <c r="R157">
        <v>0</v>
      </c>
      <c r="S157">
        <v>1</v>
      </c>
      <c r="T157">
        <v>1</v>
      </c>
      <c r="U157">
        <v>1</v>
      </c>
      <c r="V157">
        <v>1</v>
      </c>
      <c r="W157">
        <v>1</v>
      </c>
      <c r="X157">
        <v>28</v>
      </c>
      <c r="Y157" t="s">
        <v>101</v>
      </c>
    </row>
    <row r="158" spans="1:25" ht="16" customHeight="1" x14ac:dyDescent="0.2">
      <c r="A158" s="1" t="s">
        <v>288</v>
      </c>
      <c r="B158" s="2" t="s">
        <v>172</v>
      </c>
      <c r="C158" s="2">
        <v>27</v>
      </c>
      <c r="D158" s="2" t="s">
        <v>100</v>
      </c>
      <c r="E158" s="2">
        <v>353</v>
      </c>
      <c r="F158" s="2">
        <v>1</v>
      </c>
      <c r="G158" s="2">
        <v>-1</v>
      </c>
      <c r="H158" s="2">
        <v>2</v>
      </c>
      <c r="I158" s="2">
        <v>2</v>
      </c>
      <c r="J158" s="2">
        <v>2</v>
      </c>
      <c r="K158" s="2">
        <v>3</v>
      </c>
      <c r="L158" s="2">
        <v>1</v>
      </c>
      <c r="M158" s="2">
        <v>0</v>
      </c>
      <c r="N158" s="2">
        <v>0</v>
      </c>
      <c r="O158" s="2">
        <v>0</v>
      </c>
      <c r="P158" s="2">
        <v>1</v>
      </c>
      <c r="Q158">
        <v>0</v>
      </c>
      <c r="R158">
        <v>1</v>
      </c>
      <c r="S158">
        <v>3</v>
      </c>
      <c r="T158">
        <v>1</v>
      </c>
      <c r="U158">
        <v>0</v>
      </c>
      <c r="V158">
        <v>0</v>
      </c>
      <c r="W158">
        <v>1</v>
      </c>
      <c r="X158">
        <v>263</v>
      </c>
      <c r="Y158" t="s">
        <v>101</v>
      </c>
    </row>
    <row r="159" spans="1:25" ht="16" customHeight="1" x14ac:dyDescent="0.2">
      <c r="A159" s="1" t="s">
        <v>289</v>
      </c>
      <c r="B159" s="2" t="s">
        <v>117</v>
      </c>
      <c r="C159" s="2">
        <v>27</v>
      </c>
      <c r="D159" s="2" t="s">
        <v>103</v>
      </c>
      <c r="E159" s="2">
        <v>1511</v>
      </c>
      <c r="F159" s="2">
        <v>1</v>
      </c>
      <c r="G159" s="2">
        <v>0</v>
      </c>
      <c r="H159" s="2">
        <v>4</v>
      </c>
      <c r="I159" s="2">
        <v>2</v>
      </c>
      <c r="J159" s="2">
        <v>1</v>
      </c>
      <c r="K159" s="2">
        <v>5</v>
      </c>
      <c r="L159" s="2">
        <v>0</v>
      </c>
      <c r="M159" s="2">
        <v>0</v>
      </c>
      <c r="N159" s="2">
        <v>1</v>
      </c>
      <c r="O159" s="2">
        <v>1</v>
      </c>
      <c r="P159" s="2">
        <v>0</v>
      </c>
      <c r="Q159">
        <v>1</v>
      </c>
      <c r="R159">
        <v>0</v>
      </c>
      <c r="S159">
        <v>1</v>
      </c>
      <c r="T159">
        <v>0</v>
      </c>
      <c r="U159">
        <v>1</v>
      </c>
      <c r="V159">
        <v>1</v>
      </c>
      <c r="W159">
        <v>1</v>
      </c>
      <c r="X159">
        <v>317</v>
      </c>
      <c r="Y159" t="s">
        <v>101</v>
      </c>
    </row>
    <row r="160" spans="1:25" ht="16" customHeight="1" x14ac:dyDescent="0.2">
      <c r="A160" s="1" t="s">
        <v>290</v>
      </c>
      <c r="B160" s="2" t="s">
        <v>229</v>
      </c>
      <c r="C160" s="2">
        <v>27</v>
      </c>
      <c r="D160" s="2" t="s">
        <v>106</v>
      </c>
      <c r="E160" s="2">
        <v>340</v>
      </c>
      <c r="F160" s="2">
        <v>1</v>
      </c>
      <c r="G160" s="2">
        <v>0</v>
      </c>
      <c r="H160" s="2">
        <v>1</v>
      </c>
      <c r="I160" s="2">
        <v>2</v>
      </c>
      <c r="J160" s="2">
        <v>2</v>
      </c>
      <c r="K160" s="2">
        <v>1</v>
      </c>
      <c r="L160" s="2">
        <v>1</v>
      </c>
      <c r="M160" s="2">
        <v>0</v>
      </c>
      <c r="N160" s="2">
        <v>0</v>
      </c>
      <c r="O160" s="2">
        <v>1</v>
      </c>
      <c r="P160" s="2">
        <v>0</v>
      </c>
      <c r="Q160">
        <v>0</v>
      </c>
      <c r="R160">
        <v>0</v>
      </c>
      <c r="S160">
        <v>3</v>
      </c>
      <c r="T160">
        <v>0</v>
      </c>
      <c r="U160">
        <v>1</v>
      </c>
      <c r="V160">
        <v>1</v>
      </c>
      <c r="W160">
        <v>0</v>
      </c>
      <c r="X160">
        <v>398</v>
      </c>
      <c r="Y160" t="s">
        <v>101</v>
      </c>
    </row>
    <row r="161" spans="1:25" ht="16" customHeight="1" x14ac:dyDescent="0.2">
      <c r="A161" s="1" t="s">
        <v>291</v>
      </c>
      <c r="B161" s="2" t="s">
        <v>144</v>
      </c>
      <c r="C161" s="2">
        <v>27</v>
      </c>
      <c r="D161" s="2" t="s">
        <v>109</v>
      </c>
      <c r="E161" s="2">
        <v>4458</v>
      </c>
      <c r="F161" s="2">
        <v>0</v>
      </c>
      <c r="G161" s="2">
        <v>1</v>
      </c>
      <c r="H161" s="2">
        <v>1</v>
      </c>
      <c r="I161" s="2">
        <v>2</v>
      </c>
      <c r="J161" s="2">
        <v>3</v>
      </c>
      <c r="K161" s="2">
        <v>3</v>
      </c>
      <c r="L161" s="2">
        <v>0</v>
      </c>
      <c r="M161" s="2">
        <v>0</v>
      </c>
      <c r="N161" s="2">
        <v>1</v>
      </c>
      <c r="O161" s="2">
        <v>1</v>
      </c>
      <c r="P161" s="2">
        <v>1</v>
      </c>
      <c r="Q161">
        <v>0</v>
      </c>
      <c r="R161">
        <v>0</v>
      </c>
      <c r="S161">
        <v>1</v>
      </c>
      <c r="T161">
        <v>1</v>
      </c>
      <c r="U161">
        <v>0</v>
      </c>
      <c r="V161">
        <v>0</v>
      </c>
      <c r="W161">
        <v>1</v>
      </c>
      <c r="X161">
        <v>166</v>
      </c>
      <c r="Y161" t="s">
        <v>101</v>
      </c>
    </row>
    <row r="162" spans="1:25" ht="16" customHeight="1" x14ac:dyDescent="0.2">
      <c r="A162" s="1" t="s">
        <v>292</v>
      </c>
      <c r="B162" s="2" t="s">
        <v>124</v>
      </c>
      <c r="C162" s="2">
        <v>27</v>
      </c>
      <c r="D162" s="2" t="s">
        <v>112</v>
      </c>
      <c r="E162" s="2">
        <v>3044</v>
      </c>
      <c r="F162" s="2">
        <v>0</v>
      </c>
      <c r="G162" s="2">
        <v>1</v>
      </c>
      <c r="H162" s="2">
        <v>5</v>
      </c>
      <c r="I162" s="2">
        <v>2</v>
      </c>
      <c r="J162" s="2">
        <v>1</v>
      </c>
      <c r="K162" s="2">
        <v>1</v>
      </c>
      <c r="L162" s="2">
        <v>0</v>
      </c>
      <c r="M162" s="2">
        <v>1</v>
      </c>
      <c r="N162" s="2">
        <v>1</v>
      </c>
      <c r="O162" s="2">
        <v>1</v>
      </c>
      <c r="P162" s="2">
        <v>1</v>
      </c>
      <c r="Q162">
        <v>0</v>
      </c>
      <c r="R162">
        <v>0</v>
      </c>
      <c r="S162">
        <v>4</v>
      </c>
      <c r="T162">
        <v>1</v>
      </c>
      <c r="U162">
        <v>1</v>
      </c>
      <c r="V162">
        <v>0</v>
      </c>
      <c r="W162">
        <v>0</v>
      </c>
      <c r="X162">
        <v>121</v>
      </c>
      <c r="Y162" t="s">
        <v>101</v>
      </c>
    </row>
    <row r="163" spans="1:25" ht="16" customHeight="1" x14ac:dyDescent="0.2">
      <c r="A163" s="1" t="s">
        <v>293</v>
      </c>
      <c r="B163" s="2" t="s">
        <v>170</v>
      </c>
      <c r="C163" s="2">
        <v>27</v>
      </c>
      <c r="D163" s="2" t="s">
        <v>115</v>
      </c>
      <c r="E163" s="2">
        <v>10223</v>
      </c>
      <c r="F163" s="2">
        <v>1</v>
      </c>
      <c r="G163" s="2">
        <v>1</v>
      </c>
      <c r="H163" s="2">
        <v>1</v>
      </c>
      <c r="I163" s="2">
        <v>2</v>
      </c>
      <c r="J163" s="2">
        <v>3</v>
      </c>
      <c r="K163" s="2">
        <v>2</v>
      </c>
      <c r="L163" s="2">
        <v>1</v>
      </c>
      <c r="M163" s="2">
        <v>0</v>
      </c>
      <c r="N163" s="2">
        <v>1</v>
      </c>
      <c r="O163" s="2">
        <v>0</v>
      </c>
      <c r="P163" s="2">
        <v>1</v>
      </c>
      <c r="Q163">
        <v>1</v>
      </c>
      <c r="R163">
        <v>1</v>
      </c>
      <c r="S163">
        <v>1</v>
      </c>
      <c r="T163">
        <v>1</v>
      </c>
      <c r="U163">
        <v>1</v>
      </c>
      <c r="V163">
        <v>0</v>
      </c>
      <c r="W163">
        <v>0</v>
      </c>
      <c r="X163">
        <v>399</v>
      </c>
      <c r="Y163" t="s">
        <v>101</v>
      </c>
    </row>
    <row r="164" spans="1:25" ht="16" customHeight="1" x14ac:dyDescent="0.2">
      <c r="A164" s="1" t="s">
        <v>294</v>
      </c>
      <c r="B164" s="2" t="s">
        <v>191</v>
      </c>
      <c r="C164" s="2">
        <v>28</v>
      </c>
      <c r="D164" s="2" t="s">
        <v>100</v>
      </c>
      <c r="E164" s="2">
        <v>7903</v>
      </c>
      <c r="F164" s="2">
        <v>1</v>
      </c>
      <c r="G164" s="2">
        <v>-1</v>
      </c>
      <c r="H164" s="2">
        <v>5</v>
      </c>
      <c r="I164" s="2">
        <v>1</v>
      </c>
      <c r="J164" s="2">
        <v>2</v>
      </c>
      <c r="K164" s="2">
        <v>2</v>
      </c>
      <c r="L164" s="2">
        <v>1</v>
      </c>
      <c r="M164" s="2">
        <v>1</v>
      </c>
      <c r="N164" s="2">
        <v>1</v>
      </c>
      <c r="O164" s="2">
        <v>0</v>
      </c>
      <c r="P164" s="2">
        <v>1</v>
      </c>
      <c r="Q164">
        <v>1</v>
      </c>
      <c r="R164">
        <v>1</v>
      </c>
      <c r="S164">
        <v>1</v>
      </c>
      <c r="T164">
        <v>0</v>
      </c>
      <c r="U164">
        <v>0</v>
      </c>
      <c r="V164">
        <v>1</v>
      </c>
      <c r="W164">
        <v>0</v>
      </c>
      <c r="X164">
        <v>156</v>
      </c>
      <c r="Y164" t="s">
        <v>101</v>
      </c>
    </row>
    <row r="165" spans="1:25" ht="16" customHeight="1" x14ac:dyDescent="0.2">
      <c r="A165" s="1" t="s">
        <v>295</v>
      </c>
      <c r="B165" s="2" t="s">
        <v>181</v>
      </c>
      <c r="C165" s="2">
        <v>28</v>
      </c>
      <c r="D165" s="2" t="s">
        <v>103</v>
      </c>
      <c r="E165" s="2">
        <v>6947</v>
      </c>
      <c r="F165" s="2">
        <v>1</v>
      </c>
      <c r="G165" s="2">
        <v>-1</v>
      </c>
      <c r="H165" s="2">
        <v>2</v>
      </c>
      <c r="I165" s="2">
        <v>2</v>
      </c>
      <c r="J165" s="2">
        <v>2</v>
      </c>
      <c r="K165" s="2">
        <v>2</v>
      </c>
      <c r="L165" s="2">
        <v>1</v>
      </c>
      <c r="M165" s="2">
        <v>1</v>
      </c>
      <c r="N165" s="2">
        <v>1</v>
      </c>
      <c r="O165" s="2">
        <v>0</v>
      </c>
      <c r="P165" s="2">
        <v>1</v>
      </c>
      <c r="Q165">
        <v>1</v>
      </c>
      <c r="R165">
        <v>1</v>
      </c>
      <c r="S165">
        <v>1</v>
      </c>
      <c r="T165">
        <v>0</v>
      </c>
      <c r="U165">
        <v>1</v>
      </c>
      <c r="V165">
        <v>1</v>
      </c>
      <c r="W165">
        <v>1</v>
      </c>
      <c r="X165">
        <v>497</v>
      </c>
      <c r="Y165" t="s">
        <v>101</v>
      </c>
    </row>
    <row r="166" spans="1:25" ht="16" customHeight="1" x14ac:dyDescent="0.2">
      <c r="A166" s="1" t="s">
        <v>296</v>
      </c>
      <c r="B166" s="2" t="s">
        <v>172</v>
      </c>
      <c r="C166" s="2">
        <v>28</v>
      </c>
      <c r="D166" s="2" t="s">
        <v>106</v>
      </c>
      <c r="E166" s="2">
        <v>6423</v>
      </c>
      <c r="F166" s="2">
        <v>1</v>
      </c>
      <c r="G166" s="2">
        <v>0</v>
      </c>
      <c r="H166" s="2">
        <v>1</v>
      </c>
      <c r="I166" s="2">
        <v>1</v>
      </c>
      <c r="J166" s="2">
        <v>3</v>
      </c>
      <c r="K166" s="2">
        <v>2</v>
      </c>
      <c r="L166" s="2">
        <v>0</v>
      </c>
      <c r="M166" s="2">
        <v>0</v>
      </c>
      <c r="N166" s="2">
        <v>0</v>
      </c>
      <c r="O166" s="2">
        <v>1</v>
      </c>
      <c r="P166" s="2">
        <v>0</v>
      </c>
      <c r="Q166">
        <v>0</v>
      </c>
      <c r="R166">
        <v>1</v>
      </c>
      <c r="S166">
        <v>-1</v>
      </c>
      <c r="T166">
        <v>1</v>
      </c>
      <c r="U166">
        <v>1</v>
      </c>
      <c r="V166">
        <v>1</v>
      </c>
      <c r="W166">
        <v>1</v>
      </c>
      <c r="X166">
        <v>227</v>
      </c>
      <c r="Y166" t="s">
        <v>101</v>
      </c>
    </row>
    <row r="167" spans="1:25" ht="16" customHeight="1" x14ac:dyDescent="0.2">
      <c r="A167" s="1" t="s">
        <v>297</v>
      </c>
      <c r="B167" s="2" t="s">
        <v>141</v>
      </c>
      <c r="C167" s="2">
        <v>28</v>
      </c>
      <c r="D167" s="2" t="s">
        <v>109</v>
      </c>
      <c r="E167" s="2">
        <v>5528</v>
      </c>
      <c r="F167" s="2">
        <v>1</v>
      </c>
      <c r="G167" s="2">
        <v>-1</v>
      </c>
      <c r="H167" s="2">
        <v>5</v>
      </c>
      <c r="I167" s="2">
        <v>1</v>
      </c>
      <c r="J167" s="2">
        <v>2</v>
      </c>
      <c r="K167" s="2">
        <v>4</v>
      </c>
      <c r="L167" s="2">
        <v>1</v>
      </c>
      <c r="M167" s="2">
        <v>0</v>
      </c>
      <c r="N167" s="2">
        <v>0</v>
      </c>
      <c r="O167" s="2">
        <v>1</v>
      </c>
      <c r="P167" s="2">
        <v>0</v>
      </c>
      <c r="Q167">
        <v>0</v>
      </c>
      <c r="R167">
        <v>0</v>
      </c>
      <c r="S167">
        <v>1</v>
      </c>
      <c r="T167">
        <v>1</v>
      </c>
      <c r="U167">
        <v>1</v>
      </c>
      <c r="V167">
        <v>0</v>
      </c>
      <c r="W167">
        <v>1</v>
      </c>
      <c r="X167">
        <v>396</v>
      </c>
      <c r="Y167" t="s">
        <v>101</v>
      </c>
    </row>
    <row r="168" spans="1:25" ht="16" customHeight="1" x14ac:dyDescent="0.2">
      <c r="A168" s="1" t="s">
        <v>298</v>
      </c>
      <c r="B168" s="2" t="s">
        <v>122</v>
      </c>
      <c r="C168" s="2">
        <v>28</v>
      </c>
      <c r="D168" s="2" t="s">
        <v>112</v>
      </c>
      <c r="E168" s="2">
        <v>1468</v>
      </c>
      <c r="F168" s="2">
        <v>1</v>
      </c>
      <c r="G168" s="2">
        <v>0</v>
      </c>
      <c r="H168" s="2">
        <v>2</v>
      </c>
      <c r="I168" s="2">
        <v>1</v>
      </c>
      <c r="J168" s="2">
        <v>2</v>
      </c>
      <c r="K168" s="2">
        <v>5</v>
      </c>
      <c r="L168" s="2">
        <v>0</v>
      </c>
      <c r="M168" s="2">
        <v>0</v>
      </c>
      <c r="N168" s="2">
        <v>1</v>
      </c>
      <c r="O168" s="2">
        <v>1</v>
      </c>
      <c r="P168" s="2">
        <v>0</v>
      </c>
      <c r="Q168">
        <v>1</v>
      </c>
      <c r="R168">
        <v>1</v>
      </c>
      <c r="S168">
        <v>1</v>
      </c>
      <c r="T168">
        <v>1</v>
      </c>
      <c r="U168">
        <v>0</v>
      </c>
      <c r="V168">
        <v>1</v>
      </c>
      <c r="W168">
        <v>0</v>
      </c>
      <c r="X168">
        <v>105</v>
      </c>
      <c r="Y168" t="s">
        <v>101</v>
      </c>
    </row>
    <row r="169" spans="1:25" ht="16" customHeight="1" x14ac:dyDescent="0.2">
      <c r="A169" s="1" t="s">
        <v>299</v>
      </c>
      <c r="B169" s="2" t="s">
        <v>128</v>
      </c>
      <c r="C169" s="2">
        <v>28</v>
      </c>
      <c r="D169" s="2" t="s">
        <v>115</v>
      </c>
      <c r="E169" s="2">
        <v>144</v>
      </c>
      <c r="F169" s="2">
        <v>0</v>
      </c>
      <c r="G169" s="2">
        <v>-1</v>
      </c>
      <c r="H169" s="2">
        <v>2</v>
      </c>
      <c r="I169" s="2">
        <v>1</v>
      </c>
      <c r="J169" s="2">
        <v>3</v>
      </c>
      <c r="K169" s="2">
        <v>4</v>
      </c>
      <c r="L169" s="2">
        <v>1</v>
      </c>
      <c r="M169" s="2">
        <v>0</v>
      </c>
      <c r="N169" s="2">
        <v>1</v>
      </c>
      <c r="O169" s="2">
        <v>1</v>
      </c>
      <c r="P169" s="2">
        <v>1</v>
      </c>
      <c r="Q169">
        <v>0</v>
      </c>
      <c r="R169">
        <v>1</v>
      </c>
      <c r="S169">
        <v>-1</v>
      </c>
      <c r="T169">
        <v>0</v>
      </c>
      <c r="U169">
        <v>1</v>
      </c>
      <c r="V169">
        <v>1</v>
      </c>
      <c r="W169">
        <v>1</v>
      </c>
      <c r="X169">
        <v>29</v>
      </c>
      <c r="Y169" t="s">
        <v>101</v>
      </c>
    </row>
    <row r="170" spans="1:25" ht="16" customHeight="1" x14ac:dyDescent="0.2">
      <c r="A170" s="1" t="s">
        <v>300</v>
      </c>
      <c r="B170" s="2" t="s">
        <v>136</v>
      </c>
      <c r="C170" s="2">
        <v>29</v>
      </c>
      <c r="D170" s="2" t="s">
        <v>100</v>
      </c>
      <c r="E170" s="2">
        <v>20</v>
      </c>
      <c r="F170" s="2">
        <v>1</v>
      </c>
      <c r="G170" s="2">
        <v>-1</v>
      </c>
      <c r="H170" s="2">
        <v>2</v>
      </c>
      <c r="I170" s="2">
        <v>3</v>
      </c>
      <c r="J170" s="2">
        <v>1</v>
      </c>
      <c r="K170" s="2">
        <v>3</v>
      </c>
      <c r="L170" s="2">
        <v>0</v>
      </c>
      <c r="M170" s="2">
        <v>1</v>
      </c>
      <c r="N170" s="2">
        <v>1</v>
      </c>
      <c r="O170" s="2">
        <v>0</v>
      </c>
      <c r="P170" s="2">
        <v>1</v>
      </c>
      <c r="Q170">
        <v>1</v>
      </c>
      <c r="R170">
        <v>1</v>
      </c>
      <c r="S170">
        <v>-1</v>
      </c>
      <c r="T170">
        <v>-1</v>
      </c>
      <c r="U170">
        <v>1</v>
      </c>
      <c r="V170">
        <v>0</v>
      </c>
      <c r="W170">
        <v>0</v>
      </c>
      <c r="X170">
        <v>49</v>
      </c>
      <c r="Y170" t="s">
        <v>101</v>
      </c>
    </row>
    <row r="171" spans="1:25" ht="16" customHeight="1" x14ac:dyDescent="0.2">
      <c r="A171" s="1" t="s">
        <v>301</v>
      </c>
      <c r="B171" s="2" t="s">
        <v>191</v>
      </c>
      <c r="C171" s="2">
        <v>29</v>
      </c>
      <c r="D171" s="2" t="s">
        <v>103</v>
      </c>
      <c r="E171" s="2">
        <v>1405</v>
      </c>
      <c r="F171" s="2">
        <v>1</v>
      </c>
      <c r="G171" s="2">
        <v>1</v>
      </c>
      <c r="H171" s="2">
        <v>4</v>
      </c>
      <c r="I171" s="2">
        <v>2</v>
      </c>
      <c r="J171" s="2">
        <v>1</v>
      </c>
      <c r="K171" s="2">
        <v>5</v>
      </c>
      <c r="L171" s="2">
        <v>1</v>
      </c>
      <c r="M171" s="2">
        <v>1</v>
      </c>
      <c r="N171" s="2">
        <v>1</v>
      </c>
      <c r="O171" s="2">
        <v>0</v>
      </c>
      <c r="P171" s="2">
        <v>0</v>
      </c>
      <c r="Q171">
        <v>1</v>
      </c>
      <c r="R171">
        <v>1</v>
      </c>
      <c r="S171">
        <v>-1</v>
      </c>
      <c r="T171">
        <v>-1</v>
      </c>
      <c r="U171">
        <v>1</v>
      </c>
      <c r="V171">
        <v>1</v>
      </c>
      <c r="W171">
        <v>0</v>
      </c>
      <c r="X171">
        <v>337</v>
      </c>
      <c r="Y171" t="s">
        <v>101</v>
      </c>
    </row>
    <row r="172" spans="1:25" ht="16" customHeight="1" x14ac:dyDescent="0.2">
      <c r="A172" s="1" t="s">
        <v>302</v>
      </c>
      <c r="B172" s="2" t="s">
        <v>191</v>
      </c>
      <c r="C172" s="2">
        <v>29</v>
      </c>
      <c r="D172" s="2" t="s">
        <v>106</v>
      </c>
      <c r="E172" s="2">
        <v>4093</v>
      </c>
      <c r="F172" s="2">
        <v>1</v>
      </c>
      <c r="G172" s="2">
        <v>1</v>
      </c>
      <c r="H172" s="2">
        <v>5</v>
      </c>
      <c r="I172" s="2">
        <v>2</v>
      </c>
      <c r="J172" s="2">
        <v>1</v>
      </c>
      <c r="K172" s="2">
        <v>4</v>
      </c>
      <c r="L172" s="2">
        <v>0</v>
      </c>
      <c r="M172" s="2">
        <v>0</v>
      </c>
      <c r="N172" s="2">
        <v>0</v>
      </c>
      <c r="O172" s="2">
        <v>1</v>
      </c>
      <c r="P172" s="2">
        <v>0</v>
      </c>
      <c r="Q172">
        <v>0</v>
      </c>
      <c r="R172">
        <v>1</v>
      </c>
      <c r="S172">
        <v>2</v>
      </c>
      <c r="T172">
        <v>0</v>
      </c>
      <c r="U172">
        <v>0</v>
      </c>
      <c r="V172">
        <v>1</v>
      </c>
      <c r="W172">
        <v>0</v>
      </c>
      <c r="X172">
        <v>71</v>
      </c>
      <c r="Y172" t="s">
        <v>101</v>
      </c>
    </row>
    <row r="173" spans="1:25" ht="16" customHeight="1" x14ac:dyDescent="0.2">
      <c r="A173" s="1" t="s">
        <v>303</v>
      </c>
      <c r="B173" s="2" t="s">
        <v>229</v>
      </c>
      <c r="C173" s="2">
        <v>29</v>
      </c>
      <c r="D173" s="2" t="s">
        <v>109</v>
      </c>
      <c r="E173" s="2">
        <v>3951</v>
      </c>
      <c r="F173" s="2">
        <v>0</v>
      </c>
      <c r="G173" s="2">
        <v>1</v>
      </c>
      <c r="H173" s="2">
        <v>5</v>
      </c>
      <c r="I173" s="2">
        <v>3</v>
      </c>
      <c r="J173" s="2">
        <v>2</v>
      </c>
      <c r="K173" s="2">
        <v>5</v>
      </c>
      <c r="L173" s="2">
        <v>1</v>
      </c>
      <c r="M173" s="2">
        <v>0</v>
      </c>
      <c r="N173" s="2">
        <v>1</v>
      </c>
      <c r="O173" s="2">
        <v>1</v>
      </c>
      <c r="P173" s="2">
        <v>0</v>
      </c>
      <c r="Q173">
        <v>1</v>
      </c>
      <c r="R173">
        <v>0</v>
      </c>
      <c r="S173">
        <v>2</v>
      </c>
      <c r="T173">
        <v>-1</v>
      </c>
      <c r="U173">
        <v>1</v>
      </c>
      <c r="V173">
        <v>0</v>
      </c>
      <c r="W173">
        <v>1</v>
      </c>
      <c r="X173">
        <v>349</v>
      </c>
      <c r="Y173" t="s">
        <v>101</v>
      </c>
    </row>
    <row r="174" spans="1:25" ht="16" customHeight="1" x14ac:dyDescent="0.2">
      <c r="A174" s="1" t="s">
        <v>304</v>
      </c>
      <c r="B174" s="2" t="s">
        <v>122</v>
      </c>
      <c r="C174" s="2">
        <v>29</v>
      </c>
      <c r="D174" s="2" t="s">
        <v>112</v>
      </c>
      <c r="E174" s="2">
        <v>3015</v>
      </c>
      <c r="F174" s="2">
        <v>0</v>
      </c>
      <c r="G174" s="2">
        <v>-1</v>
      </c>
      <c r="H174" s="2">
        <v>1</v>
      </c>
      <c r="I174" s="2">
        <v>2</v>
      </c>
      <c r="J174" s="2">
        <v>3</v>
      </c>
      <c r="K174" s="2">
        <v>1</v>
      </c>
      <c r="L174" s="2">
        <v>1</v>
      </c>
      <c r="M174" s="2">
        <v>0</v>
      </c>
      <c r="N174" s="2">
        <v>1</v>
      </c>
      <c r="O174" s="2">
        <v>0</v>
      </c>
      <c r="P174" s="2">
        <v>1</v>
      </c>
      <c r="Q174">
        <v>1</v>
      </c>
      <c r="R174">
        <v>1</v>
      </c>
      <c r="S174">
        <v>4</v>
      </c>
      <c r="T174">
        <v>0</v>
      </c>
      <c r="U174">
        <v>0</v>
      </c>
      <c r="V174">
        <v>1</v>
      </c>
      <c r="W174">
        <v>1</v>
      </c>
      <c r="X174">
        <v>183</v>
      </c>
      <c r="Y174" t="s">
        <v>101</v>
      </c>
    </row>
    <row r="175" spans="1:25" ht="16" customHeight="1" x14ac:dyDescent="0.2">
      <c r="A175" s="1" t="s">
        <v>305</v>
      </c>
      <c r="B175" s="2" t="s">
        <v>99</v>
      </c>
      <c r="C175" s="2">
        <v>29</v>
      </c>
      <c r="D175" s="2" t="s">
        <v>115</v>
      </c>
      <c r="E175" s="2">
        <v>2228</v>
      </c>
      <c r="F175" s="2">
        <v>0</v>
      </c>
      <c r="G175" s="2">
        <v>1</v>
      </c>
      <c r="H175" s="2">
        <v>2</v>
      </c>
      <c r="I175" s="2">
        <v>1</v>
      </c>
      <c r="J175" s="2">
        <v>1</v>
      </c>
      <c r="K175" s="2">
        <v>3</v>
      </c>
      <c r="L175" s="2">
        <v>0</v>
      </c>
      <c r="M175" s="2">
        <v>0</v>
      </c>
      <c r="N175" s="2">
        <v>0</v>
      </c>
      <c r="O175" s="2">
        <v>1</v>
      </c>
      <c r="P175" s="2">
        <v>1</v>
      </c>
      <c r="Q175">
        <v>0</v>
      </c>
      <c r="R175">
        <v>1</v>
      </c>
      <c r="S175">
        <v>4</v>
      </c>
      <c r="T175">
        <v>0</v>
      </c>
      <c r="U175">
        <v>0</v>
      </c>
      <c r="V175">
        <v>0</v>
      </c>
      <c r="W175">
        <v>1</v>
      </c>
      <c r="X175">
        <v>438</v>
      </c>
      <c r="Y175" t="s">
        <v>101</v>
      </c>
    </row>
    <row r="176" spans="1:25" ht="16" customHeight="1" x14ac:dyDescent="0.2">
      <c r="A176" s="1" t="s">
        <v>306</v>
      </c>
      <c r="B176" s="2" t="s">
        <v>161</v>
      </c>
      <c r="C176" s="2">
        <v>30</v>
      </c>
      <c r="D176" s="2" t="s">
        <v>100</v>
      </c>
      <c r="E176" s="2">
        <v>1126</v>
      </c>
      <c r="F176" s="2">
        <v>1</v>
      </c>
      <c r="G176" s="2">
        <v>0</v>
      </c>
      <c r="H176" s="2">
        <v>2</v>
      </c>
      <c r="I176" s="2">
        <v>2</v>
      </c>
      <c r="J176" s="2">
        <v>3</v>
      </c>
      <c r="K176" s="2">
        <v>1</v>
      </c>
      <c r="L176" s="2">
        <v>1</v>
      </c>
      <c r="M176" s="2">
        <v>1</v>
      </c>
      <c r="N176" s="2">
        <v>1</v>
      </c>
      <c r="O176" s="2">
        <v>1</v>
      </c>
      <c r="P176" s="2">
        <v>0</v>
      </c>
      <c r="Q176">
        <v>1</v>
      </c>
      <c r="R176">
        <v>1</v>
      </c>
      <c r="S176">
        <v>3</v>
      </c>
      <c r="T176">
        <v>1</v>
      </c>
      <c r="U176">
        <v>0</v>
      </c>
      <c r="V176">
        <v>0</v>
      </c>
      <c r="W176">
        <v>0</v>
      </c>
      <c r="X176">
        <v>88</v>
      </c>
      <c r="Y176" t="s">
        <v>101</v>
      </c>
    </row>
    <row r="177" spans="1:25" ht="16" customHeight="1" x14ac:dyDescent="0.2">
      <c r="A177" s="1" t="s">
        <v>307</v>
      </c>
      <c r="B177" s="2" t="s">
        <v>144</v>
      </c>
      <c r="C177" s="2">
        <v>30</v>
      </c>
      <c r="D177" s="2" t="s">
        <v>103</v>
      </c>
      <c r="E177" s="2">
        <v>7030</v>
      </c>
      <c r="F177" s="2">
        <v>1</v>
      </c>
      <c r="G177" s="2">
        <v>1</v>
      </c>
      <c r="H177" s="2">
        <v>5</v>
      </c>
      <c r="I177" s="2">
        <v>3</v>
      </c>
      <c r="J177" s="2">
        <v>1</v>
      </c>
      <c r="K177" s="2">
        <v>1</v>
      </c>
      <c r="L177" s="2">
        <v>1</v>
      </c>
      <c r="M177" s="2">
        <v>0</v>
      </c>
      <c r="N177" s="2">
        <v>1</v>
      </c>
      <c r="O177" s="2">
        <v>0</v>
      </c>
      <c r="P177" s="2">
        <v>1</v>
      </c>
      <c r="Q177">
        <v>0</v>
      </c>
      <c r="R177">
        <v>1</v>
      </c>
      <c r="S177">
        <v>2</v>
      </c>
      <c r="T177">
        <v>-1</v>
      </c>
      <c r="U177">
        <v>0</v>
      </c>
      <c r="V177">
        <v>1</v>
      </c>
      <c r="W177">
        <v>1</v>
      </c>
      <c r="X177">
        <v>287</v>
      </c>
      <c r="Y177" t="s">
        <v>101</v>
      </c>
    </row>
    <row r="178" spans="1:25" ht="16" customHeight="1" x14ac:dyDescent="0.2">
      <c r="A178" s="1" t="s">
        <v>308</v>
      </c>
      <c r="B178" s="2" t="s">
        <v>181</v>
      </c>
      <c r="C178" s="2">
        <v>30</v>
      </c>
      <c r="D178" s="2" t="s">
        <v>106</v>
      </c>
      <c r="E178" s="2">
        <v>1781</v>
      </c>
      <c r="F178" s="2">
        <v>0</v>
      </c>
      <c r="G178" s="2">
        <v>1</v>
      </c>
      <c r="H178" s="2">
        <v>3</v>
      </c>
      <c r="I178" s="2">
        <v>3</v>
      </c>
      <c r="J178" s="2">
        <v>2</v>
      </c>
      <c r="K178" s="2">
        <v>5</v>
      </c>
      <c r="L178" s="2">
        <v>0</v>
      </c>
      <c r="M178" s="2">
        <v>0</v>
      </c>
      <c r="N178" s="2">
        <v>0</v>
      </c>
      <c r="O178" s="2">
        <v>1</v>
      </c>
      <c r="P178" s="2">
        <v>1</v>
      </c>
      <c r="Q178">
        <v>0</v>
      </c>
      <c r="R178">
        <v>0</v>
      </c>
      <c r="S178">
        <v>-1</v>
      </c>
      <c r="T178">
        <v>1</v>
      </c>
      <c r="U178">
        <v>0</v>
      </c>
      <c r="V178">
        <v>1</v>
      </c>
      <c r="W178">
        <v>1</v>
      </c>
      <c r="X178">
        <v>396</v>
      </c>
      <c r="Y178" t="s">
        <v>101</v>
      </c>
    </row>
    <row r="179" spans="1:25" ht="16" customHeight="1" x14ac:dyDescent="0.2">
      <c r="A179" s="1" t="s">
        <v>309</v>
      </c>
      <c r="B179" s="2" t="s">
        <v>132</v>
      </c>
      <c r="C179" s="2">
        <v>30</v>
      </c>
      <c r="D179" s="2" t="s">
        <v>109</v>
      </c>
      <c r="E179" s="2">
        <v>1450</v>
      </c>
      <c r="F179" s="2">
        <v>0</v>
      </c>
      <c r="G179" s="2">
        <v>1</v>
      </c>
      <c r="H179" s="2">
        <v>3</v>
      </c>
      <c r="I179" s="2">
        <v>2</v>
      </c>
      <c r="J179" s="2">
        <v>3</v>
      </c>
      <c r="K179" s="2">
        <v>5</v>
      </c>
      <c r="L179" s="2">
        <v>0</v>
      </c>
      <c r="M179" s="2">
        <v>0</v>
      </c>
      <c r="N179" s="2">
        <v>0</v>
      </c>
      <c r="O179" s="2">
        <v>0</v>
      </c>
      <c r="P179" s="2">
        <v>1</v>
      </c>
      <c r="Q179">
        <v>0</v>
      </c>
      <c r="R179">
        <v>1</v>
      </c>
      <c r="S179">
        <v>3</v>
      </c>
      <c r="T179">
        <v>-1</v>
      </c>
      <c r="U179">
        <v>1</v>
      </c>
      <c r="V179">
        <v>0</v>
      </c>
      <c r="W179">
        <v>1</v>
      </c>
      <c r="X179">
        <v>45</v>
      </c>
      <c r="Y179" t="s">
        <v>101</v>
      </c>
    </row>
    <row r="180" spans="1:25" ht="16" customHeight="1" x14ac:dyDescent="0.2">
      <c r="A180" s="1" t="s">
        <v>310</v>
      </c>
      <c r="B180" s="2" t="s">
        <v>128</v>
      </c>
      <c r="C180" s="2">
        <v>30</v>
      </c>
      <c r="D180" s="2" t="s">
        <v>112</v>
      </c>
      <c r="E180" s="2">
        <v>578</v>
      </c>
      <c r="F180" s="2">
        <v>1</v>
      </c>
      <c r="G180" s="2">
        <v>-1</v>
      </c>
      <c r="H180" s="2">
        <v>1</v>
      </c>
      <c r="I180" s="2">
        <v>1</v>
      </c>
      <c r="J180" s="2">
        <v>2</v>
      </c>
      <c r="K180" s="2">
        <v>4</v>
      </c>
      <c r="L180" s="2">
        <v>1</v>
      </c>
      <c r="M180" s="2">
        <v>0</v>
      </c>
      <c r="N180" s="2">
        <v>0</v>
      </c>
      <c r="O180" s="2">
        <v>1</v>
      </c>
      <c r="P180" s="2">
        <v>0</v>
      </c>
      <c r="Q180">
        <v>1</v>
      </c>
      <c r="R180">
        <v>0</v>
      </c>
      <c r="S180">
        <v>2</v>
      </c>
      <c r="T180">
        <v>-1</v>
      </c>
      <c r="U180">
        <v>0</v>
      </c>
      <c r="V180">
        <v>1</v>
      </c>
      <c r="W180">
        <v>0</v>
      </c>
      <c r="X180">
        <v>483</v>
      </c>
      <c r="Y180" t="s">
        <v>101</v>
      </c>
    </row>
    <row r="181" spans="1:25" ht="16" customHeight="1" x14ac:dyDescent="0.2">
      <c r="A181" s="1" t="s">
        <v>311</v>
      </c>
      <c r="B181" s="2" t="s">
        <v>172</v>
      </c>
      <c r="C181" s="2">
        <v>30</v>
      </c>
      <c r="D181" s="2" t="s">
        <v>115</v>
      </c>
      <c r="E181" s="2">
        <v>3003</v>
      </c>
      <c r="F181" s="2">
        <v>1</v>
      </c>
      <c r="G181" s="2">
        <v>-1</v>
      </c>
      <c r="H181" s="2">
        <v>5</v>
      </c>
      <c r="I181" s="2">
        <v>1</v>
      </c>
      <c r="J181" s="2">
        <v>2</v>
      </c>
      <c r="K181" s="2">
        <v>5</v>
      </c>
      <c r="L181" s="2">
        <v>1</v>
      </c>
      <c r="M181" s="2">
        <v>1</v>
      </c>
      <c r="N181" s="2">
        <v>0</v>
      </c>
      <c r="O181" s="2">
        <v>0</v>
      </c>
      <c r="P181" s="2">
        <v>0</v>
      </c>
      <c r="Q181">
        <v>0</v>
      </c>
      <c r="R181">
        <v>1</v>
      </c>
      <c r="S181">
        <v>1</v>
      </c>
      <c r="T181">
        <v>0</v>
      </c>
      <c r="U181">
        <v>1</v>
      </c>
      <c r="V181">
        <v>1</v>
      </c>
      <c r="W181">
        <v>1</v>
      </c>
      <c r="X181">
        <v>202</v>
      </c>
      <c r="Y181" t="s">
        <v>101</v>
      </c>
    </row>
    <row r="182" spans="1:25" ht="16" customHeight="1" x14ac:dyDescent="0.2">
      <c r="A182" s="1" t="s">
        <v>312</v>
      </c>
      <c r="B182" s="2" t="s">
        <v>170</v>
      </c>
      <c r="C182" s="2">
        <v>31</v>
      </c>
      <c r="D182" s="2" t="s">
        <v>100</v>
      </c>
      <c r="E182" s="2">
        <v>9767</v>
      </c>
      <c r="F182" s="2">
        <v>1</v>
      </c>
      <c r="G182" s="2">
        <v>1</v>
      </c>
      <c r="H182" s="2">
        <v>5</v>
      </c>
      <c r="I182" s="2">
        <v>3</v>
      </c>
      <c r="J182" s="2">
        <v>2</v>
      </c>
      <c r="K182" s="2">
        <v>2</v>
      </c>
      <c r="L182" s="2">
        <v>1</v>
      </c>
      <c r="M182" s="2">
        <v>1</v>
      </c>
      <c r="N182" s="2">
        <v>0</v>
      </c>
      <c r="O182" s="2">
        <v>1</v>
      </c>
      <c r="P182" s="2">
        <v>0</v>
      </c>
      <c r="Q182">
        <v>0</v>
      </c>
      <c r="R182">
        <v>1</v>
      </c>
      <c r="S182">
        <v>3</v>
      </c>
      <c r="T182">
        <v>1</v>
      </c>
      <c r="U182">
        <v>1</v>
      </c>
      <c r="V182">
        <v>1</v>
      </c>
      <c r="W182">
        <v>1</v>
      </c>
      <c r="X182">
        <v>381</v>
      </c>
      <c r="Y182" t="s">
        <v>101</v>
      </c>
    </row>
    <row r="183" spans="1:25" ht="16" customHeight="1" x14ac:dyDescent="0.2">
      <c r="A183" s="1" t="s">
        <v>313</v>
      </c>
      <c r="B183" s="2" t="s">
        <v>141</v>
      </c>
      <c r="C183" s="2">
        <v>31</v>
      </c>
      <c r="D183" s="2" t="s">
        <v>103</v>
      </c>
      <c r="E183" s="2">
        <v>1787</v>
      </c>
      <c r="F183" s="2">
        <v>0</v>
      </c>
      <c r="G183" s="2">
        <v>0</v>
      </c>
      <c r="H183" s="2">
        <v>4</v>
      </c>
      <c r="I183" s="2">
        <v>1</v>
      </c>
      <c r="J183" s="2">
        <v>1</v>
      </c>
      <c r="K183" s="2">
        <v>5</v>
      </c>
      <c r="L183" s="2">
        <v>1</v>
      </c>
      <c r="M183" s="2">
        <v>1</v>
      </c>
      <c r="N183" s="2">
        <v>0</v>
      </c>
      <c r="O183" s="2">
        <v>0</v>
      </c>
      <c r="P183" s="2">
        <v>0</v>
      </c>
      <c r="Q183">
        <v>0</v>
      </c>
      <c r="R183">
        <v>1</v>
      </c>
      <c r="S183">
        <v>1</v>
      </c>
      <c r="T183">
        <v>-1</v>
      </c>
      <c r="U183">
        <v>1</v>
      </c>
      <c r="V183">
        <v>1</v>
      </c>
      <c r="W183">
        <v>0</v>
      </c>
      <c r="X183">
        <v>264</v>
      </c>
      <c r="Y183" t="s">
        <v>101</v>
      </c>
    </row>
    <row r="184" spans="1:25" ht="16" customHeight="1" x14ac:dyDescent="0.2">
      <c r="A184" s="1" t="s">
        <v>314</v>
      </c>
      <c r="B184" s="2" t="s">
        <v>141</v>
      </c>
      <c r="C184" s="2">
        <v>31</v>
      </c>
      <c r="D184" s="2" t="s">
        <v>106</v>
      </c>
      <c r="E184" s="2">
        <v>564</v>
      </c>
      <c r="F184" s="2">
        <v>0</v>
      </c>
      <c r="G184" s="2">
        <v>1</v>
      </c>
      <c r="H184" s="2">
        <v>5</v>
      </c>
      <c r="I184" s="2">
        <v>3</v>
      </c>
      <c r="J184" s="2">
        <v>3</v>
      </c>
      <c r="K184" s="2">
        <v>1</v>
      </c>
      <c r="L184" s="2">
        <v>0</v>
      </c>
      <c r="M184" s="2">
        <v>0</v>
      </c>
      <c r="N184" s="2">
        <v>0</v>
      </c>
      <c r="O184" s="2">
        <v>1</v>
      </c>
      <c r="P184" s="2">
        <v>0</v>
      </c>
      <c r="Q184">
        <v>1</v>
      </c>
      <c r="R184">
        <v>0</v>
      </c>
      <c r="S184">
        <v>4</v>
      </c>
      <c r="T184">
        <v>-1</v>
      </c>
      <c r="U184">
        <v>1</v>
      </c>
      <c r="V184">
        <v>1</v>
      </c>
      <c r="W184">
        <v>1</v>
      </c>
      <c r="X184">
        <v>466</v>
      </c>
      <c r="Y184" t="s">
        <v>101</v>
      </c>
    </row>
    <row r="185" spans="1:25" ht="16" customHeight="1" x14ac:dyDescent="0.2">
      <c r="A185" s="1" t="s">
        <v>315</v>
      </c>
      <c r="B185" s="2" t="s">
        <v>132</v>
      </c>
      <c r="C185" s="2">
        <v>31</v>
      </c>
      <c r="D185" s="2" t="s">
        <v>109</v>
      </c>
      <c r="E185" s="2">
        <v>1559</v>
      </c>
      <c r="F185" s="2">
        <v>1</v>
      </c>
      <c r="G185" s="2">
        <v>-1</v>
      </c>
      <c r="H185" s="2">
        <v>1</v>
      </c>
      <c r="I185" s="2">
        <v>1</v>
      </c>
      <c r="J185" s="2">
        <v>1</v>
      </c>
      <c r="K185" s="2">
        <v>1</v>
      </c>
      <c r="L185" s="2">
        <v>0</v>
      </c>
      <c r="M185" s="2">
        <v>0</v>
      </c>
      <c r="N185" s="2">
        <v>1</v>
      </c>
      <c r="O185" s="2">
        <v>1</v>
      </c>
      <c r="P185" s="2">
        <v>1</v>
      </c>
      <c r="Q185">
        <v>1</v>
      </c>
      <c r="R185">
        <v>1</v>
      </c>
      <c r="S185">
        <v>3</v>
      </c>
      <c r="T185">
        <v>1</v>
      </c>
      <c r="U185">
        <v>0</v>
      </c>
      <c r="V185">
        <v>1</v>
      </c>
      <c r="W185">
        <v>1</v>
      </c>
      <c r="X185">
        <v>269</v>
      </c>
      <c r="Y185" t="s">
        <v>101</v>
      </c>
    </row>
    <row r="186" spans="1:25" ht="16" customHeight="1" x14ac:dyDescent="0.2">
      <c r="A186" s="1" t="s">
        <v>316</v>
      </c>
      <c r="B186" s="2" t="s">
        <v>146</v>
      </c>
      <c r="C186" s="2">
        <v>31</v>
      </c>
      <c r="D186" s="2" t="s">
        <v>112</v>
      </c>
      <c r="E186" s="2">
        <v>639</v>
      </c>
      <c r="F186" s="2">
        <v>0</v>
      </c>
      <c r="G186" s="2">
        <v>1</v>
      </c>
      <c r="H186" s="2">
        <v>4</v>
      </c>
      <c r="I186" s="2">
        <v>1</v>
      </c>
      <c r="J186" s="2">
        <v>1</v>
      </c>
      <c r="K186" s="2">
        <v>4</v>
      </c>
      <c r="L186" s="2">
        <v>1</v>
      </c>
      <c r="M186" s="2">
        <v>1</v>
      </c>
      <c r="N186" s="2">
        <v>1</v>
      </c>
      <c r="O186" s="2">
        <v>1</v>
      </c>
      <c r="P186" s="2">
        <v>1</v>
      </c>
      <c r="Q186">
        <v>0</v>
      </c>
      <c r="R186">
        <v>0</v>
      </c>
      <c r="S186">
        <v>2</v>
      </c>
      <c r="T186">
        <v>-1</v>
      </c>
      <c r="U186">
        <v>0</v>
      </c>
      <c r="V186">
        <v>0</v>
      </c>
      <c r="W186">
        <v>1</v>
      </c>
      <c r="X186">
        <v>322</v>
      </c>
      <c r="Y186" t="s">
        <v>101</v>
      </c>
    </row>
    <row r="187" spans="1:25" ht="16" customHeight="1" x14ac:dyDescent="0.2">
      <c r="A187" s="1" t="s">
        <v>317</v>
      </c>
      <c r="B187" s="2" t="s">
        <v>191</v>
      </c>
      <c r="C187" s="2">
        <v>31</v>
      </c>
      <c r="D187" s="2" t="s">
        <v>115</v>
      </c>
      <c r="E187" s="2">
        <v>191</v>
      </c>
      <c r="F187" s="2">
        <v>0</v>
      </c>
      <c r="G187" s="2">
        <v>-1</v>
      </c>
      <c r="H187" s="2">
        <v>4</v>
      </c>
      <c r="I187" s="2">
        <v>3</v>
      </c>
      <c r="J187" s="2">
        <v>3</v>
      </c>
      <c r="K187" s="2">
        <v>2</v>
      </c>
      <c r="L187" s="2">
        <v>0</v>
      </c>
      <c r="M187" s="2">
        <v>1</v>
      </c>
      <c r="N187" s="2">
        <v>0</v>
      </c>
      <c r="O187" s="2">
        <v>0</v>
      </c>
      <c r="P187" s="2">
        <v>0</v>
      </c>
      <c r="Q187">
        <v>1</v>
      </c>
      <c r="R187">
        <v>1</v>
      </c>
      <c r="S187">
        <v>4</v>
      </c>
      <c r="T187">
        <v>1</v>
      </c>
      <c r="U187">
        <v>1</v>
      </c>
      <c r="V187">
        <v>1</v>
      </c>
      <c r="W187">
        <v>1</v>
      </c>
      <c r="X187">
        <v>434</v>
      </c>
      <c r="Y187" t="s">
        <v>101</v>
      </c>
    </row>
    <row r="188" spans="1:25" ht="16" customHeight="1" x14ac:dyDescent="0.2">
      <c r="A188" s="1" t="s">
        <v>318</v>
      </c>
      <c r="B188" s="2" t="s">
        <v>124</v>
      </c>
      <c r="C188" s="2">
        <v>32</v>
      </c>
      <c r="D188" s="2" t="s">
        <v>100</v>
      </c>
      <c r="E188" s="2">
        <v>1518</v>
      </c>
      <c r="F188" s="2">
        <v>1</v>
      </c>
      <c r="G188" s="2">
        <v>-1</v>
      </c>
      <c r="H188" s="2">
        <v>2</v>
      </c>
      <c r="I188" s="2">
        <v>1</v>
      </c>
      <c r="J188" s="2">
        <v>1</v>
      </c>
      <c r="K188" s="2">
        <v>3</v>
      </c>
      <c r="L188" s="2">
        <v>1</v>
      </c>
      <c r="M188" s="2">
        <v>0</v>
      </c>
      <c r="N188" s="2">
        <v>0</v>
      </c>
      <c r="O188" s="2">
        <v>0</v>
      </c>
      <c r="P188" s="2">
        <v>1</v>
      </c>
      <c r="Q188">
        <v>1</v>
      </c>
      <c r="R188">
        <v>1</v>
      </c>
      <c r="S188">
        <v>-1</v>
      </c>
      <c r="T188">
        <v>-1</v>
      </c>
      <c r="U188">
        <v>1</v>
      </c>
      <c r="V188">
        <v>0</v>
      </c>
      <c r="W188">
        <v>1</v>
      </c>
      <c r="X188">
        <v>437</v>
      </c>
      <c r="Y188" t="s">
        <v>101</v>
      </c>
    </row>
    <row r="189" spans="1:25" ht="16" customHeight="1" x14ac:dyDescent="0.2">
      <c r="A189" s="1" t="s">
        <v>319</v>
      </c>
      <c r="B189" s="2" t="s">
        <v>179</v>
      </c>
      <c r="C189" s="2">
        <v>32</v>
      </c>
      <c r="D189" s="2" t="s">
        <v>103</v>
      </c>
      <c r="E189" s="2">
        <v>4253</v>
      </c>
      <c r="F189" s="2">
        <v>1</v>
      </c>
      <c r="G189" s="2">
        <v>-1</v>
      </c>
      <c r="H189" s="2">
        <v>2</v>
      </c>
      <c r="I189" s="2">
        <v>1</v>
      </c>
      <c r="J189" s="2">
        <v>1</v>
      </c>
      <c r="K189" s="2">
        <v>3</v>
      </c>
      <c r="L189" s="2">
        <v>1</v>
      </c>
      <c r="M189" s="2">
        <v>1</v>
      </c>
      <c r="N189" s="2">
        <v>0</v>
      </c>
      <c r="O189" s="2">
        <v>0</v>
      </c>
      <c r="P189" s="2">
        <v>0</v>
      </c>
      <c r="Q189">
        <v>1</v>
      </c>
      <c r="R189">
        <v>0</v>
      </c>
      <c r="S189">
        <v>-1</v>
      </c>
      <c r="T189">
        <v>0</v>
      </c>
      <c r="U189">
        <v>0</v>
      </c>
      <c r="V189">
        <v>1</v>
      </c>
      <c r="W189">
        <v>1</v>
      </c>
      <c r="X189">
        <v>317</v>
      </c>
      <c r="Y189" t="s">
        <v>101</v>
      </c>
    </row>
    <row r="190" spans="1:25" ht="16" customHeight="1" x14ac:dyDescent="0.2">
      <c r="A190" s="1" t="s">
        <v>320</v>
      </c>
      <c r="B190" s="2" t="s">
        <v>161</v>
      </c>
      <c r="C190" s="2">
        <v>32</v>
      </c>
      <c r="D190" s="2" t="s">
        <v>106</v>
      </c>
      <c r="E190" s="2">
        <v>1585</v>
      </c>
      <c r="F190" s="2">
        <v>1</v>
      </c>
      <c r="G190" s="2">
        <v>-1</v>
      </c>
      <c r="H190" s="2">
        <v>1</v>
      </c>
      <c r="I190" s="2">
        <v>2</v>
      </c>
      <c r="J190" s="2">
        <v>2</v>
      </c>
      <c r="K190" s="2">
        <v>2</v>
      </c>
      <c r="L190" s="2">
        <v>1</v>
      </c>
      <c r="M190" s="2">
        <v>0</v>
      </c>
      <c r="N190" s="2">
        <v>1</v>
      </c>
      <c r="O190" s="2">
        <v>1</v>
      </c>
      <c r="P190" s="2">
        <v>1</v>
      </c>
      <c r="Q190">
        <v>1</v>
      </c>
      <c r="R190">
        <v>0</v>
      </c>
      <c r="S190">
        <v>-1</v>
      </c>
      <c r="T190">
        <v>0</v>
      </c>
      <c r="U190">
        <v>0</v>
      </c>
      <c r="V190">
        <v>0</v>
      </c>
      <c r="W190">
        <v>1</v>
      </c>
      <c r="X190">
        <v>377</v>
      </c>
      <c r="Y190" t="s">
        <v>101</v>
      </c>
    </row>
    <row r="191" spans="1:25" ht="16" customHeight="1" x14ac:dyDescent="0.2">
      <c r="A191" s="1" t="s">
        <v>321</v>
      </c>
      <c r="B191" s="2" t="s">
        <v>159</v>
      </c>
      <c r="C191" s="2">
        <v>32</v>
      </c>
      <c r="D191" s="2" t="s">
        <v>109</v>
      </c>
      <c r="E191" s="2">
        <v>271</v>
      </c>
      <c r="F191" s="2">
        <v>0</v>
      </c>
      <c r="G191" s="2">
        <v>1</v>
      </c>
      <c r="H191" s="2">
        <v>3</v>
      </c>
      <c r="I191" s="2">
        <v>3</v>
      </c>
      <c r="J191" s="2">
        <v>1</v>
      </c>
      <c r="K191" s="2">
        <v>4</v>
      </c>
      <c r="L191" s="2">
        <v>0</v>
      </c>
      <c r="M191" s="2">
        <v>1</v>
      </c>
      <c r="N191" s="2">
        <v>0</v>
      </c>
      <c r="O191" s="2">
        <v>1</v>
      </c>
      <c r="P191" s="2">
        <v>0</v>
      </c>
      <c r="Q191">
        <v>1</v>
      </c>
      <c r="R191">
        <v>1</v>
      </c>
      <c r="S191">
        <v>4</v>
      </c>
      <c r="T191">
        <v>0</v>
      </c>
      <c r="U191">
        <v>0</v>
      </c>
      <c r="V191">
        <v>0</v>
      </c>
      <c r="W191">
        <v>1</v>
      </c>
      <c r="X191">
        <v>66</v>
      </c>
      <c r="Y191" t="s">
        <v>101</v>
      </c>
    </row>
    <row r="192" spans="1:25" ht="16" customHeight="1" x14ac:dyDescent="0.2">
      <c r="A192" s="1" t="s">
        <v>322</v>
      </c>
      <c r="B192" s="2" t="s">
        <v>119</v>
      </c>
      <c r="C192" s="2">
        <v>32</v>
      </c>
      <c r="D192" s="2" t="s">
        <v>112</v>
      </c>
      <c r="E192" s="2">
        <v>5590</v>
      </c>
      <c r="F192" s="2">
        <v>1</v>
      </c>
      <c r="G192" s="2">
        <v>0</v>
      </c>
      <c r="H192" s="2">
        <v>2</v>
      </c>
      <c r="I192" s="2">
        <v>3</v>
      </c>
      <c r="J192" s="2">
        <v>2</v>
      </c>
      <c r="K192" s="2">
        <v>1</v>
      </c>
      <c r="L192" s="2">
        <v>1</v>
      </c>
      <c r="M192" s="2">
        <v>0</v>
      </c>
      <c r="N192" s="2">
        <v>1</v>
      </c>
      <c r="O192" s="2">
        <v>0</v>
      </c>
      <c r="P192" s="2">
        <v>0</v>
      </c>
      <c r="Q192">
        <v>1</v>
      </c>
      <c r="R192">
        <v>0</v>
      </c>
      <c r="S192">
        <v>2</v>
      </c>
      <c r="T192">
        <v>-1</v>
      </c>
      <c r="U192">
        <v>1</v>
      </c>
      <c r="V192">
        <v>0</v>
      </c>
      <c r="W192">
        <v>0</v>
      </c>
      <c r="X192">
        <v>112</v>
      </c>
      <c r="Y192" t="s">
        <v>101</v>
      </c>
    </row>
    <row r="193" spans="1:25" ht="16" customHeight="1" x14ac:dyDescent="0.2">
      <c r="A193" s="1" t="s">
        <v>323</v>
      </c>
      <c r="B193" s="2" t="s">
        <v>132</v>
      </c>
      <c r="C193" s="2">
        <v>32</v>
      </c>
      <c r="D193" s="2" t="s">
        <v>115</v>
      </c>
      <c r="E193" s="2">
        <v>10922</v>
      </c>
      <c r="F193" s="2">
        <v>0</v>
      </c>
      <c r="G193" s="2">
        <v>0</v>
      </c>
      <c r="H193" s="2">
        <v>5</v>
      </c>
      <c r="I193" s="2">
        <v>2</v>
      </c>
      <c r="J193" s="2">
        <v>3</v>
      </c>
      <c r="K193" s="2">
        <v>5</v>
      </c>
      <c r="L193" s="2">
        <v>1</v>
      </c>
      <c r="M193" s="2">
        <v>1</v>
      </c>
      <c r="N193" s="2">
        <v>0</v>
      </c>
      <c r="O193" s="2">
        <v>0</v>
      </c>
      <c r="P193" s="2">
        <v>1</v>
      </c>
      <c r="Q193">
        <v>0</v>
      </c>
      <c r="R193">
        <v>1</v>
      </c>
      <c r="S193">
        <v>1</v>
      </c>
      <c r="T193">
        <v>-1</v>
      </c>
      <c r="U193">
        <v>1</v>
      </c>
      <c r="V193">
        <v>0</v>
      </c>
      <c r="W193">
        <v>1</v>
      </c>
      <c r="X193">
        <v>229</v>
      </c>
      <c r="Y193" t="s">
        <v>101</v>
      </c>
    </row>
    <row r="194" spans="1:25" ht="16" customHeight="1" x14ac:dyDescent="0.2">
      <c r="A194" s="1" t="s">
        <v>324</v>
      </c>
      <c r="B194" s="2" t="s">
        <v>126</v>
      </c>
      <c r="C194" s="2">
        <v>33</v>
      </c>
      <c r="D194" s="2" t="s">
        <v>100</v>
      </c>
      <c r="E194" s="2">
        <v>3181</v>
      </c>
      <c r="F194" s="2">
        <v>1</v>
      </c>
      <c r="G194" s="2">
        <v>1</v>
      </c>
      <c r="H194" s="2">
        <v>2</v>
      </c>
      <c r="I194" s="2">
        <v>3</v>
      </c>
      <c r="J194" s="2">
        <v>3</v>
      </c>
      <c r="K194" s="2">
        <v>4</v>
      </c>
      <c r="L194" s="2">
        <v>0</v>
      </c>
      <c r="M194" s="2">
        <v>1</v>
      </c>
      <c r="N194" s="2">
        <v>1</v>
      </c>
      <c r="O194" s="2">
        <v>1</v>
      </c>
      <c r="P194" s="2">
        <v>1</v>
      </c>
      <c r="Q194">
        <v>1</v>
      </c>
      <c r="R194">
        <v>0</v>
      </c>
      <c r="S194">
        <v>2</v>
      </c>
      <c r="T194">
        <v>0</v>
      </c>
      <c r="U194">
        <v>0</v>
      </c>
      <c r="V194">
        <v>0</v>
      </c>
      <c r="W194">
        <v>1</v>
      </c>
      <c r="X194">
        <v>498</v>
      </c>
      <c r="Y194" t="s">
        <v>101</v>
      </c>
    </row>
    <row r="195" spans="1:25" ht="16" customHeight="1" x14ac:dyDescent="0.2">
      <c r="A195" s="1" t="s">
        <v>325</v>
      </c>
      <c r="B195" s="2" t="s">
        <v>114</v>
      </c>
      <c r="C195" s="2">
        <v>33</v>
      </c>
      <c r="D195" s="2" t="s">
        <v>103</v>
      </c>
      <c r="E195" s="2">
        <v>3838</v>
      </c>
      <c r="F195" s="2">
        <v>1</v>
      </c>
      <c r="G195" s="2">
        <v>0</v>
      </c>
      <c r="H195" s="2">
        <v>3</v>
      </c>
      <c r="I195" s="2">
        <v>3</v>
      </c>
      <c r="J195" s="2">
        <v>3</v>
      </c>
      <c r="K195" s="2">
        <v>1</v>
      </c>
      <c r="L195" s="2">
        <v>0</v>
      </c>
      <c r="M195" s="2">
        <v>1</v>
      </c>
      <c r="N195" s="2">
        <v>0</v>
      </c>
      <c r="O195" s="2">
        <v>0</v>
      </c>
      <c r="P195" s="2">
        <v>0</v>
      </c>
      <c r="Q195">
        <v>0</v>
      </c>
      <c r="R195">
        <v>0</v>
      </c>
      <c r="S195">
        <v>2</v>
      </c>
      <c r="T195">
        <v>0</v>
      </c>
      <c r="U195">
        <v>1</v>
      </c>
      <c r="V195">
        <v>0</v>
      </c>
      <c r="W195">
        <v>1</v>
      </c>
      <c r="X195">
        <v>141</v>
      </c>
      <c r="Y195" t="s">
        <v>101</v>
      </c>
    </row>
    <row r="196" spans="1:25" ht="16" customHeight="1" x14ac:dyDescent="0.2">
      <c r="A196" s="1" t="s">
        <v>326</v>
      </c>
      <c r="B196" s="2" t="s">
        <v>128</v>
      </c>
      <c r="C196" s="2">
        <v>33</v>
      </c>
      <c r="D196" s="2" t="s">
        <v>106</v>
      </c>
      <c r="E196" s="2">
        <v>810</v>
      </c>
      <c r="F196" s="2">
        <v>1</v>
      </c>
      <c r="G196" s="2">
        <v>0</v>
      </c>
      <c r="H196" s="2">
        <v>1</v>
      </c>
      <c r="I196" s="2">
        <v>3</v>
      </c>
      <c r="J196" s="2">
        <v>3</v>
      </c>
      <c r="K196" s="2">
        <v>4</v>
      </c>
      <c r="L196" s="2">
        <v>0</v>
      </c>
      <c r="M196" s="2">
        <v>1</v>
      </c>
      <c r="N196" s="2">
        <v>0</v>
      </c>
      <c r="O196" s="2">
        <v>0</v>
      </c>
      <c r="P196" s="2">
        <v>1</v>
      </c>
      <c r="Q196">
        <v>1</v>
      </c>
      <c r="R196">
        <v>0</v>
      </c>
      <c r="S196">
        <v>2</v>
      </c>
      <c r="T196">
        <v>-1</v>
      </c>
      <c r="U196">
        <v>0</v>
      </c>
      <c r="V196">
        <v>0</v>
      </c>
      <c r="W196">
        <v>0</v>
      </c>
      <c r="X196">
        <v>128</v>
      </c>
      <c r="Y196" t="s">
        <v>101</v>
      </c>
    </row>
    <row r="197" spans="1:25" ht="16" customHeight="1" x14ac:dyDescent="0.2">
      <c r="A197" s="1" t="s">
        <v>327</v>
      </c>
      <c r="B197" s="2" t="s">
        <v>108</v>
      </c>
      <c r="C197" s="2">
        <v>33</v>
      </c>
      <c r="D197" s="2" t="s">
        <v>109</v>
      </c>
      <c r="E197" s="2">
        <v>3044</v>
      </c>
      <c r="F197" s="2">
        <v>0</v>
      </c>
      <c r="G197" s="2">
        <v>1</v>
      </c>
      <c r="H197" s="2">
        <v>3</v>
      </c>
      <c r="I197" s="2">
        <v>2</v>
      </c>
      <c r="J197" s="2">
        <v>3</v>
      </c>
      <c r="K197" s="2">
        <v>4</v>
      </c>
      <c r="L197" s="2">
        <v>1</v>
      </c>
      <c r="M197" s="2">
        <v>0</v>
      </c>
      <c r="N197" s="2">
        <v>0</v>
      </c>
      <c r="O197" s="2">
        <v>1</v>
      </c>
      <c r="P197" s="2">
        <v>1</v>
      </c>
      <c r="Q197">
        <v>0</v>
      </c>
      <c r="R197">
        <v>0</v>
      </c>
      <c r="S197">
        <v>4</v>
      </c>
      <c r="T197">
        <v>1</v>
      </c>
      <c r="U197">
        <v>1</v>
      </c>
      <c r="V197">
        <v>0</v>
      </c>
      <c r="W197">
        <v>1</v>
      </c>
      <c r="X197">
        <v>261</v>
      </c>
      <c r="Y197" t="s">
        <v>101</v>
      </c>
    </row>
    <row r="198" spans="1:25" ht="16" customHeight="1" x14ac:dyDescent="0.2">
      <c r="A198" s="1" t="s">
        <v>328</v>
      </c>
      <c r="B198" s="2" t="s">
        <v>170</v>
      </c>
      <c r="C198" s="2">
        <v>33</v>
      </c>
      <c r="D198" s="2" t="s">
        <v>112</v>
      </c>
      <c r="E198" s="2">
        <v>424</v>
      </c>
      <c r="F198" s="2">
        <v>0</v>
      </c>
      <c r="G198" s="2">
        <v>1</v>
      </c>
      <c r="H198" s="2">
        <v>2</v>
      </c>
      <c r="I198" s="2">
        <v>1</v>
      </c>
      <c r="J198" s="2">
        <v>2</v>
      </c>
      <c r="K198" s="2">
        <v>4</v>
      </c>
      <c r="L198" s="2">
        <v>1</v>
      </c>
      <c r="M198" s="2">
        <v>1</v>
      </c>
      <c r="N198" s="2">
        <v>1</v>
      </c>
      <c r="O198" s="2">
        <v>0</v>
      </c>
      <c r="P198" s="2">
        <v>0</v>
      </c>
      <c r="Q198">
        <v>0</v>
      </c>
      <c r="R198">
        <v>0</v>
      </c>
      <c r="S198">
        <v>1</v>
      </c>
      <c r="T198">
        <v>1</v>
      </c>
      <c r="U198">
        <v>0</v>
      </c>
      <c r="V198">
        <v>0</v>
      </c>
      <c r="W198">
        <v>0</v>
      </c>
      <c r="X198">
        <v>166</v>
      </c>
      <c r="Y198" t="s">
        <v>101</v>
      </c>
    </row>
    <row r="199" spans="1:25" ht="16" customHeight="1" x14ac:dyDescent="0.2">
      <c r="A199" s="1" t="s">
        <v>329</v>
      </c>
      <c r="B199" s="2" t="s">
        <v>111</v>
      </c>
      <c r="C199" s="2">
        <v>33</v>
      </c>
      <c r="D199" s="2" t="s">
        <v>115</v>
      </c>
      <c r="E199" s="2">
        <v>1511</v>
      </c>
      <c r="F199" s="2">
        <v>0</v>
      </c>
      <c r="G199" s="2">
        <v>-1</v>
      </c>
      <c r="H199" s="2">
        <v>2</v>
      </c>
      <c r="I199" s="2">
        <v>2</v>
      </c>
      <c r="J199" s="2">
        <v>3</v>
      </c>
      <c r="K199" s="2">
        <v>3</v>
      </c>
      <c r="L199" s="2">
        <v>1</v>
      </c>
      <c r="M199" s="2">
        <v>0</v>
      </c>
      <c r="N199" s="2">
        <v>0</v>
      </c>
      <c r="O199" s="2">
        <v>1</v>
      </c>
      <c r="P199" s="2">
        <v>0</v>
      </c>
      <c r="Q199">
        <v>0</v>
      </c>
      <c r="R199">
        <v>0</v>
      </c>
      <c r="S199">
        <v>2</v>
      </c>
      <c r="T199">
        <v>-1</v>
      </c>
      <c r="U199">
        <v>1</v>
      </c>
      <c r="V199">
        <v>1</v>
      </c>
      <c r="W199">
        <v>1</v>
      </c>
      <c r="X199">
        <v>225</v>
      </c>
      <c r="Y199" t="s">
        <v>101</v>
      </c>
    </row>
    <row r="200" spans="1:25" ht="16" customHeight="1" x14ac:dyDescent="0.2">
      <c r="A200" s="1" t="s">
        <v>330</v>
      </c>
      <c r="B200" s="2" t="s">
        <v>159</v>
      </c>
      <c r="C200" s="2">
        <v>34</v>
      </c>
      <c r="D200" s="2" t="s">
        <v>100</v>
      </c>
      <c r="E200" s="2">
        <v>1468</v>
      </c>
      <c r="F200" s="2">
        <v>0</v>
      </c>
      <c r="G200" s="2">
        <v>-1</v>
      </c>
      <c r="H200" s="2">
        <v>5</v>
      </c>
      <c r="I200" s="2">
        <v>1</v>
      </c>
      <c r="J200" s="2">
        <v>3</v>
      </c>
      <c r="K200" s="2">
        <v>5</v>
      </c>
      <c r="L200" s="2">
        <v>1</v>
      </c>
      <c r="M200" s="2">
        <v>0</v>
      </c>
      <c r="N200" s="2">
        <v>0</v>
      </c>
      <c r="O200" s="2">
        <v>1</v>
      </c>
      <c r="P200" s="2">
        <v>0</v>
      </c>
      <c r="Q200">
        <v>1</v>
      </c>
      <c r="R200">
        <v>0</v>
      </c>
      <c r="S200">
        <v>2</v>
      </c>
      <c r="T200">
        <v>0</v>
      </c>
      <c r="U200">
        <v>1</v>
      </c>
      <c r="V200">
        <v>1</v>
      </c>
      <c r="W200">
        <v>0</v>
      </c>
      <c r="X200">
        <v>228</v>
      </c>
      <c r="Y200" t="s">
        <v>101</v>
      </c>
    </row>
    <row r="201" spans="1:25" ht="16" customHeight="1" x14ac:dyDescent="0.2">
      <c r="A201" s="1" t="s">
        <v>331</v>
      </c>
      <c r="B201" s="2" t="s">
        <v>170</v>
      </c>
      <c r="C201" s="2">
        <v>34</v>
      </c>
      <c r="D201" s="2" t="s">
        <v>103</v>
      </c>
      <c r="E201" s="2">
        <v>4458</v>
      </c>
      <c r="F201" s="2">
        <v>1</v>
      </c>
      <c r="G201" s="2">
        <v>1</v>
      </c>
      <c r="H201" s="2">
        <v>4</v>
      </c>
      <c r="I201" s="2">
        <v>3</v>
      </c>
      <c r="J201" s="2">
        <v>2</v>
      </c>
      <c r="K201" s="2">
        <v>4</v>
      </c>
      <c r="L201" s="2">
        <v>1</v>
      </c>
      <c r="M201" s="2">
        <v>1</v>
      </c>
      <c r="N201" s="2">
        <v>0</v>
      </c>
      <c r="O201" s="2">
        <v>1</v>
      </c>
      <c r="P201" s="2">
        <v>0</v>
      </c>
      <c r="Q201">
        <v>1</v>
      </c>
      <c r="R201">
        <v>1</v>
      </c>
      <c r="S201">
        <v>1</v>
      </c>
      <c r="T201">
        <v>-1</v>
      </c>
      <c r="U201">
        <v>0</v>
      </c>
      <c r="V201">
        <v>0</v>
      </c>
      <c r="W201">
        <v>1</v>
      </c>
      <c r="X201">
        <v>370</v>
      </c>
      <c r="Y201" t="s">
        <v>101</v>
      </c>
    </row>
    <row r="202" spans="1:25" ht="16" customHeight="1" x14ac:dyDescent="0.2">
      <c r="A202" s="1" t="s">
        <v>332</v>
      </c>
      <c r="B202" s="2" t="s">
        <v>111</v>
      </c>
      <c r="C202" s="2">
        <v>34</v>
      </c>
      <c r="D202" s="2" t="s">
        <v>106</v>
      </c>
      <c r="E202" s="2">
        <v>8503</v>
      </c>
      <c r="F202" s="2">
        <v>1</v>
      </c>
      <c r="G202" s="2">
        <v>1</v>
      </c>
      <c r="H202" s="2">
        <v>4</v>
      </c>
      <c r="I202" s="2">
        <v>1</v>
      </c>
      <c r="J202" s="2">
        <v>1</v>
      </c>
      <c r="K202" s="2">
        <v>1</v>
      </c>
      <c r="L202" s="2">
        <v>1</v>
      </c>
      <c r="M202" s="2">
        <v>0</v>
      </c>
      <c r="N202" s="2">
        <v>1</v>
      </c>
      <c r="O202" s="2">
        <v>1</v>
      </c>
      <c r="P202" s="2">
        <v>1</v>
      </c>
      <c r="Q202">
        <v>1</v>
      </c>
      <c r="R202">
        <v>0</v>
      </c>
      <c r="S202">
        <v>4</v>
      </c>
      <c r="T202">
        <v>1</v>
      </c>
      <c r="U202">
        <v>0</v>
      </c>
      <c r="V202">
        <v>0</v>
      </c>
      <c r="W202">
        <v>0</v>
      </c>
      <c r="X202">
        <v>405</v>
      </c>
      <c r="Y202" t="s">
        <v>101</v>
      </c>
    </row>
    <row r="203" spans="1:25" ht="16" customHeight="1" x14ac:dyDescent="0.2">
      <c r="A203" s="1" t="s">
        <v>333</v>
      </c>
      <c r="B203" s="2" t="s">
        <v>141</v>
      </c>
      <c r="C203" s="2">
        <v>34</v>
      </c>
      <c r="D203" s="2" t="s">
        <v>109</v>
      </c>
      <c r="E203" s="2">
        <v>2340</v>
      </c>
      <c r="F203" s="2">
        <v>0</v>
      </c>
      <c r="G203" s="2">
        <v>0</v>
      </c>
      <c r="H203" s="2">
        <v>5</v>
      </c>
      <c r="I203" s="2">
        <v>3</v>
      </c>
      <c r="J203" s="2">
        <v>1</v>
      </c>
      <c r="K203" s="2">
        <v>2</v>
      </c>
      <c r="L203" s="2">
        <v>0</v>
      </c>
      <c r="M203" s="2">
        <v>0</v>
      </c>
      <c r="N203" s="2">
        <v>1</v>
      </c>
      <c r="O203" s="2">
        <v>1</v>
      </c>
      <c r="P203" s="2">
        <v>0</v>
      </c>
      <c r="Q203">
        <v>0</v>
      </c>
      <c r="R203">
        <v>0</v>
      </c>
      <c r="S203">
        <v>4</v>
      </c>
      <c r="T203">
        <v>-1</v>
      </c>
      <c r="U203">
        <v>1</v>
      </c>
      <c r="V203">
        <v>0</v>
      </c>
      <c r="W203">
        <v>0</v>
      </c>
      <c r="X203">
        <v>293</v>
      </c>
      <c r="Y203" t="s">
        <v>101</v>
      </c>
    </row>
    <row r="204" spans="1:25" ht="16" customHeight="1" x14ac:dyDescent="0.2">
      <c r="A204" s="1" t="s">
        <v>334</v>
      </c>
      <c r="B204" s="2" t="s">
        <v>229</v>
      </c>
      <c r="C204" s="2">
        <v>34</v>
      </c>
      <c r="D204" s="2" t="s">
        <v>112</v>
      </c>
      <c r="E204" s="2">
        <v>10223</v>
      </c>
      <c r="F204" s="2">
        <v>1</v>
      </c>
      <c r="G204" s="2">
        <v>-1</v>
      </c>
      <c r="H204" s="2">
        <v>5</v>
      </c>
      <c r="I204" s="2">
        <v>2</v>
      </c>
      <c r="J204" s="2">
        <v>2</v>
      </c>
      <c r="K204" s="2">
        <v>3</v>
      </c>
      <c r="L204" s="2">
        <v>1</v>
      </c>
      <c r="M204" s="2">
        <v>1</v>
      </c>
      <c r="N204" s="2">
        <v>0</v>
      </c>
      <c r="O204" s="2">
        <v>1</v>
      </c>
      <c r="P204" s="2">
        <v>1</v>
      </c>
      <c r="Q204">
        <v>1</v>
      </c>
      <c r="R204">
        <v>1</v>
      </c>
      <c r="S204">
        <v>2</v>
      </c>
      <c r="T204">
        <v>0</v>
      </c>
      <c r="U204">
        <v>1</v>
      </c>
      <c r="V204">
        <v>0</v>
      </c>
      <c r="W204">
        <v>0</v>
      </c>
      <c r="X204">
        <v>72</v>
      </c>
      <c r="Y204" t="s">
        <v>101</v>
      </c>
    </row>
    <row r="205" spans="1:25" ht="16" customHeight="1" x14ac:dyDescent="0.2">
      <c r="A205" s="1" t="s">
        <v>335</v>
      </c>
      <c r="B205" s="2" t="s">
        <v>252</v>
      </c>
      <c r="C205" s="2">
        <v>34</v>
      </c>
      <c r="D205" s="2" t="s">
        <v>115</v>
      </c>
      <c r="E205" s="2">
        <v>9016</v>
      </c>
      <c r="F205" s="2">
        <v>1</v>
      </c>
      <c r="G205" s="2">
        <v>1</v>
      </c>
      <c r="H205" s="2">
        <v>4</v>
      </c>
      <c r="I205" s="2">
        <v>3</v>
      </c>
      <c r="J205" s="2">
        <v>2</v>
      </c>
      <c r="K205" s="2">
        <v>5</v>
      </c>
      <c r="L205" s="2">
        <v>0</v>
      </c>
      <c r="M205" s="2">
        <v>0</v>
      </c>
      <c r="N205" s="2">
        <v>1</v>
      </c>
      <c r="O205" s="2">
        <v>0</v>
      </c>
      <c r="P205" s="2">
        <v>0</v>
      </c>
      <c r="Q205">
        <v>1</v>
      </c>
      <c r="R205">
        <v>1</v>
      </c>
      <c r="S205">
        <v>3</v>
      </c>
      <c r="T205">
        <v>-1</v>
      </c>
      <c r="U205">
        <v>0</v>
      </c>
      <c r="V205">
        <v>1</v>
      </c>
      <c r="W205">
        <v>0</v>
      </c>
      <c r="X205">
        <v>289</v>
      </c>
      <c r="Y205" t="s">
        <v>101</v>
      </c>
    </row>
    <row r="206" spans="1:25" ht="16" customHeight="1" x14ac:dyDescent="0.2">
      <c r="A206" s="1" t="s">
        <v>336</v>
      </c>
      <c r="B206" s="2" t="s">
        <v>111</v>
      </c>
      <c r="C206" s="2">
        <v>35</v>
      </c>
      <c r="D206" s="2" t="s">
        <v>100</v>
      </c>
      <c r="E206" s="2">
        <v>694</v>
      </c>
      <c r="F206" s="2">
        <v>0</v>
      </c>
      <c r="G206" s="2">
        <v>-1</v>
      </c>
      <c r="H206" s="2">
        <v>1</v>
      </c>
      <c r="I206" s="2">
        <v>2</v>
      </c>
      <c r="J206" s="2">
        <v>3</v>
      </c>
      <c r="K206" s="2">
        <v>5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>
        <v>1</v>
      </c>
      <c r="R206">
        <v>0</v>
      </c>
      <c r="S206">
        <v>4</v>
      </c>
      <c r="T206">
        <v>1</v>
      </c>
      <c r="U206">
        <v>0</v>
      </c>
      <c r="V206">
        <v>0</v>
      </c>
      <c r="W206">
        <v>0</v>
      </c>
      <c r="X206">
        <v>329</v>
      </c>
      <c r="Y206" t="s">
        <v>101</v>
      </c>
    </row>
    <row r="207" spans="1:25" ht="16" customHeight="1" x14ac:dyDescent="0.2">
      <c r="A207" s="1" t="s">
        <v>337</v>
      </c>
      <c r="B207" s="2" t="s">
        <v>111</v>
      </c>
      <c r="C207" s="2">
        <v>35</v>
      </c>
      <c r="D207" s="2" t="s">
        <v>103</v>
      </c>
      <c r="E207" s="2">
        <v>6423</v>
      </c>
      <c r="F207" s="2">
        <v>0</v>
      </c>
      <c r="G207" s="2">
        <v>0</v>
      </c>
      <c r="H207" s="2">
        <v>1</v>
      </c>
      <c r="I207" s="2">
        <v>3</v>
      </c>
      <c r="J207" s="2">
        <v>2</v>
      </c>
      <c r="K207" s="2">
        <v>2</v>
      </c>
      <c r="L207" s="2">
        <v>1</v>
      </c>
      <c r="M207" s="2">
        <v>1</v>
      </c>
      <c r="N207" s="2">
        <v>1</v>
      </c>
      <c r="O207" s="2">
        <v>0</v>
      </c>
      <c r="P207" s="2">
        <v>0</v>
      </c>
      <c r="Q207">
        <v>0</v>
      </c>
      <c r="R207">
        <v>0</v>
      </c>
      <c r="S207">
        <v>2</v>
      </c>
      <c r="T207">
        <v>0</v>
      </c>
      <c r="U207">
        <v>1</v>
      </c>
      <c r="V207">
        <v>1</v>
      </c>
      <c r="W207">
        <v>1</v>
      </c>
      <c r="X207">
        <v>146</v>
      </c>
      <c r="Y207" t="s">
        <v>101</v>
      </c>
    </row>
    <row r="208" spans="1:25" ht="16" customHeight="1" x14ac:dyDescent="0.2">
      <c r="A208" s="1" t="s">
        <v>338</v>
      </c>
      <c r="B208" s="2" t="s">
        <v>151</v>
      </c>
      <c r="C208" s="2">
        <v>35</v>
      </c>
      <c r="D208" s="2" t="s">
        <v>106</v>
      </c>
      <c r="E208" s="2">
        <v>1056</v>
      </c>
      <c r="F208" s="2">
        <v>0</v>
      </c>
      <c r="G208" s="2">
        <v>0</v>
      </c>
      <c r="H208" s="2">
        <v>1</v>
      </c>
      <c r="I208" s="2">
        <v>2</v>
      </c>
      <c r="J208" s="2">
        <v>2</v>
      </c>
      <c r="K208" s="2">
        <v>2</v>
      </c>
      <c r="L208" s="2">
        <v>0</v>
      </c>
      <c r="M208" s="2">
        <v>0</v>
      </c>
      <c r="N208" s="2">
        <v>0</v>
      </c>
      <c r="O208" s="2">
        <v>1</v>
      </c>
      <c r="P208" s="2">
        <v>0</v>
      </c>
      <c r="Q208">
        <v>1</v>
      </c>
      <c r="R208">
        <v>0</v>
      </c>
      <c r="S208">
        <v>2</v>
      </c>
      <c r="T208">
        <v>1</v>
      </c>
      <c r="U208">
        <v>0</v>
      </c>
      <c r="V208">
        <v>0</v>
      </c>
      <c r="W208">
        <v>0</v>
      </c>
      <c r="X208">
        <v>261</v>
      </c>
      <c r="Y208" t="s">
        <v>101</v>
      </c>
    </row>
    <row r="209" spans="1:25" ht="16" customHeight="1" x14ac:dyDescent="0.2">
      <c r="A209" s="1" t="s">
        <v>339</v>
      </c>
      <c r="B209" s="2" t="s">
        <v>141</v>
      </c>
      <c r="C209" s="2">
        <v>35</v>
      </c>
      <c r="D209" s="2" t="s">
        <v>109</v>
      </c>
      <c r="E209" s="2">
        <v>48</v>
      </c>
      <c r="F209" s="2">
        <v>1</v>
      </c>
      <c r="G209" s="2">
        <v>-1</v>
      </c>
      <c r="H209" s="2">
        <v>3</v>
      </c>
      <c r="I209" s="2">
        <v>3</v>
      </c>
      <c r="J209" s="2">
        <v>2</v>
      </c>
      <c r="K209" s="2">
        <v>1</v>
      </c>
      <c r="L209" s="2">
        <v>1</v>
      </c>
      <c r="M209" s="2">
        <v>0</v>
      </c>
      <c r="N209" s="2">
        <v>0</v>
      </c>
      <c r="O209" s="2">
        <v>1</v>
      </c>
      <c r="P209" s="2">
        <v>0</v>
      </c>
      <c r="Q209">
        <v>1</v>
      </c>
      <c r="R209">
        <v>0</v>
      </c>
      <c r="S209">
        <v>2</v>
      </c>
      <c r="T209">
        <v>0</v>
      </c>
      <c r="U209">
        <v>0</v>
      </c>
      <c r="V209">
        <v>0</v>
      </c>
      <c r="W209">
        <v>1</v>
      </c>
      <c r="X209">
        <v>118</v>
      </c>
      <c r="Y209" t="s">
        <v>101</v>
      </c>
    </row>
    <row r="210" spans="1:25" ht="16" customHeight="1" x14ac:dyDescent="0.2">
      <c r="A210" s="1" t="s">
        <v>340</v>
      </c>
      <c r="B210" s="2" t="s">
        <v>124</v>
      </c>
      <c r="C210" s="2">
        <v>35</v>
      </c>
      <c r="D210" s="2" t="s">
        <v>112</v>
      </c>
      <c r="E210" s="2">
        <v>378</v>
      </c>
      <c r="F210" s="2">
        <v>0</v>
      </c>
      <c r="G210" s="2">
        <v>-1</v>
      </c>
      <c r="H210" s="2">
        <v>5</v>
      </c>
      <c r="I210" s="2">
        <v>3</v>
      </c>
      <c r="J210" s="2">
        <v>3</v>
      </c>
      <c r="K210" s="2">
        <v>5</v>
      </c>
      <c r="L210" s="2">
        <v>1</v>
      </c>
      <c r="M210" s="2">
        <v>1</v>
      </c>
      <c r="N210" s="2">
        <v>1</v>
      </c>
      <c r="O210" s="2">
        <v>0</v>
      </c>
      <c r="P210" s="2">
        <v>0</v>
      </c>
      <c r="Q210">
        <v>1</v>
      </c>
      <c r="R210">
        <v>1</v>
      </c>
      <c r="S210">
        <v>4</v>
      </c>
      <c r="T210">
        <v>0</v>
      </c>
      <c r="U210">
        <v>1</v>
      </c>
      <c r="V210">
        <v>1</v>
      </c>
      <c r="W210">
        <v>0</v>
      </c>
      <c r="X210">
        <v>382</v>
      </c>
      <c r="Y210" t="s">
        <v>101</v>
      </c>
    </row>
    <row r="211" spans="1:25" ht="16" customHeight="1" x14ac:dyDescent="0.2">
      <c r="A211" s="1" t="s">
        <v>341</v>
      </c>
      <c r="B211" s="2" t="s">
        <v>114</v>
      </c>
      <c r="C211" s="2">
        <v>35</v>
      </c>
      <c r="D211" s="2" t="s">
        <v>115</v>
      </c>
      <c r="E211" s="2">
        <v>1591</v>
      </c>
      <c r="F211" s="2">
        <v>0</v>
      </c>
      <c r="G211" s="2">
        <v>-1</v>
      </c>
      <c r="H211" s="2">
        <v>2</v>
      </c>
      <c r="I211" s="2">
        <v>2</v>
      </c>
      <c r="J211" s="2">
        <v>3</v>
      </c>
      <c r="K211" s="2">
        <v>1</v>
      </c>
      <c r="L211" s="2">
        <v>1</v>
      </c>
      <c r="M211" s="2">
        <v>0</v>
      </c>
      <c r="N211" s="2">
        <v>1</v>
      </c>
      <c r="O211" s="2">
        <v>0</v>
      </c>
      <c r="P211" s="2">
        <v>1</v>
      </c>
      <c r="Q211">
        <v>1</v>
      </c>
      <c r="R211">
        <v>0</v>
      </c>
      <c r="S211">
        <v>2</v>
      </c>
      <c r="T211">
        <v>-1</v>
      </c>
      <c r="U211">
        <v>1</v>
      </c>
      <c r="V211">
        <v>0</v>
      </c>
      <c r="W211">
        <v>0</v>
      </c>
      <c r="X211">
        <v>354</v>
      </c>
      <c r="Y211" t="s">
        <v>101</v>
      </c>
    </row>
    <row r="212" spans="1:25" ht="16" customHeight="1" x14ac:dyDescent="0.2">
      <c r="A212" s="1" t="s">
        <v>342</v>
      </c>
      <c r="B212" s="2" t="s">
        <v>141</v>
      </c>
      <c r="C212" s="2">
        <v>36</v>
      </c>
      <c r="D212" s="2" t="s">
        <v>100</v>
      </c>
      <c r="E212" s="2">
        <v>340</v>
      </c>
      <c r="F212" s="2">
        <v>1</v>
      </c>
      <c r="G212" s="2">
        <v>-1</v>
      </c>
      <c r="H212" s="2">
        <v>5</v>
      </c>
      <c r="I212" s="2">
        <v>1</v>
      </c>
      <c r="J212" s="2">
        <v>3</v>
      </c>
      <c r="K212" s="2">
        <v>1</v>
      </c>
      <c r="L212" s="2">
        <v>1</v>
      </c>
      <c r="M212" s="2">
        <v>1</v>
      </c>
      <c r="N212" s="2">
        <v>0</v>
      </c>
      <c r="O212" s="2">
        <v>0</v>
      </c>
      <c r="P212" s="2">
        <v>0</v>
      </c>
      <c r="Q212">
        <v>0</v>
      </c>
      <c r="R212">
        <v>0</v>
      </c>
      <c r="S212">
        <v>4</v>
      </c>
      <c r="T212">
        <v>0</v>
      </c>
      <c r="U212">
        <v>0</v>
      </c>
      <c r="V212">
        <v>1</v>
      </c>
      <c r="W212">
        <v>1</v>
      </c>
      <c r="X212">
        <v>410</v>
      </c>
      <c r="Y212" t="s">
        <v>101</v>
      </c>
    </row>
    <row r="213" spans="1:25" ht="16" customHeight="1" x14ac:dyDescent="0.2">
      <c r="A213" s="1" t="s">
        <v>343</v>
      </c>
      <c r="B213" s="2" t="s">
        <v>144</v>
      </c>
      <c r="C213" s="2">
        <v>36</v>
      </c>
      <c r="D213" s="2" t="s">
        <v>103</v>
      </c>
      <c r="E213" s="2">
        <v>3173</v>
      </c>
      <c r="F213" s="2">
        <v>1</v>
      </c>
      <c r="G213" s="2">
        <v>1</v>
      </c>
      <c r="H213" s="2">
        <v>3</v>
      </c>
      <c r="I213" s="2">
        <v>2</v>
      </c>
      <c r="J213" s="2">
        <v>1</v>
      </c>
      <c r="K213" s="2">
        <v>1</v>
      </c>
      <c r="L213" s="2">
        <v>0</v>
      </c>
      <c r="M213" s="2">
        <v>1</v>
      </c>
      <c r="N213" s="2">
        <v>0</v>
      </c>
      <c r="O213" s="2">
        <v>1</v>
      </c>
      <c r="P213" s="2">
        <v>1</v>
      </c>
      <c r="Q213">
        <v>1</v>
      </c>
      <c r="R213">
        <v>0</v>
      </c>
      <c r="S213">
        <v>4</v>
      </c>
      <c r="T213">
        <v>1</v>
      </c>
      <c r="U213">
        <v>1</v>
      </c>
      <c r="V213">
        <v>1</v>
      </c>
      <c r="W213">
        <v>0</v>
      </c>
      <c r="X213">
        <v>372</v>
      </c>
      <c r="Y213" t="s">
        <v>101</v>
      </c>
    </row>
    <row r="214" spans="1:25" ht="16" customHeight="1" x14ac:dyDescent="0.2">
      <c r="A214" s="1" t="s">
        <v>344</v>
      </c>
      <c r="B214" s="2" t="s">
        <v>159</v>
      </c>
      <c r="C214" s="2">
        <v>36</v>
      </c>
      <c r="D214" s="2" t="s">
        <v>106</v>
      </c>
      <c r="E214" s="2">
        <v>3799</v>
      </c>
      <c r="F214" s="2">
        <v>0</v>
      </c>
      <c r="G214" s="2">
        <v>1</v>
      </c>
      <c r="H214" s="2">
        <v>4</v>
      </c>
      <c r="I214" s="2">
        <v>3</v>
      </c>
      <c r="J214" s="2">
        <v>1</v>
      </c>
      <c r="K214" s="2">
        <v>3</v>
      </c>
      <c r="L214" s="2">
        <v>0</v>
      </c>
      <c r="M214" s="2">
        <v>0</v>
      </c>
      <c r="N214" s="2">
        <v>1</v>
      </c>
      <c r="O214" s="2">
        <v>1</v>
      </c>
      <c r="P214" s="2">
        <v>0</v>
      </c>
      <c r="Q214">
        <v>1</v>
      </c>
      <c r="R214">
        <v>1</v>
      </c>
      <c r="S214">
        <v>3</v>
      </c>
      <c r="T214">
        <v>1</v>
      </c>
      <c r="U214">
        <v>0</v>
      </c>
      <c r="V214">
        <v>1</v>
      </c>
      <c r="W214">
        <v>0</v>
      </c>
      <c r="X214">
        <v>453</v>
      </c>
      <c r="Y214" t="s">
        <v>101</v>
      </c>
    </row>
    <row r="215" spans="1:25" ht="16" customHeight="1" x14ac:dyDescent="0.2">
      <c r="A215" s="1" t="s">
        <v>345</v>
      </c>
      <c r="B215" s="2" t="s">
        <v>119</v>
      </c>
      <c r="C215" s="2">
        <v>36</v>
      </c>
      <c r="D215" s="2" t="s">
        <v>109</v>
      </c>
      <c r="E215" s="2">
        <v>1507</v>
      </c>
      <c r="F215" s="2">
        <v>1</v>
      </c>
      <c r="G215" s="2">
        <v>0</v>
      </c>
      <c r="H215" s="2">
        <v>1</v>
      </c>
      <c r="I215" s="2">
        <v>2</v>
      </c>
      <c r="J215" s="2">
        <v>1</v>
      </c>
      <c r="K215" s="2">
        <v>3</v>
      </c>
      <c r="L215" s="2">
        <v>0</v>
      </c>
      <c r="M215" s="2">
        <v>1</v>
      </c>
      <c r="N215" s="2">
        <v>1</v>
      </c>
      <c r="O215" s="2">
        <v>1</v>
      </c>
      <c r="P215" s="2">
        <v>0</v>
      </c>
      <c r="Q215">
        <v>0</v>
      </c>
      <c r="R215">
        <v>0</v>
      </c>
      <c r="S215">
        <v>3</v>
      </c>
      <c r="T215">
        <v>1</v>
      </c>
      <c r="U215">
        <v>1</v>
      </c>
      <c r="V215">
        <v>1</v>
      </c>
      <c r="W215">
        <v>1</v>
      </c>
      <c r="X215">
        <v>370</v>
      </c>
      <c r="Y215" t="s">
        <v>101</v>
      </c>
    </row>
    <row r="216" spans="1:25" ht="16" customHeight="1" x14ac:dyDescent="0.2">
      <c r="A216" s="1" t="s">
        <v>346</v>
      </c>
      <c r="B216" s="2" t="s">
        <v>144</v>
      </c>
      <c r="C216" s="2">
        <v>36</v>
      </c>
      <c r="D216" s="2" t="s">
        <v>112</v>
      </c>
      <c r="E216" s="2">
        <v>353</v>
      </c>
      <c r="F216" s="2">
        <v>0</v>
      </c>
      <c r="G216" s="2">
        <v>0</v>
      </c>
      <c r="H216" s="2">
        <v>1</v>
      </c>
      <c r="I216" s="2">
        <v>1</v>
      </c>
      <c r="J216" s="2">
        <v>2</v>
      </c>
      <c r="K216" s="2">
        <v>2</v>
      </c>
      <c r="L216" s="2">
        <v>0</v>
      </c>
      <c r="M216" s="2">
        <v>1</v>
      </c>
      <c r="N216" s="2">
        <v>1</v>
      </c>
      <c r="O216" s="2">
        <v>0</v>
      </c>
      <c r="P216" s="2">
        <v>1</v>
      </c>
      <c r="Q216">
        <v>1</v>
      </c>
      <c r="R216">
        <v>1</v>
      </c>
      <c r="S216">
        <v>2</v>
      </c>
      <c r="T216">
        <v>-1</v>
      </c>
      <c r="U216">
        <v>1</v>
      </c>
      <c r="V216">
        <v>1</v>
      </c>
      <c r="W216">
        <v>1</v>
      </c>
      <c r="X216">
        <v>97</v>
      </c>
      <c r="Y216" t="s">
        <v>101</v>
      </c>
    </row>
    <row r="217" spans="1:25" ht="16" customHeight="1" x14ac:dyDescent="0.2">
      <c r="A217" s="1" t="s">
        <v>347</v>
      </c>
      <c r="B217" s="2" t="s">
        <v>132</v>
      </c>
      <c r="C217" s="2">
        <v>36</v>
      </c>
      <c r="D217" s="2" t="s">
        <v>115</v>
      </c>
      <c r="E217" s="2">
        <v>5528</v>
      </c>
      <c r="F217" s="2">
        <v>1</v>
      </c>
      <c r="G217" s="2">
        <v>1</v>
      </c>
      <c r="H217" s="2">
        <v>1</v>
      </c>
      <c r="I217" s="2">
        <v>1</v>
      </c>
      <c r="J217" s="2">
        <v>1</v>
      </c>
      <c r="K217" s="2">
        <v>4</v>
      </c>
      <c r="L217" s="2">
        <v>0</v>
      </c>
      <c r="M217" s="2">
        <v>0</v>
      </c>
      <c r="N217" s="2">
        <v>1</v>
      </c>
      <c r="O217" s="2">
        <v>1</v>
      </c>
      <c r="P217" s="2">
        <v>1</v>
      </c>
      <c r="Q217">
        <v>1</v>
      </c>
      <c r="R217">
        <v>0</v>
      </c>
      <c r="S217">
        <v>2</v>
      </c>
      <c r="T217">
        <v>0</v>
      </c>
      <c r="U217">
        <v>0</v>
      </c>
      <c r="V217">
        <v>0</v>
      </c>
      <c r="W217">
        <v>1</v>
      </c>
      <c r="X217">
        <v>243</v>
      </c>
      <c r="Y217" t="s">
        <v>101</v>
      </c>
    </row>
    <row r="218" spans="1:25" ht="16" customHeight="1" x14ac:dyDescent="0.2">
      <c r="A218" s="1" t="s">
        <v>348</v>
      </c>
      <c r="B218" s="2" t="s">
        <v>128</v>
      </c>
      <c r="C218" s="2">
        <v>37</v>
      </c>
      <c r="D218" s="2" t="s">
        <v>100</v>
      </c>
      <c r="E218" s="2">
        <v>6868</v>
      </c>
      <c r="F218" s="2">
        <v>0</v>
      </c>
      <c r="G218" s="2">
        <v>1</v>
      </c>
      <c r="H218" s="2">
        <v>2</v>
      </c>
      <c r="I218" s="2">
        <v>1</v>
      </c>
      <c r="J218" s="2">
        <v>1</v>
      </c>
      <c r="K218" s="2">
        <v>3</v>
      </c>
      <c r="L218" s="2">
        <v>0</v>
      </c>
      <c r="M218" s="2">
        <v>0</v>
      </c>
      <c r="N218" s="2">
        <v>0</v>
      </c>
      <c r="O218" s="2">
        <v>1</v>
      </c>
      <c r="P218" s="2">
        <v>0</v>
      </c>
      <c r="Q218">
        <v>0</v>
      </c>
      <c r="R218">
        <v>0</v>
      </c>
      <c r="S218">
        <v>-1</v>
      </c>
      <c r="T218">
        <v>0</v>
      </c>
      <c r="U218">
        <v>1</v>
      </c>
      <c r="V218">
        <v>1</v>
      </c>
      <c r="W218">
        <v>1</v>
      </c>
      <c r="X218">
        <v>361</v>
      </c>
      <c r="Y218" t="s">
        <v>101</v>
      </c>
    </row>
    <row r="219" spans="1:25" ht="16" customHeight="1" x14ac:dyDescent="0.2">
      <c r="A219" s="1" t="s">
        <v>349</v>
      </c>
      <c r="B219" s="2" t="s">
        <v>126</v>
      </c>
      <c r="C219" s="2">
        <v>37</v>
      </c>
      <c r="D219" s="2" t="s">
        <v>103</v>
      </c>
      <c r="E219" s="2">
        <v>4930</v>
      </c>
      <c r="F219" s="2">
        <v>0</v>
      </c>
      <c r="G219" s="2">
        <v>-1</v>
      </c>
      <c r="H219" s="2">
        <v>5</v>
      </c>
      <c r="I219" s="2">
        <v>1</v>
      </c>
      <c r="J219" s="2">
        <v>3</v>
      </c>
      <c r="K219" s="2">
        <v>1</v>
      </c>
      <c r="L219" s="2">
        <v>1</v>
      </c>
      <c r="M219" s="2">
        <v>1</v>
      </c>
      <c r="N219" s="2">
        <v>0</v>
      </c>
      <c r="O219" s="2">
        <v>1</v>
      </c>
      <c r="P219" s="2">
        <v>0</v>
      </c>
      <c r="Q219">
        <v>0</v>
      </c>
      <c r="R219">
        <v>0</v>
      </c>
      <c r="S219">
        <v>2</v>
      </c>
      <c r="T219">
        <v>0</v>
      </c>
      <c r="U219">
        <v>1</v>
      </c>
      <c r="V219">
        <v>1</v>
      </c>
      <c r="W219">
        <v>0</v>
      </c>
      <c r="X219">
        <v>428</v>
      </c>
      <c r="Y219" t="s">
        <v>101</v>
      </c>
    </row>
    <row r="220" spans="1:25" ht="16" customHeight="1" x14ac:dyDescent="0.2">
      <c r="A220" s="1" t="s">
        <v>350</v>
      </c>
      <c r="B220" s="2" t="s">
        <v>128</v>
      </c>
      <c r="C220" s="2">
        <v>37</v>
      </c>
      <c r="D220" s="2" t="s">
        <v>106</v>
      </c>
      <c r="E220" s="2">
        <v>4093</v>
      </c>
      <c r="F220" s="2">
        <v>1</v>
      </c>
      <c r="G220" s="2">
        <v>-1</v>
      </c>
      <c r="H220" s="2">
        <v>5</v>
      </c>
      <c r="I220" s="2">
        <v>2</v>
      </c>
      <c r="J220" s="2">
        <v>3</v>
      </c>
      <c r="K220" s="2">
        <v>3</v>
      </c>
      <c r="L220" s="2">
        <v>1</v>
      </c>
      <c r="M220" s="2">
        <v>0</v>
      </c>
      <c r="N220" s="2">
        <v>1</v>
      </c>
      <c r="O220" s="2">
        <v>0</v>
      </c>
      <c r="P220" s="2">
        <v>1</v>
      </c>
      <c r="Q220">
        <v>0</v>
      </c>
      <c r="R220">
        <v>1</v>
      </c>
      <c r="S220">
        <v>2</v>
      </c>
      <c r="T220">
        <v>-1</v>
      </c>
      <c r="U220">
        <v>1</v>
      </c>
      <c r="V220">
        <v>0</v>
      </c>
      <c r="W220">
        <v>0</v>
      </c>
      <c r="X220">
        <v>144</v>
      </c>
      <c r="Y220" t="s">
        <v>101</v>
      </c>
    </row>
    <row r="221" spans="1:25" ht="16" customHeight="1" x14ac:dyDescent="0.2">
      <c r="A221" s="1" t="s">
        <v>351</v>
      </c>
      <c r="B221" s="2" t="s">
        <v>141</v>
      </c>
      <c r="C221" s="2">
        <v>37</v>
      </c>
      <c r="D221" s="2" t="s">
        <v>109</v>
      </c>
      <c r="E221" s="2">
        <v>432</v>
      </c>
      <c r="F221" s="2">
        <v>0</v>
      </c>
      <c r="G221" s="2">
        <v>1</v>
      </c>
      <c r="H221" s="2">
        <v>5</v>
      </c>
      <c r="I221" s="2">
        <v>1</v>
      </c>
      <c r="J221" s="2">
        <v>3</v>
      </c>
      <c r="K221" s="2">
        <v>1</v>
      </c>
      <c r="L221" s="2">
        <v>1</v>
      </c>
      <c r="M221" s="2">
        <v>1</v>
      </c>
      <c r="N221" s="2">
        <v>1</v>
      </c>
      <c r="O221" s="2">
        <v>0</v>
      </c>
      <c r="P221" s="2">
        <v>1</v>
      </c>
      <c r="Q221">
        <v>0</v>
      </c>
      <c r="R221">
        <v>1</v>
      </c>
      <c r="S221">
        <v>-1</v>
      </c>
      <c r="T221">
        <v>-1</v>
      </c>
      <c r="U221">
        <v>0</v>
      </c>
      <c r="V221">
        <v>1</v>
      </c>
      <c r="W221">
        <v>1</v>
      </c>
      <c r="X221">
        <v>212</v>
      </c>
      <c r="Y221" t="s">
        <v>101</v>
      </c>
    </row>
    <row r="222" spans="1:25" ht="16" customHeight="1" x14ac:dyDescent="0.2">
      <c r="A222" s="1" t="s">
        <v>352</v>
      </c>
      <c r="B222" s="2" t="s">
        <v>144</v>
      </c>
      <c r="C222" s="2">
        <v>37</v>
      </c>
      <c r="D222" s="2" t="s">
        <v>112</v>
      </c>
      <c r="E222" s="2">
        <v>7030</v>
      </c>
      <c r="F222" s="2">
        <v>1</v>
      </c>
      <c r="G222" s="2">
        <v>1</v>
      </c>
      <c r="H222" s="2">
        <v>1</v>
      </c>
      <c r="I222" s="2">
        <v>1</v>
      </c>
      <c r="J222" s="2">
        <v>2</v>
      </c>
      <c r="K222" s="2">
        <v>1</v>
      </c>
      <c r="L222" s="2">
        <v>1</v>
      </c>
      <c r="M222" s="2">
        <v>1</v>
      </c>
      <c r="N222" s="2">
        <v>1</v>
      </c>
      <c r="O222" s="2">
        <v>1</v>
      </c>
      <c r="P222" s="2">
        <v>0</v>
      </c>
      <c r="Q222">
        <v>1</v>
      </c>
      <c r="R222">
        <v>1</v>
      </c>
      <c r="S222">
        <v>4</v>
      </c>
      <c r="T222">
        <v>1</v>
      </c>
      <c r="U222">
        <v>0</v>
      </c>
      <c r="V222">
        <v>0</v>
      </c>
      <c r="W222">
        <v>0</v>
      </c>
      <c r="X222">
        <v>157</v>
      </c>
      <c r="Y222" t="s">
        <v>101</v>
      </c>
    </row>
    <row r="223" spans="1:25" ht="16" customHeight="1" x14ac:dyDescent="0.2">
      <c r="A223" s="1" t="s">
        <v>353</v>
      </c>
      <c r="B223" s="2" t="s">
        <v>105</v>
      </c>
      <c r="C223" s="2">
        <v>37</v>
      </c>
      <c r="D223" s="2" t="s">
        <v>115</v>
      </c>
      <c r="E223" s="2">
        <v>325</v>
      </c>
      <c r="F223" s="2">
        <v>1</v>
      </c>
      <c r="G223" s="2">
        <v>1</v>
      </c>
      <c r="H223" s="2">
        <v>3</v>
      </c>
      <c r="I223" s="2">
        <v>2</v>
      </c>
      <c r="J223" s="2">
        <v>1</v>
      </c>
      <c r="K223" s="2">
        <v>4</v>
      </c>
      <c r="L223" s="2">
        <v>1</v>
      </c>
      <c r="M223" s="2">
        <v>1</v>
      </c>
      <c r="N223" s="2">
        <v>1</v>
      </c>
      <c r="O223" s="2">
        <v>1</v>
      </c>
      <c r="P223" s="2">
        <v>1</v>
      </c>
      <c r="Q223">
        <v>1</v>
      </c>
      <c r="R223">
        <v>1</v>
      </c>
      <c r="S223">
        <v>1</v>
      </c>
      <c r="T223">
        <v>1</v>
      </c>
      <c r="U223">
        <v>1</v>
      </c>
      <c r="V223">
        <v>0</v>
      </c>
      <c r="W223">
        <v>1</v>
      </c>
      <c r="X223">
        <v>259</v>
      </c>
      <c r="Y223" t="s">
        <v>101</v>
      </c>
    </row>
    <row r="224" spans="1:25" ht="16" customHeight="1" x14ac:dyDescent="0.2">
      <c r="A224" s="1" t="s">
        <v>354</v>
      </c>
      <c r="B224" s="2" t="s">
        <v>136</v>
      </c>
      <c r="C224" s="2">
        <v>38</v>
      </c>
      <c r="D224" s="2" t="s">
        <v>100</v>
      </c>
      <c r="E224" s="2">
        <v>3015</v>
      </c>
      <c r="F224" s="2">
        <v>0</v>
      </c>
      <c r="G224" s="2">
        <v>-1</v>
      </c>
      <c r="H224" s="2">
        <v>4</v>
      </c>
      <c r="I224" s="2">
        <v>2</v>
      </c>
      <c r="J224" s="2">
        <v>2</v>
      </c>
      <c r="K224" s="2">
        <v>4</v>
      </c>
      <c r="L224" s="2">
        <v>1</v>
      </c>
      <c r="M224" s="2">
        <v>1</v>
      </c>
      <c r="N224" s="2">
        <v>0</v>
      </c>
      <c r="O224" s="2">
        <v>1</v>
      </c>
      <c r="P224" s="2">
        <v>0</v>
      </c>
      <c r="Q224">
        <v>0</v>
      </c>
      <c r="R224">
        <v>1</v>
      </c>
      <c r="S224">
        <v>1</v>
      </c>
      <c r="T224">
        <v>1</v>
      </c>
      <c r="U224">
        <v>1</v>
      </c>
      <c r="V224">
        <v>1</v>
      </c>
      <c r="W224">
        <v>1</v>
      </c>
      <c r="X224">
        <v>40</v>
      </c>
      <c r="Y224" t="s">
        <v>101</v>
      </c>
    </row>
    <row r="225" spans="1:25" ht="16" customHeight="1" x14ac:dyDescent="0.2">
      <c r="A225" s="1" t="s">
        <v>355</v>
      </c>
      <c r="B225" s="2" t="s">
        <v>122</v>
      </c>
      <c r="C225" s="2">
        <v>38</v>
      </c>
      <c r="D225" s="2" t="s">
        <v>103</v>
      </c>
      <c r="E225" s="2">
        <v>1559</v>
      </c>
      <c r="F225" s="2">
        <v>0</v>
      </c>
      <c r="G225" s="2">
        <v>1</v>
      </c>
      <c r="H225" s="2">
        <v>5</v>
      </c>
      <c r="I225" s="2">
        <v>1</v>
      </c>
      <c r="J225" s="2">
        <v>3</v>
      </c>
      <c r="K225" s="2">
        <v>3</v>
      </c>
      <c r="L225" s="2">
        <v>1</v>
      </c>
      <c r="M225" s="2">
        <v>0</v>
      </c>
      <c r="N225" s="2">
        <v>0</v>
      </c>
      <c r="O225" s="2">
        <v>1</v>
      </c>
      <c r="P225" s="2">
        <v>1</v>
      </c>
      <c r="Q225">
        <v>0</v>
      </c>
      <c r="R225">
        <v>0</v>
      </c>
      <c r="S225">
        <v>4</v>
      </c>
      <c r="T225">
        <v>1</v>
      </c>
      <c r="U225">
        <v>1</v>
      </c>
      <c r="V225">
        <v>1</v>
      </c>
      <c r="W225">
        <v>1</v>
      </c>
      <c r="X225">
        <v>31</v>
      </c>
      <c r="Y225" t="s">
        <v>101</v>
      </c>
    </row>
    <row r="226" spans="1:25" ht="16" customHeight="1" x14ac:dyDescent="0.2">
      <c r="A226" s="1" t="s">
        <v>356</v>
      </c>
      <c r="B226" s="2" t="s">
        <v>111</v>
      </c>
      <c r="C226" s="2">
        <v>38</v>
      </c>
      <c r="D226" s="2" t="s">
        <v>106</v>
      </c>
      <c r="E226" s="2">
        <v>1787</v>
      </c>
      <c r="F226" s="2">
        <v>1</v>
      </c>
      <c r="G226" s="2">
        <v>-1</v>
      </c>
      <c r="H226" s="2">
        <v>5</v>
      </c>
      <c r="I226" s="2">
        <v>2</v>
      </c>
      <c r="J226" s="2">
        <v>1</v>
      </c>
      <c r="K226" s="2">
        <v>3</v>
      </c>
      <c r="L226" s="2">
        <v>1</v>
      </c>
      <c r="M226" s="2">
        <v>0</v>
      </c>
      <c r="N226" s="2">
        <v>1</v>
      </c>
      <c r="O226" s="2">
        <v>1</v>
      </c>
      <c r="P226" s="2">
        <v>1</v>
      </c>
      <c r="Q226">
        <v>1</v>
      </c>
      <c r="R226">
        <v>0</v>
      </c>
      <c r="S226">
        <v>1</v>
      </c>
      <c r="T226">
        <v>1</v>
      </c>
      <c r="U226">
        <v>0</v>
      </c>
      <c r="V226">
        <v>1</v>
      </c>
      <c r="W226">
        <v>1</v>
      </c>
      <c r="X226">
        <v>224</v>
      </c>
      <c r="Y226" t="s">
        <v>101</v>
      </c>
    </row>
    <row r="227" spans="1:25" ht="16" customHeight="1" x14ac:dyDescent="0.2">
      <c r="A227" s="1" t="s">
        <v>357</v>
      </c>
      <c r="B227" s="2" t="s">
        <v>191</v>
      </c>
      <c r="C227" s="2">
        <v>38</v>
      </c>
      <c r="D227" s="2" t="s">
        <v>109</v>
      </c>
      <c r="E227" s="2">
        <v>10922</v>
      </c>
      <c r="F227" s="2">
        <v>0</v>
      </c>
      <c r="G227" s="2">
        <v>1</v>
      </c>
      <c r="H227" s="2">
        <v>4</v>
      </c>
      <c r="I227" s="2">
        <v>2</v>
      </c>
      <c r="J227" s="2">
        <v>2</v>
      </c>
      <c r="K227" s="2">
        <v>3</v>
      </c>
      <c r="L227" s="2">
        <v>0</v>
      </c>
      <c r="M227" s="2">
        <v>1</v>
      </c>
      <c r="N227" s="2">
        <v>1</v>
      </c>
      <c r="O227" s="2">
        <v>0</v>
      </c>
      <c r="P227" s="2">
        <v>0</v>
      </c>
      <c r="Q227">
        <v>0</v>
      </c>
      <c r="R227">
        <v>0</v>
      </c>
      <c r="S227">
        <v>4</v>
      </c>
      <c r="T227">
        <v>0</v>
      </c>
      <c r="U227">
        <v>1</v>
      </c>
      <c r="V227">
        <v>1</v>
      </c>
      <c r="W227">
        <v>0</v>
      </c>
      <c r="X227">
        <v>125</v>
      </c>
      <c r="Y227" t="s">
        <v>101</v>
      </c>
    </row>
    <row r="228" spans="1:25" ht="16" customHeight="1" x14ac:dyDescent="0.2">
      <c r="A228" s="1" t="s">
        <v>358</v>
      </c>
      <c r="B228" s="2" t="s">
        <v>159</v>
      </c>
      <c r="C228" s="2">
        <v>38</v>
      </c>
      <c r="D228" s="2" t="s">
        <v>112</v>
      </c>
      <c r="E228" s="2">
        <v>3951</v>
      </c>
      <c r="F228" s="2">
        <v>0</v>
      </c>
      <c r="G228" s="2">
        <v>-1</v>
      </c>
      <c r="H228" s="2">
        <v>1</v>
      </c>
      <c r="I228" s="2">
        <v>2</v>
      </c>
      <c r="J228" s="2">
        <v>2</v>
      </c>
      <c r="K228" s="2">
        <v>3</v>
      </c>
      <c r="L228" s="2">
        <v>1</v>
      </c>
      <c r="M228" s="2">
        <v>1</v>
      </c>
      <c r="N228" s="2">
        <v>1</v>
      </c>
      <c r="O228" s="2">
        <v>1</v>
      </c>
      <c r="P228" s="2">
        <v>0</v>
      </c>
      <c r="Q228">
        <v>1</v>
      </c>
      <c r="R228">
        <v>1</v>
      </c>
      <c r="S228">
        <v>3</v>
      </c>
      <c r="T228">
        <v>1</v>
      </c>
      <c r="U228">
        <v>0</v>
      </c>
      <c r="V228">
        <v>1</v>
      </c>
      <c r="W228">
        <v>0</v>
      </c>
      <c r="X228">
        <v>134</v>
      </c>
      <c r="Y228" t="s">
        <v>101</v>
      </c>
    </row>
    <row r="229" spans="1:25" ht="16" customHeight="1" x14ac:dyDescent="0.2">
      <c r="A229" s="1" t="s">
        <v>359</v>
      </c>
      <c r="B229" s="2" t="s">
        <v>151</v>
      </c>
      <c r="C229" s="2">
        <v>38</v>
      </c>
      <c r="D229" s="2" t="s">
        <v>115</v>
      </c>
      <c r="E229" s="2">
        <v>1585</v>
      </c>
      <c r="F229" s="2">
        <v>1</v>
      </c>
      <c r="G229" s="2">
        <v>0</v>
      </c>
      <c r="H229" s="2">
        <v>3</v>
      </c>
      <c r="I229" s="2">
        <v>1</v>
      </c>
      <c r="J229" s="2">
        <v>3</v>
      </c>
      <c r="K229" s="2">
        <v>3</v>
      </c>
      <c r="L229" s="2">
        <v>0</v>
      </c>
      <c r="M229" s="2">
        <v>1</v>
      </c>
      <c r="N229" s="2">
        <v>1</v>
      </c>
      <c r="O229" s="2">
        <v>0</v>
      </c>
      <c r="P229" s="2">
        <v>1</v>
      </c>
      <c r="Q229">
        <v>1</v>
      </c>
      <c r="R229">
        <v>0</v>
      </c>
      <c r="S229">
        <v>-1</v>
      </c>
      <c r="T229">
        <v>-1</v>
      </c>
      <c r="U229">
        <v>1</v>
      </c>
      <c r="V229">
        <v>1</v>
      </c>
      <c r="W229">
        <v>1</v>
      </c>
      <c r="X229">
        <v>281</v>
      </c>
      <c r="Y229" t="s">
        <v>101</v>
      </c>
    </row>
    <row r="230" spans="1:25" ht="16" customHeight="1" x14ac:dyDescent="0.2">
      <c r="A230" s="1" t="s">
        <v>360</v>
      </c>
      <c r="B230" s="2" t="s">
        <v>122</v>
      </c>
      <c r="C230" s="2">
        <v>39</v>
      </c>
      <c r="D230" s="2" t="s">
        <v>100</v>
      </c>
      <c r="E230" s="2">
        <v>578</v>
      </c>
      <c r="F230" s="2">
        <v>1</v>
      </c>
      <c r="G230" s="2">
        <v>1</v>
      </c>
      <c r="H230" s="2">
        <v>1</v>
      </c>
      <c r="I230" s="2">
        <v>3</v>
      </c>
      <c r="J230" s="2">
        <v>2</v>
      </c>
      <c r="K230" s="2">
        <v>4</v>
      </c>
      <c r="L230" s="2">
        <v>1</v>
      </c>
      <c r="M230" s="2">
        <v>0</v>
      </c>
      <c r="N230" s="2">
        <v>0</v>
      </c>
      <c r="O230" s="2">
        <v>0</v>
      </c>
      <c r="P230" s="2">
        <v>0</v>
      </c>
      <c r="Q230">
        <v>1</v>
      </c>
      <c r="R230">
        <v>0</v>
      </c>
      <c r="S230">
        <v>1</v>
      </c>
      <c r="T230">
        <v>1</v>
      </c>
      <c r="U230">
        <v>0</v>
      </c>
      <c r="V230">
        <v>1</v>
      </c>
      <c r="W230">
        <v>1</v>
      </c>
      <c r="X230">
        <v>372</v>
      </c>
      <c r="Y230" t="s">
        <v>101</v>
      </c>
    </row>
    <row r="231" spans="1:25" ht="16" customHeight="1" x14ac:dyDescent="0.2">
      <c r="A231" s="1" t="s">
        <v>361</v>
      </c>
      <c r="B231" s="2" t="s">
        <v>144</v>
      </c>
      <c r="C231" s="2">
        <v>39</v>
      </c>
      <c r="D231" s="2" t="s">
        <v>103</v>
      </c>
      <c r="E231" s="2">
        <v>1781</v>
      </c>
      <c r="F231" s="2">
        <v>1</v>
      </c>
      <c r="G231" s="2">
        <v>1</v>
      </c>
      <c r="H231" s="2">
        <v>4</v>
      </c>
      <c r="I231" s="2">
        <v>3</v>
      </c>
      <c r="J231" s="2">
        <v>1</v>
      </c>
      <c r="K231" s="2">
        <v>3</v>
      </c>
      <c r="L231" s="2">
        <v>0</v>
      </c>
      <c r="M231" s="2">
        <v>1</v>
      </c>
      <c r="N231" s="2">
        <v>1</v>
      </c>
      <c r="O231" s="2">
        <v>1</v>
      </c>
      <c r="P231" s="2">
        <v>0</v>
      </c>
      <c r="Q231">
        <v>0</v>
      </c>
      <c r="R231">
        <v>1</v>
      </c>
      <c r="S231">
        <v>-1</v>
      </c>
      <c r="T231">
        <v>-1</v>
      </c>
      <c r="U231">
        <v>0</v>
      </c>
      <c r="V231">
        <v>0</v>
      </c>
      <c r="W231">
        <v>1</v>
      </c>
      <c r="X231">
        <v>302</v>
      </c>
      <c r="Y231" t="s">
        <v>101</v>
      </c>
    </row>
    <row r="232" spans="1:25" ht="16" customHeight="1" x14ac:dyDescent="0.2">
      <c r="A232" s="1" t="s">
        <v>362</v>
      </c>
      <c r="B232" s="2" t="s">
        <v>172</v>
      </c>
      <c r="C232" s="2">
        <v>39</v>
      </c>
      <c r="D232" s="2" t="s">
        <v>106</v>
      </c>
      <c r="E232" s="2">
        <v>144</v>
      </c>
      <c r="F232" s="2">
        <v>1</v>
      </c>
      <c r="G232" s="2">
        <v>1</v>
      </c>
      <c r="H232" s="2">
        <v>3</v>
      </c>
      <c r="I232" s="2">
        <v>1</v>
      </c>
      <c r="J232" s="2">
        <v>3</v>
      </c>
      <c r="K232" s="2">
        <v>1</v>
      </c>
      <c r="L232" s="2">
        <v>1</v>
      </c>
      <c r="M232" s="2">
        <v>1</v>
      </c>
      <c r="N232" s="2">
        <v>1</v>
      </c>
      <c r="O232" s="2">
        <v>0</v>
      </c>
      <c r="P232" s="2">
        <v>1</v>
      </c>
      <c r="Q232">
        <v>1</v>
      </c>
      <c r="R232">
        <v>1</v>
      </c>
      <c r="S232">
        <v>-1</v>
      </c>
      <c r="T232">
        <v>1</v>
      </c>
      <c r="U232">
        <v>0</v>
      </c>
      <c r="V232">
        <v>1</v>
      </c>
      <c r="W232">
        <v>0</v>
      </c>
      <c r="X232">
        <v>132</v>
      </c>
      <c r="Y232" t="s">
        <v>101</v>
      </c>
    </row>
    <row r="233" spans="1:25" ht="16" customHeight="1" x14ac:dyDescent="0.2">
      <c r="A233" s="1" t="s">
        <v>363</v>
      </c>
      <c r="B233" s="2" t="s">
        <v>119</v>
      </c>
      <c r="C233" s="2">
        <v>39</v>
      </c>
      <c r="D233" s="2" t="s">
        <v>109</v>
      </c>
      <c r="E233" s="2">
        <v>191</v>
      </c>
      <c r="F233" s="2">
        <v>0</v>
      </c>
      <c r="G233" s="2">
        <v>1</v>
      </c>
      <c r="H233" s="2">
        <v>1</v>
      </c>
      <c r="I233" s="2">
        <v>2</v>
      </c>
      <c r="J233" s="2">
        <v>2</v>
      </c>
      <c r="K233" s="2">
        <v>2</v>
      </c>
      <c r="L233" s="2">
        <v>0</v>
      </c>
      <c r="M233" s="2">
        <v>0</v>
      </c>
      <c r="N233" s="2">
        <v>0</v>
      </c>
      <c r="O233" s="2">
        <v>1</v>
      </c>
      <c r="P233" s="2">
        <v>1</v>
      </c>
      <c r="Q233">
        <v>1</v>
      </c>
      <c r="R233">
        <v>1</v>
      </c>
      <c r="S233">
        <v>2</v>
      </c>
      <c r="T233">
        <v>0</v>
      </c>
      <c r="U233">
        <v>0</v>
      </c>
      <c r="V233">
        <v>0</v>
      </c>
      <c r="W233">
        <v>0</v>
      </c>
      <c r="X233">
        <v>76</v>
      </c>
      <c r="Y233" t="s">
        <v>101</v>
      </c>
    </row>
    <row r="234" spans="1:25" ht="16" customHeight="1" x14ac:dyDescent="0.2">
      <c r="A234" s="1" t="s">
        <v>364</v>
      </c>
      <c r="B234" s="2" t="s">
        <v>144</v>
      </c>
      <c r="C234" s="2">
        <v>39</v>
      </c>
      <c r="D234" s="2" t="s">
        <v>112</v>
      </c>
      <c r="E234" s="2">
        <v>1511</v>
      </c>
      <c r="F234" s="2">
        <v>1</v>
      </c>
      <c r="G234" s="2">
        <v>-1</v>
      </c>
      <c r="H234" s="2">
        <v>4</v>
      </c>
      <c r="I234" s="2">
        <v>3</v>
      </c>
      <c r="J234" s="2">
        <v>2</v>
      </c>
      <c r="K234" s="2">
        <v>3</v>
      </c>
      <c r="L234" s="2">
        <v>1</v>
      </c>
      <c r="M234" s="2">
        <v>0</v>
      </c>
      <c r="N234" s="2">
        <v>1</v>
      </c>
      <c r="O234" s="2">
        <v>1</v>
      </c>
      <c r="P234" s="2">
        <v>1</v>
      </c>
      <c r="Q234">
        <v>0</v>
      </c>
      <c r="R234">
        <v>1</v>
      </c>
      <c r="S234">
        <v>1</v>
      </c>
      <c r="T234">
        <v>0</v>
      </c>
      <c r="U234">
        <v>1</v>
      </c>
      <c r="V234">
        <v>1</v>
      </c>
      <c r="W234">
        <v>1</v>
      </c>
      <c r="X234">
        <v>92</v>
      </c>
      <c r="Y234" t="s">
        <v>101</v>
      </c>
    </row>
    <row r="235" spans="1:25" ht="16" customHeight="1" x14ac:dyDescent="0.2">
      <c r="A235" s="1" t="s">
        <v>365</v>
      </c>
      <c r="B235" s="2" t="s">
        <v>181</v>
      </c>
      <c r="C235" s="2">
        <v>39</v>
      </c>
      <c r="D235" s="2" t="s">
        <v>115</v>
      </c>
      <c r="E235" s="2">
        <v>271</v>
      </c>
      <c r="F235" s="2">
        <v>1</v>
      </c>
      <c r="G235" s="2">
        <v>-1</v>
      </c>
      <c r="H235" s="2">
        <v>1</v>
      </c>
      <c r="I235" s="2">
        <v>1</v>
      </c>
      <c r="J235" s="2">
        <v>1</v>
      </c>
      <c r="K235" s="2">
        <v>3</v>
      </c>
      <c r="L235" s="2">
        <v>1</v>
      </c>
      <c r="M235" s="2">
        <v>0</v>
      </c>
      <c r="N235" s="2">
        <v>0</v>
      </c>
      <c r="O235" s="2">
        <v>1</v>
      </c>
      <c r="P235" s="2">
        <v>0</v>
      </c>
      <c r="Q235">
        <v>1</v>
      </c>
      <c r="R235">
        <v>1</v>
      </c>
      <c r="S235">
        <v>3</v>
      </c>
      <c r="T235">
        <v>1</v>
      </c>
      <c r="U235">
        <v>0</v>
      </c>
      <c r="V235">
        <v>0</v>
      </c>
      <c r="W235">
        <v>1</v>
      </c>
      <c r="X235">
        <v>362</v>
      </c>
      <c r="Y235" t="s">
        <v>101</v>
      </c>
    </row>
    <row r="236" spans="1:25" ht="16" customHeight="1" x14ac:dyDescent="0.2">
      <c r="A236" s="1" t="s">
        <v>366</v>
      </c>
      <c r="B236" s="2" t="s">
        <v>172</v>
      </c>
      <c r="C236" s="2">
        <v>40</v>
      </c>
      <c r="D236" s="2" t="s">
        <v>100</v>
      </c>
      <c r="E236" s="2">
        <v>4253</v>
      </c>
      <c r="F236" s="2">
        <v>0</v>
      </c>
      <c r="G236" s="2">
        <v>1</v>
      </c>
      <c r="H236" s="2">
        <v>3</v>
      </c>
      <c r="I236" s="2">
        <v>2</v>
      </c>
      <c r="J236" s="2">
        <v>3</v>
      </c>
      <c r="K236" s="2">
        <v>2</v>
      </c>
      <c r="L236" s="2">
        <v>0</v>
      </c>
      <c r="M236" s="2">
        <v>1</v>
      </c>
      <c r="N236" s="2">
        <v>0</v>
      </c>
      <c r="O236" s="2">
        <v>1</v>
      </c>
      <c r="P236" s="2">
        <v>1</v>
      </c>
      <c r="Q236">
        <v>0</v>
      </c>
      <c r="R236">
        <v>0</v>
      </c>
      <c r="S236">
        <v>-1</v>
      </c>
      <c r="T236">
        <v>0</v>
      </c>
      <c r="U236">
        <v>0</v>
      </c>
      <c r="V236">
        <v>0</v>
      </c>
      <c r="W236">
        <v>1</v>
      </c>
      <c r="X236">
        <v>337</v>
      </c>
      <c r="Y236" t="s">
        <v>101</v>
      </c>
    </row>
    <row r="237" spans="1:25" ht="16" customHeight="1" x14ac:dyDescent="0.2">
      <c r="A237" s="1" t="s">
        <v>367</v>
      </c>
      <c r="B237" s="2" t="s">
        <v>105</v>
      </c>
      <c r="C237" s="2">
        <v>40</v>
      </c>
      <c r="D237" s="2" t="s">
        <v>103</v>
      </c>
      <c r="E237" s="2">
        <v>3044</v>
      </c>
      <c r="F237" s="2">
        <v>0</v>
      </c>
      <c r="G237" s="2">
        <v>0</v>
      </c>
      <c r="H237" s="2">
        <v>3</v>
      </c>
      <c r="I237" s="2">
        <v>3</v>
      </c>
      <c r="J237" s="2">
        <v>3</v>
      </c>
      <c r="K237" s="2">
        <v>1</v>
      </c>
      <c r="L237" s="2">
        <v>0</v>
      </c>
      <c r="M237" s="2">
        <v>1</v>
      </c>
      <c r="N237" s="2">
        <v>0</v>
      </c>
      <c r="O237" s="2">
        <v>0</v>
      </c>
      <c r="P237" s="2">
        <v>0</v>
      </c>
      <c r="Q237">
        <v>1</v>
      </c>
      <c r="R237">
        <v>0</v>
      </c>
      <c r="S237">
        <v>-1</v>
      </c>
      <c r="T237">
        <v>-1</v>
      </c>
      <c r="U237">
        <v>0</v>
      </c>
      <c r="V237">
        <v>0</v>
      </c>
      <c r="W237">
        <v>1</v>
      </c>
      <c r="X237">
        <v>35</v>
      </c>
      <c r="Y237" t="s">
        <v>101</v>
      </c>
    </row>
    <row r="238" spans="1:25" ht="16" customHeight="1" x14ac:dyDescent="0.2">
      <c r="A238" s="1" t="s">
        <v>368</v>
      </c>
      <c r="B238" s="2" t="s">
        <v>126</v>
      </c>
      <c r="C238" s="2">
        <v>40</v>
      </c>
      <c r="D238" s="2" t="s">
        <v>106</v>
      </c>
      <c r="E238" s="2">
        <v>2340</v>
      </c>
      <c r="F238" s="2">
        <v>1</v>
      </c>
      <c r="G238" s="2">
        <v>0</v>
      </c>
      <c r="H238" s="2">
        <v>2</v>
      </c>
      <c r="I238" s="2">
        <v>3</v>
      </c>
      <c r="J238" s="2">
        <v>2</v>
      </c>
      <c r="K238" s="2">
        <v>4</v>
      </c>
      <c r="L238" s="2">
        <v>1</v>
      </c>
      <c r="M238" s="2">
        <v>0</v>
      </c>
      <c r="N238" s="2">
        <v>1</v>
      </c>
      <c r="O238" s="2">
        <v>1</v>
      </c>
      <c r="P238" s="2">
        <v>0</v>
      </c>
      <c r="Q238">
        <v>1</v>
      </c>
      <c r="R238">
        <v>1</v>
      </c>
      <c r="S238">
        <v>-1</v>
      </c>
      <c r="T238">
        <v>0</v>
      </c>
      <c r="U238">
        <v>0</v>
      </c>
      <c r="V238">
        <v>1</v>
      </c>
      <c r="W238">
        <v>0</v>
      </c>
      <c r="X238">
        <v>32</v>
      </c>
      <c r="Y238" t="s">
        <v>101</v>
      </c>
    </row>
    <row r="239" spans="1:25" ht="16" customHeight="1" x14ac:dyDescent="0.2">
      <c r="A239" s="1" t="s">
        <v>369</v>
      </c>
      <c r="B239" s="2" t="s">
        <v>146</v>
      </c>
      <c r="C239" s="2">
        <v>40</v>
      </c>
      <c r="D239" s="2" t="s">
        <v>109</v>
      </c>
      <c r="E239" s="2">
        <v>3003</v>
      </c>
      <c r="F239" s="2">
        <v>1</v>
      </c>
      <c r="G239" s="2">
        <v>-1</v>
      </c>
      <c r="H239" s="2">
        <v>4</v>
      </c>
      <c r="I239" s="2">
        <v>1</v>
      </c>
      <c r="J239" s="2">
        <v>3</v>
      </c>
      <c r="K239" s="2">
        <v>1</v>
      </c>
      <c r="L239" s="2">
        <v>0</v>
      </c>
      <c r="M239" s="2">
        <v>0</v>
      </c>
      <c r="N239" s="2">
        <v>1</v>
      </c>
      <c r="O239" s="2">
        <v>0</v>
      </c>
      <c r="P239" s="2">
        <v>1</v>
      </c>
      <c r="Q239">
        <v>1</v>
      </c>
      <c r="R239">
        <v>1</v>
      </c>
      <c r="S239">
        <v>3</v>
      </c>
      <c r="T239">
        <v>0</v>
      </c>
      <c r="U239">
        <v>1</v>
      </c>
      <c r="V239">
        <v>1</v>
      </c>
      <c r="W239">
        <v>1</v>
      </c>
      <c r="X239">
        <v>435</v>
      </c>
      <c r="Y239" t="s">
        <v>101</v>
      </c>
    </row>
    <row r="240" spans="1:25" ht="16" customHeight="1" x14ac:dyDescent="0.2">
      <c r="A240" s="1" t="s">
        <v>370</v>
      </c>
      <c r="B240" s="2" t="s">
        <v>128</v>
      </c>
      <c r="C240" s="2">
        <v>40</v>
      </c>
      <c r="D240" s="2" t="s">
        <v>112</v>
      </c>
      <c r="E240" s="2">
        <v>20</v>
      </c>
      <c r="F240" s="2">
        <v>0</v>
      </c>
      <c r="G240" s="2">
        <v>1</v>
      </c>
      <c r="H240" s="2">
        <v>1</v>
      </c>
      <c r="I240" s="2">
        <v>2</v>
      </c>
      <c r="J240" s="2">
        <v>1</v>
      </c>
      <c r="K240" s="2">
        <v>4</v>
      </c>
      <c r="L240" s="2">
        <v>1</v>
      </c>
      <c r="M240" s="2">
        <v>1</v>
      </c>
      <c r="N240" s="2">
        <v>0</v>
      </c>
      <c r="O240" s="2">
        <v>1</v>
      </c>
      <c r="P240" s="2">
        <v>1</v>
      </c>
      <c r="Q240">
        <v>1</v>
      </c>
      <c r="R240">
        <v>0</v>
      </c>
      <c r="S240">
        <v>-1</v>
      </c>
      <c r="T240">
        <v>1</v>
      </c>
      <c r="U240">
        <v>0</v>
      </c>
      <c r="V240">
        <v>1</v>
      </c>
      <c r="W240">
        <v>0</v>
      </c>
      <c r="X240">
        <v>78</v>
      </c>
      <c r="Y240" t="s">
        <v>101</v>
      </c>
    </row>
    <row r="241" spans="1:25" ht="16" customHeight="1" x14ac:dyDescent="0.2">
      <c r="A241" s="1" t="s">
        <v>371</v>
      </c>
      <c r="B241" s="2" t="s">
        <v>128</v>
      </c>
      <c r="C241" s="2">
        <v>40</v>
      </c>
      <c r="D241" s="2" t="s">
        <v>115</v>
      </c>
      <c r="E241" s="2">
        <v>9016</v>
      </c>
      <c r="F241" s="2">
        <v>1</v>
      </c>
      <c r="G241" s="2">
        <v>1</v>
      </c>
      <c r="H241" s="2">
        <v>5</v>
      </c>
      <c r="I241" s="2">
        <v>3</v>
      </c>
      <c r="J241" s="2">
        <v>2</v>
      </c>
      <c r="K241" s="2">
        <v>2</v>
      </c>
      <c r="L241" s="2">
        <v>1</v>
      </c>
      <c r="M241" s="2">
        <v>0</v>
      </c>
      <c r="N241" s="2">
        <v>1</v>
      </c>
      <c r="O241" s="2">
        <v>0</v>
      </c>
      <c r="P241" s="2">
        <v>1</v>
      </c>
      <c r="Q241">
        <v>0</v>
      </c>
      <c r="R241">
        <v>0</v>
      </c>
      <c r="S241">
        <v>1</v>
      </c>
      <c r="T241">
        <v>-1</v>
      </c>
      <c r="U241">
        <v>0</v>
      </c>
      <c r="V241">
        <v>1</v>
      </c>
      <c r="W241">
        <v>1</v>
      </c>
      <c r="X241">
        <v>272</v>
      </c>
      <c r="Y241" t="s">
        <v>101</v>
      </c>
    </row>
    <row r="242" spans="1:25" ht="16" customHeight="1" x14ac:dyDescent="0.2">
      <c r="A242" s="1" t="s">
        <v>372</v>
      </c>
      <c r="B242" s="2" t="s">
        <v>179</v>
      </c>
      <c r="C242" s="2">
        <v>41</v>
      </c>
      <c r="D242" s="2" t="s">
        <v>100</v>
      </c>
      <c r="E242" s="2">
        <v>2228</v>
      </c>
      <c r="F242" s="2">
        <v>1</v>
      </c>
      <c r="G242" s="2">
        <v>0</v>
      </c>
      <c r="H242" s="2">
        <v>5</v>
      </c>
      <c r="I242" s="2">
        <v>1</v>
      </c>
      <c r="J242" s="2">
        <v>1</v>
      </c>
      <c r="K242" s="2">
        <v>5</v>
      </c>
      <c r="L242" s="2">
        <v>1</v>
      </c>
      <c r="M242" s="2">
        <v>0</v>
      </c>
      <c r="N242" s="2">
        <v>1</v>
      </c>
      <c r="O242" s="2">
        <v>0</v>
      </c>
      <c r="P242" s="2">
        <v>0</v>
      </c>
      <c r="Q242">
        <v>0</v>
      </c>
      <c r="R242">
        <v>1</v>
      </c>
      <c r="S242">
        <v>-1</v>
      </c>
      <c r="T242">
        <v>-1</v>
      </c>
      <c r="U242">
        <v>1</v>
      </c>
      <c r="V242">
        <v>1</v>
      </c>
      <c r="W242">
        <v>0</v>
      </c>
      <c r="X242">
        <v>390</v>
      </c>
      <c r="Y242" t="s">
        <v>101</v>
      </c>
    </row>
    <row r="243" spans="1:25" ht="16" customHeight="1" x14ac:dyDescent="0.2">
      <c r="A243" s="1" t="s">
        <v>373</v>
      </c>
      <c r="B243" s="2" t="s">
        <v>159</v>
      </c>
      <c r="C243" s="2">
        <v>41</v>
      </c>
      <c r="D243" s="2" t="s">
        <v>103</v>
      </c>
      <c r="E243" s="2">
        <v>9767</v>
      </c>
      <c r="F243" s="2">
        <v>0</v>
      </c>
      <c r="G243" s="2">
        <v>0</v>
      </c>
      <c r="H243" s="2">
        <v>1</v>
      </c>
      <c r="I243" s="2">
        <v>3</v>
      </c>
      <c r="J243" s="2">
        <v>2</v>
      </c>
      <c r="K243" s="2">
        <v>3</v>
      </c>
      <c r="L243" s="2">
        <v>0</v>
      </c>
      <c r="M243" s="2">
        <v>1</v>
      </c>
      <c r="N243" s="2">
        <v>1</v>
      </c>
      <c r="O243" s="2">
        <v>0</v>
      </c>
      <c r="P243" s="2">
        <v>1</v>
      </c>
      <c r="Q243">
        <v>0</v>
      </c>
      <c r="R243">
        <v>1</v>
      </c>
      <c r="S243">
        <v>3</v>
      </c>
      <c r="T243">
        <v>0</v>
      </c>
      <c r="U243">
        <v>1</v>
      </c>
      <c r="V243">
        <v>1</v>
      </c>
      <c r="W243">
        <v>1</v>
      </c>
      <c r="X243">
        <v>352</v>
      </c>
      <c r="Y243" t="s">
        <v>101</v>
      </c>
    </row>
    <row r="244" spans="1:25" ht="16" customHeight="1" x14ac:dyDescent="0.2">
      <c r="A244" s="1" t="s">
        <v>374</v>
      </c>
      <c r="B244" s="2" t="s">
        <v>119</v>
      </c>
      <c r="C244" s="2">
        <v>41</v>
      </c>
      <c r="D244" s="2" t="s">
        <v>106</v>
      </c>
      <c r="E244" s="2">
        <v>48</v>
      </c>
      <c r="F244" s="2">
        <v>0</v>
      </c>
      <c r="G244" s="2">
        <v>-1</v>
      </c>
      <c r="H244" s="2">
        <v>2</v>
      </c>
      <c r="I244" s="2">
        <v>1</v>
      </c>
      <c r="J244" s="2">
        <v>2</v>
      </c>
      <c r="K244" s="2">
        <v>4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>
        <v>1</v>
      </c>
      <c r="R244">
        <v>1</v>
      </c>
      <c r="S244">
        <v>-1</v>
      </c>
      <c r="T244">
        <v>1</v>
      </c>
      <c r="U244">
        <v>1</v>
      </c>
      <c r="V244">
        <v>1</v>
      </c>
      <c r="W244">
        <v>0</v>
      </c>
      <c r="X244">
        <v>187</v>
      </c>
      <c r="Y244" t="s">
        <v>101</v>
      </c>
    </row>
    <row r="245" spans="1:25" ht="16" customHeight="1" x14ac:dyDescent="0.2">
      <c r="A245" s="1" t="s">
        <v>375</v>
      </c>
      <c r="B245" s="2" t="s">
        <v>99</v>
      </c>
      <c r="C245" s="2">
        <v>41</v>
      </c>
      <c r="D245" s="2" t="s">
        <v>109</v>
      </c>
      <c r="E245" s="2">
        <v>3838</v>
      </c>
      <c r="F245" s="2">
        <v>1</v>
      </c>
      <c r="G245" s="2">
        <v>-1</v>
      </c>
      <c r="H245" s="2">
        <v>5</v>
      </c>
      <c r="I245" s="2">
        <v>3</v>
      </c>
      <c r="J245" s="2">
        <v>1</v>
      </c>
      <c r="K245" s="2">
        <v>2</v>
      </c>
      <c r="L245" s="2">
        <v>1</v>
      </c>
      <c r="M245" s="2">
        <v>1</v>
      </c>
      <c r="N245" s="2">
        <v>0</v>
      </c>
      <c r="O245" s="2">
        <v>1</v>
      </c>
      <c r="P245" s="2">
        <v>0</v>
      </c>
      <c r="Q245">
        <v>1</v>
      </c>
      <c r="R245">
        <v>0</v>
      </c>
      <c r="S245">
        <v>4</v>
      </c>
      <c r="T245">
        <v>1</v>
      </c>
      <c r="U245">
        <v>1</v>
      </c>
      <c r="V245">
        <v>0</v>
      </c>
      <c r="W245">
        <v>0</v>
      </c>
      <c r="X245">
        <v>475</v>
      </c>
      <c r="Y245" t="s">
        <v>101</v>
      </c>
    </row>
    <row r="246" spans="1:25" ht="16" customHeight="1" x14ac:dyDescent="0.2">
      <c r="A246" s="1" t="s">
        <v>376</v>
      </c>
      <c r="B246" s="2" t="s">
        <v>170</v>
      </c>
      <c r="C246" s="2">
        <v>41</v>
      </c>
      <c r="D246" s="2" t="s">
        <v>112</v>
      </c>
      <c r="E246" s="2">
        <v>1468</v>
      </c>
      <c r="F246" s="2">
        <v>1</v>
      </c>
      <c r="G246" s="2">
        <v>0</v>
      </c>
      <c r="H246" s="2">
        <v>1</v>
      </c>
      <c r="I246" s="2">
        <v>1</v>
      </c>
      <c r="J246" s="2">
        <v>3</v>
      </c>
      <c r="K246" s="2">
        <v>4</v>
      </c>
      <c r="L246" s="2">
        <v>1</v>
      </c>
      <c r="M246" s="2">
        <v>1</v>
      </c>
      <c r="N246" s="2">
        <v>1</v>
      </c>
      <c r="O246" s="2">
        <v>1</v>
      </c>
      <c r="P246" s="2">
        <v>1</v>
      </c>
      <c r="Q246">
        <v>1</v>
      </c>
      <c r="R246">
        <v>0</v>
      </c>
      <c r="S246">
        <v>-1</v>
      </c>
      <c r="T246">
        <v>1</v>
      </c>
      <c r="U246">
        <v>0</v>
      </c>
      <c r="V246">
        <v>1</v>
      </c>
      <c r="W246">
        <v>1</v>
      </c>
      <c r="X246">
        <v>71</v>
      </c>
      <c r="Y246" t="s">
        <v>101</v>
      </c>
    </row>
    <row r="247" spans="1:25" ht="16" customHeight="1" x14ac:dyDescent="0.2">
      <c r="A247" s="1" t="s">
        <v>377</v>
      </c>
      <c r="B247" s="2" t="s">
        <v>151</v>
      </c>
      <c r="C247" s="2">
        <v>41</v>
      </c>
      <c r="D247" s="2" t="s">
        <v>115</v>
      </c>
      <c r="E247" s="2">
        <v>5590</v>
      </c>
      <c r="F247" s="2">
        <v>1</v>
      </c>
      <c r="G247" s="2">
        <v>0</v>
      </c>
      <c r="H247" s="2">
        <v>2</v>
      </c>
      <c r="I247" s="2">
        <v>1</v>
      </c>
      <c r="J247" s="2">
        <v>1</v>
      </c>
      <c r="K247" s="2">
        <v>1</v>
      </c>
      <c r="L247" s="2">
        <v>0</v>
      </c>
      <c r="M247" s="2">
        <v>0</v>
      </c>
      <c r="N247" s="2">
        <v>0</v>
      </c>
      <c r="O247" s="2">
        <v>1</v>
      </c>
      <c r="P247" s="2">
        <v>0</v>
      </c>
      <c r="Q247">
        <v>0</v>
      </c>
      <c r="R247">
        <v>0</v>
      </c>
      <c r="S247">
        <v>-1</v>
      </c>
      <c r="T247">
        <v>-1</v>
      </c>
      <c r="U247">
        <v>1</v>
      </c>
      <c r="V247">
        <v>0</v>
      </c>
      <c r="W247">
        <v>0</v>
      </c>
      <c r="X247">
        <v>183</v>
      </c>
      <c r="Y247" t="s">
        <v>101</v>
      </c>
    </row>
    <row r="248" spans="1:25" ht="16" customHeight="1" x14ac:dyDescent="0.2">
      <c r="A248" s="1" t="s">
        <v>378</v>
      </c>
      <c r="B248" s="2" t="s">
        <v>159</v>
      </c>
      <c r="C248" s="2">
        <v>42</v>
      </c>
      <c r="D248" s="2" t="s">
        <v>100</v>
      </c>
      <c r="E248" s="2">
        <v>424</v>
      </c>
      <c r="F248" s="2">
        <v>1</v>
      </c>
      <c r="G248" s="2">
        <v>-1</v>
      </c>
      <c r="H248" s="2">
        <v>3</v>
      </c>
      <c r="I248" s="2">
        <v>3</v>
      </c>
      <c r="J248" s="2">
        <v>2</v>
      </c>
      <c r="K248" s="2">
        <v>2</v>
      </c>
      <c r="L248" s="2">
        <v>1</v>
      </c>
      <c r="M248" s="2">
        <v>1</v>
      </c>
      <c r="N248" s="2">
        <v>1</v>
      </c>
      <c r="O248" s="2">
        <v>1</v>
      </c>
      <c r="P248" s="2">
        <v>1</v>
      </c>
      <c r="Q248">
        <v>0</v>
      </c>
      <c r="R248">
        <v>0</v>
      </c>
      <c r="S248">
        <v>3</v>
      </c>
      <c r="T248">
        <v>0</v>
      </c>
      <c r="U248">
        <v>0</v>
      </c>
      <c r="V248">
        <v>0</v>
      </c>
      <c r="W248">
        <v>1</v>
      </c>
      <c r="X248">
        <v>48</v>
      </c>
      <c r="Y248" t="s">
        <v>101</v>
      </c>
    </row>
    <row r="249" spans="1:25" ht="16" customHeight="1" x14ac:dyDescent="0.2">
      <c r="A249" s="1" t="s">
        <v>379</v>
      </c>
      <c r="B249" s="2" t="s">
        <v>126</v>
      </c>
      <c r="C249" s="2">
        <v>42</v>
      </c>
      <c r="D249" s="2" t="s">
        <v>103</v>
      </c>
      <c r="E249" s="2">
        <v>340</v>
      </c>
      <c r="F249" s="2">
        <v>1</v>
      </c>
      <c r="G249" s="2">
        <v>0</v>
      </c>
      <c r="H249" s="2">
        <v>2</v>
      </c>
      <c r="I249" s="2">
        <v>2</v>
      </c>
      <c r="J249" s="2">
        <v>3</v>
      </c>
      <c r="K249" s="2">
        <v>1</v>
      </c>
      <c r="L249" s="2">
        <v>0</v>
      </c>
      <c r="M249" s="2">
        <v>1</v>
      </c>
      <c r="N249" s="2">
        <v>0</v>
      </c>
      <c r="O249" s="2">
        <v>1</v>
      </c>
      <c r="P249" s="2">
        <v>1</v>
      </c>
      <c r="Q249">
        <v>0</v>
      </c>
      <c r="R249">
        <v>0</v>
      </c>
      <c r="S249">
        <v>3</v>
      </c>
      <c r="T249">
        <v>-1</v>
      </c>
      <c r="U249">
        <v>1</v>
      </c>
      <c r="V249">
        <v>1</v>
      </c>
      <c r="W249">
        <v>1</v>
      </c>
      <c r="X249">
        <v>207</v>
      </c>
      <c r="Y249" t="s">
        <v>101</v>
      </c>
    </row>
    <row r="250" spans="1:25" ht="16" customHeight="1" x14ac:dyDescent="0.2">
      <c r="A250" s="1" t="s">
        <v>380</v>
      </c>
      <c r="B250" s="2" t="s">
        <v>161</v>
      </c>
      <c r="C250" s="2">
        <v>42</v>
      </c>
      <c r="D250" s="2" t="s">
        <v>106</v>
      </c>
      <c r="E250" s="2">
        <v>4458</v>
      </c>
      <c r="F250" s="2">
        <v>0</v>
      </c>
      <c r="G250" s="2">
        <v>-1</v>
      </c>
      <c r="H250" s="2">
        <v>2</v>
      </c>
      <c r="I250" s="2">
        <v>2</v>
      </c>
      <c r="J250" s="2">
        <v>1</v>
      </c>
      <c r="K250" s="2">
        <v>3</v>
      </c>
      <c r="L250" s="2">
        <v>1</v>
      </c>
      <c r="M250" s="2">
        <v>0</v>
      </c>
      <c r="N250" s="2">
        <v>0</v>
      </c>
      <c r="O250" s="2">
        <v>1</v>
      </c>
      <c r="P250" s="2">
        <v>0</v>
      </c>
      <c r="Q250">
        <v>0</v>
      </c>
      <c r="R250">
        <v>1</v>
      </c>
      <c r="S250">
        <v>-1</v>
      </c>
      <c r="T250">
        <v>1</v>
      </c>
      <c r="U250">
        <v>1</v>
      </c>
      <c r="V250">
        <v>0</v>
      </c>
      <c r="W250">
        <v>1</v>
      </c>
      <c r="X250">
        <v>137</v>
      </c>
      <c r="Y250" t="s">
        <v>101</v>
      </c>
    </row>
    <row r="251" spans="1:25" ht="16" customHeight="1" x14ac:dyDescent="0.2">
      <c r="A251" s="1" t="s">
        <v>381</v>
      </c>
      <c r="B251" s="2" t="s">
        <v>108</v>
      </c>
      <c r="C251" s="2">
        <v>42</v>
      </c>
      <c r="D251" s="2" t="s">
        <v>109</v>
      </c>
      <c r="E251" s="2">
        <v>1450</v>
      </c>
      <c r="F251" s="2">
        <v>0</v>
      </c>
      <c r="G251" s="2">
        <v>1</v>
      </c>
      <c r="H251" s="2">
        <v>3</v>
      </c>
      <c r="I251" s="2">
        <v>1</v>
      </c>
      <c r="J251" s="2">
        <v>1</v>
      </c>
      <c r="K251" s="2">
        <v>4</v>
      </c>
      <c r="L251" s="2">
        <v>0</v>
      </c>
      <c r="M251" s="2">
        <v>1</v>
      </c>
      <c r="N251" s="2">
        <v>1</v>
      </c>
      <c r="O251" s="2">
        <v>1</v>
      </c>
      <c r="P251" s="2">
        <v>0</v>
      </c>
      <c r="Q251">
        <v>0</v>
      </c>
      <c r="R251">
        <v>1</v>
      </c>
      <c r="S251">
        <v>3</v>
      </c>
      <c r="T251">
        <v>0</v>
      </c>
      <c r="U251">
        <v>1</v>
      </c>
      <c r="V251">
        <v>0</v>
      </c>
      <c r="W251">
        <v>1</v>
      </c>
      <c r="X251">
        <v>435</v>
      </c>
      <c r="Y251" t="s">
        <v>101</v>
      </c>
    </row>
    <row r="252" spans="1:25" ht="16" customHeight="1" x14ac:dyDescent="0.2">
      <c r="A252" s="1" t="s">
        <v>382</v>
      </c>
      <c r="B252" s="2" t="s">
        <v>117</v>
      </c>
      <c r="C252" s="2">
        <v>42</v>
      </c>
      <c r="D252" s="2" t="s">
        <v>112</v>
      </c>
      <c r="E252" s="2">
        <v>564</v>
      </c>
      <c r="F252" s="2">
        <v>0</v>
      </c>
      <c r="G252" s="2">
        <v>0</v>
      </c>
      <c r="H252" s="2">
        <v>5</v>
      </c>
      <c r="I252" s="2">
        <v>2</v>
      </c>
      <c r="J252" s="2">
        <v>1</v>
      </c>
      <c r="K252" s="2">
        <v>2</v>
      </c>
      <c r="L252" s="2">
        <v>0</v>
      </c>
      <c r="M252" s="2">
        <v>1</v>
      </c>
      <c r="N252" s="2">
        <v>1</v>
      </c>
      <c r="O252" s="2">
        <v>0</v>
      </c>
      <c r="P252" s="2">
        <v>0</v>
      </c>
      <c r="Q252">
        <v>1</v>
      </c>
      <c r="R252">
        <v>1</v>
      </c>
      <c r="S252">
        <v>4</v>
      </c>
      <c r="T252">
        <v>1</v>
      </c>
      <c r="U252">
        <v>0</v>
      </c>
      <c r="V252">
        <v>0</v>
      </c>
      <c r="W252">
        <v>1</v>
      </c>
      <c r="X252">
        <v>360</v>
      </c>
      <c r="Y252" t="s">
        <v>101</v>
      </c>
    </row>
    <row r="253" spans="1:25" ht="16" customHeight="1" x14ac:dyDescent="0.2">
      <c r="A253" s="1" t="s">
        <v>383</v>
      </c>
      <c r="B253" s="2" t="s">
        <v>117</v>
      </c>
      <c r="C253" s="2">
        <v>42</v>
      </c>
      <c r="D253" s="2" t="s">
        <v>115</v>
      </c>
      <c r="E253" s="2">
        <v>1056</v>
      </c>
      <c r="F253" s="2">
        <v>0</v>
      </c>
      <c r="G253" s="2">
        <v>1</v>
      </c>
      <c r="H253" s="2">
        <v>1</v>
      </c>
      <c r="I253" s="2">
        <v>1</v>
      </c>
      <c r="J253" s="2">
        <v>2</v>
      </c>
      <c r="K253" s="2">
        <v>4</v>
      </c>
      <c r="L253" s="2">
        <v>1</v>
      </c>
      <c r="M253" s="2">
        <v>1</v>
      </c>
      <c r="N253" s="2">
        <v>0</v>
      </c>
      <c r="O253" s="2">
        <v>0</v>
      </c>
      <c r="P253" s="2">
        <v>1</v>
      </c>
      <c r="Q253">
        <v>1</v>
      </c>
      <c r="R253">
        <v>0</v>
      </c>
      <c r="S253">
        <v>3</v>
      </c>
      <c r="T253">
        <v>1</v>
      </c>
      <c r="U253">
        <v>1</v>
      </c>
      <c r="V253">
        <v>0</v>
      </c>
      <c r="W253">
        <v>0</v>
      </c>
      <c r="X253">
        <v>229</v>
      </c>
      <c r="Y253" t="s">
        <v>101</v>
      </c>
    </row>
    <row r="254" spans="1:25" ht="16" customHeight="1" x14ac:dyDescent="0.2">
      <c r="A254" s="1" t="s">
        <v>384</v>
      </c>
      <c r="B254" s="2" t="s">
        <v>114</v>
      </c>
      <c r="C254" s="2">
        <v>43</v>
      </c>
      <c r="D254" s="2" t="s">
        <v>100</v>
      </c>
      <c r="E254" s="2">
        <v>378</v>
      </c>
      <c r="F254" s="2">
        <v>1</v>
      </c>
      <c r="G254" s="2">
        <v>0</v>
      </c>
      <c r="H254" s="2">
        <v>4</v>
      </c>
      <c r="I254" s="2">
        <v>2</v>
      </c>
      <c r="J254" s="2">
        <v>2</v>
      </c>
      <c r="K254" s="2">
        <v>3</v>
      </c>
      <c r="L254" s="2">
        <v>0</v>
      </c>
      <c r="M254" s="2">
        <v>1</v>
      </c>
      <c r="N254" s="2">
        <v>1</v>
      </c>
      <c r="O254" s="2">
        <v>0</v>
      </c>
      <c r="P254" s="2">
        <v>1</v>
      </c>
      <c r="Q254">
        <v>1</v>
      </c>
      <c r="R254">
        <v>1</v>
      </c>
      <c r="S254">
        <v>-1</v>
      </c>
      <c r="T254">
        <v>0</v>
      </c>
      <c r="U254">
        <v>0</v>
      </c>
      <c r="V254">
        <v>0</v>
      </c>
      <c r="W254">
        <v>1</v>
      </c>
      <c r="X254">
        <v>110</v>
      </c>
      <c r="Y254" t="s">
        <v>101</v>
      </c>
    </row>
    <row r="255" spans="1:25" ht="16" customHeight="1" x14ac:dyDescent="0.2">
      <c r="A255" s="1" t="s">
        <v>385</v>
      </c>
      <c r="B255" s="2" t="s">
        <v>252</v>
      </c>
      <c r="C255" s="2">
        <v>43</v>
      </c>
      <c r="D255" s="2" t="s">
        <v>103</v>
      </c>
      <c r="E255" s="2">
        <v>1507</v>
      </c>
      <c r="F255" s="2">
        <v>0</v>
      </c>
      <c r="G255" s="2">
        <v>1</v>
      </c>
      <c r="H255" s="2">
        <v>3</v>
      </c>
      <c r="I255" s="2">
        <v>3</v>
      </c>
      <c r="J255" s="2">
        <v>3</v>
      </c>
      <c r="K255" s="2">
        <v>2</v>
      </c>
      <c r="L255" s="2">
        <v>1</v>
      </c>
      <c r="M255" s="2">
        <v>1</v>
      </c>
      <c r="N255" s="2">
        <v>0</v>
      </c>
      <c r="O255" s="2">
        <v>0</v>
      </c>
      <c r="P255" s="2">
        <v>0</v>
      </c>
      <c r="Q255">
        <v>0</v>
      </c>
      <c r="R255">
        <v>0</v>
      </c>
      <c r="S255">
        <v>2</v>
      </c>
      <c r="T255">
        <v>0</v>
      </c>
      <c r="U255">
        <v>0</v>
      </c>
      <c r="V255">
        <v>0</v>
      </c>
      <c r="W255">
        <v>1</v>
      </c>
      <c r="X255">
        <v>180</v>
      </c>
      <c r="Y255" t="s">
        <v>101</v>
      </c>
    </row>
    <row r="256" spans="1:25" ht="16" customHeight="1" x14ac:dyDescent="0.2">
      <c r="A256" s="1" t="s">
        <v>386</v>
      </c>
      <c r="B256" s="2" t="s">
        <v>111</v>
      </c>
      <c r="C256" s="2">
        <v>43</v>
      </c>
      <c r="D256" s="2" t="s">
        <v>106</v>
      </c>
      <c r="E256" s="2">
        <v>10223</v>
      </c>
      <c r="F256" s="2">
        <v>1</v>
      </c>
      <c r="G256" s="2">
        <v>-1</v>
      </c>
      <c r="H256" s="2">
        <v>1</v>
      </c>
      <c r="I256" s="2">
        <v>3</v>
      </c>
      <c r="J256" s="2">
        <v>2</v>
      </c>
      <c r="K256" s="2">
        <v>1</v>
      </c>
      <c r="L256" s="2">
        <v>0</v>
      </c>
      <c r="M256" s="2">
        <v>0</v>
      </c>
      <c r="N256" s="2">
        <v>1</v>
      </c>
      <c r="O256" s="2">
        <v>1</v>
      </c>
      <c r="P256" s="2">
        <v>0</v>
      </c>
      <c r="Q256">
        <v>0</v>
      </c>
      <c r="R256">
        <v>1</v>
      </c>
      <c r="S256">
        <v>2</v>
      </c>
      <c r="T256">
        <v>-1</v>
      </c>
      <c r="U256">
        <v>1</v>
      </c>
      <c r="V256">
        <v>1</v>
      </c>
      <c r="W256">
        <v>1</v>
      </c>
      <c r="X256">
        <v>320</v>
      </c>
      <c r="Y256" t="s">
        <v>101</v>
      </c>
    </row>
    <row r="257" spans="1:25" ht="16" customHeight="1" x14ac:dyDescent="0.2">
      <c r="A257" s="1" t="s">
        <v>387</v>
      </c>
      <c r="B257" s="2" t="s">
        <v>111</v>
      </c>
      <c r="C257" s="2">
        <v>43</v>
      </c>
      <c r="D257" s="2" t="s">
        <v>109</v>
      </c>
      <c r="E257" s="2">
        <v>6868</v>
      </c>
      <c r="F257" s="2">
        <v>1</v>
      </c>
      <c r="G257" s="2">
        <v>0</v>
      </c>
      <c r="H257" s="2">
        <v>1</v>
      </c>
      <c r="I257" s="2">
        <v>1</v>
      </c>
      <c r="J257" s="2">
        <v>2</v>
      </c>
      <c r="K257" s="2">
        <v>5</v>
      </c>
      <c r="L257" s="2">
        <v>0</v>
      </c>
      <c r="M257" s="2">
        <v>1</v>
      </c>
      <c r="N257" s="2">
        <v>0</v>
      </c>
      <c r="O257" s="2">
        <v>1</v>
      </c>
      <c r="P257" s="2">
        <v>0</v>
      </c>
      <c r="Q257">
        <v>0</v>
      </c>
      <c r="R257">
        <v>1</v>
      </c>
      <c r="S257">
        <v>-1</v>
      </c>
      <c r="T257">
        <v>-1</v>
      </c>
      <c r="U257">
        <v>0</v>
      </c>
      <c r="V257">
        <v>1</v>
      </c>
      <c r="W257">
        <v>1</v>
      </c>
      <c r="X257">
        <v>57</v>
      </c>
      <c r="Y257" t="s">
        <v>101</v>
      </c>
    </row>
    <row r="258" spans="1:25" ht="16" customHeight="1" x14ac:dyDescent="0.2">
      <c r="A258" s="1" t="s">
        <v>388</v>
      </c>
      <c r="B258" s="2" t="s">
        <v>229</v>
      </c>
      <c r="C258" s="2">
        <v>43</v>
      </c>
      <c r="D258" s="2" t="s">
        <v>112</v>
      </c>
      <c r="E258" s="2">
        <v>5528</v>
      </c>
      <c r="F258" s="2">
        <v>0</v>
      </c>
      <c r="G258" s="2">
        <v>-1</v>
      </c>
      <c r="H258" s="2">
        <v>2</v>
      </c>
      <c r="I258" s="2">
        <v>3</v>
      </c>
      <c r="J258" s="2">
        <v>1</v>
      </c>
      <c r="K258" s="2">
        <v>1</v>
      </c>
      <c r="L258" s="2">
        <v>1</v>
      </c>
      <c r="M258" s="2">
        <v>1</v>
      </c>
      <c r="N258" s="2">
        <v>0</v>
      </c>
      <c r="O258" s="2">
        <v>1</v>
      </c>
      <c r="P258" s="2">
        <v>1</v>
      </c>
      <c r="Q258">
        <v>0</v>
      </c>
      <c r="R258">
        <v>1</v>
      </c>
      <c r="S258">
        <v>2</v>
      </c>
      <c r="T258">
        <v>1</v>
      </c>
      <c r="U258">
        <v>0</v>
      </c>
      <c r="V258">
        <v>1</v>
      </c>
      <c r="W258">
        <v>0</v>
      </c>
      <c r="X258">
        <v>139</v>
      </c>
      <c r="Y258" t="s">
        <v>101</v>
      </c>
    </row>
    <row r="259" spans="1:25" ht="16" customHeight="1" x14ac:dyDescent="0.2">
      <c r="A259" s="1" t="s">
        <v>389</v>
      </c>
      <c r="B259" s="2" t="s">
        <v>252</v>
      </c>
      <c r="C259" s="2">
        <v>43</v>
      </c>
      <c r="D259" s="2" t="s">
        <v>115</v>
      </c>
      <c r="E259" s="2">
        <v>432</v>
      </c>
      <c r="F259" s="2">
        <v>1</v>
      </c>
      <c r="G259" s="2">
        <v>0</v>
      </c>
      <c r="H259" s="2">
        <v>2</v>
      </c>
      <c r="I259" s="2">
        <v>2</v>
      </c>
      <c r="J259" s="2">
        <v>2</v>
      </c>
      <c r="K259" s="2">
        <v>3</v>
      </c>
      <c r="L259" s="2">
        <v>1</v>
      </c>
      <c r="M259" s="2">
        <v>0</v>
      </c>
      <c r="N259" s="2">
        <v>1</v>
      </c>
      <c r="O259" s="2">
        <v>0</v>
      </c>
      <c r="P259" s="2">
        <v>1</v>
      </c>
      <c r="Q259">
        <v>1</v>
      </c>
      <c r="R259">
        <v>1</v>
      </c>
      <c r="S259">
        <v>4</v>
      </c>
      <c r="T259">
        <v>0</v>
      </c>
      <c r="U259">
        <v>0</v>
      </c>
      <c r="V259">
        <v>0</v>
      </c>
      <c r="W259">
        <v>1</v>
      </c>
      <c r="X259">
        <v>417</v>
      </c>
      <c r="Y259" t="s">
        <v>101</v>
      </c>
    </row>
    <row r="260" spans="1:25" ht="16" customHeight="1" x14ac:dyDescent="0.2">
      <c r="A260" s="1" t="s">
        <v>390</v>
      </c>
      <c r="B260" s="2" t="s">
        <v>122</v>
      </c>
      <c r="C260" s="2">
        <v>44</v>
      </c>
      <c r="D260" s="2" t="s">
        <v>100</v>
      </c>
      <c r="E260" s="2">
        <v>3173</v>
      </c>
      <c r="F260" s="2">
        <v>1</v>
      </c>
      <c r="G260" s="2">
        <v>1</v>
      </c>
      <c r="H260" s="2">
        <v>3</v>
      </c>
      <c r="I260" s="2">
        <v>1</v>
      </c>
      <c r="J260" s="2">
        <v>3</v>
      </c>
      <c r="K260" s="2">
        <v>2</v>
      </c>
      <c r="L260" s="2">
        <v>1</v>
      </c>
      <c r="M260" s="2">
        <v>0</v>
      </c>
      <c r="N260" s="2">
        <v>1</v>
      </c>
      <c r="O260" s="2">
        <v>0</v>
      </c>
      <c r="P260" s="2">
        <v>0</v>
      </c>
      <c r="Q260">
        <v>1</v>
      </c>
      <c r="R260">
        <v>1</v>
      </c>
      <c r="S260">
        <v>3</v>
      </c>
      <c r="T260">
        <v>-1</v>
      </c>
      <c r="U260">
        <v>1</v>
      </c>
      <c r="V260">
        <v>0</v>
      </c>
      <c r="W260">
        <v>1</v>
      </c>
      <c r="X260">
        <v>477</v>
      </c>
      <c r="Y260" t="s">
        <v>101</v>
      </c>
    </row>
    <row r="261" spans="1:25" ht="16" customHeight="1" x14ac:dyDescent="0.2">
      <c r="A261" s="1" t="s">
        <v>391</v>
      </c>
      <c r="B261" s="2" t="s">
        <v>172</v>
      </c>
      <c r="C261" s="2">
        <v>44</v>
      </c>
      <c r="D261" s="2" t="s">
        <v>103</v>
      </c>
      <c r="E261" s="2">
        <v>3181</v>
      </c>
      <c r="F261" s="2">
        <v>1</v>
      </c>
      <c r="G261" s="2">
        <v>0</v>
      </c>
      <c r="H261" s="2">
        <v>5</v>
      </c>
      <c r="I261" s="2">
        <v>3</v>
      </c>
      <c r="J261" s="2">
        <v>1</v>
      </c>
      <c r="K261" s="2">
        <v>4</v>
      </c>
      <c r="L261" s="2">
        <v>0</v>
      </c>
      <c r="M261" s="2">
        <v>0</v>
      </c>
      <c r="N261" s="2">
        <v>0</v>
      </c>
      <c r="O261" s="2">
        <v>1</v>
      </c>
      <c r="P261" s="2">
        <v>1</v>
      </c>
      <c r="Q261">
        <v>1</v>
      </c>
      <c r="R261">
        <v>1</v>
      </c>
      <c r="S261">
        <v>3</v>
      </c>
      <c r="T261">
        <v>1</v>
      </c>
      <c r="U261">
        <v>0</v>
      </c>
      <c r="V261">
        <v>1</v>
      </c>
      <c r="W261">
        <v>1</v>
      </c>
      <c r="X261">
        <v>396</v>
      </c>
      <c r="Y261" t="s">
        <v>101</v>
      </c>
    </row>
    <row r="262" spans="1:25" ht="16" customHeight="1" x14ac:dyDescent="0.2">
      <c r="A262" s="1" t="s">
        <v>392</v>
      </c>
      <c r="B262" s="2" t="s">
        <v>181</v>
      </c>
      <c r="C262" s="2">
        <v>44</v>
      </c>
      <c r="D262" s="2" t="s">
        <v>106</v>
      </c>
      <c r="E262" s="2">
        <v>325</v>
      </c>
      <c r="F262" s="2">
        <v>1</v>
      </c>
      <c r="G262" s="2">
        <v>0</v>
      </c>
      <c r="H262" s="2">
        <v>5</v>
      </c>
      <c r="I262" s="2">
        <v>1</v>
      </c>
      <c r="J262" s="2">
        <v>3</v>
      </c>
      <c r="K262" s="2">
        <v>2</v>
      </c>
      <c r="L262" s="2">
        <v>0</v>
      </c>
      <c r="M262" s="2">
        <v>0</v>
      </c>
      <c r="N262" s="2">
        <v>0</v>
      </c>
      <c r="O262" s="2">
        <v>0</v>
      </c>
      <c r="P262" s="2">
        <v>0</v>
      </c>
      <c r="Q262">
        <v>1</v>
      </c>
      <c r="R262">
        <v>0</v>
      </c>
      <c r="S262">
        <v>2</v>
      </c>
      <c r="T262">
        <v>-1</v>
      </c>
      <c r="U262">
        <v>0</v>
      </c>
      <c r="V262">
        <v>1</v>
      </c>
      <c r="W262">
        <v>0</v>
      </c>
      <c r="X262">
        <v>246</v>
      </c>
      <c r="Y262" t="s">
        <v>101</v>
      </c>
    </row>
    <row r="263" spans="1:25" ht="16" customHeight="1" x14ac:dyDescent="0.2">
      <c r="A263" s="1" t="s">
        <v>393</v>
      </c>
      <c r="B263" s="2" t="s">
        <v>159</v>
      </c>
      <c r="C263" s="2">
        <v>44</v>
      </c>
      <c r="D263" s="2" t="s">
        <v>109</v>
      </c>
      <c r="E263" s="2">
        <v>1518</v>
      </c>
      <c r="F263" s="2">
        <v>1</v>
      </c>
      <c r="G263" s="2">
        <v>-1</v>
      </c>
      <c r="H263" s="2">
        <v>2</v>
      </c>
      <c r="I263" s="2">
        <v>2</v>
      </c>
      <c r="J263" s="2">
        <v>3</v>
      </c>
      <c r="K263" s="2">
        <v>4</v>
      </c>
      <c r="L263" s="2">
        <v>1</v>
      </c>
      <c r="M263" s="2">
        <v>1</v>
      </c>
      <c r="N263" s="2">
        <v>1</v>
      </c>
      <c r="O263" s="2">
        <v>1</v>
      </c>
      <c r="P263" s="2">
        <v>0</v>
      </c>
      <c r="Q263">
        <v>1</v>
      </c>
      <c r="R263">
        <v>0</v>
      </c>
      <c r="S263">
        <v>3</v>
      </c>
      <c r="T263">
        <v>0</v>
      </c>
      <c r="U263">
        <v>0</v>
      </c>
      <c r="V263">
        <v>0</v>
      </c>
      <c r="W263">
        <v>1</v>
      </c>
      <c r="X263">
        <v>183</v>
      </c>
      <c r="Y263" t="s">
        <v>101</v>
      </c>
    </row>
    <row r="264" spans="1:25" ht="16" customHeight="1" x14ac:dyDescent="0.2">
      <c r="A264" s="1" t="s">
        <v>394</v>
      </c>
      <c r="B264" s="2" t="s">
        <v>161</v>
      </c>
      <c r="C264" s="2">
        <v>44</v>
      </c>
      <c r="D264" s="2" t="s">
        <v>112</v>
      </c>
      <c r="E264" s="2">
        <v>6947</v>
      </c>
      <c r="F264" s="2">
        <v>1</v>
      </c>
      <c r="G264" s="2">
        <v>-1</v>
      </c>
      <c r="H264" s="2">
        <v>2</v>
      </c>
      <c r="I264" s="2">
        <v>3</v>
      </c>
      <c r="J264" s="2">
        <v>3</v>
      </c>
      <c r="K264" s="2">
        <v>2</v>
      </c>
      <c r="L264" s="2">
        <v>1</v>
      </c>
      <c r="M264" s="2">
        <v>1</v>
      </c>
      <c r="N264" s="2">
        <v>1</v>
      </c>
      <c r="O264" s="2">
        <v>0</v>
      </c>
      <c r="P264" s="2">
        <v>0</v>
      </c>
      <c r="Q264">
        <v>1</v>
      </c>
      <c r="R264">
        <v>1</v>
      </c>
      <c r="S264">
        <v>4</v>
      </c>
      <c r="T264">
        <v>-1</v>
      </c>
      <c r="U264">
        <v>1</v>
      </c>
      <c r="V264">
        <v>1</v>
      </c>
      <c r="W264">
        <v>1</v>
      </c>
      <c r="X264">
        <v>70</v>
      </c>
      <c r="Y264" t="s">
        <v>101</v>
      </c>
    </row>
    <row r="265" spans="1:25" ht="16" customHeight="1" x14ac:dyDescent="0.2">
      <c r="A265" s="1" t="s">
        <v>395</v>
      </c>
      <c r="B265" s="2" t="s">
        <v>128</v>
      </c>
      <c r="C265" s="2">
        <v>44</v>
      </c>
      <c r="D265" s="2" t="s">
        <v>115</v>
      </c>
      <c r="E265" s="2">
        <v>694</v>
      </c>
      <c r="F265" s="2">
        <v>0</v>
      </c>
      <c r="G265" s="2">
        <v>-1</v>
      </c>
      <c r="H265" s="2">
        <v>5</v>
      </c>
      <c r="I265" s="2">
        <v>2</v>
      </c>
      <c r="J265" s="2">
        <v>2</v>
      </c>
      <c r="K265" s="2">
        <v>3</v>
      </c>
      <c r="L265" s="2">
        <v>1</v>
      </c>
      <c r="M265" s="2">
        <v>1</v>
      </c>
      <c r="N265" s="2">
        <v>0</v>
      </c>
      <c r="O265" s="2">
        <v>1</v>
      </c>
      <c r="P265" s="2">
        <v>1</v>
      </c>
      <c r="Q265">
        <v>0</v>
      </c>
      <c r="R265">
        <v>1</v>
      </c>
      <c r="S265">
        <v>3</v>
      </c>
      <c r="T265">
        <v>0</v>
      </c>
      <c r="U265">
        <v>0</v>
      </c>
      <c r="V265">
        <v>1</v>
      </c>
      <c r="W265">
        <v>0</v>
      </c>
      <c r="X265">
        <v>208</v>
      </c>
      <c r="Y265" t="s">
        <v>101</v>
      </c>
    </row>
    <row r="266" spans="1:25" ht="16" customHeight="1" x14ac:dyDescent="0.2">
      <c r="A266" s="1" t="s">
        <v>396</v>
      </c>
      <c r="B266" s="2" t="s">
        <v>144</v>
      </c>
      <c r="C266" s="2">
        <v>45</v>
      </c>
      <c r="D266" s="2" t="s">
        <v>100</v>
      </c>
      <c r="E266" s="2">
        <v>4930</v>
      </c>
      <c r="F266" s="2">
        <v>0</v>
      </c>
      <c r="G266" s="2">
        <v>1</v>
      </c>
      <c r="H266" s="2">
        <v>5</v>
      </c>
      <c r="I266" s="2">
        <v>3</v>
      </c>
      <c r="J266" s="2">
        <v>1</v>
      </c>
      <c r="K266" s="2">
        <v>1</v>
      </c>
      <c r="L266" s="2">
        <v>1</v>
      </c>
      <c r="M266" s="2">
        <v>1</v>
      </c>
      <c r="N266" s="2">
        <v>0</v>
      </c>
      <c r="O266" s="2">
        <v>1</v>
      </c>
      <c r="P266" s="2">
        <v>1</v>
      </c>
      <c r="Q266">
        <v>1</v>
      </c>
      <c r="R266">
        <v>0</v>
      </c>
      <c r="S266">
        <v>3</v>
      </c>
      <c r="T266">
        <v>1</v>
      </c>
      <c r="U266">
        <v>1</v>
      </c>
      <c r="V266">
        <v>0</v>
      </c>
      <c r="W266">
        <v>0</v>
      </c>
      <c r="X266">
        <v>481</v>
      </c>
      <c r="Y266" t="s">
        <v>101</v>
      </c>
    </row>
    <row r="267" spans="1:25" ht="16" customHeight="1" x14ac:dyDescent="0.2">
      <c r="A267" s="1" t="s">
        <v>397</v>
      </c>
      <c r="B267" s="2" t="s">
        <v>179</v>
      </c>
      <c r="C267" s="2">
        <v>45</v>
      </c>
      <c r="D267" s="2" t="s">
        <v>103</v>
      </c>
      <c r="E267" s="2">
        <v>1591</v>
      </c>
      <c r="F267" s="2">
        <v>0</v>
      </c>
      <c r="G267" s="2">
        <v>0</v>
      </c>
      <c r="H267" s="2">
        <v>3</v>
      </c>
      <c r="I267" s="2">
        <v>1</v>
      </c>
      <c r="J267" s="2">
        <v>2</v>
      </c>
      <c r="K267" s="2">
        <v>4</v>
      </c>
      <c r="L267" s="2">
        <v>1</v>
      </c>
      <c r="M267" s="2">
        <v>0</v>
      </c>
      <c r="N267" s="2">
        <v>1</v>
      </c>
      <c r="O267" s="2">
        <v>1</v>
      </c>
      <c r="P267" s="2">
        <v>0</v>
      </c>
      <c r="Q267">
        <v>0</v>
      </c>
      <c r="R267">
        <v>1</v>
      </c>
      <c r="S267">
        <v>4</v>
      </c>
      <c r="T267">
        <v>0</v>
      </c>
      <c r="U267">
        <v>1</v>
      </c>
      <c r="V267">
        <v>0</v>
      </c>
      <c r="W267">
        <v>0</v>
      </c>
      <c r="X267">
        <v>61</v>
      </c>
      <c r="Y267" t="s">
        <v>101</v>
      </c>
    </row>
    <row r="268" spans="1:25" ht="16" customHeight="1" x14ac:dyDescent="0.2">
      <c r="A268" s="1" t="s">
        <v>398</v>
      </c>
      <c r="B268" s="2" t="s">
        <v>114</v>
      </c>
      <c r="C268" s="2">
        <v>45</v>
      </c>
      <c r="D268" s="2" t="s">
        <v>106</v>
      </c>
      <c r="E268" s="2">
        <v>7903</v>
      </c>
      <c r="F268" s="2">
        <v>0</v>
      </c>
      <c r="G268" s="2">
        <v>0</v>
      </c>
      <c r="H268" s="2">
        <v>1</v>
      </c>
      <c r="I268" s="2">
        <v>3</v>
      </c>
      <c r="J268" s="2">
        <v>1</v>
      </c>
      <c r="K268" s="2">
        <v>5</v>
      </c>
      <c r="L268" s="2">
        <v>1</v>
      </c>
      <c r="M268" s="2">
        <v>0</v>
      </c>
      <c r="N268" s="2">
        <v>1</v>
      </c>
      <c r="O268" s="2">
        <v>0</v>
      </c>
      <c r="P268" s="2">
        <v>0</v>
      </c>
      <c r="Q268">
        <v>1</v>
      </c>
      <c r="R268">
        <v>0</v>
      </c>
      <c r="S268">
        <v>2</v>
      </c>
      <c r="T268">
        <v>1</v>
      </c>
      <c r="U268">
        <v>1</v>
      </c>
      <c r="V268">
        <v>0</v>
      </c>
      <c r="W268">
        <v>0</v>
      </c>
      <c r="X268">
        <v>333</v>
      </c>
      <c r="Y268" t="s">
        <v>101</v>
      </c>
    </row>
    <row r="269" spans="1:25" ht="16" customHeight="1" x14ac:dyDescent="0.2">
      <c r="A269" s="1" t="s">
        <v>399</v>
      </c>
      <c r="B269" s="2" t="s">
        <v>144</v>
      </c>
      <c r="C269" s="2">
        <v>45</v>
      </c>
      <c r="D269" s="2" t="s">
        <v>109</v>
      </c>
      <c r="E269" s="2">
        <v>1126</v>
      </c>
      <c r="F269" s="2">
        <v>1</v>
      </c>
      <c r="G269" s="2">
        <v>0</v>
      </c>
      <c r="H269" s="2">
        <v>4</v>
      </c>
      <c r="I269" s="2">
        <v>1</v>
      </c>
      <c r="J269" s="2">
        <v>3</v>
      </c>
      <c r="K269" s="2">
        <v>1</v>
      </c>
      <c r="L269" s="2">
        <v>0</v>
      </c>
      <c r="M269" s="2">
        <v>1</v>
      </c>
      <c r="N269" s="2">
        <v>0</v>
      </c>
      <c r="O269" s="2">
        <v>0</v>
      </c>
      <c r="P269" s="2">
        <v>0</v>
      </c>
      <c r="Q269">
        <v>1</v>
      </c>
      <c r="R269">
        <v>0</v>
      </c>
      <c r="S269">
        <v>4</v>
      </c>
      <c r="T269">
        <v>1</v>
      </c>
      <c r="U269">
        <v>0</v>
      </c>
      <c r="V269">
        <v>1</v>
      </c>
      <c r="W269">
        <v>0</v>
      </c>
      <c r="X269">
        <v>401</v>
      </c>
      <c r="Y269" t="s">
        <v>101</v>
      </c>
    </row>
    <row r="270" spans="1:25" ht="16" customHeight="1" x14ac:dyDescent="0.2">
      <c r="A270" s="1" t="s">
        <v>400</v>
      </c>
      <c r="B270" s="2" t="s">
        <v>108</v>
      </c>
      <c r="C270" s="2">
        <v>45</v>
      </c>
      <c r="D270" s="2" t="s">
        <v>112</v>
      </c>
      <c r="E270" s="2">
        <v>3799</v>
      </c>
      <c r="F270" s="2">
        <v>1</v>
      </c>
      <c r="G270" s="2">
        <v>1</v>
      </c>
      <c r="H270" s="2">
        <v>4</v>
      </c>
      <c r="I270" s="2">
        <v>3</v>
      </c>
      <c r="J270" s="2">
        <v>1</v>
      </c>
      <c r="K270" s="2">
        <v>3</v>
      </c>
      <c r="L270" s="2">
        <v>1</v>
      </c>
      <c r="M270" s="2">
        <v>1</v>
      </c>
      <c r="N270" s="2">
        <v>0</v>
      </c>
      <c r="O270" s="2">
        <v>1</v>
      </c>
      <c r="P270" s="2">
        <v>0</v>
      </c>
      <c r="Q270">
        <v>0</v>
      </c>
      <c r="R270">
        <v>0</v>
      </c>
      <c r="S270">
        <v>4</v>
      </c>
      <c r="T270">
        <v>0</v>
      </c>
      <c r="U270">
        <v>1</v>
      </c>
      <c r="V270">
        <v>1</v>
      </c>
      <c r="W270">
        <v>1</v>
      </c>
      <c r="X270">
        <v>282</v>
      </c>
      <c r="Y270" t="s">
        <v>101</v>
      </c>
    </row>
    <row r="271" spans="1:25" ht="16" customHeight="1" x14ac:dyDescent="0.2">
      <c r="A271" s="1" t="s">
        <v>401</v>
      </c>
      <c r="B271" s="2" t="s">
        <v>141</v>
      </c>
      <c r="C271" s="2">
        <v>45</v>
      </c>
      <c r="D271" s="2" t="s">
        <v>115</v>
      </c>
      <c r="E271" s="2">
        <v>810</v>
      </c>
      <c r="F271" s="2">
        <v>0</v>
      </c>
      <c r="G271" s="2">
        <v>0</v>
      </c>
      <c r="H271" s="2">
        <v>2</v>
      </c>
      <c r="I271" s="2">
        <v>3</v>
      </c>
      <c r="J271" s="2">
        <v>3</v>
      </c>
      <c r="K271" s="2">
        <v>2</v>
      </c>
      <c r="L271" s="2">
        <v>1</v>
      </c>
      <c r="M271" s="2">
        <v>1</v>
      </c>
      <c r="N271" s="2">
        <v>0</v>
      </c>
      <c r="O271" s="2">
        <v>0</v>
      </c>
      <c r="P271" s="2">
        <v>0</v>
      </c>
      <c r="Q271">
        <v>0</v>
      </c>
      <c r="R271">
        <v>0</v>
      </c>
      <c r="S271">
        <v>1</v>
      </c>
      <c r="T271">
        <v>1</v>
      </c>
      <c r="U271">
        <v>0</v>
      </c>
      <c r="V271">
        <v>1</v>
      </c>
      <c r="W271">
        <v>1</v>
      </c>
      <c r="X271">
        <v>183</v>
      </c>
      <c r="Y271" t="s">
        <v>101</v>
      </c>
    </row>
    <row r="272" spans="1:25" ht="16" customHeight="1" x14ac:dyDescent="0.2">
      <c r="A272" s="1" t="s">
        <v>402</v>
      </c>
      <c r="B272" s="2" t="s">
        <v>141</v>
      </c>
      <c r="C272" s="2">
        <v>46</v>
      </c>
      <c r="D272" s="2" t="s">
        <v>100</v>
      </c>
      <c r="E272" s="2">
        <v>639</v>
      </c>
      <c r="F272" s="2">
        <v>0</v>
      </c>
      <c r="G272" s="2">
        <v>1</v>
      </c>
      <c r="H272" s="2">
        <v>4</v>
      </c>
      <c r="I272" s="2">
        <v>2</v>
      </c>
      <c r="J272" s="2">
        <v>3</v>
      </c>
      <c r="K272" s="2">
        <v>3</v>
      </c>
      <c r="L272" s="2">
        <v>0</v>
      </c>
      <c r="M272" s="2">
        <v>0</v>
      </c>
      <c r="N272" s="2">
        <v>0</v>
      </c>
      <c r="O272" s="2">
        <v>0</v>
      </c>
      <c r="P272" s="2">
        <v>0</v>
      </c>
      <c r="Q272">
        <v>0</v>
      </c>
      <c r="R272">
        <v>0</v>
      </c>
      <c r="S272">
        <v>1</v>
      </c>
      <c r="T272">
        <v>-1</v>
      </c>
      <c r="U272">
        <v>0</v>
      </c>
      <c r="V272">
        <v>0</v>
      </c>
      <c r="W272">
        <v>0</v>
      </c>
      <c r="X272">
        <v>240</v>
      </c>
      <c r="Y272" t="s">
        <v>101</v>
      </c>
    </row>
    <row r="273" spans="1:25" ht="16" customHeight="1" x14ac:dyDescent="0.2">
      <c r="A273" s="1" t="s">
        <v>403</v>
      </c>
      <c r="B273" s="2" t="s">
        <v>126</v>
      </c>
      <c r="C273" s="2">
        <v>46</v>
      </c>
      <c r="D273" s="2" t="s">
        <v>103</v>
      </c>
      <c r="E273" s="2">
        <v>353</v>
      </c>
      <c r="F273" s="2">
        <v>0</v>
      </c>
      <c r="G273" s="2">
        <v>0</v>
      </c>
      <c r="H273" s="2">
        <v>5</v>
      </c>
      <c r="I273" s="2">
        <v>1</v>
      </c>
      <c r="J273" s="2">
        <v>1</v>
      </c>
      <c r="K273" s="2">
        <v>5</v>
      </c>
      <c r="L273" s="2">
        <v>0</v>
      </c>
      <c r="M273" s="2">
        <v>0</v>
      </c>
      <c r="N273" s="2">
        <v>1</v>
      </c>
      <c r="O273" s="2">
        <v>1</v>
      </c>
      <c r="P273" s="2">
        <v>1</v>
      </c>
      <c r="Q273">
        <v>1</v>
      </c>
      <c r="R273">
        <v>0</v>
      </c>
      <c r="S273">
        <v>3</v>
      </c>
      <c r="T273">
        <v>1</v>
      </c>
      <c r="U273">
        <v>0</v>
      </c>
      <c r="V273">
        <v>0</v>
      </c>
      <c r="W273">
        <v>0</v>
      </c>
      <c r="X273">
        <v>459</v>
      </c>
      <c r="Y273" t="s">
        <v>101</v>
      </c>
    </row>
    <row r="274" spans="1:25" ht="16" customHeight="1" x14ac:dyDescent="0.2">
      <c r="A274" s="1" t="s">
        <v>404</v>
      </c>
      <c r="B274" s="2" t="s">
        <v>252</v>
      </c>
      <c r="C274" s="2">
        <v>46</v>
      </c>
      <c r="D274" s="2" t="s">
        <v>106</v>
      </c>
      <c r="E274" s="2">
        <v>3003</v>
      </c>
      <c r="F274" s="2">
        <v>0</v>
      </c>
      <c r="G274" s="2">
        <v>0</v>
      </c>
      <c r="H274" s="2">
        <v>4</v>
      </c>
      <c r="I274" s="2">
        <v>1</v>
      </c>
      <c r="J274" s="2">
        <v>3</v>
      </c>
      <c r="K274" s="2">
        <v>2</v>
      </c>
      <c r="L274" s="2">
        <v>0</v>
      </c>
      <c r="M274" s="2">
        <v>1</v>
      </c>
      <c r="N274" s="2">
        <v>0</v>
      </c>
      <c r="O274" s="2">
        <v>1</v>
      </c>
      <c r="P274" s="2">
        <v>0</v>
      </c>
      <c r="Q274">
        <v>0</v>
      </c>
      <c r="R274">
        <v>0</v>
      </c>
      <c r="S274">
        <v>4</v>
      </c>
      <c r="T274">
        <v>-1</v>
      </c>
      <c r="U274">
        <v>1</v>
      </c>
      <c r="V274">
        <v>1</v>
      </c>
      <c r="W274">
        <v>0</v>
      </c>
      <c r="X274">
        <v>481</v>
      </c>
      <c r="Y274" t="s">
        <v>101</v>
      </c>
    </row>
    <row r="275" spans="1:25" ht="16" customHeight="1" x14ac:dyDescent="0.2">
      <c r="A275" s="1" t="s">
        <v>405</v>
      </c>
      <c r="B275" s="2" t="s">
        <v>108</v>
      </c>
      <c r="C275" s="2">
        <v>46</v>
      </c>
      <c r="D275" s="2" t="s">
        <v>109</v>
      </c>
      <c r="E275" s="2">
        <v>1405</v>
      </c>
      <c r="F275" s="2">
        <v>1</v>
      </c>
      <c r="G275" s="2">
        <v>-1</v>
      </c>
      <c r="H275" s="2">
        <v>2</v>
      </c>
      <c r="I275" s="2">
        <v>2</v>
      </c>
      <c r="J275" s="2">
        <v>2</v>
      </c>
      <c r="K275" s="2">
        <v>4</v>
      </c>
      <c r="L275" s="2">
        <v>1</v>
      </c>
      <c r="M275" s="2">
        <v>1</v>
      </c>
      <c r="N275" s="2">
        <v>1</v>
      </c>
      <c r="O275" s="2">
        <v>0</v>
      </c>
      <c r="P275" s="2">
        <v>0</v>
      </c>
      <c r="Q275">
        <v>0</v>
      </c>
      <c r="R275">
        <v>1</v>
      </c>
      <c r="S275">
        <v>-1</v>
      </c>
      <c r="T275">
        <v>1</v>
      </c>
      <c r="U275">
        <v>1</v>
      </c>
      <c r="V275">
        <v>1</v>
      </c>
      <c r="W275">
        <v>0</v>
      </c>
      <c r="X275">
        <v>318</v>
      </c>
      <c r="Y275" t="s">
        <v>101</v>
      </c>
    </row>
    <row r="276" spans="1:25" ht="16" customHeight="1" x14ac:dyDescent="0.2">
      <c r="A276" s="1" t="s">
        <v>406</v>
      </c>
      <c r="B276" s="2" t="s">
        <v>136</v>
      </c>
      <c r="C276" s="2">
        <v>46</v>
      </c>
      <c r="D276" s="2" t="s">
        <v>112</v>
      </c>
      <c r="E276" s="2">
        <v>8503</v>
      </c>
      <c r="F276" s="2">
        <v>0</v>
      </c>
      <c r="G276" s="2">
        <v>1</v>
      </c>
      <c r="H276" s="2">
        <v>1</v>
      </c>
      <c r="I276" s="2">
        <v>1</v>
      </c>
      <c r="J276" s="2">
        <v>1</v>
      </c>
      <c r="K276" s="2">
        <v>5</v>
      </c>
      <c r="L276" s="2">
        <v>0</v>
      </c>
      <c r="M276" s="2">
        <v>0</v>
      </c>
      <c r="N276" s="2">
        <v>1</v>
      </c>
      <c r="O276" s="2">
        <v>0</v>
      </c>
      <c r="P276" s="2">
        <v>0</v>
      </c>
      <c r="Q276">
        <v>0</v>
      </c>
      <c r="R276">
        <v>1</v>
      </c>
      <c r="S276">
        <v>1</v>
      </c>
      <c r="T276">
        <v>1</v>
      </c>
      <c r="U276">
        <v>1</v>
      </c>
      <c r="V276">
        <v>1</v>
      </c>
      <c r="W276">
        <v>0</v>
      </c>
      <c r="X276">
        <v>477</v>
      </c>
      <c r="Y276" t="s">
        <v>101</v>
      </c>
    </row>
    <row r="277" spans="1:25" ht="16" customHeight="1" x14ac:dyDescent="0.2">
      <c r="A277" s="1" t="s">
        <v>407</v>
      </c>
      <c r="B277" s="2" t="s">
        <v>161</v>
      </c>
      <c r="C277" s="2">
        <v>46</v>
      </c>
      <c r="D277" s="2" t="s">
        <v>115</v>
      </c>
      <c r="E277" s="2">
        <v>6423</v>
      </c>
      <c r="F277" s="2">
        <v>0</v>
      </c>
      <c r="G277" s="2">
        <v>1</v>
      </c>
      <c r="H277" s="2">
        <v>1</v>
      </c>
      <c r="I277" s="2">
        <v>2</v>
      </c>
      <c r="J277" s="2">
        <v>1</v>
      </c>
      <c r="K277" s="2">
        <v>1</v>
      </c>
      <c r="L277" s="2">
        <v>0</v>
      </c>
      <c r="M277" s="2">
        <v>1</v>
      </c>
      <c r="N277" s="2">
        <v>0</v>
      </c>
      <c r="O277" s="2">
        <v>0</v>
      </c>
      <c r="P277" s="2">
        <v>0</v>
      </c>
      <c r="Q277">
        <v>1</v>
      </c>
      <c r="R277">
        <v>0</v>
      </c>
      <c r="S277">
        <v>1</v>
      </c>
      <c r="T277">
        <v>-1</v>
      </c>
      <c r="U277">
        <v>0</v>
      </c>
      <c r="V277">
        <v>1</v>
      </c>
      <c r="W277">
        <v>0</v>
      </c>
      <c r="X277">
        <v>141</v>
      </c>
      <c r="Y277" t="s">
        <v>101</v>
      </c>
    </row>
    <row r="278" spans="1:25" ht="16" customHeight="1" x14ac:dyDescent="0.2">
      <c r="A278" s="1" t="s">
        <v>408</v>
      </c>
      <c r="B278" s="2" t="s">
        <v>170</v>
      </c>
      <c r="C278" s="2">
        <v>47</v>
      </c>
      <c r="D278" s="2" t="s">
        <v>100</v>
      </c>
      <c r="E278" s="2">
        <v>191</v>
      </c>
      <c r="F278" s="2">
        <v>1</v>
      </c>
      <c r="G278" s="2">
        <v>0</v>
      </c>
      <c r="H278" s="2">
        <v>5</v>
      </c>
      <c r="I278" s="2">
        <v>3</v>
      </c>
      <c r="J278" s="2">
        <v>1</v>
      </c>
      <c r="K278" s="2">
        <v>2</v>
      </c>
      <c r="L278" s="2">
        <v>0</v>
      </c>
      <c r="M278" s="2">
        <v>1</v>
      </c>
      <c r="N278" s="2">
        <v>0</v>
      </c>
      <c r="O278" s="2">
        <v>1</v>
      </c>
      <c r="P278" s="2">
        <v>1</v>
      </c>
      <c r="Q278">
        <v>0</v>
      </c>
      <c r="R278">
        <v>1</v>
      </c>
      <c r="S278">
        <v>1</v>
      </c>
      <c r="T278">
        <v>0</v>
      </c>
      <c r="U278">
        <v>1</v>
      </c>
      <c r="V278">
        <v>1</v>
      </c>
      <c r="W278">
        <v>0</v>
      </c>
      <c r="X278">
        <v>47</v>
      </c>
      <c r="Y278" t="s">
        <v>101</v>
      </c>
    </row>
    <row r="279" spans="1:25" ht="16" customHeight="1" x14ac:dyDescent="0.2">
      <c r="A279" s="1" t="s">
        <v>409</v>
      </c>
      <c r="B279" s="2" t="s">
        <v>114</v>
      </c>
      <c r="C279" s="2">
        <v>47</v>
      </c>
      <c r="D279" s="2" t="s">
        <v>103</v>
      </c>
      <c r="E279" s="2">
        <v>1585</v>
      </c>
      <c r="F279" s="2">
        <v>1</v>
      </c>
      <c r="G279" s="2">
        <v>1</v>
      </c>
      <c r="H279" s="2">
        <v>4</v>
      </c>
      <c r="I279" s="2">
        <v>3</v>
      </c>
      <c r="J279" s="2">
        <v>2</v>
      </c>
      <c r="K279" s="2">
        <v>1</v>
      </c>
      <c r="L279" s="2">
        <v>0</v>
      </c>
      <c r="M279" s="2">
        <v>1</v>
      </c>
      <c r="N279" s="2">
        <v>1</v>
      </c>
      <c r="O279" s="2">
        <v>0</v>
      </c>
      <c r="P279" s="2">
        <v>1</v>
      </c>
      <c r="Q279">
        <v>0</v>
      </c>
      <c r="R279">
        <v>1</v>
      </c>
      <c r="S279">
        <v>2</v>
      </c>
      <c r="T279">
        <v>-1</v>
      </c>
      <c r="U279">
        <v>0</v>
      </c>
      <c r="V279">
        <v>0</v>
      </c>
      <c r="W279">
        <v>0</v>
      </c>
      <c r="X279">
        <v>409</v>
      </c>
      <c r="Y279" t="s">
        <v>101</v>
      </c>
    </row>
    <row r="280" spans="1:25" ht="16" customHeight="1" x14ac:dyDescent="0.2">
      <c r="A280" s="1" t="s">
        <v>410</v>
      </c>
      <c r="B280" s="2" t="s">
        <v>172</v>
      </c>
      <c r="C280" s="2">
        <v>47</v>
      </c>
      <c r="D280" s="2" t="s">
        <v>106</v>
      </c>
      <c r="E280" s="2">
        <v>3838</v>
      </c>
      <c r="F280" s="2">
        <v>0</v>
      </c>
      <c r="G280" s="2">
        <v>1</v>
      </c>
      <c r="H280" s="2">
        <v>3</v>
      </c>
      <c r="I280" s="2">
        <v>2</v>
      </c>
      <c r="J280" s="2">
        <v>2</v>
      </c>
      <c r="K280" s="2">
        <v>5</v>
      </c>
      <c r="L280" s="2">
        <v>1</v>
      </c>
      <c r="M280" s="2">
        <v>1</v>
      </c>
      <c r="N280" s="2">
        <v>0</v>
      </c>
      <c r="O280" s="2">
        <v>1</v>
      </c>
      <c r="P280" s="2">
        <v>1</v>
      </c>
      <c r="Q280">
        <v>1</v>
      </c>
      <c r="R280">
        <v>1</v>
      </c>
      <c r="S280">
        <v>-1</v>
      </c>
      <c r="T280">
        <v>0</v>
      </c>
      <c r="U280">
        <v>0</v>
      </c>
      <c r="V280">
        <v>1</v>
      </c>
      <c r="W280">
        <v>0</v>
      </c>
      <c r="X280">
        <v>493</v>
      </c>
      <c r="Y280" t="s">
        <v>101</v>
      </c>
    </row>
    <row r="281" spans="1:25" ht="16" customHeight="1" x14ac:dyDescent="0.2">
      <c r="A281" s="1" t="s">
        <v>411</v>
      </c>
      <c r="B281" s="2" t="s">
        <v>130</v>
      </c>
      <c r="C281" s="2">
        <v>47</v>
      </c>
      <c r="D281" s="2" t="s">
        <v>109</v>
      </c>
      <c r="E281" s="2">
        <v>4253</v>
      </c>
      <c r="F281" s="2">
        <v>0</v>
      </c>
      <c r="G281" s="2">
        <v>1</v>
      </c>
      <c r="H281" s="2">
        <v>1</v>
      </c>
      <c r="I281" s="2">
        <v>1</v>
      </c>
      <c r="J281" s="2">
        <v>3</v>
      </c>
      <c r="K281" s="2">
        <v>1</v>
      </c>
      <c r="L281" s="2">
        <v>1</v>
      </c>
      <c r="M281" s="2">
        <v>1</v>
      </c>
      <c r="N281" s="2">
        <v>0</v>
      </c>
      <c r="O281" s="2">
        <v>1</v>
      </c>
      <c r="P281" s="2">
        <v>0</v>
      </c>
      <c r="Q281">
        <v>1</v>
      </c>
      <c r="R281">
        <v>1</v>
      </c>
      <c r="S281">
        <v>2</v>
      </c>
      <c r="T281">
        <v>-1</v>
      </c>
      <c r="U281">
        <v>1</v>
      </c>
      <c r="V281">
        <v>0</v>
      </c>
      <c r="W281">
        <v>1</v>
      </c>
      <c r="X281">
        <v>39</v>
      </c>
      <c r="Y281" t="s">
        <v>101</v>
      </c>
    </row>
    <row r="282" spans="1:25" ht="16" customHeight="1" x14ac:dyDescent="0.2">
      <c r="A282" s="1" t="s">
        <v>412</v>
      </c>
      <c r="B282" s="2" t="s">
        <v>179</v>
      </c>
      <c r="C282" s="2">
        <v>47</v>
      </c>
      <c r="D282" s="2" t="s">
        <v>112</v>
      </c>
      <c r="E282" s="2">
        <v>4093</v>
      </c>
      <c r="F282" s="2">
        <v>1</v>
      </c>
      <c r="G282" s="2">
        <v>-1</v>
      </c>
      <c r="H282" s="2">
        <v>1</v>
      </c>
      <c r="I282" s="2">
        <v>2</v>
      </c>
      <c r="J282" s="2">
        <v>2</v>
      </c>
      <c r="K282" s="2">
        <v>2</v>
      </c>
      <c r="L282" s="2">
        <v>0</v>
      </c>
      <c r="M282" s="2">
        <v>0</v>
      </c>
      <c r="N282" s="2">
        <v>1</v>
      </c>
      <c r="O282" s="2">
        <v>0</v>
      </c>
      <c r="P282" s="2">
        <v>1</v>
      </c>
      <c r="Q282">
        <v>0</v>
      </c>
      <c r="R282">
        <v>0</v>
      </c>
      <c r="S282">
        <v>1</v>
      </c>
      <c r="T282">
        <v>1</v>
      </c>
      <c r="U282">
        <v>0</v>
      </c>
      <c r="V282">
        <v>1</v>
      </c>
      <c r="W282">
        <v>0</v>
      </c>
      <c r="X282">
        <v>182</v>
      </c>
      <c r="Y282" t="s">
        <v>101</v>
      </c>
    </row>
    <row r="283" spans="1:25" ht="16" customHeight="1" x14ac:dyDescent="0.2">
      <c r="A283" s="1" t="s">
        <v>413</v>
      </c>
      <c r="B283" s="2" t="s">
        <v>128</v>
      </c>
      <c r="C283" s="2">
        <v>47</v>
      </c>
      <c r="D283" s="2" t="s">
        <v>115</v>
      </c>
      <c r="E283" s="2">
        <v>7030</v>
      </c>
      <c r="F283" s="2">
        <v>1</v>
      </c>
      <c r="G283" s="2">
        <v>-1</v>
      </c>
      <c r="H283" s="2">
        <v>5</v>
      </c>
      <c r="I283" s="2">
        <v>3</v>
      </c>
      <c r="J283" s="2">
        <v>3</v>
      </c>
      <c r="K283" s="2">
        <v>5</v>
      </c>
      <c r="L283" s="2">
        <v>0</v>
      </c>
      <c r="M283" s="2">
        <v>1</v>
      </c>
      <c r="N283" s="2">
        <v>1</v>
      </c>
      <c r="O283" s="2">
        <v>0</v>
      </c>
      <c r="P283" s="2">
        <v>1</v>
      </c>
      <c r="Q283">
        <v>0</v>
      </c>
      <c r="R283">
        <v>1</v>
      </c>
      <c r="S283">
        <v>2</v>
      </c>
      <c r="T283">
        <v>-1</v>
      </c>
      <c r="U283">
        <v>1</v>
      </c>
      <c r="V283">
        <v>0</v>
      </c>
      <c r="W283">
        <v>0</v>
      </c>
      <c r="X283">
        <v>361</v>
      </c>
      <c r="Y283" t="s">
        <v>101</v>
      </c>
    </row>
    <row r="284" spans="1:25" ht="16" customHeight="1" x14ac:dyDescent="0.2">
      <c r="A284" s="1" t="s">
        <v>414</v>
      </c>
      <c r="B284" s="2" t="s">
        <v>130</v>
      </c>
      <c r="C284" s="2">
        <v>48</v>
      </c>
      <c r="D284" s="2" t="s">
        <v>100</v>
      </c>
      <c r="E284" s="2">
        <v>1787</v>
      </c>
      <c r="F284" s="2">
        <v>0</v>
      </c>
      <c r="G284" s="2">
        <v>0</v>
      </c>
      <c r="H284" s="2">
        <v>5</v>
      </c>
      <c r="I284" s="2">
        <v>1</v>
      </c>
      <c r="J284" s="2">
        <v>3</v>
      </c>
      <c r="K284" s="2">
        <v>4</v>
      </c>
      <c r="L284" s="2">
        <v>0</v>
      </c>
      <c r="M284" s="2">
        <v>0</v>
      </c>
      <c r="N284" s="2">
        <v>0</v>
      </c>
      <c r="O284" s="2">
        <v>0</v>
      </c>
      <c r="P284" s="2">
        <v>0</v>
      </c>
      <c r="Q284">
        <v>0</v>
      </c>
      <c r="R284">
        <v>0</v>
      </c>
      <c r="S284">
        <v>4</v>
      </c>
      <c r="T284">
        <v>-1</v>
      </c>
      <c r="U284">
        <v>1</v>
      </c>
      <c r="V284">
        <v>0</v>
      </c>
      <c r="W284">
        <v>0</v>
      </c>
      <c r="X284">
        <v>32</v>
      </c>
      <c r="Y284" t="s">
        <v>101</v>
      </c>
    </row>
    <row r="285" spans="1:25" ht="16" customHeight="1" x14ac:dyDescent="0.2">
      <c r="A285" s="1" t="s">
        <v>415</v>
      </c>
      <c r="B285" s="2" t="s">
        <v>128</v>
      </c>
      <c r="C285" s="2">
        <v>48</v>
      </c>
      <c r="D285" s="2" t="s">
        <v>103</v>
      </c>
      <c r="E285" s="2">
        <v>10922</v>
      </c>
      <c r="F285" s="2">
        <v>1</v>
      </c>
      <c r="G285" s="2">
        <v>0</v>
      </c>
      <c r="H285" s="2">
        <v>2</v>
      </c>
      <c r="I285" s="2">
        <v>2</v>
      </c>
      <c r="J285" s="2">
        <v>3</v>
      </c>
      <c r="K285" s="2">
        <v>5</v>
      </c>
      <c r="L285" s="2">
        <v>1</v>
      </c>
      <c r="M285" s="2">
        <v>0</v>
      </c>
      <c r="N285" s="2">
        <v>0</v>
      </c>
      <c r="O285" s="2">
        <v>1</v>
      </c>
      <c r="P285" s="2">
        <v>1</v>
      </c>
      <c r="Q285">
        <v>0</v>
      </c>
      <c r="R285">
        <v>0</v>
      </c>
      <c r="S285">
        <v>-1</v>
      </c>
      <c r="T285">
        <v>1</v>
      </c>
      <c r="U285">
        <v>0</v>
      </c>
      <c r="V285">
        <v>1</v>
      </c>
      <c r="W285">
        <v>1</v>
      </c>
      <c r="X285">
        <v>131</v>
      </c>
      <c r="Y285" t="s">
        <v>101</v>
      </c>
    </row>
    <row r="286" spans="1:25" ht="16" customHeight="1" x14ac:dyDescent="0.2">
      <c r="A286" s="1" t="s">
        <v>416</v>
      </c>
      <c r="B286" s="2" t="s">
        <v>181</v>
      </c>
      <c r="C286" s="2">
        <v>48</v>
      </c>
      <c r="D286" s="2" t="s">
        <v>106</v>
      </c>
      <c r="E286" s="2">
        <v>48</v>
      </c>
      <c r="F286" s="2">
        <v>1</v>
      </c>
      <c r="G286" s="2">
        <v>0</v>
      </c>
      <c r="H286" s="2">
        <v>4</v>
      </c>
      <c r="I286" s="2">
        <v>2</v>
      </c>
      <c r="J286" s="2">
        <v>2</v>
      </c>
      <c r="K286" s="2">
        <v>4</v>
      </c>
      <c r="L286" s="2">
        <v>0</v>
      </c>
      <c r="M286" s="2">
        <v>1</v>
      </c>
      <c r="N286" s="2">
        <v>1</v>
      </c>
      <c r="O286" s="2">
        <v>1</v>
      </c>
      <c r="P286" s="2">
        <v>1</v>
      </c>
      <c r="Q286">
        <v>1</v>
      </c>
      <c r="R286">
        <v>1</v>
      </c>
      <c r="S286">
        <v>3</v>
      </c>
      <c r="T286">
        <v>0</v>
      </c>
      <c r="U286">
        <v>0</v>
      </c>
      <c r="V286">
        <v>0</v>
      </c>
      <c r="W286">
        <v>1</v>
      </c>
      <c r="X286">
        <v>234</v>
      </c>
      <c r="Y286" t="s">
        <v>101</v>
      </c>
    </row>
    <row r="287" spans="1:25" ht="16" customHeight="1" x14ac:dyDescent="0.2">
      <c r="A287" s="1" t="s">
        <v>417</v>
      </c>
      <c r="B287" s="2" t="s">
        <v>229</v>
      </c>
      <c r="C287" s="2">
        <v>48</v>
      </c>
      <c r="D287" s="2" t="s">
        <v>109</v>
      </c>
      <c r="E287" s="2">
        <v>144</v>
      </c>
      <c r="F287" s="2">
        <v>1</v>
      </c>
      <c r="G287" s="2">
        <v>1</v>
      </c>
      <c r="H287" s="2">
        <v>2</v>
      </c>
      <c r="I287" s="2">
        <v>1</v>
      </c>
      <c r="J287" s="2">
        <v>3</v>
      </c>
      <c r="K287" s="2">
        <v>1</v>
      </c>
      <c r="L287" s="2">
        <v>1</v>
      </c>
      <c r="M287" s="2">
        <v>1</v>
      </c>
      <c r="N287" s="2">
        <v>0</v>
      </c>
      <c r="O287" s="2">
        <v>0</v>
      </c>
      <c r="P287" s="2">
        <v>0</v>
      </c>
      <c r="Q287">
        <v>1</v>
      </c>
      <c r="R287">
        <v>0</v>
      </c>
      <c r="S287">
        <v>3</v>
      </c>
      <c r="T287">
        <v>-1</v>
      </c>
      <c r="U287">
        <v>0</v>
      </c>
      <c r="V287">
        <v>0</v>
      </c>
      <c r="W287">
        <v>0</v>
      </c>
      <c r="X287">
        <v>376</v>
      </c>
      <c r="Y287" t="s">
        <v>101</v>
      </c>
    </row>
    <row r="288" spans="1:25" ht="16" customHeight="1" x14ac:dyDescent="0.2">
      <c r="A288" s="1" t="s">
        <v>418</v>
      </c>
      <c r="B288" s="2" t="s">
        <v>181</v>
      </c>
      <c r="C288" s="2">
        <v>48</v>
      </c>
      <c r="D288" s="2" t="s">
        <v>112</v>
      </c>
      <c r="E288" s="2">
        <v>20</v>
      </c>
      <c r="F288" s="2">
        <v>1</v>
      </c>
      <c r="G288" s="2">
        <v>-1</v>
      </c>
      <c r="H288" s="2">
        <v>5</v>
      </c>
      <c r="I288" s="2">
        <v>3</v>
      </c>
      <c r="J288" s="2">
        <v>2</v>
      </c>
      <c r="K288" s="2">
        <v>1</v>
      </c>
      <c r="L288" s="2">
        <v>1</v>
      </c>
      <c r="M288" s="2">
        <v>0</v>
      </c>
      <c r="N288" s="2">
        <v>1</v>
      </c>
      <c r="O288" s="2">
        <v>0</v>
      </c>
      <c r="P288" s="2">
        <v>1</v>
      </c>
      <c r="Q288">
        <v>1</v>
      </c>
      <c r="R288">
        <v>1</v>
      </c>
      <c r="S288">
        <v>1</v>
      </c>
      <c r="T288">
        <v>0</v>
      </c>
      <c r="U288">
        <v>0</v>
      </c>
      <c r="V288">
        <v>0</v>
      </c>
      <c r="W288">
        <v>1</v>
      </c>
      <c r="X288">
        <v>184</v>
      </c>
      <c r="Y288" t="s">
        <v>101</v>
      </c>
    </row>
    <row r="289" spans="1:25" ht="16" customHeight="1" x14ac:dyDescent="0.2">
      <c r="A289" s="1" t="s">
        <v>419</v>
      </c>
      <c r="B289" s="2" t="s">
        <v>252</v>
      </c>
      <c r="C289" s="2">
        <v>48</v>
      </c>
      <c r="D289" s="2" t="s">
        <v>115</v>
      </c>
      <c r="E289" s="2">
        <v>3044</v>
      </c>
      <c r="F289" s="2">
        <v>1</v>
      </c>
      <c r="G289" s="2">
        <v>0</v>
      </c>
      <c r="H289" s="2">
        <v>3</v>
      </c>
      <c r="I289" s="2">
        <v>1</v>
      </c>
      <c r="J289" s="2">
        <v>3</v>
      </c>
      <c r="K289" s="2">
        <v>4</v>
      </c>
      <c r="L289" s="2">
        <v>0</v>
      </c>
      <c r="M289" s="2">
        <v>1</v>
      </c>
      <c r="N289" s="2">
        <v>1</v>
      </c>
      <c r="O289" s="2">
        <v>1</v>
      </c>
      <c r="P289" s="2">
        <v>1</v>
      </c>
      <c r="Q289">
        <v>0</v>
      </c>
      <c r="R289">
        <v>0</v>
      </c>
      <c r="S289">
        <v>1</v>
      </c>
      <c r="T289">
        <v>0</v>
      </c>
      <c r="U289">
        <v>1</v>
      </c>
      <c r="V289">
        <v>0</v>
      </c>
      <c r="W289">
        <v>0</v>
      </c>
      <c r="X289">
        <v>413</v>
      </c>
      <c r="Y289" t="s">
        <v>101</v>
      </c>
    </row>
    <row r="290" spans="1:25" ht="16" customHeight="1" x14ac:dyDescent="0.2">
      <c r="A290" s="1" t="s">
        <v>420</v>
      </c>
      <c r="B290" s="2" t="s">
        <v>161</v>
      </c>
      <c r="C290" s="2">
        <v>49</v>
      </c>
      <c r="D290" s="2" t="s">
        <v>100</v>
      </c>
      <c r="E290" s="2">
        <v>4458</v>
      </c>
      <c r="F290" s="2">
        <v>0</v>
      </c>
      <c r="G290" s="2">
        <v>-1</v>
      </c>
      <c r="H290" s="2">
        <v>3</v>
      </c>
      <c r="I290" s="2">
        <v>2</v>
      </c>
      <c r="J290" s="2">
        <v>1</v>
      </c>
      <c r="K290" s="2">
        <v>3</v>
      </c>
      <c r="L290" s="2">
        <v>0</v>
      </c>
      <c r="M290" s="2">
        <v>1</v>
      </c>
      <c r="N290" s="2">
        <v>0</v>
      </c>
      <c r="O290" s="2">
        <v>0</v>
      </c>
      <c r="P290" s="2">
        <v>0</v>
      </c>
      <c r="Q290">
        <v>1</v>
      </c>
      <c r="R290">
        <v>1</v>
      </c>
      <c r="S290">
        <v>3</v>
      </c>
      <c r="T290">
        <v>0</v>
      </c>
      <c r="U290">
        <v>0</v>
      </c>
      <c r="V290">
        <v>1</v>
      </c>
      <c r="W290">
        <v>1</v>
      </c>
      <c r="X290">
        <v>443</v>
      </c>
      <c r="Y290" t="s">
        <v>101</v>
      </c>
    </row>
    <row r="291" spans="1:25" ht="16" customHeight="1" x14ac:dyDescent="0.2">
      <c r="A291" s="1" t="s">
        <v>421</v>
      </c>
      <c r="B291" s="2" t="s">
        <v>108</v>
      </c>
      <c r="C291" s="2">
        <v>49</v>
      </c>
      <c r="D291" s="2" t="s">
        <v>103</v>
      </c>
      <c r="E291" s="2">
        <v>5528</v>
      </c>
      <c r="F291" s="2">
        <v>1</v>
      </c>
      <c r="G291" s="2">
        <v>-1</v>
      </c>
      <c r="H291" s="2">
        <v>4</v>
      </c>
      <c r="I291" s="2">
        <v>2</v>
      </c>
      <c r="J291" s="2">
        <v>1</v>
      </c>
      <c r="K291" s="2">
        <v>1</v>
      </c>
      <c r="L291" s="2">
        <v>0</v>
      </c>
      <c r="M291" s="2">
        <v>1</v>
      </c>
      <c r="N291" s="2">
        <v>0</v>
      </c>
      <c r="O291" s="2">
        <v>1</v>
      </c>
      <c r="P291" s="2">
        <v>0</v>
      </c>
      <c r="Q291">
        <v>1</v>
      </c>
      <c r="R291">
        <v>0</v>
      </c>
      <c r="S291">
        <v>-1</v>
      </c>
      <c r="T291">
        <v>1</v>
      </c>
      <c r="U291">
        <v>0</v>
      </c>
      <c r="V291">
        <v>1</v>
      </c>
      <c r="W291">
        <v>1</v>
      </c>
      <c r="X291">
        <v>187</v>
      </c>
      <c r="Y291" t="s">
        <v>101</v>
      </c>
    </row>
    <row r="292" spans="1:25" ht="16" customHeight="1" x14ac:dyDescent="0.2">
      <c r="A292" s="1" t="s">
        <v>422</v>
      </c>
      <c r="B292" s="2" t="s">
        <v>114</v>
      </c>
      <c r="C292" s="2">
        <v>49</v>
      </c>
      <c r="D292" s="2" t="s">
        <v>106</v>
      </c>
      <c r="E292" s="2">
        <v>1781</v>
      </c>
      <c r="F292" s="2">
        <v>0</v>
      </c>
      <c r="G292" s="2">
        <v>-1</v>
      </c>
      <c r="H292" s="2">
        <v>1</v>
      </c>
      <c r="I292" s="2">
        <v>1</v>
      </c>
      <c r="J292" s="2">
        <v>2</v>
      </c>
      <c r="K292" s="2">
        <v>1</v>
      </c>
      <c r="L292" s="2">
        <v>0</v>
      </c>
      <c r="M292" s="2">
        <v>0</v>
      </c>
      <c r="N292" s="2">
        <v>0</v>
      </c>
      <c r="O292" s="2">
        <v>1</v>
      </c>
      <c r="P292" s="2">
        <v>1</v>
      </c>
      <c r="Q292">
        <v>1</v>
      </c>
      <c r="R292">
        <v>1</v>
      </c>
      <c r="S292">
        <v>1</v>
      </c>
      <c r="T292">
        <v>0</v>
      </c>
      <c r="U292">
        <v>0</v>
      </c>
      <c r="V292">
        <v>0</v>
      </c>
      <c r="W292">
        <v>1</v>
      </c>
      <c r="X292">
        <v>56</v>
      </c>
      <c r="Y292" t="s">
        <v>101</v>
      </c>
    </row>
    <row r="293" spans="1:25" ht="16" customHeight="1" x14ac:dyDescent="0.2">
      <c r="A293" s="1" t="s">
        <v>423</v>
      </c>
      <c r="B293" s="2" t="s">
        <v>122</v>
      </c>
      <c r="C293" s="2">
        <v>49</v>
      </c>
      <c r="D293" s="2" t="s">
        <v>109</v>
      </c>
      <c r="E293" s="2">
        <v>5590</v>
      </c>
      <c r="F293" s="2">
        <v>1</v>
      </c>
      <c r="G293" s="2">
        <v>1</v>
      </c>
      <c r="H293" s="2">
        <v>3</v>
      </c>
      <c r="I293" s="2">
        <v>1</v>
      </c>
      <c r="J293" s="2">
        <v>3</v>
      </c>
      <c r="K293" s="2">
        <v>3</v>
      </c>
      <c r="L293" s="2">
        <v>0</v>
      </c>
      <c r="M293" s="2">
        <v>1</v>
      </c>
      <c r="N293" s="2">
        <v>1</v>
      </c>
      <c r="O293" s="2">
        <v>0</v>
      </c>
      <c r="P293" s="2">
        <v>1</v>
      </c>
      <c r="Q293">
        <v>0</v>
      </c>
      <c r="R293">
        <v>1</v>
      </c>
      <c r="S293">
        <v>1</v>
      </c>
      <c r="T293">
        <v>-1</v>
      </c>
      <c r="U293">
        <v>1</v>
      </c>
      <c r="V293">
        <v>1</v>
      </c>
      <c r="W293">
        <v>1</v>
      </c>
      <c r="X293">
        <v>145</v>
      </c>
      <c r="Y293" t="s">
        <v>101</v>
      </c>
    </row>
    <row r="294" spans="1:25" ht="16" customHeight="1" x14ac:dyDescent="0.2">
      <c r="A294" s="1" t="s">
        <v>424</v>
      </c>
      <c r="B294" s="2" t="s">
        <v>151</v>
      </c>
      <c r="C294" s="2">
        <v>49</v>
      </c>
      <c r="D294" s="2" t="s">
        <v>112</v>
      </c>
      <c r="E294" s="2">
        <v>6868</v>
      </c>
      <c r="F294" s="2">
        <v>0</v>
      </c>
      <c r="G294" s="2">
        <v>-1</v>
      </c>
      <c r="H294" s="2">
        <v>4</v>
      </c>
      <c r="I294" s="2">
        <v>3</v>
      </c>
      <c r="J294" s="2">
        <v>3</v>
      </c>
      <c r="K294" s="2">
        <v>4</v>
      </c>
      <c r="L294" s="2">
        <v>0</v>
      </c>
      <c r="M294" s="2">
        <v>0</v>
      </c>
      <c r="N294" s="2">
        <v>1</v>
      </c>
      <c r="O294" s="2">
        <v>0</v>
      </c>
      <c r="P294" s="2">
        <v>0</v>
      </c>
      <c r="Q294">
        <v>0</v>
      </c>
      <c r="R294">
        <v>1</v>
      </c>
      <c r="S294">
        <v>-1</v>
      </c>
      <c r="T294">
        <v>-1</v>
      </c>
      <c r="U294">
        <v>0</v>
      </c>
      <c r="V294">
        <v>0</v>
      </c>
      <c r="W294">
        <v>1</v>
      </c>
      <c r="X294">
        <v>295</v>
      </c>
      <c r="Y294" t="s">
        <v>101</v>
      </c>
    </row>
    <row r="295" spans="1:25" ht="16" customHeight="1" x14ac:dyDescent="0.2">
      <c r="A295" s="1" t="s">
        <v>425</v>
      </c>
      <c r="B295" s="2" t="s">
        <v>132</v>
      </c>
      <c r="C295" s="2">
        <v>49</v>
      </c>
      <c r="D295" s="2" t="s">
        <v>115</v>
      </c>
      <c r="E295" s="2">
        <v>9767</v>
      </c>
      <c r="F295" s="2">
        <v>1</v>
      </c>
      <c r="G295" s="2">
        <v>-1</v>
      </c>
      <c r="H295" s="2">
        <v>4</v>
      </c>
      <c r="I295" s="2">
        <v>1</v>
      </c>
      <c r="J295" s="2">
        <v>1</v>
      </c>
      <c r="K295" s="2">
        <v>2</v>
      </c>
      <c r="L295" s="2">
        <v>0</v>
      </c>
      <c r="M295" s="2">
        <v>1</v>
      </c>
      <c r="N295" s="2">
        <v>1</v>
      </c>
      <c r="O295" s="2">
        <v>0</v>
      </c>
      <c r="P295" s="2">
        <v>0</v>
      </c>
      <c r="Q295">
        <v>0</v>
      </c>
      <c r="R295">
        <v>1</v>
      </c>
      <c r="S295">
        <v>-1</v>
      </c>
      <c r="T295">
        <v>-1</v>
      </c>
      <c r="U295">
        <v>1</v>
      </c>
      <c r="V295">
        <v>1</v>
      </c>
      <c r="W295">
        <v>1</v>
      </c>
      <c r="X295">
        <v>135</v>
      </c>
      <c r="Y295" t="s">
        <v>101</v>
      </c>
    </row>
    <row r="296" spans="1:25" ht="16" customHeight="1" x14ac:dyDescent="0.2">
      <c r="A296" s="1" t="s">
        <v>426</v>
      </c>
      <c r="B296" s="2" t="s">
        <v>128</v>
      </c>
      <c r="C296" s="2">
        <v>50</v>
      </c>
      <c r="D296" s="2" t="s">
        <v>100</v>
      </c>
      <c r="E296" s="2">
        <v>10223</v>
      </c>
      <c r="F296" s="2">
        <v>1</v>
      </c>
      <c r="G296" s="2">
        <v>1</v>
      </c>
      <c r="H296" s="2">
        <v>2</v>
      </c>
      <c r="I296" s="2">
        <v>1</v>
      </c>
      <c r="J296" s="2">
        <v>2</v>
      </c>
      <c r="K296" s="2">
        <v>1</v>
      </c>
      <c r="L296" s="2">
        <v>1</v>
      </c>
      <c r="M296" s="2">
        <v>0</v>
      </c>
      <c r="N296" s="2">
        <v>0</v>
      </c>
      <c r="O296" s="2">
        <v>0</v>
      </c>
      <c r="P296" s="2">
        <v>1</v>
      </c>
      <c r="Q296">
        <v>0</v>
      </c>
      <c r="R296">
        <v>1</v>
      </c>
      <c r="S296">
        <v>3</v>
      </c>
      <c r="T296">
        <v>0</v>
      </c>
      <c r="U296">
        <v>1</v>
      </c>
      <c r="V296">
        <v>1</v>
      </c>
      <c r="W296">
        <v>1</v>
      </c>
      <c r="X296">
        <v>102</v>
      </c>
      <c r="Y296" t="s">
        <v>101</v>
      </c>
    </row>
    <row r="297" spans="1:25" ht="16" customHeight="1" x14ac:dyDescent="0.2">
      <c r="A297" s="1" t="s">
        <v>427</v>
      </c>
      <c r="B297" s="2" t="s">
        <v>122</v>
      </c>
      <c r="C297" s="2">
        <v>50</v>
      </c>
      <c r="D297" s="2" t="s">
        <v>103</v>
      </c>
      <c r="E297" s="2">
        <v>1518</v>
      </c>
      <c r="F297" s="2">
        <v>1</v>
      </c>
      <c r="G297" s="2">
        <v>-1</v>
      </c>
      <c r="H297" s="2">
        <v>1</v>
      </c>
      <c r="I297" s="2">
        <v>3</v>
      </c>
      <c r="J297" s="2">
        <v>2</v>
      </c>
      <c r="K297" s="2">
        <v>2</v>
      </c>
      <c r="L297" s="2">
        <v>0</v>
      </c>
      <c r="M297" s="2">
        <v>1</v>
      </c>
      <c r="N297" s="2">
        <v>0</v>
      </c>
      <c r="O297" s="2">
        <v>1</v>
      </c>
      <c r="P297" s="2">
        <v>1</v>
      </c>
      <c r="Q297">
        <v>0</v>
      </c>
      <c r="R297">
        <v>1</v>
      </c>
      <c r="S297">
        <v>-1</v>
      </c>
      <c r="T297">
        <v>0</v>
      </c>
      <c r="U297">
        <v>0</v>
      </c>
      <c r="V297">
        <v>0</v>
      </c>
      <c r="W297">
        <v>1</v>
      </c>
      <c r="X297">
        <v>334</v>
      </c>
      <c r="Y297" t="s">
        <v>101</v>
      </c>
    </row>
    <row r="298" spans="1:25" ht="16" customHeight="1" x14ac:dyDescent="0.2">
      <c r="A298" s="1" t="s">
        <v>428</v>
      </c>
      <c r="B298" s="2" t="s">
        <v>146</v>
      </c>
      <c r="C298" s="2">
        <v>50</v>
      </c>
      <c r="D298" s="2" t="s">
        <v>106</v>
      </c>
      <c r="E298" s="2">
        <v>1450</v>
      </c>
      <c r="F298" s="2">
        <v>0</v>
      </c>
      <c r="G298" s="2">
        <v>0</v>
      </c>
      <c r="H298" s="2">
        <v>1</v>
      </c>
      <c r="I298" s="2">
        <v>1</v>
      </c>
      <c r="J298" s="2">
        <v>1</v>
      </c>
      <c r="K298" s="2">
        <v>1</v>
      </c>
      <c r="L298" s="2">
        <v>0</v>
      </c>
      <c r="M298" s="2">
        <v>1</v>
      </c>
      <c r="N298" s="2">
        <v>0</v>
      </c>
      <c r="O298" s="2">
        <v>1</v>
      </c>
      <c r="P298" s="2">
        <v>1</v>
      </c>
      <c r="Q298">
        <v>1</v>
      </c>
      <c r="R298">
        <v>1</v>
      </c>
      <c r="S298">
        <v>3</v>
      </c>
      <c r="T298">
        <v>0</v>
      </c>
      <c r="U298">
        <v>0</v>
      </c>
      <c r="V298">
        <v>0</v>
      </c>
      <c r="W298">
        <v>1</v>
      </c>
      <c r="X298">
        <v>333</v>
      </c>
      <c r="Y298" t="s">
        <v>101</v>
      </c>
    </row>
    <row r="299" spans="1:25" ht="16" customHeight="1" x14ac:dyDescent="0.2">
      <c r="A299" s="1" t="s">
        <v>429</v>
      </c>
      <c r="B299" s="2" t="s">
        <v>170</v>
      </c>
      <c r="C299" s="2">
        <v>50</v>
      </c>
      <c r="D299" s="2" t="s">
        <v>109</v>
      </c>
      <c r="E299" s="2">
        <v>6947</v>
      </c>
      <c r="F299" s="2">
        <v>1</v>
      </c>
      <c r="G299" s="2">
        <v>0</v>
      </c>
      <c r="H299" s="2">
        <v>4</v>
      </c>
      <c r="I299" s="2">
        <v>2</v>
      </c>
      <c r="J299" s="2">
        <v>2</v>
      </c>
      <c r="K299" s="2">
        <v>1</v>
      </c>
      <c r="L299" s="2">
        <v>0</v>
      </c>
      <c r="M299" s="2">
        <v>1</v>
      </c>
      <c r="N299" s="2">
        <v>1</v>
      </c>
      <c r="O299" s="2">
        <v>0</v>
      </c>
      <c r="P299" s="2">
        <v>0</v>
      </c>
      <c r="Q299">
        <v>1</v>
      </c>
      <c r="R299">
        <v>0</v>
      </c>
      <c r="S299">
        <v>4</v>
      </c>
      <c r="T299">
        <v>-1</v>
      </c>
      <c r="U299">
        <v>1</v>
      </c>
      <c r="V299">
        <v>1</v>
      </c>
      <c r="W299">
        <v>1</v>
      </c>
      <c r="X299">
        <v>331</v>
      </c>
      <c r="Y299" t="s">
        <v>101</v>
      </c>
    </row>
    <row r="300" spans="1:25" ht="16" customHeight="1" x14ac:dyDescent="0.2">
      <c r="A300" s="1" t="s">
        <v>430</v>
      </c>
      <c r="B300" s="2" t="s">
        <v>108</v>
      </c>
      <c r="C300" s="2">
        <v>50</v>
      </c>
      <c r="D300" s="2" t="s">
        <v>112</v>
      </c>
      <c r="E300" s="2">
        <v>2228</v>
      </c>
      <c r="F300" s="2">
        <v>1</v>
      </c>
      <c r="G300" s="2">
        <v>-1</v>
      </c>
      <c r="H300" s="2">
        <v>1</v>
      </c>
      <c r="I300" s="2">
        <v>3</v>
      </c>
      <c r="J300" s="2">
        <v>2</v>
      </c>
      <c r="K300" s="2">
        <v>4</v>
      </c>
      <c r="L300" s="2">
        <v>1</v>
      </c>
      <c r="M300" s="2">
        <v>1</v>
      </c>
      <c r="N300" s="2">
        <v>0</v>
      </c>
      <c r="O300" s="2">
        <v>0</v>
      </c>
      <c r="P300" s="2">
        <v>0</v>
      </c>
      <c r="Q300">
        <v>1</v>
      </c>
      <c r="R300">
        <v>1</v>
      </c>
      <c r="S300">
        <v>4</v>
      </c>
      <c r="T300">
        <v>0</v>
      </c>
      <c r="U300">
        <v>1</v>
      </c>
      <c r="V300">
        <v>0</v>
      </c>
      <c r="W300">
        <v>0</v>
      </c>
      <c r="X300">
        <v>221</v>
      </c>
      <c r="Y300" t="s">
        <v>101</v>
      </c>
    </row>
    <row r="301" spans="1:25" ht="16" customHeight="1" x14ac:dyDescent="0.2">
      <c r="A301" s="1" t="s">
        <v>431</v>
      </c>
      <c r="B301" s="2" t="s">
        <v>179</v>
      </c>
      <c r="C301" s="2">
        <v>50</v>
      </c>
      <c r="D301" s="2" t="s">
        <v>115</v>
      </c>
      <c r="E301" s="2">
        <v>1559</v>
      </c>
      <c r="F301" s="2">
        <v>1</v>
      </c>
      <c r="G301" s="2">
        <v>-1</v>
      </c>
      <c r="H301" s="2">
        <v>4</v>
      </c>
      <c r="I301" s="2">
        <v>1</v>
      </c>
      <c r="J301" s="2">
        <v>1</v>
      </c>
      <c r="K301" s="2">
        <v>5</v>
      </c>
      <c r="L301" s="2">
        <v>0</v>
      </c>
      <c r="M301" s="2">
        <v>1</v>
      </c>
      <c r="N301" s="2">
        <v>1</v>
      </c>
      <c r="O301" s="2">
        <v>1</v>
      </c>
      <c r="P301" s="2">
        <v>1</v>
      </c>
      <c r="Q301">
        <v>0</v>
      </c>
      <c r="R301">
        <v>0</v>
      </c>
      <c r="S301">
        <v>3</v>
      </c>
      <c r="T301">
        <v>-1</v>
      </c>
      <c r="U301">
        <v>1</v>
      </c>
      <c r="V301">
        <v>1</v>
      </c>
      <c r="W301">
        <v>0</v>
      </c>
      <c r="X301">
        <v>450</v>
      </c>
      <c r="Y301" t="s">
        <v>101</v>
      </c>
    </row>
    <row r="302" spans="1:25" ht="16" customHeight="1" x14ac:dyDescent="0.2">
      <c r="A302" s="1" t="s">
        <v>432</v>
      </c>
      <c r="B302" s="2" t="s">
        <v>126</v>
      </c>
      <c r="C302" s="2">
        <v>51</v>
      </c>
      <c r="D302" s="2" t="s">
        <v>100</v>
      </c>
      <c r="E302" s="2">
        <v>1126</v>
      </c>
      <c r="F302" s="2">
        <v>1</v>
      </c>
      <c r="G302" s="2">
        <v>1</v>
      </c>
      <c r="H302" s="2">
        <v>1</v>
      </c>
      <c r="I302" s="2">
        <v>2</v>
      </c>
      <c r="J302" s="2">
        <v>2</v>
      </c>
      <c r="K302" s="2">
        <v>1</v>
      </c>
      <c r="L302" s="2">
        <v>0</v>
      </c>
      <c r="M302" s="2">
        <v>0</v>
      </c>
      <c r="N302" s="2">
        <v>0</v>
      </c>
      <c r="O302" s="2">
        <v>1</v>
      </c>
      <c r="P302" s="2">
        <v>0</v>
      </c>
      <c r="Q302">
        <v>1</v>
      </c>
      <c r="R302">
        <v>0</v>
      </c>
      <c r="S302">
        <v>-1</v>
      </c>
      <c r="T302">
        <v>-1</v>
      </c>
      <c r="U302">
        <v>0</v>
      </c>
      <c r="V302">
        <v>0</v>
      </c>
      <c r="W302">
        <v>1</v>
      </c>
      <c r="X302">
        <v>446</v>
      </c>
      <c r="Y302" t="s">
        <v>101</v>
      </c>
    </row>
    <row r="303" spans="1:25" ht="16" customHeight="1" x14ac:dyDescent="0.2">
      <c r="A303" s="1" t="s">
        <v>433</v>
      </c>
      <c r="B303" s="2" t="s">
        <v>119</v>
      </c>
      <c r="C303" s="2">
        <v>51</v>
      </c>
      <c r="D303" s="2" t="s">
        <v>103</v>
      </c>
      <c r="E303" s="2">
        <v>1056</v>
      </c>
      <c r="F303" s="2">
        <v>0</v>
      </c>
      <c r="G303" s="2">
        <v>1</v>
      </c>
      <c r="H303" s="2">
        <v>3</v>
      </c>
      <c r="I303" s="2">
        <v>3</v>
      </c>
      <c r="J303" s="2">
        <v>1</v>
      </c>
      <c r="K303" s="2">
        <v>1</v>
      </c>
      <c r="L303" s="2">
        <v>0</v>
      </c>
      <c r="M303" s="2">
        <v>1</v>
      </c>
      <c r="N303" s="2">
        <v>0</v>
      </c>
      <c r="O303" s="2">
        <v>1</v>
      </c>
      <c r="P303" s="2">
        <v>1</v>
      </c>
      <c r="Q303">
        <v>0</v>
      </c>
      <c r="R303">
        <v>1</v>
      </c>
      <c r="S303">
        <v>3</v>
      </c>
      <c r="T303">
        <v>0</v>
      </c>
      <c r="U303">
        <v>1</v>
      </c>
      <c r="V303">
        <v>0</v>
      </c>
      <c r="W303">
        <v>1</v>
      </c>
      <c r="X303">
        <v>379</v>
      </c>
      <c r="Y303" t="s">
        <v>101</v>
      </c>
    </row>
    <row r="304" spans="1:25" ht="16" customHeight="1" x14ac:dyDescent="0.2">
      <c r="A304" s="1" t="s">
        <v>434</v>
      </c>
      <c r="B304" s="2" t="s">
        <v>191</v>
      </c>
      <c r="C304" s="2">
        <v>51</v>
      </c>
      <c r="D304" s="2" t="s">
        <v>106</v>
      </c>
      <c r="E304" s="2">
        <v>271</v>
      </c>
      <c r="F304" s="2">
        <v>1</v>
      </c>
      <c r="G304" s="2">
        <v>0</v>
      </c>
      <c r="H304" s="2">
        <v>5</v>
      </c>
      <c r="I304" s="2">
        <v>2</v>
      </c>
      <c r="J304" s="2">
        <v>3</v>
      </c>
      <c r="K304" s="2">
        <v>4</v>
      </c>
      <c r="L304" s="2">
        <v>0</v>
      </c>
      <c r="M304" s="2">
        <v>0</v>
      </c>
      <c r="N304" s="2">
        <v>0</v>
      </c>
      <c r="O304" s="2">
        <v>0</v>
      </c>
      <c r="P304" s="2">
        <v>0</v>
      </c>
      <c r="Q304">
        <v>0</v>
      </c>
      <c r="R304">
        <v>1</v>
      </c>
      <c r="S304">
        <v>1</v>
      </c>
      <c r="T304">
        <v>0</v>
      </c>
      <c r="U304">
        <v>1</v>
      </c>
      <c r="V304">
        <v>1</v>
      </c>
      <c r="W304">
        <v>1</v>
      </c>
      <c r="X304">
        <v>262</v>
      </c>
      <c r="Y304" t="s">
        <v>101</v>
      </c>
    </row>
    <row r="305" spans="1:25" ht="16" customHeight="1" x14ac:dyDescent="0.2">
      <c r="A305" s="1" t="s">
        <v>435</v>
      </c>
      <c r="B305" s="2" t="s">
        <v>151</v>
      </c>
      <c r="C305" s="2">
        <v>51</v>
      </c>
      <c r="D305" s="2" t="s">
        <v>109</v>
      </c>
      <c r="E305" s="2">
        <v>3015</v>
      </c>
      <c r="F305" s="2">
        <v>1</v>
      </c>
      <c r="G305" s="2">
        <v>0</v>
      </c>
      <c r="H305" s="2">
        <v>5</v>
      </c>
      <c r="I305" s="2">
        <v>3</v>
      </c>
      <c r="J305" s="2">
        <v>1</v>
      </c>
      <c r="K305" s="2">
        <v>5</v>
      </c>
      <c r="L305" s="2">
        <v>0</v>
      </c>
      <c r="M305" s="2">
        <v>0</v>
      </c>
      <c r="N305" s="2">
        <v>1</v>
      </c>
      <c r="O305" s="2">
        <v>1</v>
      </c>
      <c r="P305" s="2">
        <v>0</v>
      </c>
      <c r="Q305">
        <v>0</v>
      </c>
      <c r="R305">
        <v>0</v>
      </c>
      <c r="S305">
        <v>4</v>
      </c>
      <c r="T305">
        <v>0</v>
      </c>
      <c r="U305">
        <v>1</v>
      </c>
      <c r="V305">
        <v>0</v>
      </c>
      <c r="W305">
        <v>0</v>
      </c>
      <c r="X305">
        <v>388</v>
      </c>
      <c r="Y305" t="s">
        <v>101</v>
      </c>
    </row>
    <row r="306" spans="1:25" ht="16" customHeight="1" x14ac:dyDescent="0.2">
      <c r="A306" s="1" t="s">
        <v>436</v>
      </c>
      <c r="B306" s="2" t="s">
        <v>170</v>
      </c>
      <c r="C306" s="2">
        <v>51</v>
      </c>
      <c r="D306" s="2" t="s">
        <v>112</v>
      </c>
      <c r="E306" s="2">
        <v>3181</v>
      </c>
      <c r="F306" s="2">
        <v>0</v>
      </c>
      <c r="G306" s="2">
        <v>-1</v>
      </c>
      <c r="H306" s="2">
        <v>3</v>
      </c>
      <c r="I306" s="2">
        <v>2</v>
      </c>
      <c r="J306" s="2">
        <v>3</v>
      </c>
      <c r="K306" s="2">
        <v>1</v>
      </c>
      <c r="L306" s="2">
        <v>1</v>
      </c>
      <c r="M306" s="2">
        <v>1</v>
      </c>
      <c r="N306" s="2">
        <v>0</v>
      </c>
      <c r="O306" s="2">
        <v>1</v>
      </c>
      <c r="P306" s="2">
        <v>0</v>
      </c>
      <c r="Q306">
        <v>1</v>
      </c>
      <c r="R306">
        <v>1</v>
      </c>
      <c r="S306">
        <v>-1</v>
      </c>
      <c r="T306">
        <v>-1</v>
      </c>
      <c r="U306">
        <v>0</v>
      </c>
      <c r="V306">
        <v>1</v>
      </c>
      <c r="W306">
        <v>0</v>
      </c>
      <c r="X306">
        <v>155</v>
      </c>
      <c r="Y306" t="s">
        <v>101</v>
      </c>
    </row>
    <row r="307" spans="1:25" ht="16" customHeight="1" x14ac:dyDescent="0.2">
      <c r="A307" s="1" t="s">
        <v>437</v>
      </c>
      <c r="B307" s="2" t="s">
        <v>111</v>
      </c>
      <c r="C307" s="2">
        <v>51</v>
      </c>
      <c r="D307" s="2" t="s">
        <v>115</v>
      </c>
      <c r="E307" s="2">
        <v>1507</v>
      </c>
      <c r="F307" s="2">
        <v>1</v>
      </c>
      <c r="G307" s="2">
        <v>1</v>
      </c>
      <c r="H307" s="2">
        <v>2</v>
      </c>
      <c r="I307" s="2">
        <v>1</v>
      </c>
      <c r="J307" s="2">
        <v>2</v>
      </c>
      <c r="K307" s="2">
        <v>4</v>
      </c>
      <c r="L307" s="2">
        <v>1</v>
      </c>
      <c r="M307" s="2">
        <v>0</v>
      </c>
      <c r="N307" s="2">
        <v>1</v>
      </c>
      <c r="O307" s="2">
        <v>1</v>
      </c>
      <c r="P307" s="2">
        <v>1</v>
      </c>
      <c r="Q307">
        <v>1</v>
      </c>
      <c r="R307">
        <v>0</v>
      </c>
      <c r="S307">
        <v>2</v>
      </c>
      <c r="T307">
        <v>-1</v>
      </c>
      <c r="U307">
        <v>0</v>
      </c>
      <c r="V307">
        <v>0</v>
      </c>
      <c r="W307">
        <v>0</v>
      </c>
      <c r="X307">
        <v>40</v>
      </c>
      <c r="Y307" t="s">
        <v>101</v>
      </c>
    </row>
    <row r="308" spans="1:25" ht="16" customHeight="1" x14ac:dyDescent="0.2">
      <c r="A308" s="1" t="s">
        <v>438</v>
      </c>
      <c r="B308" s="2" t="s">
        <v>119</v>
      </c>
      <c r="C308" s="2">
        <v>52</v>
      </c>
      <c r="D308" s="2" t="s">
        <v>100</v>
      </c>
      <c r="E308" s="2">
        <v>1468</v>
      </c>
      <c r="F308" s="2">
        <v>1</v>
      </c>
      <c r="G308" s="2">
        <v>-1</v>
      </c>
      <c r="H308" s="2">
        <v>1</v>
      </c>
      <c r="I308" s="2">
        <v>3</v>
      </c>
      <c r="J308" s="2">
        <v>2</v>
      </c>
      <c r="K308" s="2">
        <v>5</v>
      </c>
      <c r="L308" s="2">
        <v>1</v>
      </c>
      <c r="M308" s="2">
        <v>0</v>
      </c>
      <c r="N308" s="2">
        <v>0</v>
      </c>
      <c r="O308" s="2">
        <v>1</v>
      </c>
      <c r="P308" s="2">
        <v>0</v>
      </c>
      <c r="Q308">
        <v>1</v>
      </c>
      <c r="R308">
        <v>0</v>
      </c>
      <c r="S308">
        <v>-1</v>
      </c>
      <c r="T308">
        <v>1</v>
      </c>
      <c r="U308">
        <v>0</v>
      </c>
      <c r="V308">
        <v>0</v>
      </c>
      <c r="W308">
        <v>0</v>
      </c>
      <c r="X308">
        <v>198</v>
      </c>
      <c r="Y308" t="s">
        <v>101</v>
      </c>
    </row>
    <row r="309" spans="1:25" ht="16" customHeight="1" x14ac:dyDescent="0.2">
      <c r="A309" s="1" t="s">
        <v>439</v>
      </c>
      <c r="B309" s="2" t="s">
        <v>252</v>
      </c>
      <c r="C309" s="2">
        <v>52</v>
      </c>
      <c r="D309" s="2" t="s">
        <v>103</v>
      </c>
      <c r="E309" s="2">
        <v>9016</v>
      </c>
      <c r="F309" s="2">
        <v>1</v>
      </c>
      <c r="G309" s="2">
        <v>1</v>
      </c>
      <c r="H309" s="2">
        <v>3</v>
      </c>
      <c r="I309" s="2">
        <v>2</v>
      </c>
      <c r="J309" s="2">
        <v>1</v>
      </c>
      <c r="K309" s="2">
        <v>1</v>
      </c>
      <c r="L309" s="2">
        <v>0</v>
      </c>
      <c r="M309" s="2">
        <v>1</v>
      </c>
      <c r="N309" s="2">
        <v>1</v>
      </c>
      <c r="O309" s="2">
        <v>0</v>
      </c>
      <c r="P309" s="2">
        <v>0</v>
      </c>
      <c r="Q309">
        <v>1</v>
      </c>
      <c r="R309">
        <v>0</v>
      </c>
      <c r="S309">
        <v>1</v>
      </c>
      <c r="T309">
        <v>0</v>
      </c>
      <c r="U309">
        <v>1</v>
      </c>
      <c r="V309">
        <v>1</v>
      </c>
      <c r="W309">
        <v>1</v>
      </c>
      <c r="X309">
        <v>41</v>
      </c>
      <c r="Y309" t="s">
        <v>101</v>
      </c>
    </row>
    <row r="310" spans="1:25" ht="16" customHeight="1" x14ac:dyDescent="0.2">
      <c r="A310" s="1" t="s">
        <v>440</v>
      </c>
      <c r="B310" s="2" t="s">
        <v>144</v>
      </c>
      <c r="C310" s="2">
        <v>52</v>
      </c>
      <c r="D310" s="2" t="s">
        <v>106</v>
      </c>
      <c r="E310" s="2">
        <v>1405</v>
      </c>
      <c r="F310" s="2">
        <v>0</v>
      </c>
      <c r="G310" s="2">
        <v>1</v>
      </c>
      <c r="H310" s="2">
        <v>4</v>
      </c>
      <c r="I310" s="2">
        <v>1</v>
      </c>
      <c r="J310" s="2">
        <v>1</v>
      </c>
      <c r="K310" s="2">
        <v>3</v>
      </c>
      <c r="L310" s="2">
        <v>0</v>
      </c>
      <c r="M310" s="2">
        <v>0</v>
      </c>
      <c r="N310" s="2">
        <v>1</v>
      </c>
      <c r="O310" s="2">
        <v>0</v>
      </c>
      <c r="P310" s="2">
        <v>1</v>
      </c>
      <c r="Q310">
        <v>0</v>
      </c>
      <c r="R310">
        <v>0</v>
      </c>
      <c r="S310">
        <v>4</v>
      </c>
      <c r="T310">
        <v>1</v>
      </c>
      <c r="U310">
        <v>1</v>
      </c>
      <c r="V310">
        <v>1</v>
      </c>
      <c r="W310">
        <v>0</v>
      </c>
      <c r="X310">
        <v>322</v>
      </c>
      <c r="Y310" t="s">
        <v>101</v>
      </c>
    </row>
    <row r="311" spans="1:25" ht="16" customHeight="1" x14ac:dyDescent="0.2">
      <c r="A311" s="1" t="s">
        <v>441</v>
      </c>
      <c r="B311" s="2" t="s">
        <v>144</v>
      </c>
      <c r="C311" s="2">
        <v>52</v>
      </c>
      <c r="D311" s="2" t="s">
        <v>109</v>
      </c>
      <c r="E311" s="2">
        <v>4930</v>
      </c>
      <c r="F311" s="2">
        <v>0</v>
      </c>
      <c r="G311" s="2">
        <v>-1</v>
      </c>
      <c r="H311" s="2">
        <v>3</v>
      </c>
      <c r="I311" s="2">
        <v>2</v>
      </c>
      <c r="J311" s="2">
        <v>3</v>
      </c>
      <c r="K311" s="2">
        <v>5</v>
      </c>
      <c r="L311" s="2">
        <v>1</v>
      </c>
      <c r="M311" s="2">
        <v>0</v>
      </c>
      <c r="N311" s="2">
        <v>0</v>
      </c>
      <c r="O311" s="2">
        <v>0</v>
      </c>
      <c r="P311" s="2">
        <v>0</v>
      </c>
      <c r="Q311">
        <v>0</v>
      </c>
      <c r="R311">
        <v>1</v>
      </c>
      <c r="S311">
        <v>1</v>
      </c>
      <c r="T311">
        <v>-1</v>
      </c>
      <c r="U311">
        <v>0</v>
      </c>
      <c r="V311">
        <v>1</v>
      </c>
      <c r="W311">
        <v>0</v>
      </c>
      <c r="X311">
        <v>101</v>
      </c>
      <c r="Y311" t="s">
        <v>101</v>
      </c>
    </row>
    <row r="312" spans="1:25" ht="16" customHeight="1" x14ac:dyDescent="0.2">
      <c r="A312" s="1" t="s">
        <v>442</v>
      </c>
      <c r="B312" s="2" t="s">
        <v>252</v>
      </c>
      <c r="C312" s="2">
        <v>52</v>
      </c>
      <c r="D312" s="2" t="s">
        <v>112</v>
      </c>
      <c r="E312" s="2">
        <v>694</v>
      </c>
      <c r="F312" s="2">
        <v>0</v>
      </c>
      <c r="G312" s="2">
        <v>1</v>
      </c>
      <c r="H312" s="2">
        <v>2</v>
      </c>
      <c r="I312" s="2">
        <v>1</v>
      </c>
      <c r="J312" s="2">
        <v>3</v>
      </c>
      <c r="K312" s="2">
        <v>4</v>
      </c>
      <c r="L312" s="2">
        <v>1</v>
      </c>
      <c r="M312" s="2">
        <v>0</v>
      </c>
      <c r="N312" s="2">
        <v>0</v>
      </c>
      <c r="O312" s="2">
        <v>1</v>
      </c>
      <c r="P312" s="2">
        <v>0</v>
      </c>
      <c r="Q312">
        <v>0</v>
      </c>
      <c r="R312">
        <v>1</v>
      </c>
      <c r="S312">
        <v>4</v>
      </c>
      <c r="T312">
        <v>1</v>
      </c>
      <c r="U312">
        <v>1</v>
      </c>
      <c r="V312">
        <v>1</v>
      </c>
      <c r="W312">
        <v>0</v>
      </c>
      <c r="X312">
        <v>366</v>
      </c>
      <c r="Y312" t="s">
        <v>101</v>
      </c>
    </row>
    <row r="313" spans="1:25" ht="16" customHeight="1" x14ac:dyDescent="0.2">
      <c r="A313" s="1" t="s">
        <v>443</v>
      </c>
      <c r="B313" s="2" t="s">
        <v>114</v>
      </c>
      <c r="C313" s="2">
        <v>52</v>
      </c>
      <c r="D313" s="2" t="s">
        <v>115</v>
      </c>
      <c r="E313" s="2">
        <v>1511</v>
      </c>
      <c r="F313" s="2">
        <v>1</v>
      </c>
      <c r="G313" s="2">
        <v>-1</v>
      </c>
      <c r="H313" s="2">
        <v>2</v>
      </c>
      <c r="I313" s="2">
        <v>2</v>
      </c>
      <c r="J313" s="2">
        <v>1</v>
      </c>
      <c r="K313" s="2">
        <v>2</v>
      </c>
      <c r="L313" s="2">
        <v>1</v>
      </c>
      <c r="M313" s="2">
        <v>0</v>
      </c>
      <c r="N313" s="2">
        <v>1</v>
      </c>
      <c r="O313" s="2">
        <v>1</v>
      </c>
      <c r="P313" s="2">
        <v>1</v>
      </c>
      <c r="Q313">
        <v>1</v>
      </c>
      <c r="R313">
        <v>1</v>
      </c>
      <c r="S313">
        <v>4</v>
      </c>
      <c r="T313">
        <v>1</v>
      </c>
      <c r="U313">
        <v>0</v>
      </c>
      <c r="V313">
        <v>0</v>
      </c>
      <c r="W313">
        <v>0</v>
      </c>
      <c r="X313">
        <v>497</v>
      </c>
      <c r="Y313" t="s">
        <v>101</v>
      </c>
    </row>
    <row r="314" spans="1:25" ht="16" customHeight="1" x14ac:dyDescent="0.2">
      <c r="A314" s="1" t="s">
        <v>444</v>
      </c>
      <c r="B314" s="2" t="s">
        <v>132</v>
      </c>
      <c r="C314" s="2">
        <v>53</v>
      </c>
      <c r="D314" s="2" t="s">
        <v>100</v>
      </c>
      <c r="E314" s="2">
        <v>1591</v>
      </c>
      <c r="F314" s="2">
        <v>1</v>
      </c>
      <c r="G314" s="2">
        <v>1</v>
      </c>
      <c r="H314" s="2">
        <v>1</v>
      </c>
      <c r="I314" s="2">
        <v>2</v>
      </c>
      <c r="J314" s="2">
        <v>3</v>
      </c>
      <c r="K314" s="2">
        <v>5</v>
      </c>
      <c r="L314" s="2">
        <v>0</v>
      </c>
      <c r="M314" s="2">
        <v>1</v>
      </c>
      <c r="N314" s="2">
        <v>1</v>
      </c>
      <c r="O314" s="2">
        <v>1</v>
      </c>
      <c r="P314" s="2">
        <v>1</v>
      </c>
      <c r="Q314">
        <v>1</v>
      </c>
      <c r="R314">
        <v>0</v>
      </c>
      <c r="S314">
        <v>-1</v>
      </c>
      <c r="T314">
        <v>1</v>
      </c>
      <c r="U314">
        <v>0</v>
      </c>
      <c r="V314">
        <v>0</v>
      </c>
      <c r="W314">
        <v>1</v>
      </c>
      <c r="X314">
        <v>359</v>
      </c>
      <c r="Y314" t="s">
        <v>101</v>
      </c>
    </row>
    <row r="315" spans="1:25" ht="16" customHeight="1" x14ac:dyDescent="0.2">
      <c r="A315" s="1" t="s">
        <v>445</v>
      </c>
      <c r="B315" s="2" t="s">
        <v>151</v>
      </c>
      <c r="C315" s="2">
        <v>53</v>
      </c>
      <c r="D315" s="2" t="s">
        <v>103</v>
      </c>
      <c r="E315" s="2">
        <v>2340</v>
      </c>
      <c r="F315" s="2">
        <v>0</v>
      </c>
      <c r="G315" s="2">
        <v>0</v>
      </c>
      <c r="H315" s="2">
        <v>3</v>
      </c>
      <c r="I315" s="2">
        <v>3</v>
      </c>
      <c r="J315" s="2">
        <v>3</v>
      </c>
      <c r="K315" s="2">
        <v>5</v>
      </c>
      <c r="L315" s="2">
        <v>0</v>
      </c>
      <c r="M315" s="2">
        <v>0</v>
      </c>
      <c r="N315" s="2">
        <v>0</v>
      </c>
      <c r="O315" s="2">
        <v>0</v>
      </c>
      <c r="P315" s="2">
        <v>0</v>
      </c>
      <c r="Q315">
        <v>1</v>
      </c>
      <c r="R315">
        <v>1</v>
      </c>
      <c r="S315">
        <v>2</v>
      </c>
      <c r="T315">
        <v>1</v>
      </c>
      <c r="U315">
        <v>0</v>
      </c>
      <c r="V315">
        <v>1</v>
      </c>
      <c r="W315">
        <v>1</v>
      </c>
      <c r="X315">
        <v>68</v>
      </c>
      <c r="Y315" t="s">
        <v>101</v>
      </c>
    </row>
    <row r="316" spans="1:25" ht="16" customHeight="1" x14ac:dyDescent="0.2">
      <c r="A316" s="1" t="s">
        <v>446</v>
      </c>
      <c r="B316" s="2" t="s">
        <v>108</v>
      </c>
      <c r="C316" s="2">
        <v>53</v>
      </c>
      <c r="D316" s="2" t="s">
        <v>106</v>
      </c>
      <c r="E316" s="2">
        <v>353</v>
      </c>
      <c r="F316" s="2">
        <v>1</v>
      </c>
      <c r="G316" s="2">
        <v>-1</v>
      </c>
      <c r="H316" s="2">
        <v>3</v>
      </c>
      <c r="I316" s="2">
        <v>3</v>
      </c>
      <c r="J316" s="2">
        <v>1</v>
      </c>
      <c r="K316" s="2">
        <v>1</v>
      </c>
      <c r="L316" s="2">
        <v>1</v>
      </c>
      <c r="M316" s="2">
        <v>0</v>
      </c>
      <c r="N316" s="2">
        <v>0</v>
      </c>
      <c r="O316" s="2">
        <v>1</v>
      </c>
      <c r="P316" s="2">
        <v>0</v>
      </c>
      <c r="Q316">
        <v>1</v>
      </c>
      <c r="R316">
        <v>1</v>
      </c>
      <c r="S316">
        <v>-1</v>
      </c>
      <c r="T316">
        <v>-1</v>
      </c>
      <c r="U316">
        <v>0</v>
      </c>
      <c r="V316">
        <v>0</v>
      </c>
      <c r="W316">
        <v>1</v>
      </c>
      <c r="X316">
        <v>204</v>
      </c>
      <c r="Y316" t="s">
        <v>101</v>
      </c>
    </row>
    <row r="317" spans="1:25" ht="16" customHeight="1" x14ac:dyDescent="0.2">
      <c r="A317" s="1" t="s">
        <v>447</v>
      </c>
      <c r="B317" s="2" t="s">
        <v>122</v>
      </c>
      <c r="C317" s="2">
        <v>53</v>
      </c>
      <c r="D317" s="2" t="s">
        <v>109</v>
      </c>
      <c r="E317" s="2">
        <v>7903</v>
      </c>
      <c r="F317" s="2">
        <v>1</v>
      </c>
      <c r="G317" s="2">
        <v>1</v>
      </c>
      <c r="H317" s="2">
        <v>5</v>
      </c>
      <c r="I317" s="2">
        <v>2</v>
      </c>
      <c r="J317" s="2">
        <v>1</v>
      </c>
      <c r="K317" s="2">
        <v>3</v>
      </c>
      <c r="L317" s="2">
        <v>0</v>
      </c>
      <c r="M317" s="2">
        <v>1</v>
      </c>
      <c r="N317" s="2">
        <v>1</v>
      </c>
      <c r="O317" s="2">
        <v>0</v>
      </c>
      <c r="P317" s="2">
        <v>0</v>
      </c>
      <c r="Q317">
        <v>0</v>
      </c>
      <c r="R317">
        <v>0</v>
      </c>
      <c r="S317">
        <v>4</v>
      </c>
      <c r="T317">
        <v>-1</v>
      </c>
      <c r="U317">
        <v>1</v>
      </c>
      <c r="V317">
        <v>0</v>
      </c>
      <c r="W317">
        <v>1</v>
      </c>
      <c r="X317">
        <v>140</v>
      </c>
      <c r="Y317" t="s">
        <v>101</v>
      </c>
    </row>
    <row r="318" spans="1:25" ht="16" customHeight="1" x14ac:dyDescent="0.2">
      <c r="A318" s="1" t="s">
        <v>448</v>
      </c>
      <c r="B318" s="2" t="s">
        <v>151</v>
      </c>
      <c r="C318" s="2">
        <v>53</v>
      </c>
      <c r="D318" s="2" t="s">
        <v>112</v>
      </c>
      <c r="E318" s="2">
        <v>564</v>
      </c>
      <c r="F318" s="2">
        <v>0</v>
      </c>
      <c r="G318" s="2">
        <v>1</v>
      </c>
      <c r="H318" s="2">
        <v>5</v>
      </c>
      <c r="I318" s="2">
        <v>2</v>
      </c>
      <c r="J318" s="2">
        <v>1</v>
      </c>
      <c r="K318" s="2">
        <v>2</v>
      </c>
      <c r="L318" s="2">
        <v>0</v>
      </c>
      <c r="M318" s="2">
        <v>0</v>
      </c>
      <c r="N318" s="2">
        <v>0</v>
      </c>
      <c r="O318" s="2">
        <v>1</v>
      </c>
      <c r="P318" s="2">
        <v>1</v>
      </c>
      <c r="Q318">
        <v>0</v>
      </c>
      <c r="R318">
        <v>1</v>
      </c>
      <c r="S318">
        <v>-1</v>
      </c>
      <c r="T318">
        <v>-1</v>
      </c>
      <c r="U318">
        <v>0</v>
      </c>
      <c r="V318">
        <v>0</v>
      </c>
      <c r="W318">
        <v>0</v>
      </c>
      <c r="X318">
        <v>292</v>
      </c>
      <c r="Y318" t="s">
        <v>101</v>
      </c>
    </row>
    <row r="319" spans="1:25" ht="16" customHeight="1" x14ac:dyDescent="0.2">
      <c r="A319" s="1" t="s">
        <v>449</v>
      </c>
      <c r="B319" s="2" t="s">
        <v>181</v>
      </c>
      <c r="C319" s="2">
        <v>53</v>
      </c>
      <c r="D319" s="2" t="s">
        <v>115</v>
      </c>
      <c r="E319" s="2">
        <v>3951</v>
      </c>
      <c r="F319" s="2">
        <v>0</v>
      </c>
      <c r="G319" s="2">
        <v>0</v>
      </c>
      <c r="H319" s="2">
        <v>4</v>
      </c>
      <c r="I319" s="2">
        <v>3</v>
      </c>
      <c r="J319" s="2">
        <v>1</v>
      </c>
      <c r="K319" s="2">
        <v>1</v>
      </c>
      <c r="L319" s="2">
        <v>0</v>
      </c>
      <c r="M319" s="2">
        <v>1</v>
      </c>
      <c r="N319" s="2">
        <v>0</v>
      </c>
      <c r="O319" s="2">
        <v>0</v>
      </c>
      <c r="P319" s="2">
        <v>0</v>
      </c>
      <c r="Q319">
        <v>0</v>
      </c>
      <c r="R319">
        <v>1</v>
      </c>
      <c r="S319">
        <v>-1</v>
      </c>
      <c r="T319">
        <v>0</v>
      </c>
      <c r="U319">
        <v>0</v>
      </c>
      <c r="V319">
        <v>1</v>
      </c>
      <c r="W319">
        <v>0</v>
      </c>
      <c r="X319">
        <v>316</v>
      </c>
      <c r="Y319" t="s">
        <v>101</v>
      </c>
    </row>
    <row r="320" spans="1:25" ht="16" customHeight="1" x14ac:dyDescent="0.2">
      <c r="A320" s="1" t="s">
        <v>450</v>
      </c>
      <c r="B320" s="2" t="s">
        <v>114</v>
      </c>
      <c r="C320" s="2">
        <v>54</v>
      </c>
      <c r="D320" s="2" t="s">
        <v>100</v>
      </c>
      <c r="E320" s="2">
        <v>8503</v>
      </c>
      <c r="F320" s="2">
        <v>0</v>
      </c>
      <c r="G320" s="2">
        <v>-1</v>
      </c>
      <c r="H320" s="2">
        <v>4</v>
      </c>
      <c r="I320" s="2">
        <v>1</v>
      </c>
      <c r="J320" s="2">
        <v>3</v>
      </c>
      <c r="K320" s="2">
        <v>4</v>
      </c>
      <c r="L320" s="2">
        <v>0</v>
      </c>
      <c r="M320" s="2">
        <v>0</v>
      </c>
      <c r="N320" s="2">
        <v>0</v>
      </c>
      <c r="O320" s="2">
        <v>1</v>
      </c>
      <c r="P320" s="2">
        <v>0</v>
      </c>
      <c r="Q320">
        <v>1</v>
      </c>
      <c r="R320">
        <v>0</v>
      </c>
      <c r="S320">
        <v>2</v>
      </c>
      <c r="T320">
        <v>1</v>
      </c>
      <c r="U320">
        <v>0</v>
      </c>
      <c r="V320">
        <v>1</v>
      </c>
      <c r="W320">
        <v>0</v>
      </c>
      <c r="X320">
        <v>482</v>
      </c>
      <c r="Y320" t="s">
        <v>101</v>
      </c>
    </row>
    <row r="321" spans="1:25" ht="16" customHeight="1" x14ac:dyDescent="0.2">
      <c r="A321" s="1" t="s">
        <v>451</v>
      </c>
      <c r="B321" s="2" t="s">
        <v>172</v>
      </c>
      <c r="C321" s="2">
        <v>54</v>
      </c>
      <c r="D321" s="2" t="s">
        <v>103</v>
      </c>
      <c r="E321" s="2">
        <v>810</v>
      </c>
      <c r="F321" s="2">
        <v>0</v>
      </c>
      <c r="G321" s="2">
        <v>0</v>
      </c>
      <c r="H321" s="2">
        <v>3</v>
      </c>
      <c r="I321" s="2">
        <v>1</v>
      </c>
      <c r="J321" s="2">
        <v>1</v>
      </c>
      <c r="K321" s="2">
        <v>4</v>
      </c>
      <c r="L321" s="2">
        <v>1</v>
      </c>
      <c r="M321" s="2">
        <v>0</v>
      </c>
      <c r="N321" s="2">
        <v>1</v>
      </c>
      <c r="O321" s="2">
        <v>1</v>
      </c>
      <c r="P321" s="2">
        <v>0</v>
      </c>
      <c r="Q321">
        <v>0</v>
      </c>
      <c r="R321">
        <v>0</v>
      </c>
      <c r="S321">
        <v>-1</v>
      </c>
      <c r="T321">
        <v>-1</v>
      </c>
      <c r="U321">
        <v>0</v>
      </c>
      <c r="V321">
        <v>1</v>
      </c>
      <c r="W321">
        <v>0</v>
      </c>
      <c r="X321">
        <v>170</v>
      </c>
      <c r="Y321" t="s">
        <v>101</v>
      </c>
    </row>
    <row r="322" spans="1:25" ht="16" customHeight="1" x14ac:dyDescent="0.2">
      <c r="A322" s="1" t="s">
        <v>452</v>
      </c>
      <c r="B322" s="2" t="s">
        <v>126</v>
      </c>
      <c r="C322" s="2">
        <v>54</v>
      </c>
      <c r="D322" s="2" t="s">
        <v>106</v>
      </c>
      <c r="E322" s="2">
        <v>3173</v>
      </c>
      <c r="F322" s="2">
        <v>1</v>
      </c>
      <c r="G322" s="2">
        <v>1</v>
      </c>
      <c r="H322" s="2">
        <v>2</v>
      </c>
      <c r="I322" s="2">
        <v>2</v>
      </c>
      <c r="J322" s="2">
        <v>1</v>
      </c>
      <c r="K322" s="2">
        <v>1</v>
      </c>
      <c r="L322" s="2">
        <v>0</v>
      </c>
      <c r="M322" s="2">
        <v>0</v>
      </c>
      <c r="N322" s="2">
        <v>0</v>
      </c>
      <c r="O322" s="2">
        <v>1</v>
      </c>
      <c r="P322" s="2">
        <v>0</v>
      </c>
      <c r="Q322">
        <v>1</v>
      </c>
      <c r="R322">
        <v>0</v>
      </c>
      <c r="S322">
        <v>-1</v>
      </c>
      <c r="T322">
        <v>1</v>
      </c>
      <c r="U322">
        <v>1</v>
      </c>
      <c r="V322">
        <v>1</v>
      </c>
      <c r="W322">
        <v>1</v>
      </c>
      <c r="X322">
        <v>37</v>
      </c>
      <c r="Y322" t="s">
        <v>101</v>
      </c>
    </row>
    <row r="323" spans="1:25" ht="16" customHeight="1" x14ac:dyDescent="0.2">
      <c r="A323" s="1" t="s">
        <v>453</v>
      </c>
      <c r="B323" s="2" t="s">
        <v>170</v>
      </c>
      <c r="C323" s="2">
        <v>54</v>
      </c>
      <c r="D323" s="2" t="s">
        <v>109</v>
      </c>
      <c r="E323" s="2">
        <v>6423</v>
      </c>
      <c r="F323" s="2">
        <v>1</v>
      </c>
      <c r="G323" s="2">
        <v>1</v>
      </c>
      <c r="H323" s="2">
        <v>4</v>
      </c>
      <c r="I323" s="2">
        <v>3</v>
      </c>
      <c r="J323" s="2">
        <v>1</v>
      </c>
      <c r="K323" s="2">
        <v>2</v>
      </c>
      <c r="L323" s="2">
        <v>0</v>
      </c>
      <c r="M323" s="2">
        <v>1</v>
      </c>
      <c r="N323" s="2">
        <v>0</v>
      </c>
      <c r="O323" s="2">
        <v>0</v>
      </c>
      <c r="P323" s="2">
        <v>0</v>
      </c>
      <c r="Q323">
        <v>1</v>
      </c>
      <c r="R323">
        <v>1</v>
      </c>
      <c r="S323">
        <v>3</v>
      </c>
      <c r="T323">
        <v>1</v>
      </c>
      <c r="U323">
        <v>0</v>
      </c>
      <c r="V323">
        <v>0</v>
      </c>
      <c r="W323">
        <v>0</v>
      </c>
      <c r="X323">
        <v>186</v>
      </c>
      <c r="Y323" t="s">
        <v>101</v>
      </c>
    </row>
    <row r="324" spans="1:25" ht="16" customHeight="1" x14ac:dyDescent="0.2">
      <c r="A324" s="1" t="s">
        <v>454</v>
      </c>
      <c r="B324" s="2" t="s">
        <v>124</v>
      </c>
      <c r="C324" s="2">
        <v>54</v>
      </c>
      <c r="D324" s="2" t="s">
        <v>112</v>
      </c>
      <c r="E324" s="2">
        <v>340</v>
      </c>
      <c r="F324" s="2">
        <v>1</v>
      </c>
      <c r="G324" s="2">
        <v>-1</v>
      </c>
      <c r="H324" s="2">
        <v>2</v>
      </c>
      <c r="I324" s="2">
        <v>3</v>
      </c>
      <c r="J324" s="2">
        <v>2</v>
      </c>
      <c r="K324" s="2">
        <v>5</v>
      </c>
      <c r="L324" s="2">
        <v>1</v>
      </c>
      <c r="M324" s="2">
        <v>0</v>
      </c>
      <c r="N324" s="2">
        <v>1</v>
      </c>
      <c r="O324" s="2">
        <v>1</v>
      </c>
      <c r="P324" s="2">
        <v>1</v>
      </c>
      <c r="Q324">
        <v>1</v>
      </c>
      <c r="R324">
        <v>1</v>
      </c>
      <c r="S324">
        <v>3</v>
      </c>
      <c r="T324">
        <v>1</v>
      </c>
      <c r="U324">
        <v>0</v>
      </c>
      <c r="V324">
        <v>0</v>
      </c>
      <c r="W324">
        <v>0</v>
      </c>
      <c r="X324">
        <v>209</v>
      </c>
      <c r="Y324" t="s">
        <v>101</v>
      </c>
    </row>
    <row r="325" spans="1:25" ht="16" customHeight="1" x14ac:dyDescent="0.2">
      <c r="A325" s="1" t="s">
        <v>455</v>
      </c>
      <c r="B325" s="2" t="s">
        <v>114</v>
      </c>
      <c r="C325" s="2">
        <v>54</v>
      </c>
      <c r="D325" s="2" t="s">
        <v>115</v>
      </c>
      <c r="E325" s="2">
        <v>432</v>
      </c>
      <c r="F325" s="2">
        <v>0</v>
      </c>
      <c r="G325" s="2">
        <v>0</v>
      </c>
      <c r="H325" s="2">
        <v>4</v>
      </c>
      <c r="I325" s="2">
        <v>1</v>
      </c>
      <c r="J325" s="2">
        <v>1</v>
      </c>
      <c r="K325" s="2">
        <v>2</v>
      </c>
      <c r="L325" s="2">
        <v>1</v>
      </c>
      <c r="M325" s="2">
        <v>0</v>
      </c>
      <c r="N325" s="2">
        <v>0</v>
      </c>
      <c r="O325" s="2">
        <v>1</v>
      </c>
      <c r="P325" s="2">
        <v>0</v>
      </c>
      <c r="Q325">
        <v>0</v>
      </c>
      <c r="R325">
        <v>0</v>
      </c>
      <c r="S325">
        <v>4</v>
      </c>
      <c r="T325">
        <v>-1</v>
      </c>
      <c r="U325">
        <v>0</v>
      </c>
      <c r="V325">
        <v>1</v>
      </c>
      <c r="W325">
        <v>0</v>
      </c>
      <c r="X325">
        <v>179</v>
      </c>
      <c r="Y325" t="s">
        <v>101</v>
      </c>
    </row>
    <row r="326" spans="1:25" ht="16" customHeight="1" x14ac:dyDescent="0.2">
      <c r="A326" s="1" t="s">
        <v>456</v>
      </c>
      <c r="B326" s="2" t="s">
        <v>179</v>
      </c>
      <c r="C326" s="2">
        <v>55</v>
      </c>
      <c r="D326" s="2" t="s">
        <v>100</v>
      </c>
      <c r="E326" s="2">
        <v>578</v>
      </c>
      <c r="F326" s="2">
        <v>0</v>
      </c>
      <c r="G326" s="2">
        <v>1</v>
      </c>
      <c r="H326" s="2">
        <v>4</v>
      </c>
      <c r="I326" s="2">
        <v>2</v>
      </c>
      <c r="J326" s="2">
        <v>1</v>
      </c>
      <c r="K326" s="2">
        <v>2</v>
      </c>
      <c r="L326" s="2">
        <v>1</v>
      </c>
      <c r="M326" s="2">
        <v>0</v>
      </c>
      <c r="N326" s="2">
        <v>1</v>
      </c>
      <c r="O326" s="2">
        <v>0</v>
      </c>
      <c r="P326" s="2">
        <v>1</v>
      </c>
      <c r="Q326">
        <v>1</v>
      </c>
      <c r="R326">
        <v>0</v>
      </c>
      <c r="S326">
        <v>1</v>
      </c>
      <c r="T326">
        <v>-1</v>
      </c>
      <c r="U326">
        <v>0</v>
      </c>
      <c r="V326">
        <v>0</v>
      </c>
      <c r="W326">
        <v>1</v>
      </c>
      <c r="X326">
        <v>153</v>
      </c>
      <c r="Y326" t="s">
        <v>101</v>
      </c>
    </row>
    <row r="327" spans="1:25" ht="16" customHeight="1" x14ac:dyDescent="0.2">
      <c r="A327" s="1" t="s">
        <v>457</v>
      </c>
      <c r="B327" s="2" t="s">
        <v>151</v>
      </c>
      <c r="C327" s="2">
        <v>55</v>
      </c>
      <c r="D327" s="2" t="s">
        <v>103</v>
      </c>
      <c r="E327" s="2">
        <v>378</v>
      </c>
      <c r="F327" s="2">
        <v>0</v>
      </c>
      <c r="G327" s="2">
        <v>0</v>
      </c>
      <c r="H327" s="2">
        <v>4</v>
      </c>
      <c r="I327" s="2">
        <v>2</v>
      </c>
      <c r="J327" s="2">
        <v>3</v>
      </c>
      <c r="K327" s="2">
        <v>5</v>
      </c>
      <c r="L327" s="2">
        <v>1</v>
      </c>
      <c r="M327" s="2">
        <v>1</v>
      </c>
      <c r="N327" s="2">
        <v>1</v>
      </c>
      <c r="O327" s="2">
        <v>1</v>
      </c>
      <c r="P327" s="2">
        <v>1</v>
      </c>
      <c r="Q327">
        <v>1</v>
      </c>
      <c r="R327">
        <v>1</v>
      </c>
      <c r="S327">
        <v>1</v>
      </c>
      <c r="T327">
        <v>1</v>
      </c>
      <c r="U327">
        <v>0</v>
      </c>
      <c r="V327">
        <v>1</v>
      </c>
      <c r="W327">
        <v>0</v>
      </c>
      <c r="X327">
        <v>426</v>
      </c>
      <c r="Y327" t="s">
        <v>101</v>
      </c>
    </row>
    <row r="328" spans="1:25" ht="16" customHeight="1" x14ac:dyDescent="0.2">
      <c r="A328" s="1" t="s">
        <v>458</v>
      </c>
      <c r="B328" s="2" t="s">
        <v>122</v>
      </c>
      <c r="C328" s="2">
        <v>55</v>
      </c>
      <c r="D328" s="2" t="s">
        <v>106</v>
      </c>
      <c r="E328" s="2">
        <v>639</v>
      </c>
      <c r="F328" s="2">
        <v>0</v>
      </c>
      <c r="G328" s="2">
        <v>1</v>
      </c>
      <c r="H328" s="2">
        <v>5</v>
      </c>
      <c r="I328" s="2">
        <v>1</v>
      </c>
      <c r="J328" s="2">
        <v>3</v>
      </c>
      <c r="K328" s="2">
        <v>3</v>
      </c>
      <c r="L328" s="2">
        <v>1</v>
      </c>
      <c r="M328" s="2">
        <v>1</v>
      </c>
      <c r="N328" s="2">
        <v>0</v>
      </c>
      <c r="O328" s="2">
        <v>0</v>
      </c>
      <c r="P328" s="2">
        <v>1</v>
      </c>
      <c r="Q328">
        <v>0</v>
      </c>
      <c r="R328">
        <v>1</v>
      </c>
      <c r="S328">
        <v>1</v>
      </c>
      <c r="T328">
        <v>0</v>
      </c>
      <c r="U328">
        <v>1</v>
      </c>
      <c r="V328">
        <v>0</v>
      </c>
      <c r="W328">
        <v>0</v>
      </c>
      <c r="X328">
        <v>92</v>
      </c>
      <c r="Y328" t="s">
        <v>101</v>
      </c>
    </row>
    <row r="329" spans="1:25" ht="16" customHeight="1" x14ac:dyDescent="0.2">
      <c r="A329" s="1" t="s">
        <v>459</v>
      </c>
      <c r="B329" s="2" t="s">
        <v>252</v>
      </c>
      <c r="C329" s="2">
        <v>55</v>
      </c>
      <c r="D329" s="2" t="s">
        <v>109</v>
      </c>
      <c r="E329" s="2">
        <v>325</v>
      </c>
      <c r="F329" s="2">
        <v>0</v>
      </c>
      <c r="G329" s="2">
        <v>1</v>
      </c>
      <c r="H329" s="2">
        <v>4</v>
      </c>
      <c r="I329" s="2">
        <v>2</v>
      </c>
      <c r="J329" s="2">
        <v>3</v>
      </c>
      <c r="K329" s="2">
        <v>3</v>
      </c>
      <c r="L329" s="2">
        <v>0</v>
      </c>
      <c r="M329" s="2">
        <v>0</v>
      </c>
      <c r="N329" s="2">
        <v>0</v>
      </c>
      <c r="O329" s="2">
        <v>0</v>
      </c>
      <c r="P329" s="2">
        <v>1</v>
      </c>
      <c r="Q329">
        <v>0</v>
      </c>
      <c r="R329">
        <v>1</v>
      </c>
      <c r="S329">
        <v>2</v>
      </c>
      <c r="T329">
        <v>1</v>
      </c>
      <c r="U329">
        <v>1</v>
      </c>
      <c r="V329">
        <v>1</v>
      </c>
      <c r="W329">
        <v>1</v>
      </c>
      <c r="X329">
        <v>214</v>
      </c>
      <c r="Y329" t="s">
        <v>101</v>
      </c>
    </row>
    <row r="330" spans="1:25" ht="16" customHeight="1" x14ac:dyDescent="0.2">
      <c r="A330" s="1" t="s">
        <v>460</v>
      </c>
      <c r="B330" s="2" t="s">
        <v>191</v>
      </c>
      <c r="C330" s="2">
        <v>55</v>
      </c>
      <c r="D330" s="2" t="s">
        <v>112</v>
      </c>
      <c r="E330" s="2">
        <v>424</v>
      </c>
      <c r="F330" s="2">
        <v>1</v>
      </c>
      <c r="G330" s="2">
        <v>-1</v>
      </c>
      <c r="H330" s="2">
        <v>3</v>
      </c>
      <c r="I330" s="2">
        <v>3</v>
      </c>
      <c r="J330" s="2">
        <v>1</v>
      </c>
      <c r="K330" s="2">
        <v>5</v>
      </c>
      <c r="L330" s="2">
        <v>0</v>
      </c>
      <c r="M330" s="2">
        <v>0</v>
      </c>
      <c r="N330" s="2">
        <v>0</v>
      </c>
      <c r="O330" s="2">
        <v>1</v>
      </c>
      <c r="P330" s="2">
        <v>0</v>
      </c>
      <c r="Q330">
        <v>1</v>
      </c>
      <c r="R330">
        <v>0</v>
      </c>
      <c r="S330">
        <v>2</v>
      </c>
      <c r="T330">
        <v>-1</v>
      </c>
      <c r="U330">
        <v>0</v>
      </c>
      <c r="V330">
        <v>0</v>
      </c>
      <c r="W330">
        <v>1</v>
      </c>
      <c r="X330">
        <v>186</v>
      </c>
      <c r="Y330" t="s">
        <v>101</v>
      </c>
    </row>
    <row r="331" spans="1:25" ht="16" customHeight="1" x14ac:dyDescent="0.2">
      <c r="A331" s="1" t="s">
        <v>461</v>
      </c>
      <c r="B331" s="2" t="s">
        <v>132</v>
      </c>
      <c r="C331" s="2">
        <v>55</v>
      </c>
      <c r="D331" s="2" t="s">
        <v>115</v>
      </c>
      <c r="E331" s="2">
        <v>3799</v>
      </c>
      <c r="F331" s="2">
        <v>1</v>
      </c>
      <c r="G331" s="2">
        <v>0</v>
      </c>
      <c r="H331" s="2">
        <v>5</v>
      </c>
      <c r="I331" s="2">
        <v>3</v>
      </c>
      <c r="J331" s="2">
        <v>1</v>
      </c>
      <c r="K331" s="2">
        <v>1</v>
      </c>
      <c r="L331" s="2">
        <v>0</v>
      </c>
      <c r="M331" s="2">
        <v>1</v>
      </c>
      <c r="N331" s="2">
        <v>1</v>
      </c>
      <c r="O331" s="2">
        <v>1</v>
      </c>
      <c r="P331" s="2">
        <v>1</v>
      </c>
      <c r="Q331">
        <v>1</v>
      </c>
      <c r="R331">
        <v>0</v>
      </c>
      <c r="S331">
        <v>1</v>
      </c>
      <c r="T331">
        <v>1</v>
      </c>
      <c r="U331">
        <v>0</v>
      </c>
      <c r="V331">
        <v>0</v>
      </c>
      <c r="W331">
        <v>0</v>
      </c>
      <c r="X331">
        <v>248</v>
      </c>
      <c r="Y331" t="s">
        <v>101</v>
      </c>
    </row>
    <row r="332" spans="1:25" ht="16" customHeight="1" x14ac:dyDescent="0.2">
      <c r="A332" s="1" t="s">
        <v>462</v>
      </c>
      <c r="B332" s="2" t="s">
        <v>191</v>
      </c>
      <c r="C332" s="2">
        <v>56</v>
      </c>
      <c r="D332" s="2" t="s">
        <v>100</v>
      </c>
      <c r="E332" s="2">
        <v>5528</v>
      </c>
      <c r="F332" s="2">
        <v>0</v>
      </c>
      <c r="G332" s="2">
        <v>1</v>
      </c>
      <c r="H332" s="2">
        <v>5</v>
      </c>
      <c r="I332" s="2">
        <v>2</v>
      </c>
      <c r="J332" s="2">
        <v>2</v>
      </c>
      <c r="K332" s="2">
        <v>1</v>
      </c>
      <c r="L332" s="2">
        <v>0</v>
      </c>
      <c r="M332" s="2">
        <v>0</v>
      </c>
      <c r="N332" s="2">
        <v>0</v>
      </c>
      <c r="O332" s="2">
        <v>0</v>
      </c>
      <c r="P332" s="2">
        <v>1</v>
      </c>
      <c r="Q332">
        <v>0</v>
      </c>
      <c r="R332">
        <v>0</v>
      </c>
      <c r="S332">
        <v>-1</v>
      </c>
      <c r="T332">
        <v>0</v>
      </c>
      <c r="U332">
        <v>0</v>
      </c>
      <c r="V332">
        <v>1</v>
      </c>
      <c r="W332">
        <v>1</v>
      </c>
      <c r="X332">
        <v>131</v>
      </c>
      <c r="Y332" t="s">
        <v>101</v>
      </c>
    </row>
    <row r="333" spans="1:25" ht="16" customHeight="1" x14ac:dyDescent="0.2">
      <c r="A333" s="1" t="s">
        <v>463</v>
      </c>
      <c r="B333" s="2" t="s">
        <v>229</v>
      </c>
      <c r="C333" s="2">
        <v>56</v>
      </c>
      <c r="D333" s="2" t="s">
        <v>103</v>
      </c>
      <c r="E333" s="2">
        <v>1518</v>
      </c>
      <c r="F333" s="2">
        <v>0</v>
      </c>
      <c r="G333" s="2">
        <v>-1</v>
      </c>
      <c r="H333" s="2">
        <v>2</v>
      </c>
      <c r="I333" s="2">
        <v>3</v>
      </c>
      <c r="J333" s="2">
        <v>3</v>
      </c>
      <c r="K333" s="2">
        <v>4</v>
      </c>
      <c r="L333" s="2">
        <v>0</v>
      </c>
      <c r="M333" s="2">
        <v>0</v>
      </c>
      <c r="N333" s="2">
        <v>0</v>
      </c>
      <c r="O333" s="2">
        <v>0</v>
      </c>
      <c r="P333" s="2">
        <v>0</v>
      </c>
      <c r="Q333">
        <v>1</v>
      </c>
      <c r="R333">
        <v>1</v>
      </c>
      <c r="S333">
        <v>4</v>
      </c>
      <c r="T333">
        <v>1</v>
      </c>
      <c r="U333">
        <v>1</v>
      </c>
      <c r="V333">
        <v>0</v>
      </c>
      <c r="W333">
        <v>1</v>
      </c>
      <c r="X333">
        <v>357</v>
      </c>
      <c r="Y333" t="s">
        <v>101</v>
      </c>
    </row>
    <row r="334" spans="1:25" ht="16" customHeight="1" x14ac:dyDescent="0.2">
      <c r="A334" s="1" t="s">
        <v>464</v>
      </c>
      <c r="B334" s="2" t="s">
        <v>122</v>
      </c>
      <c r="C334" s="2">
        <v>56</v>
      </c>
      <c r="D334" s="2" t="s">
        <v>106</v>
      </c>
      <c r="E334" s="2">
        <v>1559</v>
      </c>
      <c r="F334" s="2">
        <v>0</v>
      </c>
      <c r="G334" s="2">
        <v>-1</v>
      </c>
      <c r="H334" s="2">
        <v>3</v>
      </c>
      <c r="I334" s="2">
        <v>2</v>
      </c>
      <c r="J334" s="2">
        <v>1</v>
      </c>
      <c r="K334" s="2">
        <v>3</v>
      </c>
      <c r="L334" s="2">
        <v>1</v>
      </c>
      <c r="M334" s="2">
        <v>1</v>
      </c>
      <c r="N334" s="2">
        <v>1</v>
      </c>
      <c r="O334" s="2">
        <v>0</v>
      </c>
      <c r="P334" s="2">
        <v>0</v>
      </c>
      <c r="Q334">
        <v>1</v>
      </c>
      <c r="R334">
        <v>0</v>
      </c>
      <c r="S334">
        <v>1</v>
      </c>
      <c r="T334">
        <v>0</v>
      </c>
      <c r="U334">
        <v>1</v>
      </c>
      <c r="V334">
        <v>1</v>
      </c>
      <c r="W334">
        <v>1</v>
      </c>
      <c r="X334">
        <v>372</v>
      </c>
      <c r="Y334" t="s">
        <v>101</v>
      </c>
    </row>
    <row r="335" spans="1:25" ht="16" customHeight="1" x14ac:dyDescent="0.2">
      <c r="A335" s="1" t="s">
        <v>465</v>
      </c>
      <c r="B335" s="2" t="s">
        <v>252</v>
      </c>
      <c r="C335" s="2">
        <v>56</v>
      </c>
      <c r="D335" s="2" t="s">
        <v>109</v>
      </c>
      <c r="E335" s="2">
        <v>2228</v>
      </c>
      <c r="F335" s="2">
        <v>0</v>
      </c>
      <c r="G335" s="2">
        <v>1</v>
      </c>
      <c r="H335" s="2">
        <v>3</v>
      </c>
      <c r="I335" s="2">
        <v>3</v>
      </c>
      <c r="J335" s="2">
        <v>3</v>
      </c>
      <c r="K335" s="2">
        <v>3</v>
      </c>
      <c r="L335" s="2">
        <v>0</v>
      </c>
      <c r="M335" s="2">
        <v>0</v>
      </c>
      <c r="N335" s="2">
        <v>0</v>
      </c>
      <c r="O335" s="2">
        <v>0</v>
      </c>
      <c r="P335" s="2">
        <v>1</v>
      </c>
      <c r="Q335">
        <v>1</v>
      </c>
      <c r="R335">
        <v>1</v>
      </c>
      <c r="S335">
        <v>-1</v>
      </c>
      <c r="T335">
        <v>-1</v>
      </c>
      <c r="U335">
        <v>1</v>
      </c>
      <c r="V335">
        <v>1</v>
      </c>
      <c r="W335">
        <v>1</v>
      </c>
      <c r="X335">
        <v>183</v>
      </c>
      <c r="Y335" t="s">
        <v>101</v>
      </c>
    </row>
    <row r="336" spans="1:25" ht="16" customHeight="1" x14ac:dyDescent="0.2">
      <c r="A336" s="1" t="s">
        <v>466</v>
      </c>
      <c r="B336" s="2" t="s">
        <v>122</v>
      </c>
      <c r="C336" s="2">
        <v>56</v>
      </c>
      <c r="D336" s="2" t="s">
        <v>112</v>
      </c>
      <c r="E336" s="2">
        <v>3838</v>
      </c>
      <c r="F336" s="2">
        <v>1</v>
      </c>
      <c r="G336" s="2">
        <v>-1</v>
      </c>
      <c r="H336" s="2">
        <v>3</v>
      </c>
      <c r="I336" s="2">
        <v>1</v>
      </c>
      <c r="J336" s="2">
        <v>2</v>
      </c>
      <c r="K336" s="2">
        <v>3</v>
      </c>
      <c r="L336" s="2">
        <v>1</v>
      </c>
      <c r="M336" s="2">
        <v>0</v>
      </c>
      <c r="N336" s="2">
        <v>1</v>
      </c>
      <c r="O336" s="2">
        <v>1</v>
      </c>
      <c r="P336" s="2">
        <v>1</v>
      </c>
      <c r="Q336">
        <v>1</v>
      </c>
      <c r="R336">
        <v>1</v>
      </c>
      <c r="S336">
        <v>2</v>
      </c>
      <c r="T336">
        <v>1</v>
      </c>
      <c r="U336">
        <v>1</v>
      </c>
      <c r="V336">
        <v>1</v>
      </c>
      <c r="W336">
        <v>1</v>
      </c>
      <c r="X336">
        <v>124</v>
      </c>
      <c r="Y336" t="s">
        <v>101</v>
      </c>
    </row>
    <row r="337" spans="1:25" ht="16" customHeight="1" x14ac:dyDescent="0.2">
      <c r="A337" s="1" t="s">
        <v>467</v>
      </c>
      <c r="B337" s="2" t="s">
        <v>141</v>
      </c>
      <c r="C337" s="2">
        <v>56</v>
      </c>
      <c r="D337" s="2" t="s">
        <v>115</v>
      </c>
      <c r="E337" s="2">
        <v>3003</v>
      </c>
      <c r="F337" s="2">
        <v>0</v>
      </c>
      <c r="G337" s="2">
        <v>1</v>
      </c>
      <c r="H337" s="2">
        <v>4</v>
      </c>
      <c r="I337" s="2">
        <v>3</v>
      </c>
      <c r="J337" s="2">
        <v>3</v>
      </c>
      <c r="K337" s="2">
        <v>5</v>
      </c>
      <c r="L337" s="2">
        <v>1</v>
      </c>
      <c r="M337" s="2">
        <v>1</v>
      </c>
      <c r="N337" s="2">
        <v>0</v>
      </c>
      <c r="O337" s="2">
        <v>1</v>
      </c>
      <c r="P337" s="2">
        <v>1</v>
      </c>
      <c r="Q337">
        <v>0</v>
      </c>
      <c r="R337">
        <v>1</v>
      </c>
      <c r="S337">
        <v>2</v>
      </c>
      <c r="T337">
        <v>1</v>
      </c>
      <c r="U337">
        <v>0</v>
      </c>
      <c r="V337">
        <v>0</v>
      </c>
      <c r="W337">
        <v>1</v>
      </c>
      <c r="X337">
        <v>209</v>
      </c>
      <c r="Y337" t="s">
        <v>101</v>
      </c>
    </row>
    <row r="338" spans="1:25" ht="16" customHeight="1" x14ac:dyDescent="0.2">
      <c r="A338" s="1" t="s">
        <v>468</v>
      </c>
      <c r="B338" s="2" t="s">
        <v>144</v>
      </c>
      <c r="C338" s="2">
        <v>57</v>
      </c>
      <c r="D338" s="2" t="s">
        <v>100</v>
      </c>
      <c r="E338" s="2">
        <v>7030</v>
      </c>
      <c r="F338" s="2">
        <v>1</v>
      </c>
      <c r="G338" s="2">
        <v>-1</v>
      </c>
      <c r="H338" s="2">
        <v>2</v>
      </c>
      <c r="I338" s="2">
        <v>2</v>
      </c>
      <c r="J338" s="2">
        <v>1</v>
      </c>
      <c r="K338" s="2">
        <v>2</v>
      </c>
      <c r="L338" s="2">
        <v>0</v>
      </c>
      <c r="M338" s="2">
        <v>0</v>
      </c>
      <c r="N338" s="2">
        <v>0</v>
      </c>
      <c r="O338" s="2">
        <v>1</v>
      </c>
      <c r="P338" s="2">
        <v>1</v>
      </c>
      <c r="Q338">
        <v>1</v>
      </c>
      <c r="R338">
        <v>1</v>
      </c>
      <c r="S338">
        <v>2</v>
      </c>
      <c r="T338">
        <v>0</v>
      </c>
      <c r="U338">
        <v>0</v>
      </c>
      <c r="V338">
        <v>0</v>
      </c>
      <c r="W338">
        <v>0</v>
      </c>
      <c r="X338">
        <v>172</v>
      </c>
      <c r="Y338" t="s">
        <v>101</v>
      </c>
    </row>
    <row r="339" spans="1:25" ht="16" customHeight="1" x14ac:dyDescent="0.2">
      <c r="A339" s="1" t="s">
        <v>469</v>
      </c>
      <c r="B339" s="2" t="s">
        <v>136</v>
      </c>
      <c r="C339" s="2">
        <v>57</v>
      </c>
      <c r="D339" s="2" t="s">
        <v>103</v>
      </c>
      <c r="E339" s="2">
        <v>271</v>
      </c>
      <c r="F339" s="2">
        <v>0</v>
      </c>
      <c r="G339" s="2">
        <v>-1</v>
      </c>
      <c r="H339" s="2">
        <v>3</v>
      </c>
      <c r="I339" s="2">
        <v>1</v>
      </c>
      <c r="J339" s="2">
        <v>1</v>
      </c>
      <c r="K339" s="2">
        <v>3</v>
      </c>
      <c r="L339" s="2">
        <v>0</v>
      </c>
      <c r="M339" s="2">
        <v>1</v>
      </c>
      <c r="N339" s="2">
        <v>1</v>
      </c>
      <c r="O339" s="2">
        <v>0</v>
      </c>
      <c r="P339" s="2">
        <v>0</v>
      </c>
      <c r="Q339">
        <v>1</v>
      </c>
      <c r="R339">
        <v>0</v>
      </c>
      <c r="S339">
        <v>4</v>
      </c>
      <c r="T339">
        <v>-1</v>
      </c>
      <c r="U339">
        <v>1</v>
      </c>
      <c r="V339">
        <v>0</v>
      </c>
      <c r="W339">
        <v>0</v>
      </c>
      <c r="X339">
        <v>88</v>
      </c>
      <c r="Y339" t="s">
        <v>101</v>
      </c>
    </row>
    <row r="340" spans="1:25" ht="16" customHeight="1" x14ac:dyDescent="0.2">
      <c r="A340" s="1" t="s">
        <v>470</v>
      </c>
      <c r="B340" s="2" t="s">
        <v>179</v>
      </c>
      <c r="C340" s="2">
        <v>57</v>
      </c>
      <c r="D340" s="2" t="s">
        <v>106</v>
      </c>
      <c r="E340" s="2">
        <v>1450</v>
      </c>
      <c r="F340" s="2">
        <v>1</v>
      </c>
      <c r="G340" s="2">
        <v>-1</v>
      </c>
      <c r="H340" s="2">
        <v>1</v>
      </c>
      <c r="I340" s="2">
        <v>1</v>
      </c>
      <c r="J340" s="2">
        <v>2</v>
      </c>
      <c r="K340" s="2">
        <v>4</v>
      </c>
      <c r="L340" s="2">
        <v>1</v>
      </c>
      <c r="M340" s="2">
        <v>1</v>
      </c>
      <c r="N340" s="2">
        <v>1</v>
      </c>
      <c r="O340" s="2">
        <v>0</v>
      </c>
      <c r="P340" s="2">
        <v>0</v>
      </c>
      <c r="Q340">
        <v>1</v>
      </c>
      <c r="R340">
        <v>1</v>
      </c>
      <c r="S340">
        <v>4</v>
      </c>
      <c r="T340">
        <v>0</v>
      </c>
      <c r="U340">
        <v>1</v>
      </c>
      <c r="V340">
        <v>0</v>
      </c>
      <c r="W340">
        <v>1</v>
      </c>
      <c r="X340">
        <v>336</v>
      </c>
      <c r="Y340" t="s">
        <v>101</v>
      </c>
    </row>
    <row r="341" spans="1:25" ht="16" customHeight="1" x14ac:dyDescent="0.2">
      <c r="A341" s="1" t="s">
        <v>471</v>
      </c>
      <c r="B341" s="2" t="s">
        <v>117</v>
      </c>
      <c r="C341" s="2">
        <v>57</v>
      </c>
      <c r="D341" s="2" t="s">
        <v>109</v>
      </c>
      <c r="E341" s="2">
        <v>10223</v>
      </c>
      <c r="F341" s="2">
        <v>1</v>
      </c>
      <c r="G341" s="2">
        <v>0</v>
      </c>
      <c r="H341" s="2">
        <v>5</v>
      </c>
      <c r="I341" s="2">
        <v>1</v>
      </c>
      <c r="J341" s="2">
        <v>1</v>
      </c>
      <c r="K341" s="2">
        <v>5</v>
      </c>
      <c r="L341" s="2">
        <v>0</v>
      </c>
      <c r="M341" s="2">
        <v>0</v>
      </c>
      <c r="N341" s="2">
        <v>1</v>
      </c>
      <c r="O341" s="2">
        <v>1</v>
      </c>
      <c r="P341" s="2">
        <v>0</v>
      </c>
      <c r="Q341">
        <v>0</v>
      </c>
      <c r="R341">
        <v>1</v>
      </c>
      <c r="S341">
        <v>3</v>
      </c>
      <c r="T341">
        <v>0</v>
      </c>
      <c r="U341">
        <v>1</v>
      </c>
      <c r="V341">
        <v>0</v>
      </c>
      <c r="W341">
        <v>1</v>
      </c>
      <c r="X341">
        <v>345</v>
      </c>
      <c r="Y341" t="s">
        <v>101</v>
      </c>
    </row>
    <row r="342" spans="1:25" ht="16" customHeight="1" x14ac:dyDescent="0.2">
      <c r="A342" s="1" t="s">
        <v>472</v>
      </c>
      <c r="B342" s="2" t="s">
        <v>229</v>
      </c>
      <c r="C342" s="2">
        <v>57</v>
      </c>
      <c r="D342" s="2" t="s">
        <v>112</v>
      </c>
      <c r="E342" s="2">
        <v>5590</v>
      </c>
      <c r="F342" s="2">
        <v>0</v>
      </c>
      <c r="G342" s="2">
        <v>-1</v>
      </c>
      <c r="H342" s="2">
        <v>2</v>
      </c>
      <c r="I342" s="2">
        <v>3</v>
      </c>
      <c r="J342" s="2">
        <v>2</v>
      </c>
      <c r="K342" s="2">
        <v>2</v>
      </c>
      <c r="L342" s="2">
        <v>1</v>
      </c>
      <c r="M342" s="2">
        <v>1</v>
      </c>
      <c r="N342" s="2">
        <v>1</v>
      </c>
      <c r="O342" s="2">
        <v>1</v>
      </c>
      <c r="P342" s="2">
        <v>0</v>
      </c>
      <c r="Q342">
        <v>1</v>
      </c>
      <c r="R342">
        <v>1</v>
      </c>
      <c r="S342">
        <v>2</v>
      </c>
      <c r="T342">
        <v>0</v>
      </c>
      <c r="U342">
        <v>0</v>
      </c>
      <c r="V342">
        <v>1</v>
      </c>
      <c r="W342">
        <v>0</v>
      </c>
      <c r="X342">
        <v>71</v>
      </c>
      <c r="Y342" t="s">
        <v>101</v>
      </c>
    </row>
    <row r="343" spans="1:25" ht="16" customHeight="1" x14ac:dyDescent="0.2">
      <c r="A343" s="1" t="s">
        <v>473</v>
      </c>
      <c r="B343" s="2" t="s">
        <v>146</v>
      </c>
      <c r="C343" s="2">
        <v>57</v>
      </c>
      <c r="D343" s="2" t="s">
        <v>115</v>
      </c>
      <c r="E343" s="2">
        <v>1787</v>
      </c>
      <c r="F343" s="2">
        <v>0</v>
      </c>
      <c r="G343" s="2">
        <v>1</v>
      </c>
      <c r="H343" s="2">
        <v>5</v>
      </c>
      <c r="I343" s="2">
        <v>3</v>
      </c>
      <c r="J343" s="2">
        <v>1</v>
      </c>
      <c r="K343" s="2">
        <v>5</v>
      </c>
      <c r="L343" s="2">
        <v>1</v>
      </c>
      <c r="M343" s="2">
        <v>0</v>
      </c>
      <c r="N343" s="2">
        <v>0</v>
      </c>
      <c r="O343" s="2">
        <v>1</v>
      </c>
      <c r="P343" s="2">
        <v>1</v>
      </c>
      <c r="Q343">
        <v>1</v>
      </c>
      <c r="R343">
        <v>0</v>
      </c>
      <c r="S343">
        <v>3</v>
      </c>
      <c r="T343">
        <v>0</v>
      </c>
      <c r="U343">
        <v>0</v>
      </c>
      <c r="V343">
        <v>1</v>
      </c>
      <c r="W343">
        <v>1</v>
      </c>
      <c r="X343">
        <v>58</v>
      </c>
      <c r="Y343" t="s">
        <v>101</v>
      </c>
    </row>
    <row r="344" spans="1:25" ht="16" customHeight="1" x14ac:dyDescent="0.2">
      <c r="A344" s="1" t="s">
        <v>474</v>
      </c>
      <c r="B344" s="2" t="s">
        <v>170</v>
      </c>
      <c r="C344" s="2">
        <v>58</v>
      </c>
      <c r="D344" s="2" t="s">
        <v>100</v>
      </c>
      <c r="E344" s="2">
        <v>10922</v>
      </c>
      <c r="F344" s="2">
        <v>1</v>
      </c>
      <c r="G344" s="2">
        <v>1</v>
      </c>
      <c r="H344" s="2">
        <v>2</v>
      </c>
      <c r="I344" s="2">
        <v>2</v>
      </c>
      <c r="J344" s="2">
        <v>2</v>
      </c>
      <c r="K344" s="2">
        <v>1</v>
      </c>
      <c r="L344" s="2">
        <v>1</v>
      </c>
      <c r="M344" s="2">
        <v>0</v>
      </c>
      <c r="N344" s="2">
        <v>0</v>
      </c>
      <c r="O344" s="2">
        <v>1</v>
      </c>
      <c r="P344" s="2">
        <v>1</v>
      </c>
      <c r="Q344">
        <v>0</v>
      </c>
      <c r="R344">
        <v>1</v>
      </c>
      <c r="S344">
        <v>3</v>
      </c>
      <c r="T344">
        <v>1</v>
      </c>
      <c r="U344">
        <v>0</v>
      </c>
      <c r="V344">
        <v>0</v>
      </c>
      <c r="W344">
        <v>1</v>
      </c>
      <c r="X344">
        <v>462</v>
      </c>
      <c r="Y344" t="s">
        <v>101</v>
      </c>
    </row>
    <row r="345" spans="1:25" ht="16" customHeight="1" x14ac:dyDescent="0.2">
      <c r="A345" s="1" t="s">
        <v>475</v>
      </c>
      <c r="B345" s="2" t="s">
        <v>99</v>
      </c>
      <c r="C345" s="2">
        <v>58</v>
      </c>
      <c r="D345" s="2" t="s">
        <v>103</v>
      </c>
      <c r="E345" s="2">
        <v>4458</v>
      </c>
      <c r="F345" s="2">
        <v>0</v>
      </c>
      <c r="G345" s="2">
        <v>-1</v>
      </c>
      <c r="H345" s="2">
        <v>3</v>
      </c>
      <c r="I345" s="2">
        <v>2</v>
      </c>
      <c r="J345" s="2">
        <v>2</v>
      </c>
      <c r="K345" s="2">
        <v>1</v>
      </c>
      <c r="L345" s="2">
        <v>0</v>
      </c>
      <c r="M345" s="2">
        <v>1</v>
      </c>
      <c r="N345" s="2">
        <v>1</v>
      </c>
      <c r="O345" s="2">
        <v>1</v>
      </c>
      <c r="P345" s="2">
        <v>0</v>
      </c>
      <c r="Q345">
        <v>1</v>
      </c>
      <c r="R345">
        <v>1</v>
      </c>
      <c r="S345">
        <v>-1</v>
      </c>
      <c r="T345">
        <v>0</v>
      </c>
      <c r="U345">
        <v>1</v>
      </c>
      <c r="V345">
        <v>0</v>
      </c>
      <c r="W345">
        <v>1</v>
      </c>
      <c r="X345">
        <v>203</v>
      </c>
      <c r="Y345" t="s">
        <v>101</v>
      </c>
    </row>
    <row r="346" spans="1:25" ht="16" customHeight="1" x14ac:dyDescent="0.2">
      <c r="A346" s="1" t="s">
        <v>476</v>
      </c>
      <c r="B346" s="2" t="s">
        <v>144</v>
      </c>
      <c r="C346" s="2">
        <v>58</v>
      </c>
      <c r="D346" s="2" t="s">
        <v>106</v>
      </c>
      <c r="E346" s="2">
        <v>6947</v>
      </c>
      <c r="F346" s="2">
        <v>1</v>
      </c>
      <c r="G346" s="2">
        <v>1</v>
      </c>
      <c r="H346" s="2">
        <v>4</v>
      </c>
      <c r="I346" s="2">
        <v>2</v>
      </c>
      <c r="J346" s="2">
        <v>3</v>
      </c>
      <c r="K346" s="2">
        <v>4</v>
      </c>
      <c r="L346" s="2">
        <v>0</v>
      </c>
      <c r="M346" s="2">
        <v>0</v>
      </c>
      <c r="N346" s="2">
        <v>0</v>
      </c>
      <c r="O346" s="2">
        <v>0</v>
      </c>
      <c r="P346" s="2">
        <v>0</v>
      </c>
      <c r="Q346">
        <v>1</v>
      </c>
      <c r="R346">
        <v>1</v>
      </c>
      <c r="S346">
        <v>1</v>
      </c>
      <c r="T346">
        <v>-1</v>
      </c>
      <c r="U346">
        <v>0</v>
      </c>
      <c r="V346">
        <v>0</v>
      </c>
      <c r="W346">
        <v>1</v>
      </c>
      <c r="X346">
        <v>318</v>
      </c>
      <c r="Y346" t="s">
        <v>101</v>
      </c>
    </row>
    <row r="347" spans="1:25" ht="16" customHeight="1" x14ac:dyDescent="0.2">
      <c r="A347" s="1" t="s">
        <v>477</v>
      </c>
      <c r="B347" s="2" t="s">
        <v>146</v>
      </c>
      <c r="C347" s="2">
        <v>58</v>
      </c>
      <c r="D347" s="2" t="s">
        <v>109</v>
      </c>
      <c r="E347" s="2">
        <v>694</v>
      </c>
      <c r="F347" s="2">
        <v>0</v>
      </c>
      <c r="G347" s="2">
        <v>0</v>
      </c>
      <c r="H347" s="2">
        <v>5</v>
      </c>
      <c r="I347" s="2">
        <v>3</v>
      </c>
      <c r="J347" s="2">
        <v>1</v>
      </c>
      <c r="K347" s="2">
        <v>4</v>
      </c>
      <c r="L347" s="2">
        <v>1</v>
      </c>
      <c r="M347" s="2">
        <v>0</v>
      </c>
      <c r="N347" s="2">
        <v>1</v>
      </c>
      <c r="O347" s="2">
        <v>1</v>
      </c>
      <c r="P347" s="2">
        <v>0</v>
      </c>
      <c r="Q347">
        <v>1</v>
      </c>
      <c r="R347">
        <v>1</v>
      </c>
      <c r="S347">
        <v>4</v>
      </c>
      <c r="T347">
        <v>1</v>
      </c>
      <c r="U347">
        <v>0</v>
      </c>
      <c r="V347">
        <v>0</v>
      </c>
      <c r="W347">
        <v>1</v>
      </c>
      <c r="X347">
        <v>109</v>
      </c>
      <c r="Y347" t="s">
        <v>101</v>
      </c>
    </row>
    <row r="348" spans="1:25" ht="16" customHeight="1" x14ac:dyDescent="0.2">
      <c r="A348" s="1" t="s">
        <v>478</v>
      </c>
      <c r="B348" s="2" t="s">
        <v>119</v>
      </c>
      <c r="C348" s="2">
        <v>58</v>
      </c>
      <c r="D348" s="2" t="s">
        <v>112</v>
      </c>
      <c r="E348" s="2">
        <v>191</v>
      </c>
      <c r="F348" s="2">
        <v>0</v>
      </c>
      <c r="G348" s="2">
        <v>0</v>
      </c>
      <c r="H348" s="2">
        <v>2</v>
      </c>
      <c r="I348" s="2">
        <v>3</v>
      </c>
      <c r="J348" s="2">
        <v>1</v>
      </c>
      <c r="K348" s="2">
        <v>3</v>
      </c>
      <c r="L348" s="2">
        <v>0</v>
      </c>
      <c r="M348" s="2">
        <v>0</v>
      </c>
      <c r="N348" s="2">
        <v>0</v>
      </c>
      <c r="O348" s="2">
        <v>0</v>
      </c>
      <c r="P348" s="2">
        <v>1</v>
      </c>
      <c r="Q348">
        <v>1</v>
      </c>
      <c r="R348">
        <v>1</v>
      </c>
      <c r="S348">
        <v>3</v>
      </c>
      <c r="T348">
        <v>0</v>
      </c>
      <c r="U348">
        <v>0</v>
      </c>
      <c r="V348">
        <v>1</v>
      </c>
      <c r="W348">
        <v>0</v>
      </c>
      <c r="X348">
        <v>421</v>
      </c>
      <c r="Y348" t="s">
        <v>101</v>
      </c>
    </row>
    <row r="349" spans="1:25" ht="16" customHeight="1" x14ac:dyDescent="0.2">
      <c r="A349" s="1" t="s">
        <v>479</v>
      </c>
      <c r="B349" s="2" t="s">
        <v>124</v>
      </c>
      <c r="C349" s="2">
        <v>58</v>
      </c>
      <c r="D349" s="2" t="s">
        <v>115</v>
      </c>
      <c r="E349" s="2">
        <v>1126</v>
      </c>
      <c r="F349" s="2">
        <v>1</v>
      </c>
      <c r="G349" s="2">
        <v>1</v>
      </c>
      <c r="H349" s="2">
        <v>2</v>
      </c>
      <c r="I349" s="2">
        <v>1</v>
      </c>
      <c r="J349" s="2">
        <v>1</v>
      </c>
      <c r="K349" s="2">
        <v>2</v>
      </c>
      <c r="L349" s="2">
        <v>1</v>
      </c>
      <c r="M349" s="2">
        <v>1</v>
      </c>
      <c r="N349" s="2">
        <v>1</v>
      </c>
      <c r="O349" s="2">
        <v>1</v>
      </c>
      <c r="P349" s="2">
        <v>1</v>
      </c>
      <c r="Q349">
        <v>1</v>
      </c>
      <c r="R349">
        <v>1</v>
      </c>
      <c r="S349">
        <v>1</v>
      </c>
      <c r="T349">
        <v>-1</v>
      </c>
      <c r="U349">
        <v>1</v>
      </c>
      <c r="V349">
        <v>0</v>
      </c>
      <c r="W349">
        <v>0</v>
      </c>
      <c r="X349">
        <v>114</v>
      </c>
      <c r="Y349" t="s">
        <v>101</v>
      </c>
    </row>
    <row r="350" spans="1:25" ht="16" customHeight="1" x14ac:dyDescent="0.2">
      <c r="A350" s="1" t="s">
        <v>480</v>
      </c>
      <c r="B350" s="2" t="s">
        <v>105</v>
      </c>
      <c r="C350" s="2">
        <v>59</v>
      </c>
      <c r="D350" s="2" t="s">
        <v>100</v>
      </c>
      <c r="E350" s="2">
        <v>20</v>
      </c>
      <c r="F350" s="2">
        <v>1</v>
      </c>
      <c r="G350" s="2">
        <v>-1</v>
      </c>
      <c r="H350" s="2">
        <v>3</v>
      </c>
      <c r="I350" s="2">
        <v>1</v>
      </c>
      <c r="J350" s="2">
        <v>1</v>
      </c>
      <c r="K350" s="2">
        <v>1</v>
      </c>
      <c r="L350" s="2">
        <v>0</v>
      </c>
      <c r="M350" s="2">
        <v>0</v>
      </c>
      <c r="N350" s="2">
        <v>1</v>
      </c>
      <c r="O350" s="2">
        <v>0</v>
      </c>
      <c r="P350" s="2">
        <v>0</v>
      </c>
      <c r="Q350">
        <v>0</v>
      </c>
      <c r="R350">
        <v>1</v>
      </c>
      <c r="S350">
        <v>1</v>
      </c>
      <c r="T350">
        <v>0</v>
      </c>
      <c r="U350">
        <v>0</v>
      </c>
      <c r="V350">
        <v>0</v>
      </c>
      <c r="W350">
        <v>1</v>
      </c>
      <c r="X350">
        <v>79</v>
      </c>
      <c r="Y350" t="s">
        <v>101</v>
      </c>
    </row>
    <row r="351" spans="1:25" ht="16" customHeight="1" x14ac:dyDescent="0.2">
      <c r="A351" s="1" t="s">
        <v>481</v>
      </c>
      <c r="B351" s="2" t="s">
        <v>136</v>
      </c>
      <c r="C351" s="2">
        <v>59</v>
      </c>
      <c r="D351" s="2" t="s">
        <v>103</v>
      </c>
      <c r="E351" s="2">
        <v>7903</v>
      </c>
      <c r="F351" s="2">
        <v>1</v>
      </c>
      <c r="G351" s="2">
        <v>0</v>
      </c>
      <c r="H351" s="2">
        <v>3</v>
      </c>
      <c r="I351" s="2">
        <v>2</v>
      </c>
      <c r="J351" s="2">
        <v>2</v>
      </c>
      <c r="K351" s="2">
        <v>3</v>
      </c>
      <c r="L351" s="2">
        <v>1</v>
      </c>
      <c r="M351" s="2">
        <v>1</v>
      </c>
      <c r="N351" s="2">
        <v>1</v>
      </c>
      <c r="O351" s="2">
        <v>0</v>
      </c>
      <c r="P351" s="2">
        <v>0</v>
      </c>
      <c r="Q351">
        <v>0</v>
      </c>
      <c r="R351">
        <v>0</v>
      </c>
      <c r="S351">
        <v>3</v>
      </c>
      <c r="T351">
        <v>0</v>
      </c>
      <c r="U351">
        <v>0</v>
      </c>
      <c r="V351">
        <v>1</v>
      </c>
      <c r="W351">
        <v>1</v>
      </c>
      <c r="X351">
        <v>436</v>
      </c>
      <c r="Y351" t="s">
        <v>101</v>
      </c>
    </row>
    <row r="352" spans="1:25" ht="16" customHeight="1" x14ac:dyDescent="0.2">
      <c r="A352" s="1" t="s">
        <v>482</v>
      </c>
      <c r="B352" s="2" t="s">
        <v>111</v>
      </c>
      <c r="C352" s="2">
        <v>59</v>
      </c>
      <c r="D352" s="2" t="s">
        <v>106</v>
      </c>
      <c r="E352" s="2">
        <v>1511</v>
      </c>
      <c r="F352" s="2">
        <v>1</v>
      </c>
      <c r="G352" s="2">
        <v>-1</v>
      </c>
      <c r="H352" s="2">
        <v>1</v>
      </c>
      <c r="I352" s="2">
        <v>3</v>
      </c>
      <c r="J352" s="2">
        <v>3</v>
      </c>
      <c r="K352" s="2">
        <v>5</v>
      </c>
      <c r="L352" s="2">
        <v>1</v>
      </c>
      <c r="M352" s="2">
        <v>1</v>
      </c>
      <c r="N352" s="2">
        <v>1</v>
      </c>
      <c r="O352" s="2">
        <v>0</v>
      </c>
      <c r="P352" s="2">
        <v>0</v>
      </c>
      <c r="Q352">
        <v>0</v>
      </c>
      <c r="R352">
        <v>0</v>
      </c>
      <c r="S352">
        <v>3</v>
      </c>
      <c r="T352">
        <v>-1</v>
      </c>
      <c r="U352">
        <v>1</v>
      </c>
      <c r="V352">
        <v>0</v>
      </c>
      <c r="W352">
        <v>1</v>
      </c>
      <c r="X352">
        <v>327</v>
      </c>
      <c r="Y352" t="s">
        <v>101</v>
      </c>
    </row>
    <row r="353" spans="1:25" ht="16" customHeight="1" x14ac:dyDescent="0.2">
      <c r="A353" s="1" t="s">
        <v>483</v>
      </c>
      <c r="B353" s="2" t="s">
        <v>105</v>
      </c>
      <c r="C353" s="2">
        <v>59</v>
      </c>
      <c r="D353" s="2" t="s">
        <v>109</v>
      </c>
      <c r="E353" s="2">
        <v>1507</v>
      </c>
      <c r="F353" s="2">
        <v>0</v>
      </c>
      <c r="G353" s="2">
        <v>0</v>
      </c>
      <c r="H353" s="2">
        <v>2</v>
      </c>
      <c r="I353" s="2">
        <v>1</v>
      </c>
      <c r="J353" s="2">
        <v>1</v>
      </c>
      <c r="K353" s="2">
        <v>4</v>
      </c>
      <c r="L353" s="2">
        <v>0</v>
      </c>
      <c r="M353" s="2">
        <v>1</v>
      </c>
      <c r="N353" s="2">
        <v>0</v>
      </c>
      <c r="O353" s="2">
        <v>0</v>
      </c>
      <c r="P353" s="2">
        <v>1</v>
      </c>
      <c r="Q353">
        <v>0</v>
      </c>
      <c r="R353">
        <v>1</v>
      </c>
      <c r="S353">
        <v>-1</v>
      </c>
      <c r="T353">
        <v>-1</v>
      </c>
      <c r="U353">
        <v>1</v>
      </c>
      <c r="V353">
        <v>1</v>
      </c>
      <c r="W353">
        <v>1</v>
      </c>
      <c r="X353">
        <v>459</v>
      </c>
      <c r="Y353" t="s">
        <v>101</v>
      </c>
    </row>
    <row r="354" spans="1:25" ht="16" customHeight="1" x14ac:dyDescent="0.2">
      <c r="A354" s="1" t="s">
        <v>484</v>
      </c>
      <c r="B354" s="2" t="s">
        <v>229</v>
      </c>
      <c r="C354" s="2">
        <v>59</v>
      </c>
      <c r="D354" s="2" t="s">
        <v>112</v>
      </c>
      <c r="E354" s="2">
        <v>1591</v>
      </c>
      <c r="F354" s="2">
        <v>0</v>
      </c>
      <c r="G354" s="2">
        <v>0</v>
      </c>
      <c r="H354" s="2">
        <v>2</v>
      </c>
      <c r="I354" s="2">
        <v>3</v>
      </c>
      <c r="J354" s="2">
        <v>2</v>
      </c>
      <c r="K354" s="2">
        <v>4</v>
      </c>
      <c r="L354" s="2">
        <v>1</v>
      </c>
      <c r="M354" s="2">
        <v>1</v>
      </c>
      <c r="N354" s="2">
        <v>1</v>
      </c>
      <c r="O354" s="2">
        <v>0</v>
      </c>
      <c r="P354" s="2">
        <v>1</v>
      </c>
      <c r="Q354">
        <v>1</v>
      </c>
      <c r="R354">
        <v>0</v>
      </c>
      <c r="S354">
        <v>3</v>
      </c>
      <c r="T354">
        <v>-1</v>
      </c>
      <c r="U354">
        <v>1</v>
      </c>
      <c r="V354">
        <v>1</v>
      </c>
      <c r="W354">
        <v>0</v>
      </c>
      <c r="X354">
        <v>389</v>
      </c>
      <c r="Y354" t="s">
        <v>101</v>
      </c>
    </row>
    <row r="355" spans="1:25" ht="16" customHeight="1" x14ac:dyDescent="0.2">
      <c r="A355" s="1" t="s">
        <v>485</v>
      </c>
      <c r="B355" s="2" t="s">
        <v>119</v>
      </c>
      <c r="C355" s="2">
        <v>59</v>
      </c>
      <c r="D355" s="2" t="s">
        <v>115</v>
      </c>
      <c r="E355" s="2">
        <v>1585</v>
      </c>
      <c r="F355" s="2">
        <v>0</v>
      </c>
      <c r="G355" s="2">
        <v>-1</v>
      </c>
      <c r="H355" s="2">
        <v>4</v>
      </c>
      <c r="I355" s="2">
        <v>2</v>
      </c>
      <c r="J355" s="2">
        <v>1</v>
      </c>
      <c r="K355" s="2">
        <v>3</v>
      </c>
      <c r="L355" s="2">
        <v>1</v>
      </c>
      <c r="M355" s="2">
        <v>1</v>
      </c>
      <c r="N355" s="2">
        <v>0</v>
      </c>
      <c r="O355" s="2">
        <v>0</v>
      </c>
      <c r="P355" s="2">
        <v>1</v>
      </c>
      <c r="Q355">
        <v>0</v>
      </c>
      <c r="R355">
        <v>1</v>
      </c>
      <c r="S355">
        <v>2</v>
      </c>
      <c r="T355">
        <v>-1</v>
      </c>
      <c r="U355">
        <v>0</v>
      </c>
      <c r="V355">
        <v>1</v>
      </c>
      <c r="W355">
        <v>1</v>
      </c>
      <c r="X355">
        <v>85</v>
      </c>
      <c r="Y355" t="s">
        <v>101</v>
      </c>
    </row>
    <row r="356" spans="1:25" ht="16" customHeight="1" x14ac:dyDescent="0.2">
      <c r="A356" s="1" t="s">
        <v>486</v>
      </c>
      <c r="B356" s="2" t="s">
        <v>141</v>
      </c>
      <c r="C356" s="2">
        <v>60</v>
      </c>
      <c r="D356" s="2" t="s">
        <v>100</v>
      </c>
      <c r="E356" s="2">
        <v>340</v>
      </c>
      <c r="F356" s="2">
        <v>1</v>
      </c>
      <c r="G356" s="2">
        <v>-1</v>
      </c>
      <c r="H356" s="2">
        <v>3</v>
      </c>
      <c r="I356" s="2">
        <v>3</v>
      </c>
      <c r="J356" s="2">
        <v>2</v>
      </c>
      <c r="K356" s="2">
        <v>2</v>
      </c>
      <c r="L356" s="2">
        <v>0</v>
      </c>
      <c r="M356" s="2">
        <v>0</v>
      </c>
      <c r="N356" s="2">
        <v>1</v>
      </c>
      <c r="O356" s="2">
        <v>0</v>
      </c>
      <c r="P356" s="2">
        <v>1</v>
      </c>
      <c r="Q356">
        <v>1</v>
      </c>
      <c r="R356">
        <v>0</v>
      </c>
      <c r="S356">
        <v>1</v>
      </c>
      <c r="T356">
        <v>-1</v>
      </c>
      <c r="U356">
        <v>1</v>
      </c>
      <c r="V356">
        <v>0</v>
      </c>
      <c r="W356">
        <v>0</v>
      </c>
      <c r="X356">
        <v>268</v>
      </c>
      <c r="Y356" t="s">
        <v>101</v>
      </c>
    </row>
    <row r="357" spans="1:25" ht="16" customHeight="1" x14ac:dyDescent="0.2">
      <c r="A357" s="1" t="s">
        <v>487</v>
      </c>
      <c r="B357" s="2" t="s">
        <v>132</v>
      </c>
      <c r="C357" s="2">
        <v>60</v>
      </c>
      <c r="D357" s="2" t="s">
        <v>103</v>
      </c>
      <c r="E357" s="2">
        <v>9767</v>
      </c>
      <c r="F357" s="2">
        <v>0</v>
      </c>
      <c r="G357" s="2">
        <v>-1</v>
      </c>
      <c r="H357" s="2">
        <v>4</v>
      </c>
      <c r="I357" s="2">
        <v>1</v>
      </c>
      <c r="J357" s="2">
        <v>3</v>
      </c>
      <c r="K357" s="2">
        <v>5</v>
      </c>
      <c r="L357" s="2">
        <v>1</v>
      </c>
      <c r="M357" s="2">
        <v>0</v>
      </c>
      <c r="N357" s="2">
        <v>1</v>
      </c>
      <c r="O357" s="2">
        <v>1</v>
      </c>
      <c r="P357" s="2">
        <v>0</v>
      </c>
      <c r="Q357">
        <v>0</v>
      </c>
      <c r="R357">
        <v>1</v>
      </c>
      <c r="S357">
        <v>1</v>
      </c>
      <c r="T357">
        <v>-1</v>
      </c>
      <c r="U357">
        <v>0</v>
      </c>
      <c r="V357">
        <v>0</v>
      </c>
      <c r="W357">
        <v>1</v>
      </c>
      <c r="X357">
        <v>430</v>
      </c>
      <c r="Y357" t="s">
        <v>101</v>
      </c>
    </row>
    <row r="358" spans="1:25" ht="16" customHeight="1" x14ac:dyDescent="0.2">
      <c r="A358" s="1" t="s">
        <v>488</v>
      </c>
      <c r="B358" s="2" t="s">
        <v>252</v>
      </c>
      <c r="C358" s="2">
        <v>60</v>
      </c>
      <c r="D358" s="2" t="s">
        <v>106</v>
      </c>
      <c r="E358" s="2">
        <v>4930</v>
      </c>
      <c r="F358" s="2">
        <v>0</v>
      </c>
      <c r="G358" s="2">
        <v>1</v>
      </c>
      <c r="H358" s="2">
        <v>4</v>
      </c>
      <c r="I358" s="2">
        <v>3</v>
      </c>
      <c r="J358" s="2">
        <v>1</v>
      </c>
      <c r="K358" s="2">
        <v>2</v>
      </c>
      <c r="L358" s="2">
        <v>1</v>
      </c>
      <c r="M358" s="2">
        <v>1</v>
      </c>
      <c r="N358" s="2">
        <v>1</v>
      </c>
      <c r="O358" s="2">
        <v>1</v>
      </c>
      <c r="P358" s="2">
        <v>1</v>
      </c>
      <c r="Q358">
        <v>0</v>
      </c>
      <c r="R358">
        <v>1</v>
      </c>
      <c r="S358">
        <v>2</v>
      </c>
      <c r="T358">
        <v>1</v>
      </c>
      <c r="U358">
        <v>1</v>
      </c>
      <c r="V358">
        <v>1</v>
      </c>
      <c r="W358">
        <v>1</v>
      </c>
      <c r="X358">
        <v>100</v>
      </c>
      <c r="Y358" t="s">
        <v>101</v>
      </c>
    </row>
    <row r="359" spans="1:25" ht="16" customHeight="1" x14ac:dyDescent="0.2">
      <c r="A359" s="1" t="s">
        <v>489</v>
      </c>
      <c r="B359" s="2" t="s">
        <v>99</v>
      </c>
      <c r="C359" s="2">
        <v>60</v>
      </c>
      <c r="D359" s="2" t="s">
        <v>109</v>
      </c>
      <c r="E359" s="2">
        <v>3015</v>
      </c>
      <c r="F359" s="2">
        <v>0</v>
      </c>
      <c r="G359" s="2">
        <v>1</v>
      </c>
      <c r="H359" s="2">
        <v>3</v>
      </c>
      <c r="I359" s="2">
        <v>2</v>
      </c>
      <c r="J359" s="2">
        <v>1</v>
      </c>
      <c r="K359" s="2">
        <v>5</v>
      </c>
      <c r="L359" s="2">
        <v>0</v>
      </c>
      <c r="M359" s="2">
        <v>1</v>
      </c>
      <c r="N359" s="2">
        <v>0</v>
      </c>
      <c r="O359" s="2">
        <v>1</v>
      </c>
      <c r="P359" s="2">
        <v>0</v>
      </c>
      <c r="Q359">
        <v>0</v>
      </c>
      <c r="R359">
        <v>0</v>
      </c>
      <c r="S359">
        <v>-1</v>
      </c>
      <c r="T359">
        <v>0</v>
      </c>
      <c r="U359">
        <v>0</v>
      </c>
      <c r="V359">
        <v>0</v>
      </c>
      <c r="W359">
        <v>1</v>
      </c>
      <c r="X359">
        <v>195</v>
      </c>
      <c r="Y359" t="s">
        <v>101</v>
      </c>
    </row>
    <row r="360" spans="1:25" ht="16" customHeight="1" x14ac:dyDescent="0.2">
      <c r="A360" s="1" t="s">
        <v>490</v>
      </c>
      <c r="B360" s="2" t="s">
        <v>161</v>
      </c>
      <c r="C360" s="2">
        <v>60</v>
      </c>
      <c r="D360" s="2" t="s">
        <v>112</v>
      </c>
      <c r="E360" s="2">
        <v>48</v>
      </c>
      <c r="F360" s="2">
        <v>1</v>
      </c>
      <c r="G360" s="2">
        <v>-1</v>
      </c>
      <c r="H360" s="2">
        <v>1</v>
      </c>
      <c r="I360" s="2">
        <v>2</v>
      </c>
      <c r="J360" s="2">
        <v>3</v>
      </c>
      <c r="K360" s="2">
        <v>3</v>
      </c>
      <c r="L360" s="2">
        <v>1</v>
      </c>
      <c r="M360" s="2">
        <v>0</v>
      </c>
      <c r="N360" s="2">
        <v>0</v>
      </c>
      <c r="O360" s="2">
        <v>1</v>
      </c>
      <c r="P360" s="2">
        <v>1</v>
      </c>
      <c r="Q360">
        <v>0</v>
      </c>
      <c r="R360">
        <v>1</v>
      </c>
      <c r="S360">
        <v>2</v>
      </c>
      <c r="T360">
        <v>0</v>
      </c>
      <c r="U360">
        <v>1</v>
      </c>
      <c r="V360">
        <v>0</v>
      </c>
      <c r="W360">
        <v>1</v>
      </c>
      <c r="X360">
        <v>307</v>
      </c>
      <c r="Y360" t="s">
        <v>101</v>
      </c>
    </row>
    <row r="361" spans="1:25" ht="16" customHeight="1" x14ac:dyDescent="0.2">
      <c r="A361" s="1" t="s">
        <v>491</v>
      </c>
      <c r="B361" s="2" t="s">
        <v>172</v>
      </c>
      <c r="C361" s="2">
        <v>60</v>
      </c>
      <c r="D361" s="2" t="s">
        <v>115</v>
      </c>
      <c r="E361" s="2">
        <v>4253</v>
      </c>
      <c r="F361" s="2">
        <v>0</v>
      </c>
      <c r="G361" s="2">
        <v>1</v>
      </c>
      <c r="H361" s="2">
        <v>2</v>
      </c>
      <c r="I361" s="2">
        <v>3</v>
      </c>
      <c r="J361" s="2">
        <v>2</v>
      </c>
      <c r="K361" s="2">
        <v>2</v>
      </c>
      <c r="L361" s="2">
        <v>0</v>
      </c>
      <c r="M361" s="2">
        <v>1</v>
      </c>
      <c r="N361" s="2">
        <v>1</v>
      </c>
      <c r="O361" s="2">
        <v>0</v>
      </c>
      <c r="P361" s="2">
        <v>1</v>
      </c>
      <c r="Q361">
        <v>0</v>
      </c>
      <c r="R361">
        <v>0</v>
      </c>
      <c r="S361">
        <v>-1</v>
      </c>
      <c r="T361">
        <v>1</v>
      </c>
      <c r="U361">
        <v>0</v>
      </c>
      <c r="V361">
        <v>1</v>
      </c>
      <c r="W361">
        <v>0</v>
      </c>
      <c r="X361">
        <v>174</v>
      </c>
      <c r="Y361" t="s">
        <v>101</v>
      </c>
    </row>
    <row r="362" spans="1:25" ht="16" customHeight="1" x14ac:dyDescent="0.2">
      <c r="A362" s="1" t="s">
        <v>492</v>
      </c>
      <c r="B362" s="2" t="s">
        <v>117</v>
      </c>
      <c r="C362" s="2">
        <v>61</v>
      </c>
      <c r="D362" s="2" t="s">
        <v>100</v>
      </c>
      <c r="E362" s="2">
        <v>3799</v>
      </c>
      <c r="F362" s="2">
        <v>1</v>
      </c>
      <c r="G362" s="2">
        <v>0</v>
      </c>
      <c r="H362" s="2">
        <v>1</v>
      </c>
      <c r="I362" s="2">
        <v>2</v>
      </c>
      <c r="J362" s="2">
        <v>3</v>
      </c>
      <c r="K362" s="2">
        <v>1</v>
      </c>
      <c r="L362" s="2">
        <v>0</v>
      </c>
      <c r="M362" s="2">
        <v>1</v>
      </c>
      <c r="N362" s="2">
        <v>1</v>
      </c>
      <c r="O362" s="2">
        <v>1</v>
      </c>
      <c r="P362" s="2">
        <v>0</v>
      </c>
      <c r="Q362">
        <v>1</v>
      </c>
      <c r="R362">
        <v>1</v>
      </c>
      <c r="S362">
        <v>3</v>
      </c>
      <c r="T362">
        <v>-1</v>
      </c>
      <c r="U362">
        <v>0</v>
      </c>
      <c r="V362">
        <v>0</v>
      </c>
      <c r="W362">
        <v>1</v>
      </c>
      <c r="X362">
        <v>387</v>
      </c>
      <c r="Y362" t="s">
        <v>101</v>
      </c>
    </row>
    <row r="363" spans="1:25" ht="16" customHeight="1" x14ac:dyDescent="0.2">
      <c r="A363" s="1" t="s">
        <v>493</v>
      </c>
      <c r="B363" s="2" t="s">
        <v>181</v>
      </c>
      <c r="C363" s="2">
        <v>61</v>
      </c>
      <c r="D363" s="2" t="s">
        <v>103</v>
      </c>
      <c r="E363" s="2">
        <v>432</v>
      </c>
      <c r="F363" s="2">
        <v>0</v>
      </c>
      <c r="G363" s="2">
        <v>0</v>
      </c>
      <c r="H363" s="2">
        <v>5</v>
      </c>
      <c r="I363" s="2">
        <v>2</v>
      </c>
      <c r="J363" s="2">
        <v>3</v>
      </c>
      <c r="K363" s="2">
        <v>2</v>
      </c>
      <c r="L363" s="2">
        <v>0</v>
      </c>
      <c r="M363" s="2">
        <v>1</v>
      </c>
      <c r="N363" s="2">
        <v>1</v>
      </c>
      <c r="O363" s="2">
        <v>1</v>
      </c>
      <c r="P363" s="2">
        <v>1</v>
      </c>
      <c r="Q363">
        <v>0</v>
      </c>
      <c r="R363">
        <v>1</v>
      </c>
      <c r="S363">
        <v>3</v>
      </c>
      <c r="T363">
        <v>0</v>
      </c>
      <c r="U363">
        <v>1</v>
      </c>
      <c r="V363">
        <v>0</v>
      </c>
      <c r="W363">
        <v>0</v>
      </c>
      <c r="X363">
        <v>390</v>
      </c>
      <c r="Y363" t="s">
        <v>101</v>
      </c>
    </row>
    <row r="364" spans="1:25" ht="16" customHeight="1" x14ac:dyDescent="0.2">
      <c r="A364" s="1" t="s">
        <v>494</v>
      </c>
      <c r="B364" s="2" t="s">
        <v>141</v>
      </c>
      <c r="C364" s="2">
        <v>61</v>
      </c>
      <c r="D364" s="2" t="s">
        <v>106</v>
      </c>
      <c r="E364" s="2">
        <v>3951</v>
      </c>
      <c r="F364" s="2">
        <v>0</v>
      </c>
      <c r="G364" s="2">
        <v>0</v>
      </c>
      <c r="H364" s="2">
        <v>5</v>
      </c>
      <c r="I364" s="2">
        <v>2</v>
      </c>
      <c r="J364" s="2">
        <v>2</v>
      </c>
      <c r="K364" s="2">
        <v>1</v>
      </c>
      <c r="L364" s="2">
        <v>0</v>
      </c>
      <c r="M364" s="2">
        <v>1</v>
      </c>
      <c r="N364" s="2">
        <v>1</v>
      </c>
      <c r="O364" s="2">
        <v>0</v>
      </c>
      <c r="P364" s="2">
        <v>0</v>
      </c>
      <c r="Q364">
        <v>1</v>
      </c>
      <c r="R364">
        <v>0</v>
      </c>
      <c r="S364">
        <v>1</v>
      </c>
      <c r="T364">
        <v>0</v>
      </c>
      <c r="U364">
        <v>0</v>
      </c>
      <c r="V364">
        <v>0</v>
      </c>
      <c r="W364">
        <v>0</v>
      </c>
      <c r="X364">
        <v>161</v>
      </c>
      <c r="Y364" t="s">
        <v>101</v>
      </c>
    </row>
    <row r="365" spans="1:25" ht="16" customHeight="1" x14ac:dyDescent="0.2">
      <c r="A365" s="1" t="s">
        <v>495</v>
      </c>
      <c r="B365" s="2" t="s">
        <v>122</v>
      </c>
      <c r="C365" s="2">
        <v>61</v>
      </c>
      <c r="D365" s="2" t="s">
        <v>109</v>
      </c>
      <c r="E365" s="2">
        <v>6423</v>
      </c>
      <c r="F365" s="2">
        <v>1</v>
      </c>
      <c r="G365" s="2">
        <v>-1</v>
      </c>
      <c r="H365" s="2">
        <v>1</v>
      </c>
      <c r="I365" s="2">
        <v>3</v>
      </c>
      <c r="J365" s="2">
        <v>3</v>
      </c>
      <c r="K365" s="2">
        <v>5</v>
      </c>
      <c r="L365" s="2">
        <v>1</v>
      </c>
      <c r="M365" s="2">
        <v>1</v>
      </c>
      <c r="N365" s="2">
        <v>1</v>
      </c>
      <c r="O365" s="2">
        <v>1</v>
      </c>
      <c r="P365" s="2">
        <v>1</v>
      </c>
      <c r="Q365">
        <v>0</v>
      </c>
      <c r="R365">
        <v>1</v>
      </c>
      <c r="S365">
        <v>2</v>
      </c>
      <c r="T365">
        <v>-1</v>
      </c>
      <c r="U365">
        <v>1</v>
      </c>
      <c r="V365">
        <v>0</v>
      </c>
      <c r="W365">
        <v>1</v>
      </c>
      <c r="X365">
        <v>82</v>
      </c>
      <c r="Y365" t="s">
        <v>101</v>
      </c>
    </row>
    <row r="366" spans="1:25" ht="16" customHeight="1" x14ac:dyDescent="0.2">
      <c r="A366" s="1" t="s">
        <v>496</v>
      </c>
      <c r="B366" s="2" t="s">
        <v>128</v>
      </c>
      <c r="C366" s="2">
        <v>61</v>
      </c>
      <c r="D366" s="2" t="s">
        <v>112</v>
      </c>
      <c r="E366" s="2">
        <v>1781</v>
      </c>
      <c r="F366" s="2">
        <v>1</v>
      </c>
      <c r="G366" s="2">
        <v>-1</v>
      </c>
      <c r="H366" s="2">
        <v>1</v>
      </c>
      <c r="I366" s="2">
        <v>3</v>
      </c>
      <c r="J366" s="2">
        <v>3</v>
      </c>
      <c r="K366" s="2">
        <v>5</v>
      </c>
      <c r="L366" s="2">
        <v>0</v>
      </c>
      <c r="M366" s="2">
        <v>0</v>
      </c>
      <c r="N366" s="2">
        <v>1</v>
      </c>
      <c r="O366" s="2">
        <v>1</v>
      </c>
      <c r="P366" s="2">
        <v>0</v>
      </c>
      <c r="Q366">
        <v>1</v>
      </c>
      <c r="R366">
        <v>0</v>
      </c>
      <c r="S366">
        <v>3</v>
      </c>
      <c r="T366">
        <v>-1</v>
      </c>
      <c r="U366">
        <v>0</v>
      </c>
      <c r="V366">
        <v>1</v>
      </c>
      <c r="W366">
        <v>1</v>
      </c>
      <c r="X366">
        <v>89</v>
      </c>
      <c r="Y366" t="s">
        <v>101</v>
      </c>
    </row>
    <row r="367" spans="1:25" ht="16" customHeight="1" x14ac:dyDescent="0.2">
      <c r="A367" s="1" t="s">
        <v>497</v>
      </c>
      <c r="B367" s="2" t="s">
        <v>170</v>
      </c>
      <c r="C367" s="2">
        <v>61</v>
      </c>
      <c r="D367" s="2" t="s">
        <v>115</v>
      </c>
      <c r="E367" s="2">
        <v>424</v>
      </c>
      <c r="F367" s="2">
        <v>0</v>
      </c>
      <c r="G367" s="2">
        <v>1</v>
      </c>
      <c r="H367" s="2">
        <v>4</v>
      </c>
      <c r="I367" s="2">
        <v>3</v>
      </c>
      <c r="J367" s="2">
        <v>3</v>
      </c>
      <c r="K367" s="2">
        <v>3</v>
      </c>
      <c r="L367" s="2">
        <v>1</v>
      </c>
      <c r="M367" s="2">
        <v>0</v>
      </c>
      <c r="N367" s="2">
        <v>0</v>
      </c>
      <c r="O367" s="2">
        <v>0</v>
      </c>
      <c r="P367" s="2">
        <v>0</v>
      </c>
      <c r="Q367">
        <v>0</v>
      </c>
      <c r="R367">
        <v>1</v>
      </c>
      <c r="S367">
        <v>2</v>
      </c>
      <c r="T367">
        <v>-1</v>
      </c>
      <c r="U367">
        <v>0</v>
      </c>
      <c r="V367">
        <v>0</v>
      </c>
      <c r="W367">
        <v>0</v>
      </c>
      <c r="X367">
        <v>119</v>
      </c>
      <c r="Y367" t="s">
        <v>101</v>
      </c>
    </row>
    <row r="368" spans="1:25" ht="16" customHeight="1" x14ac:dyDescent="0.2">
      <c r="A368" s="1" t="s">
        <v>498</v>
      </c>
      <c r="B368" s="2" t="s">
        <v>151</v>
      </c>
      <c r="C368" s="2">
        <v>62</v>
      </c>
      <c r="D368" s="2" t="s">
        <v>100</v>
      </c>
      <c r="E368" s="2">
        <v>353</v>
      </c>
      <c r="F368" s="2">
        <v>1</v>
      </c>
      <c r="G368" s="2">
        <v>1</v>
      </c>
      <c r="H368" s="2">
        <v>3</v>
      </c>
      <c r="I368" s="2">
        <v>2</v>
      </c>
      <c r="J368" s="2">
        <v>3</v>
      </c>
      <c r="K368" s="2">
        <v>2</v>
      </c>
      <c r="L368" s="2">
        <v>1</v>
      </c>
      <c r="M368" s="2">
        <v>1</v>
      </c>
      <c r="N368" s="2">
        <v>0</v>
      </c>
      <c r="O368" s="2">
        <v>1</v>
      </c>
      <c r="P368" s="2">
        <v>0</v>
      </c>
      <c r="Q368">
        <v>0</v>
      </c>
      <c r="R368">
        <v>1</v>
      </c>
      <c r="S368">
        <v>3</v>
      </c>
      <c r="T368">
        <v>-1</v>
      </c>
      <c r="U368">
        <v>0</v>
      </c>
      <c r="V368">
        <v>1</v>
      </c>
      <c r="W368">
        <v>1</v>
      </c>
      <c r="X368">
        <v>114</v>
      </c>
      <c r="Y368" t="s">
        <v>101</v>
      </c>
    </row>
    <row r="369" spans="1:25" ht="16" customHeight="1" x14ac:dyDescent="0.2">
      <c r="A369" s="1" t="s">
        <v>499</v>
      </c>
      <c r="B369" s="2" t="s">
        <v>159</v>
      </c>
      <c r="C369" s="2">
        <v>62</v>
      </c>
      <c r="D369" s="2" t="s">
        <v>103</v>
      </c>
      <c r="E369" s="2">
        <v>9016</v>
      </c>
      <c r="F369" s="2">
        <v>1</v>
      </c>
      <c r="G369" s="2">
        <v>1</v>
      </c>
      <c r="H369" s="2">
        <v>2</v>
      </c>
      <c r="I369" s="2">
        <v>2</v>
      </c>
      <c r="J369" s="2">
        <v>1</v>
      </c>
      <c r="K369" s="2">
        <v>1</v>
      </c>
      <c r="L369" s="2">
        <v>1</v>
      </c>
      <c r="M369" s="2">
        <v>0</v>
      </c>
      <c r="N369" s="2">
        <v>1</v>
      </c>
      <c r="O369" s="2">
        <v>1</v>
      </c>
      <c r="P369" s="2">
        <v>1</v>
      </c>
      <c r="Q369">
        <v>1</v>
      </c>
      <c r="R369">
        <v>1</v>
      </c>
      <c r="S369">
        <v>2</v>
      </c>
      <c r="T369">
        <v>-1</v>
      </c>
      <c r="U369">
        <v>1</v>
      </c>
      <c r="V369">
        <v>1</v>
      </c>
      <c r="W369">
        <v>1</v>
      </c>
      <c r="X369">
        <v>335</v>
      </c>
      <c r="Y369" t="s">
        <v>101</v>
      </c>
    </row>
    <row r="370" spans="1:25" ht="16" customHeight="1" x14ac:dyDescent="0.2">
      <c r="A370" s="1" t="s">
        <v>500</v>
      </c>
      <c r="B370" s="2" t="s">
        <v>117</v>
      </c>
      <c r="C370" s="2">
        <v>62</v>
      </c>
      <c r="D370" s="2" t="s">
        <v>106</v>
      </c>
      <c r="E370" s="2">
        <v>564</v>
      </c>
      <c r="F370" s="2">
        <v>0</v>
      </c>
      <c r="G370" s="2">
        <v>0</v>
      </c>
      <c r="H370" s="2">
        <v>2</v>
      </c>
      <c r="I370" s="2">
        <v>3</v>
      </c>
      <c r="J370" s="2">
        <v>1</v>
      </c>
      <c r="K370" s="2">
        <v>2</v>
      </c>
      <c r="L370" s="2">
        <v>1</v>
      </c>
      <c r="M370" s="2">
        <v>1</v>
      </c>
      <c r="N370" s="2">
        <v>0</v>
      </c>
      <c r="O370" s="2">
        <v>1</v>
      </c>
      <c r="P370" s="2">
        <v>1</v>
      </c>
      <c r="Q370">
        <v>0</v>
      </c>
      <c r="R370">
        <v>1</v>
      </c>
      <c r="S370">
        <v>-1</v>
      </c>
      <c r="T370">
        <v>-1</v>
      </c>
      <c r="U370">
        <v>0</v>
      </c>
      <c r="V370">
        <v>0</v>
      </c>
      <c r="W370">
        <v>1</v>
      </c>
      <c r="X370">
        <v>409</v>
      </c>
      <c r="Y370" t="s">
        <v>101</v>
      </c>
    </row>
    <row r="371" spans="1:25" ht="16" customHeight="1" x14ac:dyDescent="0.2">
      <c r="A371" s="1" t="s">
        <v>501</v>
      </c>
      <c r="B371" s="2" t="s">
        <v>159</v>
      </c>
      <c r="C371" s="2">
        <v>62</v>
      </c>
      <c r="D371" s="2" t="s">
        <v>109</v>
      </c>
      <c r="E371" s="2">
        <v>3181</v>
      </c>
      <c r="F371" s="2">
        <v>1</v>
      </c>
      <c r="G371" s="2">
        <v>1</v>
      </c>
      <c r="H371" s="2">
        <v>1</v>
      </c>
      <c r="I371" s="2">
        <v>1</v>
      </c>
      <c r="J371" s="2">
        <v>1</v>
      </c>
      <c r="K371" s="2">
        <v>3</v>
      </c>
      <c r="L371" s="2">
        <v>1</v>
      </c>
      <c r="M371" s="2">
        <v>1</v>
      </c>
      <c r="N371" s="2">
        <v>0</v>
      </c>
      <c r="O371" s="2">
        <v>1</v>
      </c>
      <c r="P371" s="2">
        <v>1</v>
      </c>
      <c r="Q371">
        <v>1</v>
      </c>
      <c r="R371">
        <v>1</v>
      </c>
      <c r="S371">
        <v>4</v>
      </c>
      <c r="T371">
        <v>-1</v>
      </c>
      <c r="U371">
        <v>0</v>
      </c>
      <c r="V371">
        <v>0</v>
      </c>
      <c r="W371">
        <v>0</v>
      </c>
      <c r="X371">
        <v>50</v>
      </c>
      <c r="Y371" t="s">
        <v>101</v>
      </c>
    </row>
    <row r="372" spans="1:25" ht="16" customHeight="1" x14ac:dyDescent="0.2">
      <c r="A372" s="1" t="s">
        <v>502</v>
      </c>
      <c r="B372" s="2" t="s">
        <v>114</v>
      </c>
      <c r="C372" s="2">
        <v>62</v>
      </c>
      <c r="D372" s="2" t="s">
        <v>112</v>
      </c>
      <c r="E372" s="2">
        <v>6868</v>
      </c>
      <c r="F372" s="2">
        <v>1</v>
      </c>
      <c r="G372" s="2">
        <v>0</v>
      </c>
      <c r="H372" s="2">
        <v>3</v>
      </c>
      <c r="I372" s="2">
        <v>1</v>
      </c>
      <c r="J372" s="2">
        <v>2</v>
      </c>
      <c r="K372" s="2">
        <v>4</v>
      </c>
      <c r="L372" s="2">
        <v>1</v>
      </c>
      <c r="M372" s="2">
        <v>1</v>
      </c>
      <c r="N372" s="2">
        <v>1</v>
      </c>
      <c r="O372" s="2">
        <v>1</v>
      </c>
      <c r="P372" s="2">
        <v>0</v>
      </c>
      <c r="Q372">
        <v>1</v>
      </c>
      <c r="R372">
        <v>1</v>
      </c>
      <c r="S372">
        <v>1</v>
      </c>
      <c r="T372">
        <v>0</v>
      </c>
      <c r="U372">
        <v>1</v>
      </c>
      <c r="V372">
        <v>0</v>
      </c>
      <c r="W372">
        <v>1</v>
      </c>
      <c r="X372">
        <v>172</v>
      </c>
      <c r="Y372" t="s">
        <v>101</v>
      </c>
    </row>
    <row r="373" spans="1:25" ht="16" customHeight="1" x14ac:dyDescent="0.2">
      <c r="A373" s="1" t="s">
        <v>503</v>
      </c>
      <c r="B373" s="2" t="s">
        <v>252</v>
      </c>
      <c r="C373" s="2">
        <v>62</v>
      </c>
      <c r="D373" s="2" t="s">
        <v>115</v>
      </c>
      <c r="E373" s="2">
        <v>578</v>
      </c>
      <c r="F373" s="2">
        <v>1</v>
      </c>
      <c r="G373" s="2">
        <v>-1</v>
      </c>
      <c r="H373" s="2">
        <v>3</v>
      </c>
      <c r="I373" s="2">
        <v>3</v>
      </c>
      <c r="J373" s="2">
        <v>3</v>
      </c>
      <c r="K373" s="2">
        <v>3</v>
      </c>
      <c r="L373" s="2">
        <v>0</v>
      </c>
      <c r="M373" s="2">
        <v>0</v>
      </c>
      <c r="N373" s="2">
        <v>0</v>
      </c>
      <c r="O373" s="2">
        <v>0</v>
      </c>
      <c r="P373" s="2">
        <v>0</v>
      </c>
      <c r="Q373">
        <v>1</v>
      </c>
      <c r="R373">
        <v>0</v>
      </c>
      <c r="S373">
        <v>1</v>
      </c>
      <c r="T373">
        <v>-1</v>
      </c>
      <c r="U373">
        <v>0</v>
      </c>
      <c r="V373">
        <v>0</v>
      </c>
      <c r="W373">
        <v>0</v>
      </c>
      <c r="X373">
        <v>489</v>
      </c>
      <c r="Y373" t="s">
        <v>101</v>
      </c>
    </row>
    <row r="374" spans="1:25" ht="16" customHeight="1" x14ac:dyDescent="0.2">
      <c r="A374" s="1" t="s">
        <v>504</v>
      </c>
      <c r="B374" s="2" t="s">
        <v>172</v>
      </c>
      <c r="C374" s="2">
        <v>63</v>
      </c>
      <c r="D374" s="2" t="s">
        <v>100</v>
      </c>
      <c r="E374" s="2">
        <v>1056</v>
      </c>
      <c r="F374" s="2">
        <v>1</v>
      </c>
      <c r="G374" s="2">
        <v>-1</v>
      </c>
      <c r="H374" s="2">
        <v>1</v>
      </c>
      <c r="I374" s="2">
        <v>3</v>
      </c>
      <c r="J374" s="2">
        <v>3</v>
      </c>
      <c r="K374" s="2">
        <v>5</v>
      </c>
      <c r="L374" s="2">
        <v>0</v>
      </c>
      <c r="M374" s="2">
        <v>0</v>
      </c>
      <c r="N374" s="2">
        <v>0</v>
      </c>
      <c r="O374" s="2">
        <v>0</v>
      </c>
      <c r="P374" s="2">
        <v>0</v>
      </c>
      <c r="Q374">
        <v>1</v>
      </c>
      <c r="R374">
        <v>1</v>
      </c>
      <c r="S374">
        <v>-1</v>
      </c>
      <c r="T374">
        <v>-1</v>
      </c>
      <c r="U374">
        <v>1</v>
      </c>
      <c r="V374">
        <v>1</v>
      </c>
      <c r="W374">
        <v>0</v>
      </c>
      <c r="X374">
        <v>259</v>
      </c>
      <c r="Y374" t="s">
        <v>101</v>
      </c>
    </row>
    <row r="375" spans="1:25" ht="16" customHeight="1" x14ac:dyDescent="0.2">
      <c r="A375" s="1" t="s">
        <v>505</v>
      </c>
      <c r="B375" s="2" t="s">
        <v>124</v>
      </c>
      <c r="C375" s="2">
        <v>63</v>
      </c>
      <c r="D375" s="2" t="s">
        <v>103</v>
      </c>
      <c r="E375" s="2">
        <v>325</v>
      </c>
      <c r="F375" s="2">
        <v>0</v>
      </c>
      <c r="G375" s="2">
        <v>1</v>
      </c>
      <c r="H375" s="2">
        <v>4</v>
      </c>
      <c r="I375" s="2">
        <v>1</v>
      </c>
      <c r="J375" s="2">
        <v>2</v>
      </c>
      <c r="K375" s="2">
        <v>2</v>
      </c>
      <c r="L375" s="2">
        <v>0</v>
      </c>
      <c r="M375" s="2">
        <v>1</v>
      </c>
      <c r="N375" s="2">
        <v>0</v>
      </c>
      <c r="O375" s="2">
        <v>1</v>
      </c>
      <c r="P375" s="2">
        <v>1</v>
      </c>
      <c r="Q375">
        <v>0</v>
      </c>
      <c r="R375">
        <v>1</v>
      </c>
      <c r="S375">
        <v>-1</v>
      </c>
      <c r="T375">
        <v>1</v>
      </c>
      <c r="U375">
        <v>0</v>
      </c>
      <c r="V375">
        <v>0</v>
      </c>
      <c r="W375">
        <v>1</v>
      </c>
      <c r="X375">
        <v>122</v>
      </c>
      <c r="Y375" t="s">
        <v>101</v>
      </c>
    </row>
    <row r="376" spans="1:25" ht="16" customHeight="1" x14ac:dyDescent="0.2">
      <c r="A376" s="1" t="s">
        <v>506</v>
      </c>
      <c r="B376" s="2" t="s">
        <v>191</v>
      </c>
      <c r="C376" s="2">
        <v>63</v>
      </c>
      <c r="D376" s="2" t="s">
        <v>106</v>
      </c>
      <c r="E376" s="2">
        <v>144</v>
      </c>
      <c r="F376" s="2">
        <v>1</v>
      </c>
      <c r="G376" s="2">
        <v>-1</v>
      </c>
      <c r="H376" s="2">
        <v>1</v>
      </c>
      <c r="I376" s="2">
        <v>1</v>
      </c>
      <c r="J376" s="2">
        <v>1</v>
      </c>
      <c r="K376" s="2">
        <v>1</v>
      </c>
      <c r="L376" s="2">
        <v>0</v>
      </c>
      <c r="M376" s="2">
        <v>1</v>
      </c>
      <c r="N376" s="2">
        <v>1</v>
      </c>
      <c r="O376" s="2">
        <v>0</v>
      </c>
      <c r="P376" s="2">
        <v>0</v>
      </c>
      <c r="Q376">
        <v>0</v>
      </c>
      <c r="R376">
        <v>0</v>
      </c>
      <c r="S376">
        <v>4</v>
      </c>
      <c r="T376">
        <v>-1</v>
      </c>
      <c r="U376">
        <v>1</v>
      </c>
      <c r="V376">
        <v>0</v>
      </c>
      <c r="W376">
        <v>0</v>
      </c>
      <c r="X376">
        <v>403</v>
      </c>
      <c r="Y376" t="s">
        <v>101</v>
      </c>
    </row>
    <row r="377" spans="1:25" ht="16" customHeight="1" x14ac:dyDescent="0.2">
      <c r="A377" s="1" t="s">
        <v>507</v>
      </c>
      <c r="B377" s="2" t="s">
        <v>111</v>
      </c>
      <c r="C377" s="2">
        <v>63</v>
      </c>
      <c r="D377" s="2" t="s">
        <v>109</v>
      </c>
      <c r="E377" s="2">
        <v>1405</v>
      </c>
      <c r="F377" s="2">
        <v>1</v>
      </c>
      <c r="G377" s="2">
        <v>-1</v>
      </c>
      <c r="H377" s="2">
        <v>2</v>
      </c>
      <c r="I377" s="2">
        <v>2</v>
      </c>
      <c r="J377" s="2">
        <v>1</v>
      </c>
      <c r="K377" s="2">
        <v>1</v>
      </c>
      <c r="L377" s="2">
        <v>0</v>
      </c>
      <c r="M377" s="2">
        <v>1</v>
      </c>
      <c r="N377" s="2">
        <v>0</v>
      </c>
      <c r="O377" s="2">
        <v>1</v>
      </c>
      <c r="P377" s="2">
        <v>0</v>
      </c>
      <c r="Q377">
        <v>1</v>
      </c>
      <c r="R377">
        <v>1</v>
      </c>
      <c r="S377">
        <v>1</v>
      </c>
      <c r="T377">
        <v>1</v>
      </c>
      <c r="U377">
        <v>1</v>
      </c>
      <c r="V377">
        <v>1</v>
      </c>
      <c r="W377">
        <v>1</v>
      </c>
      <c r="X377">
        <v>407</v>
      </c>
      <c r="Y377" t="s">
        <v>101</v>
      </c>
    </row>
    <row r="378" spans="1:25" ht="16" customHeight="1" x14ac:dyDescent="0.2">
      <c r="A378" s="1" t="s">
        <v>508</v>
      </c>
      <c r="B378" s="2" t="s">
        <v>179</v>
      </c>
      <c r="C378" s="2">
        <v>63</v>
      </c>
      <c r="D378" s="2" t="s">
        <v>112</v>
      </c>
      <c r="E378" s="2">
        <v>3173</v>
      </c>
      <c r="F378" s="2">
        <v>0</v>
      </c>
      <c r="G378" s="2">
        <v>0</v>
      </c>
      <c r="H378" s="2">
        <v>1</v>
      </c>
      <c r="I378" s="2">
        <v>3</v>
      </c>
      <c r="J378" s="2">
        <v>3</v>
      </c>
      <c r="K378" s="2">
        <v>1</v>
      </c>
      <c r="L378" s="2">
        <v>0</v>
      </c>
      <c r="M378" s="2">
        <v>0</v>
      </c>
      <c r="N378" s="2">
        <v>0</v>
      </c>
      <c r="O378" s="2">
        <v>1</v>
      </c>
      <c r="P378" s="2">
        <v>1</v>
      </c>
      <c r="Q378">
        <v>0</v>
      </c>
      <c r="R378">
        <v>1</v>
      </c>
      <c r="S378">
        <v>4</v>
      </c>
      <c r="T378">
        <v>1</v>
      </c>
      <c r="U378">
        <v>0</v>
      </c>
      <c r="V378">
        <v>0</v>
      </c>
      <c r="W378">
        <v>0</v>
      </c>
      <c r="X378">
        <v>124</v>
      </c>
      <c r="Y378" t="s">
        <v>101</v>
      </c>
    </row>
    <row r="379" spans="1:25" ht="16" customHeight="1" x14ac:dyDescent="0.2">
      <c r="A379" s="1" t="s">
        <v>509</v>
      </c>
      <c r="B379" s="2" t="s">
        <v>117</v>
      </c>
      <c r="C379" s="2">
        <v>63</v>
      </c>
      <c r="D379" s="2" t="s">
        <v>115</v>
      </c>
      <c r="E379" s="2">
        <v>2340</v>
      </c>
      <c r="F379" s="2">
        <v>0</v>
      </c>
      <c r="G379" s="2">
        <v>1</v>
      </c>
      <c r="H379" s="2">
        <v>3</v>
      </c>
      <c r="I379" s="2">
        <v>3</v>
      </c>
      <c r="J379" s="2">
        <v>1</v>
      </c>
      <c r="K379" s="2">
        <v>4</v>
      </c>
      <c r="L379" s="2">
        <v>1</v>
      </c>
      <c r="M379" s="2">
        <v>1</v>
      </c>
      <c r="N379" s="2">
        <v>0</v>
      </c>
      <c r="O379" s="2">
        <v>1</v>
      </c>
      <c r="P379" s="2">
        <v>1</v>
      </c>
      <c r="Q379">
        <v>0</v>
      </c>
      <c r="R379">
        <v>1</v>
      </c>
      <c r="S379">
        <v>-1</v>
      </c>
      <c r="T379">
        <v>1</v>
      </c>
      <c r="U379">
        <v>0</v>
      </c>
      <c r="V379">
        <v>0</v>
      </c>
      <c r="W379">
        <v>1</v>
      </c>
      <c r="X379">
        <v>291</v>
      </c>
      <c r="Y379" t="s">
        <v>101</v>
      </c>
    </row>
    <row r="380" spans="1:25" ht="16" customHeight="1" x14ac:dyDescent="0.2">
      <c r="A380" s="1" t="s">
        <v>510</v>
      </c>
      <c r="B380" s="2" t="s">
        <v>151</v>
      </c>
      <c r="C380" s="2">
        <v>64</v>
      </c>
      <c r="D380" s="2" t="s">
        <v>100</v>
      </c>
      <c r="E380" s="2">
        <v>3044</v>
      </c>
      <c r="F380" s="2">
        <v>0</v>
      </c>
      <c r="G380" s="2">
        <v>-1</v>
      </c>
      <c r="H380" s="2">
        <v>5</v>
      </c>
      <c r="I380" s="2">
        <v>3</v>
      </c>
      <c r="J380" s="2">
        <v>3</v>
      </c>
      <c r="K380" s="2">
        <v>4</v>
      </c>
      <c r="L380" s="2">
        <v>0</v>
      </c>
      <c r="M380" s="2">
        <v>1</v>
      </c>
      <c r="N380" s="2">
        <v>1</v>
      </c>
      <c r="O380" s="2">
        <v>1</v>
      </c>
      <c r="P380" s="2">
        <v>1</v>
      </c>
      <c r="Q380">
        <v>1</v>
      </c>
      <c r="R380">
        <v>0</v>
      </c>
      <c r="S380">
        <v>-1</v>
      </c>
      <c r="T380">
        <v>1</v>
      </c>
      <c r="U380">
        <v>1</v>
      </c>
      <c r="V380">
        <v>0</v>
      </c>
      <c r="W380">
        <v>0</v>
      </c>
      <c r="X380">
        <v>82</v>
      </c>
      <c r="Y380" t="s">
        <v>101</v>
      </c>
    </row>
    <row r="381" spans="1:25" ht="16" customHeight="1" x14ac:dyDescent="0.2">
      <c r="A381" s="1" t="s">
        <v>511</v>
      </c>
      <c r="B381" s="2" t="s">
        <v>229</v>
      </c>
      <c r="C381" s="2">
        <v>64</v>
      </c>
      <c r="D381" s="2" t="s">
        <v>103</v>
      </c>
      <c r="E381" s="2">
        <v>810</v>
      </c>
      <c r="F381" s="2">
        <v>0</v>
      </c>
      <c r="G381" s="2">
        <v>-1</v>
      </c>
      <c r="H381" s="2">
        <v>4</v>
      </c>
      <c r="I381" s="2">
        <v>2</v>
      </c>
      <c r="J381" s="2">
        <v>2</v>
      </c>
      <c r="K381" s="2">
        <v>2</v>
      </c>
      <c r="L381" s="2">
        <v>0</v>
      </c>
      <c r="M381" s="2">
        <v>1</v>
      </c>
      <c r="N381" s="2">
        <v>0</v>
      </c>
      <c r="O381" s="2">
        <v>1</v>
      </c>
      <c r="P381" s="2">
        <v>0</v>
      </c>
      <c r="Q381">
        <v>1</v>
      </c>
      <c r="R381">
        <v>1</v>
      </c>
      <c r="S381">
        <v>1</v>
      </c>
      <c r="T381">
        <v>1</v>
      </c>
      <c r="U381">
        <v>0</v>
      </c>
      <c r="V381">
        <v>0</v>
      </c>
      <c r="W381">
        <v>1</v>
      </c>
      <c r="X381">
        <v>479</v>
      </c>
      <c r="Y381" t="s">
        <v>101</v>
      </c>
    </row>
    <row r="382" spans="1:25" ht="16" customHeight="1" x14ac:dyDescent="0.2">
      <c r="A382" s="1" t="s">
        <v>512</v>
      </c>
      <c r="B382" s="2" t="s">
        <v>252</v>
      </c>
      <c r="C382" s="2">
        <v>64</v>
      </c>
      <c r="D382" s="2" t="s">
        <v>106</v>
      </c>
      <c r="E382" s="2">
        <v>639</v>
      </c>
      <c r="F382" s="2">
        <v>1</v>
      </c>
      <c r="G382" s="2">
        <v>1</v>
      </c>
      <c r="H382" s="2">
        <v>4</v>
      </c>
      <c r="I382" s="2">
        <v>1</v>
      </c>
      <c r="J382" s="2">
        <v>1</v>
      </c>
      <c r="K382" s="2">
        <v>5</v>
      </c>
      <c r="L382" s="2">
        <v>0</v>
      </c>
      <c r="M382" s="2">
        <v>0</v>
      </c>
      <c r="N382" s="2">
        <v>1</v>
      </c>
      <c r="O382" s="2">
        <v>1</v>
      </c>
      <c r="P382" s="2">
        <v>1</v>
      </c>
      <c r="Q382">
        <v>0</v>
      </c>
      <c r="R382">
        <v>0</v>
      </c>
      <c r="S382">
        <v>4</v>
      </c>
      <c r="T382">
        <v>-1</v>
      </c>
      <c r="U382">
        <v>0</v>
      </c>
      <c r="V382">
        <v>1</v>
      </c>
      <c r="W382">
        <v>1</v>
      </c>
      <c r="X382">
        <v>348</v>
      </c>
      <c r="Y382" t="s">
        <v>101</v>
      </c>
    </row>
    <row r="383" spans="1:25" ht="16" customHeight="1" x14ac:dyDescent="0.2">
      <c r="A383" s="1" t="s">
        <v>513</v>
      </c>
      <c r="B383" s="2" t="s">
        <v>170</v>
      </c>
      <c r="C383" s="2">
        <v>64</v>
      </c>
      <c r="D383" s="2" t="s">
        <v>109</v>
      </c>
      <c r="E383" s="2">
        <v>4093</v>
      </c>
      <c r="F383" s="2">
        <v>1</v>
      </c>
      <c r="G383" s="2">
        <v>-1</v>
      </c>
      <c r="H383" s="2">
        <v>4</v>
      </c>
      <c r="I383" s="2">
        <v>2</v>
      </c>
      <c r="J383" s="2">
        <v>1</v>
      </c>
      <c r="K383" s="2">
        <v>1</v>
      </c>
      <c r="L383" s="2">
        <v>0</v>
      </c>
      <c r="M383" s="2">
        <v>0</v>
      </c>
      <c r="N383" s="2">
        <v>0</v>
      </c>
      <c r="O383" s="2">
        <v>1</v>
      </c>
      <c r="P383" s="2">
        <v>0</v>
      </c>
      <c r="Q383">
        <v>1</v>
      </c>
      <c r="R383">
        <v>0</v>
      </c>
      <c r="S383">
        <v>2</v>
      </c>
      <c r="T383">
        <v>1</v>
      </c>
      <c r="U383">
        <v>1</v>
      </c>
      <c r="V383">
        <v>0</v>
      </c>
      <c r="W383">
        <v>0</v>
      </c>
      <c r="X383">
        <v>385</v>
      </c>
      <c r="Y383" t="s">
        <v>101</v>
      </c>
    </row>
    <row r="384" spans="1:25" ht="16" customHeight="1" x14ac:dyDescent="0.2">
      <c r="A384" s="1" t="s">
        <v>514</v>
      </c>
      <c r="B384" s="2" t="s">
        <v>161</v>
      </c>
      <c r="C384" s="2">
        <v>64</v>
      </c>
      <c r="D384" s="2" t="s">
        <v>112</v>
      </c>
      <c r="E384" s="2">
        <v>1468</v>
      </c>
      <c r="F384" s="2">
        <v>0</v>
      </c>
      <c r="G384" s="2">
        <v>1</v>
      </c>
      <c r="H384" s="2">
        <v>2</v>
      </c>
      <c r="I384" s="2">
        <v>1</v>
      </c>
      <c r="J384" s="2">
        <v>2</v>
      </c>
      <c r="K384" s="2">
        <v>5</v>
      </c>
      <c r="L384" s="2">
        <v>0</v>
      </c>
      <c r="M384" s="2">
        <v>1</v>
      </c>
      <c r="N384" s="2">
        <v>0</v>
      </c>
      <c r="O384" s="2">
        <v>1</v>
      </c>
      <c r="P384" s="2">
        <v>1</v>
      </c>
      <c r="Q384">
        <v>0</v>
      </c>
      <c r="R384">
        <v>1</v>
      </c>
      <c r="S384">
        <v>-1</v>
      </c>
      <c r="T384">
        <v>1</v>
      </c>
      <c r="U384">
        <v>0</v>
      </c>
      <c r="V384">
        <v>0</v>
      </c>
      <c r="W384">
        <v>0</v>
      </c>
      <c r="X384">
        <v>500</v>
      </c>
      <c r="Y384" t="s">
        <v>101</v>
      </c>
    </row>
    <row r="385" spans="1:25" ht="16" customHeight="1" x14ac:dyDescent="0.2">
      <c r="A385" s="1" t="s">
        <v>515</v>
      </c>
      <c r="B385" s="2" t="s">
        <v>252</v>
      </c>
      <c r="C385" s="2">
        <v>64</v>
      </c>
      <c r="D385" s="2" t="s">
        <v>115</v>
      </c>
      <c r="E385" s="2">
        <v>378</v>
      </c>
      <c r="F385" s="2">
        <v>1</v>
      </c>
      <c r="G385" s="2">
        <v>-1</v>
      </c>
      <c r="H385" s="2">
        <v>4</v>
      </c>
      <c r="I385" s="2">
        <v>3</v>
      </c>
      <c r="J385" s="2">
        <v>1</v>
      </c>
      <c r="K385" s="2">
        <v>2</v>
      </c>
      <c r="L385" s="2">
        <v>1</v>
      </c>
      <c r="M385" s="2">
        <v>0</v>
      </c>
      <c r="N385" s="2">
        <v>0</v>
      </c>
      <c r="O385" s="2">
        <v>1</v>
      </c>
      <c r="P385" s="2">
        <v>0</v>
      </c>
      <c r="Q385">
        <v>1</v>
      </c>
      <c r="R385">
        <v>1</v>
      </c>
      <c r="S385">
        <v>3</v>
      </c>
      <c r="T385">
        <v>1</v>
      </c>
      <c r="U385">
        <v>0</v>
      </c>
      <c r="V385">
        <v>1</v>
      </c>
      <c r="W385">
        <v>0</v>
      </c>
      <c r="X385">
        <v>229</v>
      </c>
      <c r="Y385" t="s">
        <v>101</v>
      </c>
    </row>
    <row r="386" spans="1:25" ht="16" customHeight="1" x14ac:dyDescent="0.2">
      <c r="A386" s="1" t="s">
        <v>516</v>
      </c>
      <c r="B386" s="2" t="s">
        <v>161</v>
      </c>
      <c r="C386" s="2">
        <v>65</v>
      </c>
      <c r="D386" s="2" t="s">
        <v>100</v>
      </c>
      <c r="E386" s="2">
        <v>7903</v>
      </c>
      <c r="F386" s="2">
        <v>1</v>
      </c>
      <c r="G386" s="2">
        <v>1</v>
      </c>
      <c r="H386" s="2">
        <v>3</v>
      </c>
      <c r="I386" s="2">
        <v>2</v>
      </c>
      <c r="J386" s="2">
        <v>1</v>
      </c>
      <c r="K386" s="2">
        <v>2</v>
      </c>
      <c r="L386" s="2">
        <v>1</v>
      </c>
      <c r="M386" s="2">
        <v>1</v>
      </c>
      <c r="N386" s="2">
        <v>0</v>
      </c>
      <c r="O386" s="2">
        <v>0</v>
      </c>
      <c r="P386" s="2">
        <v>0</v>
      </c>
      <c r="Q386">
        <v>0</v>
      </c>
      <c r="R386">
        <v>1</v>
      </c>
      <c r="S386">
        <v>4</v>
      </c>
      <c r="T386">
        <v>0</v>
      </c>
      <c r="U386">
        <v>0</v>
      </c>
      <c r="V386">
        <v>0</v>
      </c>
      <c r="W386">
        <v>0</v>
      </c>
      <c r="X386">
        <v>46</v>
      </c>
      <c r="Y386" t="s">
        <v>101</v>
      </c>
    </row>
    <row r="387" spans="1:25" ht="16" customHeight="1" x14ac:dyDescent="0.2">
      <c r="A387" s="1" t="s">
        <v>517</v>
      </c>
      <c r="B387" s="2" t="s">
        <v>161</v>
      </c>
      <c r="C387" s="2">
        <v>65</v>
      </c>
      <c r="D387" s="2" t="s">
        <v>103</v>
      </c>
      <c r="E387" s="2">
        <v>1126</v>
      </c>
      <c r="F387" s="2">
        <v>1</v>
      </c>
      <c r="G387" s="2">
        <v>-1</v>
      </c>
      <c r="H387" s="2">
        <v>5</v>
      </c>
      <c r="I387" s="2">
        <v>2</v>
      </c>
      <c r="J387" s="2">
        <v>1</v>
      </c>
      <c r="K387" s="2">
        <v>1</v>
      </c>
      <c r="L387" s="2">
        <v>0</v>
      </c>
      <c r="M387" s="2">
        <v>1</v>
      </c>
      <c r="N387" s="2">
        <v>0</v>
      </c>
      <c r="O387" s="2">
        <v>1</v>
      </c>
      <c r="P387" s="2">
        <v>1</v>
      </c>
      <c r="Q387">
        <v>0</v>
      </c>
      <c r="R387">
        <v>0</v>
      </c>
      <c r="S387">
        <v>-1</v>
      </c>
      <c r="T387">
        <v>1</v>
      </c>
      <c r="U387">
        <v>1</v>
      </c>
      <c r="V387">
        <v>0</v>
      </c>
      <c r="W387">
        <v>0</v>
      </c>
      <c r="X387">
        <v>351</v>
      </c>
      <c r="Y387" t="s">
        <v>101</v>
      </c>
    </row>
    <row r="388" spans="1:25" ht="16" customHeight="1" x14ac:dyDescent="0.2">
      <c r="A388" s="1" t="s">
        <v>518</v>
      </c>
      <c r="B388" s="2" t="s">
        <v>117</v>
      </c>
      <c r="C388" s="2">
        <v>65</v>
      </c>
      <c r="D388" s="2" t="s">
        <v>106</v>
      </c>
      <c r="E388" s="2">
        <v>1518</v>
      </c>
      <c r="F388" s="2">
        <v>1</v>
      </c>
      <c r="G388" s="2">
        <v>-1</v>
      </c>
      <c r="H388" s="2">
        <v>3</v>
      </c>
      <c r="I388" s="2">
        <v>3</v>
      </c>
      <c r="J388" s="2">
        <v>3</v>
      </c>
      <c r="K388" s="2">
        <v>2</v>
      </c>
      <c r="L388" s="2">
        <v>1</v>
      </c>
      <c r="M388" s="2">
        <v>1</v>
      </c>
      <c r="N388" s="2">
        <v>1</v>
      </c>
      <c r="O388" s="2">
        <v>0</v>
      </c>
      <c r="P388" s="2">
        <v>1</v>
      </c>
      <c r="Q388">
        <v>0</v>
      </c>
      <c r="R388">
        <v>1</v>
      </c>
      <c r="S388">
        <v>1</v>
      </c>
      <c r="T388">
        <v>1</v>
      </c>
      <c r="U388">
        <v>1</v>
      </c>
      <c r="V388">
        <v>1</v>
      </c>
      <c r="W388">
        <v>0</v>
      </c>
      <c r="X388">
        <v>444</v>
      </c>
      <c r="Y388" t="s">
        <v>101</v>
      </c>
    </row>
    <row r="389" spans="1:25" ht="16" customHeight="1" x14ac:dyDescent="0.2">
      <c r="A389" s="1" t="s">
        <v>519</v>
      </c>
      <c r="B389" s="2" t="s">
        <v>122</v>
      </c>
      <c r="C389" s="2">
        <v>65</v>
      </c>
      <c r="D389" s="2" t="s">
        <v>109</v>
      </c>
      <c r="E389" s="2">
        <v>8503</v>
      </c>
      <c r="F389" s="2">
        <v>1</v>
      </c>
      <c r="G389" s="2">
        <v>-1</v>
      </c>
      <c r="H389" s="2">
        <v>1</v>
      </c>
      <c r="I389" s="2">
        <v>3</v>
      </c>
      <c r="J389" s="2">
        <v>2</v>
      </c>
      <c r="K389" s="2">
        <v>5</v>
      </c>
      <c r="L389" s="2">
        <v>0</v>
      </c>
      <c r="M389" s="2">
        <v>0</v>
      </c>
      <c r="N389" s="2">
        <v>0</v>
      </c>
      <c r="O389" s="2">
        <v>1</v>
      </c>
      <c r="P389" s="2">
        <v>0</v>
      </c>
      <c r="Q389">
        <v>0</v>
      </c>
      <c r="R389">
        <v>0</v>
      </c>
      <c r="S389">
        <v>3</v>
      </c>
      <c r="T389">
        <v>1</v>
      </c>
      <c r="U389">
        <v>1</v>
      </c>
      <c r="V389">
        <v>0</v>
      </c>
      <c r="W389">
        <v>0</v>
      </c>
      <c r="X389">
        <v>286</v>
      </c>
      <c r="Y389" t="s">
        <v>101</v>
      </c>
    </row>
    <row r="390" spans="1:25" ht="16" customHeight="1" x14ac:dyDescent="0.2">
      <c r="A390" s="1" t="s">
        <v>520</v>
      </c>
      <c r="B390" s="2" t="s">
        <v>141</v>
      </c>
      <c r="C390" s="2">
        <v>65</v>
      </c>
      <c r="D390" s="2" t="s">
        <v>112</v>
      </c>
      <c r="E390" s="2">
        <v>1559</v>
      </c>
      <c r="F390" s="2">
        <v>1</v>
      </c>
      <c r="G390" s="2">
        <v>-1</v>
      </c>
      <c r="H390" s="2">
        <v>5</v>
      </c>
      <c r="I390" s="2">
        <v>2</v>
      </c>
      <c r="J390" s="2">
        <v>1</v>
      </c>
      <c r="K390" s="2">
        <v>4</v>
      </c>
      <c r="L390" s="2">
        <v>1</v>
      </c>
      <c r="M390" s="2">
        <v>1</v>
      </c>
      <c r="N390" s="2">
        <v>0</v>
      </c>
      <c r="O390" s="2">
        <v>1</v>
      </c>
      <c r="P390" s="2">
        <v>1</v>
      </c>
      <c r="Q390">
        <v>0</v>
      </c>
      <c r="R390">
        <v>0</v>
      </c>
      <c r="S390">
        <v>4</v>
      </c>
      <c r="T390">
        <v>1</v>
      </c>
      <c r="U390">
        <v>1</v>
      </c>
      <c r="V390">
        <v>0</v>
      </c>
      <c r="W390">
        <v>1</v>
      </c>
      <c r="X390">
        <v>258</v>
      </c>
      <c r="Y390" t="s">
        <v>101</v>
      </c>
    </row>
    <row r="391" spans="1:25" ht="16" customHeight="1" x14ac:dyDescent="0.2">
      <c r="A391" s="1" t="s">
        <v>521</v>
      </c>
      <c r="B391" s="2" t="s">
        <v>128</v>
      </c>
      <c r="C391" s="2">
        <v>65</v>
      </c>
      <c r="D391" s="2" t="s">
        <v>115</v>
      </c>
      <c r="E391" s="2">
        <v>7030</v>
      </c>
      <c r="F391" s="2">
        <v>0</v>
      </c>
      <c r="G391" s="2">
        <v>-1</v>
      </c>
      <c r="H391" s="2">
        <v>3</v>
      </c>
      <c r="I391" s="2">
        <v>1</v>
      </c>
      <c r="J391" s="2">
        <v>1</v>
      </c>
      <c r="K391" s="2">
        <v>4</v>
      </c>
      <c r="L391" s="2">
        <v>0</v>
      </c>
      <c r="M391" s="2">
        <v>0</v>
      </c>
      <c r="N391" s="2">
        <v>1</v>
      </c>
      <c r="O391" s="2">
        <v>1</v>
      </c>
      <c r="P391" s="2">
        <v>0</v>
      </c>
      <c r="Q391">
        <v>0</v>
      </c>
      <c r="R391">
        <v>0</v>
      </c>
      <c r="S391">
        <v>3</v>
      </c>
      <c r="T391">
        <v>-1</v>
      </c>
      <c r="U391">
        <v>0</v>
      </c>
      <c r="V391">
        <v>0</v>
      </c>
      <c r="W391">
        <v>0</v>
      </c>
      <c r="X391">
        <v>371</v>
      </c>
      <c r="Y391" t="s">
        <v>101</v>
      </c>
    </row>
    <row r="392" spans="1:25" ht="16" customHeight="1" x14ac:dyDescent="0.2">
      <c r="A392" s="1" t="s">
        <v>522</v>
      </c>
      <c r="B392" s="2" t="s">
        <v>172</v>
      </c>
      <c r="C392" s="2">
        <v>66</v>
      </c>
      <c r="D392" s="2" t="s">
        <v>100</v>
      </c>
      <c r="E392" s="2">
        <v>6947</v>
      </c>
      <c r="F392" s="2">
        <v>1</v>
      </c>
      <c r="G392" s="2">
        <v>-1</v>
      </c>
      <c r="H392" s="2">
        <v>1</v>
      </c>
      <c r="I392" s="2">
        <v>1</v>
      </c>
      <c r="J392" s="2">
        <v>1</v>
      </c>
      <c r="K392" s="2">
        <v>2</v>
      </c>
      <c r="L392" s="2">
        <v>0</v>
      </c>
      <c r="M392" s="2">
        <v>0</v>
      </c>
      <c r="N392" s="2">
        <v>1</v>
      </c>
      <c r="O392" s="2">
        <v>1</v>
      </c>
      <c r="P392" s="2">
        <v>0</v>
      </c>
      <c r="Q392">
        <v>1</v>
      </c>
      <c r="R392">
        <v>0</v>
      </c>
      <c r="S392">
        <v>3</v>
      </c>
      <c r="T392">
        <v>-1</v>
      </c>
      <c r="U392">
        <v>1</v>
      </c>
      <c r="V392">
        <v>1</v>
      </c>
      <c r="W392">
        <v>0</v>
      </c>
      <c r="X392">
        <v>79</v>
      </c>
      <c r="Y392" t="s">
        <v>101</v>
      </c>
    </row>
    <row r="393" spans="1:25" ht="16" customHeight="1" x14ac:dyDescent="0.2">
      <c r="A393" s="1" t="s">
        <v>523</v>
      </c>
      <c r="B393" s="2" t="s">
        <v>117</v>
      </c>
      <c r="C393" s="2">
        <v>66</v>
      </c>
      <c r="D393" s="2" t="s">
        <v>103</v>
      </c>
      <c r="E393" s="2">
        <v>3003</v>
      </c>
      <c r="F393" s="2">
        <v>0</v>
      </c>
      <c r="G393" s="2">
        <v>-1</v>
      </c>
      <c r="H393" s="2">
        <v>2</v>
      </c>
      <c r="I393" s="2">
        <v>2</v>
      </c>
      <c r="J393" s="2">
        <v>2</v>
      </c>
      <c r="K393" s="2">
        <v>1</v>
      </c>
      <c r="L393" s="2">
        <v>0</v>
      </c>
      <c r="M393" s="2">
        <v>1</v>
      </c>
      <c r="N393" s="2">
        <v>0</v>
      </c>
      <c r="O393" s="2">
        <v>0</v>
      </c>
      <c r="P393" s="2">
        <v>1</v>
      </c>
      <c r="Q393">
        <v>1</v>
      </c>
      <c r="R393">
        <v>0</v>
      </c>
      <c r="S393">
        <v>1</v>
      </c>
      <c r="T393">
        <v>-1</v>
      </c>
      <c r="U393">
        <v>0</v>
      </c>
      <c r="V393">
        <v>1</v>
      </c>
      <c r="W393">
        <v>1</v>
      </c>
      <c r="X393">
        <v>192</v>
      </c>
      <c r="Y393" t="s">
        <v>101</v>
      </c>
    </row>
    <row r="394" spans="1:25" ht="16" customHeight="1" x14ac:dyDescent="0.2">
      <c r="A394" s="1" t="s">
        <v>524</v>
      </c>
      <c r="B394" s="2" t="s">
        <v>161</v>
      </c>
      <c r="C394" s="2">
        <v>66</v>
      </c>
      <c r="D394" s="2" t="s">
        <v>106</v>
      </c>
      <c r="E394" s="2">
        <v>340</v>
      </c>
      <c r="F394" s="2">
        <v>0</v>
      </c>
      <c r="G394" s="2">
        <v>1</v>
      </c>
      <c r="H394" s="2">
        <v>5</v>
      </c>
      <c r="I394" s="2">
        <v>3</v>
      </c>
      <c r="J394" s="2">
        <v>3</v>
      </c>
      <c r="K394" s="2">
        <v>2</v>
      </c>
      <c r="L394" s="2">
        <v>1</v>
      </c>
      <c r="M394" s="2">
        <v>1</v>
      </c>
      <c r="N394" s="2">
        <v>0</v>
      </c>
      <c r="O394" s="2">
        <v>1</v>
      </c>
      <c r="P394" s="2">
        <v>1</v>
      </c>
      <c r="Q394">
        <v>1</v>
      </c>
      <c r="R394">
        <v>1</v>
      </c>
      <c r="S394">
        <v>-1</v>
      </c>
      <c r="T394">
        <v>1</v>
      </c>
      <c r="U394">
        <v>0</v>
      </c>
      <c r="V394">
        <v>0</v>
      </c>
      <c r="W394">
        <v>0</v>
      </c>
      <c r="X394">
        <v>431</v>
      </c>
      <c r="Y394" t="s">
        <v>101</v>
      </c>
    </row>
    <row r="395" spans="1:25" ht="16" customHeight="1" x14ac:dyDescent="0.2">
      <c r="A395" s="1" t="s">
        <v>525</v>
      </c>
      <c r="B395" s="2" t="s">
        <v>99</v>
      </c>
      <c r="C395" s="2">
        <v>66</v>
      </c>
      <c r="D395" s="2" t="s">
        <v>109</v>
      </c>
      <c r="E395" s="2">
        <v>1591</v>
      </c>
      <c r="F395" s="2">
        <v>0</v>
      </c>
      <c r="G395" s="2">
        <v>1</v>
      </c>
      <c r="H395" s="2">
        <v>5</v>
      </c>
      <c r="I395" s="2">
        <v>2</v>
      </c>
      <c r="J395" s="2">
        <v>1</v>
      </c>
      <c r="K395" s="2">
        <v>4</v>
      </c>
      <c r="L395" s="2">
        <v>1</v>
      </c>
      <c r="M395" s="2">
        <v>1</v>
      </c>
      <c r="N395" s="2">
        <v>0</v>
      </c>
      <c r="O395" s="2">
        <v>0</v>
      </c>
      <c r="P395" s="2">
        <v>1</v>
      </c>
      <c r="Q395">
        <v>1</v>
      </c>
      <c r="R395">
        <v>1</v>
      </c>
      <c r="S395">
        <v>3</v>
      </c>
      <c r="T395">
        <v>0</v>
      </c>
      <c r="U395">
        <v>1</v>
      </c>
      <c r="V395">
        <v>1</v>
      </c>
      <c r="W395">
        <v>1</v>
      </c>
      <c r="X395">
        <v>435</v>
      </c>
      <c r="Y395" t="s">
        <v>101</v>
      </c>
    </row>
    <row r="396" spans="1:25" ht="16" customHeight="1" x14ac:dyDescent="0.2">
      <c r="A396" s="1" t="s">
        <v>526</v>
      </c>
      <c r="B396" s="2" t="s">
        <v>181</v>
      </c>
      <c r="C396" s="2">
        <v>66</v>
      </c>
      <c r="D396" s="2" t="s">
        <v>112</v>
      </c>
      <c r="E396" s="2">
        <v>20</v>
      </c>
      <c r="F396" s="2">
        <v>1</v>
      </c>
      <c r="G396" s="2">
        <v>0</v>
      </c>
      <c r="H396" s="2">
        <v>1</v>
      </c>
      <c r="I396" s="2">
        <v>2</v>
      </c>
      <c r="J396" s="2">
        <v>3</v>
      </c>
      <c r="K396" s="2">
        <v>4</v>
      </c>
      <c r="L396" s="2">
        <v>1</v>
      </c>
      <c r="M396" s="2">
        <v>1</v>
      </c>
      <c r="N396" s="2">
        <v>0</v>
      </c>
      <c r="O396" s="2">
        <v>1</v>
      </c>
      <c r="P396" s="2">
        <v>1</v>
      </c>
      <c r="Q396">
        <v>1</v>
      </c>
      <c r="R396">
        <v>0</v>
      </c>
      <c r="S396">
        <v>4</v>
      </c>
      <c r="T396">
        <v>1</v>
      </c>
      <c r="U396">
        <v>0</v>
      </c>
      <c r="V396">
        <v>1</v>
      </c>
      <c r="W396">
        <v>0</v>
      </c>
      <c r="X396">
        <v>428</v>
      </c>
      <c r="Y396" t="s">
        <v>101</v>
      </c>
    </row>
    <row r="397" spans="1:25" ht="16" customHeight="1" x14ac:dyDescent="0.2">
      <c r="A397" s="1" t="s">
        <v>527</v>
      </c>
      <c r="B397" s="2" t="s">
        <v>191</v>
      </c>
      <c r="C397" s="2">
        <v>66</v>
      </c>
      <c r="D397" s="2" t="s">
        <v>115</v>
      </c>
      <c r="E397" s="2">
        <v>2228</v>
      </c>
      <c r="F397" s="2">
        <v>1</v>
      </c>
      <c r="G397" s="2">
        <v>-1</v>
      </c>
      <c r="H397" s="2">
        <v>2</v>
      </c>
      <c r="I397" s="2">
        <v>2</v>
      </c>
      <c r="J397" s="2">
        <v>1</v>
      </c>
      <c r="K397" s="2">
        <v>3</v>
      </c>
      <c r="L397" s="2">
        <v>0</v>
      </c>
      <c r="M397" s="2">
        <v>0</v>
      </c>
      <c r="N397" s="2">
        <v>1</v>
      </c>
      <c r="O397" s="2">
        <v>0</v>
      </c>
      <c r="P397" s="2">
        <v>1</v>
      </c>
      <c r="Q397">
        <v>0</v>
      </c>
      <c r="R397">
        <v>1</v>
      </c>
      <c r="S397">
        <v>4</v>
      </c>
      <c r="T397">
        <v>1</v>
      </c>
      <c r="U397">
        <v>0</v>
      </c>
      <c r="V397">
        <v>0</v>
      </c>
      <c r="W397">
        <v>0</v>
      </c>
      <c r="X397">
        <v>191</v>
      </c>
      <c r="Y397" t="s">
        <v>101</v>
      </c>
    </row>
    <row r="398" spans="1:25" ht="16" customHeight="1" x14ac:dyDescent="0.2">
      <c r="A398" s="1" t="s">
        <v>528</v>
      </c>
      <c r="B398" s="2" t="s">
        <v>114</v>
      </c>
      <c r="C398" s="2">
        <v>67</v>
      </c>
      <c r="D398" s="2" t="s">
        <v>100</v>
      </c>
      <c r="E398" s="2">
        <v>1511</v>
      </c>
      <c r="F398" s="2">
        <v>1</v>
      </c>
      <c r="G398" s="2">
        <v>-1</v>
      </c>
      <c r="H398" s="2">
        <v>3</v>
      </c>
      <c r="I398" s="2">
        <v>2</v>
      </c>
      <c r="J398" s="2">
        <v>3</v>
      </c>
      <c r="K398" s="2">
        <v>2</v>
      </c>
      <c r="L398" s="2">
        <v>1</v>
      </c>
      <c r="M398" s="2">
        <v>1</v>
      </c>
      <c r="N398" s="2">
        <v>1</v>
      </c>
      <c r="O398" s="2">
        <v>0</v>
      </c>
      <c r="P398" s="2">
        <v>1</v>
      </c>
      <c r="Q398">
        <v>0</v>
      </c>
      <c r="R398">
        <v>1</v>
      </c>
      <c r="S398">
        <v>2</v>
      </c>
      <c r="T398">
        <v>-1</v>
      </c>
      <c r="U398">
        <v>1</v>
      </c>
      <c r="V398">
        <v>1</v>
      </c>
      <c r="W398">
        <v>0</v>
      </c>
      <c r="X398">
        <v>178</v>
      </c>
      <c r="Y398" t="s">
        <v>101</v>
      </c>
    </row>
    <row r="399" spans="1:25" ht="16" customHeight="1" x14ac:dyDescent="0.2">
      <c r="A399" s="1" t="s">
        <v>529</v>
      </c>
      <c r="B399" s="2" t="s">
        <v>108</v>
      </c>
      <c r="C399" s="2">
        <v>67</v>
      </c>
      <c r="D399" s="2" t="s">
        <v>103</v>
      </c>
      <c r="E399" s="2">
        <v>3015</v>
      </c>
      <c r="F399" s="2">
        <v>0</v>
      </c>
      <c r="G399" s="2">
        <v>0</v>
      </c>
      <c r="H399" s="2">
        <v>5</v>
      </c>
      <c r="I399" s="2">
        <v>1</v>
      </c>
      <c r="J399" s="2">
        <v>1</v>
      </c>
      <c r="K399" s="2">
        <v>5</v>
      </c>
      <c r="L399" s="2">
        <v>0</v>
      </c>
      <c r="M399" s="2">
        <v>0</v>
      </c>
      <c r="N399" s="2">
        <v>1</v>
      </c>
      <c r="O399" s="2">
        <v>1</v>
      </c>
      <c r="P399" s="2">
        <v>1</v>
      </c>
      <c r="Q399">
        <v>1</v>
      </c>
      <c r="R399">
        <v>0</v>
      </c>
      <c r="S399">
        <v>2</v>
      </c>
      <c r="T399">
        <v>1</v>
      </c>
      <c r="U399">
        <v>0</v>
      </c>
      <c r="V399">
        <v>1</v>
      </c>
      <c r="W399">
        <v>1</v>
      </c>
      <c r="X399">
        <v>62</v>
      </c>
      <c r="Y399" t="s">
        <v>101</v>
      </c>
    </row>
    <row r="400" spans="1:25" ht="16" customHeight="1" x14ac:dyDescent="0.2">
      <c r="A400" s="1" t="s">
        <v>530</v>
      </c>
      <c r="B400" s="2" t="s">
        <v>126</v>
      </c>
      <c r="C400" s="2">
        <v>67</v>
      </c>
      <c r="D400" s="2" t="s">
        <v>106</v>
      </c>
      <c r="E400" s="2">
        <v>5590</v>
      </c>
      <c r="F400" s="2">
        <v>1</v>
      </c>
      <c r="G400" s="2">
        <v>1</v>
      </c>
      <c r="H400" s="2">
        <v>5</v>
      </c>
      <c r="I400" s="2">
        <v>2</v>
      </c>
      <c r="J400" s="2">
        <v>3</v>
      </c>
      <c r="K400" s="2">
        <v>4</v>
      </c>
      <c r="L400" s="2">
        <v>1</v>
      </c>
      <c r="M400" s="2">
        <v>1</v>
      </c>
      <c r="N400" s="2">
        <v>0</v>
      </c>
      <c r="O400" s="2">
        <v>1</v>
      </c>
      <c r="P400" s="2">
        <v>0</v>
      </c>
      <c r="Q400">
        <v>0</v>
      </c>
      <c r="R400">
        <v>1</v>
      </c>
      <c r="S400">
        <v>2</v>
      </c>
      <c r="T400">
        <v>1</v>
      </c>
      <c r="U400">
        <v>0</v>
      </c>
      <c r="V400">
        <v>1</v>
      </c>
      <c r="W400">
        <v>1</v>
      </c>
      <c r="X400">
        <v>261</v>
      </c>
      <c r="Y400" t="s">
        <v>101</v>
      </c>
    </row>
    <row r="401" spans="1:25" ht="16" customHeight="1" x14ac:dyDescent="0.2">
      <c r="A401" s="1" t="s">
        <v>531</v>
      </c>
      <c r="B401" s="2" t="s">
        <v>117</v>
      </c>
      <c r="C401" s="2">
        <v>67</v>
      </c>
      <c r="D401" s="2" t="s">
        <v>109</v>
      </c>
      <c r="E401" s="2">
        <v>432</v>
      </c>
      <c r="F401" s="2">
        <v>1</v>
      </c>
      <c r="G401" s="2">
        <v>1</v>
      </c>
      <c r="H401" s="2">
        <v>4</v>
      </c>
      <c r="I401" s="2">
        <v>3</v>
      </c>
      <c r="J401" s="2">
        <v>1</v>
      </c>
      <c r="K401" s="2">
        <v>3</v>
      </c>
      <c r="L401" s="2">
        <v>0</v>
      </c>
      <c r="M401" s="2">
        <v>1</v>
      </c>
      <c r="N401" s="2">
        <v>1</v>
      </c>
      <c r="O401" s="2">
        <v>1</v>
      </c>
      <c r="P401" s="2">
        <v>0</v>
      </c>
      <c r="Q401">
        <v>0</v>
      </c>
      <c r="R401">
        <v>1</v>
      </c>
      <c r="S401">
        <v>-1</v>
      </c>
      <c r="T401">
        <v>0</v>
      </c>
      <c r="U401">
        <v>0</v>
      </c>
      <c r="V401">
        <v>1</v>
      </c>
      <c r="W401">
        <v>0</v>
      </c>
      <c r="X401">
        <v>315</v>
      </c>
      <c r="Y401" t="s">
        <v>101</v>
      </c>
    </row>
    <row r="402" spans="1:25" ht="16" customHeight="1" x14ac:dyDescent="0.2">
      <c r="A402" s="1" t="s">
        <v>532</v>
      </c>
      <c r="B402" s="2" t="s">
        <v>252</v>
      </c>
      <c r="C402" s="2">
        <v>67</v>
      </c>
      <c r="D402" s="2" t="s">
        <v>112</v>
      </c>
      <c r="E402" s="2">
        <v>424</v>
      </c>
      <c r="F402" s="2">
        <v>1</v>
      </c>
      <c r="G402" s="2">
        <v>1</v>
      </c>
      <c r="H402" s="2">
        <v>2</v>
      </c>
      <c r="I402" s="2">
        <v>1</v>
      </c>
      <c r="J402" s="2">
        <v>1</v>
      </c>
      <c r="K402" s="2">
        <v>4</v>
      </c>
      <c r="L402" s="2">
        <v>1</v>
      </c>
      <c r="M402" s="2">
        <v>1</v>
      </c>
      <c r="N402" s="2">
        <v>0</v>
      </c>
      <c r="O402" s="2">
        <v>0</v>
      </c>
      <c r="P402" s="2">
        <v>1</v>
      </c>
      <c r="Q402">
        <v>0</v>
      </c>
      <c r="R402">
        <v>0</v>
      </c>
      <c r="S402">
        <v>4</v>
      </c>
      <c r="T402">
        <v>0</v>
      </c>
      <c r="U402">
        <v>0</v>
      </c>
      <c r="V402">
        <v>1</v>
      </c>
      <c r="W402">
        <v>1</v>
      </c>
      <c r="X402">
        <v>189</v>
      </c>
      <c r="Y402" t="s">
        <v>101</v>
      </c>
    </row>
    <row r="403" spans="1:25" ht="16" customHeight="1" x14ac:dyDescent="0.2">
      <c r="A403" s="1" t="s">
        <v>533</v>
      </c>
      <c r="B403" s="2" t="s">
        <v>122</v>
      </c>
      <c r="C403" s="2">
        <v>67</v>
      </c>
      <c r="D403" s="2" t="s">
        <v>115</v>
      </c>
      <c r="E403" s="2">
        <v>694</v>
      </c>
      <c r="F403" s="2">
        <v>1</v>
      </c>
      <c r="G403" s="2">
        <v>1</v>
      </c>
      <c r="H403" s="2">
        <v>1</v>
      </c>
      <c r="I403" s="2">
        <v>1</v>
      </c>
      <c r="J403" s="2">
        <v>2</v>
      </c>
      <c r="K403" s="2">
        <v>4</v>
      </c>
      <c r="L403" s="2">
        <v>0</v>
      </c>
      <c r="M403" s="2">
        <v>1</v>
      </c>
      <c r="N403" s="2">
        <v>1</v>
      </c>
      <c r="O403" s="2">
        <v>1</v>
      </c>
      <c r="P403" s="2">
        <v>1</v>
      </c>
      <c r="Q403">
        <v>0</v>
      </c>
      <c r="R403">
        <v>1</v>
      </c>
      <c r="S403">
        <v>1</v>
      </c>
      <c r="T403">
        <v>0</v>
      </c>
      <c r="U403">
        <v>1</v>
      </c>
      <c r="V403">
        <v>0</v>
      </c>
      <c r="W403">
        <v>0</v>
      </c>
      <c r="X403">
        <v>256</v>
      </c>
      <c r="Y403" t="s">
        <v>101</v>
      </c>
    </row>
    <row r="404" spans="1:25" ht="16" customHeight="1" x14ac:dyDescent="0.2">
      <c r="A404" s="1" t="s">
        <v>534</v>
      </c>
      <c r="B404" s="2" t="s">
        <v>181</v>
      </c>
      <c r="C404" s="2">
        <v>68</v>
      </c>
      <c r="D404" s="2" t="s">
        <v>100</v>
      </c>
      <c r="E404" s="2">
        <v>3838</v>
      </c>
      <c r="F404" s="2">
        <v>1</v>
      </c>
      <c r="G404" s="2">
        <v>-1</v>
      </c>
      <c r="H404" s="2">
        <v>1</v>
      </c>
      <c r="I404" s="2">
        <v>1</v>
      </c>
      <c r="J404" s="2">
        <v>1</v>
      </c>
      <c r="K404" s="2">
        <v>3</v>
      </c>
      <c r="L404" s="2">
        <v>1</v>
      </c>
      <c r="M404" s="2">
        <v>1</v>
      </c>
      <c r="N404" s="2">
        <v>0</v>
      </c>
      <c r="O404" s="2">
        <v>0</v>
      </c>
      <c r="P404" s="2">
        <v>1</v>
      </c>
      <c r="Q404">
        <v>1</v>
      </c>
      <c r="R404">
        <v>0</v>
      </c>
      <c r="S404">
        <v>4</v>
      </c>
      <c r="T404">
        <v>1</v>
      </c>
      <c r="U404">
        <v>0</v>
      </c>
      <c r="V404">
        <v>1</v>
      </c>
      <c r="W404">
        <v>1</v>
      </c>
      <c r="X404">
        <v>224</v>
      </c>
      <c r="Y404" t="s">
        <v>101</v>
      </c>
    </row>
    <row r="405" spans="1:25" ht="16" customHeight="1" x14ac:dyDescent="0.2">
      <c r="A405" s="1" t="s">
        <v>535</v>
      </c>
      <c r="B405" s="2" t="s">
        <v>136</v>
      </c>
      <c r="C405" s="2">
        <v>68</v>
      </c>
      <c r="D405" s="2" t="s">
        <v>103</v>
      </c>
      <c r="E405" s="2">
        <v>578</v>
      </c>
      <c r="F405" s="2">
        <v>1</v>
      </c>
      <c r="G405" s="2">
        <v>-1</v>
      </c>
      <c r="H405" s="2">
        <v>4</v>
      </c>
      <c r="I405" s="2">
        <v>1</v>
      </c>
      <c r="J405" s="2">
        <v>2</v>
      </c>
      <c r="K405" s="2">
        <v>3</v>
      </c>
      <c r="L405" s="2">
        <v>0</v>
      </c>
      <c r="M405" s="2">
        <v>1</v>
      </c>
      <c r="N405" s="2">
        <v>1</v>
      </c>
      <c r="O405" s="2">
        <v>1</v>
      </c>
      <c r="P405" s="2">
        <v>1</v>
      </c>
      <c r="Q405">
        <v>1</v>
      </c>
      <c r="R405">
        <v>1</v>
      </c>
      <c r="S405">
        <v>1</v>
      </c>
      <c r="T405">
        <v>0</v>
      </c>
      <c r="U405">
        <v>0</v>
      </c>
      <c r="V405">
        <v>0</v>
      </c>
      <c r="W405">
        <v>1</v>
      </c>
      <c r="X405">
        <v>382</v>
      </c>
      <c r="Y405" t="s">
        <v>101</v>
      </c>
    </row>
    <row r="406" spans="1:25" ht="16" customHeight="1" x14ac:dyDescent="0.2">
      <c r="A406" s="1" t="s">
        <v>536</v>
      </c>
      <c r="B406" s="2" t="s">
        <v>170</v>
      </c>
      <c r="C406" s="2">
        <v>68</v>
      </c>
      <c r="D406" s="2" t="s">
        <v>106</v>
      </c>
      <c r="E406" s="2">
        <v>1507</v>
      </c>
      <c r="F406" s="2">
        <v>0</v>
      </c>
      <c r="G406" s="2">
        <v>1</v>
      </c>
      <c r="H406" s="2">
        <v>3</v>
      </c>
      <c r="I406" s="2">
        <v>3</v>
      </c>
      <c r="J406" s="2">
        <v>2</v>
      </c>
      <c r="K406" s="2">
        <v>2</v>
      </c>
      <c r="L406" s="2">
        <v>0</v>
      </c>
      <c r="M406" s="2">
        <v>0</v>
      </c>
      <c r="N406" s="2">
        <v>0</v>
      </c>
      <c r="O406" s="2">
        <v>0</v>
      </c>
      <c r="P406" s="2">
        <v>0</v>
      </c>
      <c r="Q406">
        <v>0</v>
      </c>
      <c r="R406">
        <v>1</v>
      </c>
      <c r="S406">
        <v>-1</v>
      </c>
      <c r="T406">
        <v>1</v>
      </c>
      <c r="U406">
        <v>1</v>
      </c>
      <c r="V406">
        <v>0</v>
      </c>
      <c r="W406">
        <v>1</v>
      </c>
      <c r="X406">
        <v>390</v>
      </c>
      <c r="Y406" t="s">
        <v>101</v>
      </c>
    </row>
    <row r="407" spans="1:25" ht="16" customHeight="1" x14ac:dyDescent="0.2">
      <c r="A407" s="1" t="s">
        <v>537</v>
      </c>
      <c r="B407" s="2" t="s">
        <v>122</v>
      </c>
      <c r="C407" s="2">
        <v>68</v>
      </c>
      <c r="D407" s="2" t="s">
        <v>109</v>
      </c>
      <c r="E407" s="2">
        <v>6423</v>
      </c>
      <c r="F407" s="2">
        <v>1</v>
      </c>
      <c r="G407" s="2">
        <v>-1</v>
      </c>
      <c r="H407" s="2">
        <v>5</v>
      </c>
      <c r="I407" s="2">
        <v>3</v>
      </c>
      <c r="J407" s="2">
        <v>3</v>
      </c>
      <c r="K407" s="2">
        <v>5</v>
      </c>
      <c r="L407" s="2">
        <v>1</v>
      </c>
      <c r="M407" s="2">
        <v>0</v>
      </c>
      <c r="N407" s="2">
        <v>1</v>
      </c>
      <c r="O407" s="2">
        <v>1</v>
      </c>
      <c r="P407" s="2">
        <v>1</v>
      </c>
      <c r="Q407">
        <v>1</v>
      </c>
      <c r="R407">
        <v>1</v>
      </c>
      <c r="S407">
        <v>1</v>
      </c>
      <c r="T407">
        <v>1</v>
      </c>
      <c r="U407">
        <v>0</v>
      </c>
      <c r="V407">
        <v>1</v>
      </c>
      <c r="W407">
        <v>0</v>
      </c>
      <c r="X407">
        <v>115</v>
      </c>
      <c r="Y407" t="s">
        <v>101</v>
      </c>
    </row>
    <row r="408" spans="1:25" ht="16" customHeight="1" x14ac:dyDescent="0.2">
      <c r="A408" s="1" t="s">
        <v>538</v>
      </c>
      <c r="B408" s="2" t="s">
        <v>161</v>
      </c>
      <c r="C408" s="2">
        <v>68</v>
      </c>
      <c r="D408" s="2" t="s">
        <v>112</v>
      </c>
      <c r="E408" s="2">
        <v>1585</v>
      </c>
      <c r="F408" s="2">
        <v>1</v>
      </c>
      <c r="G408" s="2">
        <v>0</v>
      </c>
      <c r="H408" s="2">
        <v>5</v>
      </c>
      <c r="I408" s="2">
        <v>3</v>
      </c>
      <c r="J408" s="2">
        <v>1</v>
      </c>
      <c r="K408" s="2">
        <v>3</v>
      </c>
      <c r="L408" s="2">
        <v>0</v>
      </c>
      <c r="M408" s="2">
        <v>0</v>
      </c>
      <c r="N408" s="2">
        <v>0</v>
      </c>
      <c r="O408" s="2">
        <v>0</v>
      </c>
      <c r="P408" s="2">
        <v>0</v>
      </c>
      <c r="Q408">
        <v>1</v>
      </c>
      <c r="R408">
        <v>1</v>
      </c>
      <c r="S408">
        <v>3</v>
      </c>
      <c r="T408">
        <v>1</v>
      </c>
      <c r="U408">
        <v>0</v>
      </c>
      <c r="V408">
        <v>1</v>
      </c>
      <c r="W408">
        <v>0</v>
      </c>
      <c r="X408">
        <v>321</v>
      </c>
      <c r="Y408" t="s">
        <v>101</v>
      </c>
    </row>
    <row r="409" spans="1:25" ht="16" customHeight="1" x14ac:dyDescent="0.2">
      <c r="A409" s="1" t="s">
        <v>539</v>
      </c>
      <c r="B409" s="2" t="s">
        <v>144</v>
      </c>
      <c r="C409" s="2">
        <v>68</v>
      </c>
      <c r="D409" s="2" t="s">
        <v>115</v>
      </c>
      <c r="E409" s="2">
        <v>10223</v>
      </c>
      <c r="F409" s="2">
        <v>1</v>
      </c>
      <c r="G409" s="2">
        <v>0</v>
      </c>
      <c r="H409" s="2">
        <v>2</v>
      </c>
      <c r="I409" s="2">
        <v>2</v>
      </c>
      <c r="J409" s="2">
        <v>2</v>
      </c>
      <c r="K409" s="2">
        <v>4</v>
      </c>
      <c r="L409" s="2">
        <v>1</v>
      </c>
      <c r="M409" s="2">
        <v>0</v>
      </c>
      <c r="N409" s="2">
        <v>0</v>
      </c>
      <c r="O409" s="2">
        <v>0</v>
      </c>
      <c r="P409" s="2">
        <v>1</v>
      </c>
      <c r="Q409">
        <v>0</v>
      </c>
      <c r="R409">
        <v>1</v>
      </c>
      <c r="S409">
        <v>-1</v>
      </c>
      <c r="T409">
        <v>1</v>
      </c>
      <c r="U409">
        <v>0</v>
      </c>
      <c r="V409">
        <v>1</v>
      </c>
      <c r="W409">
        <v>0</v>
      </c>
      <c r="X409">
        <v>40</v>
      </c>
      <c r="Y409" t="s">
        <v>101</v>
      </c>
    </row>
    <row r="410" spans="1:25" ht="16" customHeight="1" x14ac:dyDescent="0.2">
      <c r="A410" s="1" t="s">
        <v>540</v>
      </c>
      <c r="B410" s="2" t="s">
        <v>172</v>
      </c>
      <c r="C410" s="2">
        <v>69</v>
      </c>
      <c r="D410" s="2" t="s">
        <v>100</v>
      </c>
      <c r="E410" s="2">
        <v>1405</v>
      </c>
      <c r="F410" s="2">
        <v>1</v>
      </c>
      <c r="G410" s="2">
        <v>0</v>
      </c>
      <c r="H410" s="2">
        <v>2</v>
      </c>
      <c r="I410" s="2">
        <v>3</v>
      </c>
      <c r="J410" s="2">
        <v>2</v>
      </c>
      <c r="K410" s="2">
        <v>5</v>
      </c>
      <c r="L410" s="2">
        <v>0</v>
      </c>
      <c r="M410" s="2">
        <v>1</v>
      </c>
      <c r="N410" s="2">
        <v>0</v>
      </c>
      <c r="O410" s="2">
        <v>1</v>
      </c>
      <c r="P410" s="2">
        <v>1</v>
      </c>
      <c r="Q410">
        <v>0</v>
      </c>
      <c r="R410">
        <v>0</v>
      </c>
      <c r="S410">
        <v>2</v>
      </c>
      <c r="T410">
        <v>1</v>
      </c>
      <c r="U410">
        <v>0</v>
      </c>
      <c r="V410">
        <v>0</v>
      </c>
      <c r="W410">
        <v>1</v>
      </c>
      <c r="X410">
        <v>426</v>
      </c>
      <c r="Y410" t="s">
        <v>101</v>
      </c>
    </row>
    <row r="411" spans="1:25" ht="16" customHeight="1" x14ac:dyDescent="0.2">
      <c r="A411" s="1" t="s">
        <v>541</v>
      </c>
      <c r="B411" s="2" t="s">
        <v>119</v>
      </c>
      <c r="C411" s="2">
        <v>69</v>
      </c>
      <c r="D411" s="2" t="s">
        <v>103</v>
      </c>
      <c r="E411" s="2">
        <v>6868</v>
      </c>
      <c r="F411" s="2">
        <v>1</v>
      </c>
      <c r="G411" s="2">
        <v>1</v>
      </c>
      <c r="H411" s="2">
        <v>5</v>
      </c>
      <c r="I411" s="2">
        <v>3</v>
      </c>
      <c r="J411" s="2">
        <v>3</v>
      </c>
      <c r="K411" s="2">
        <v>4</v>
      </c>
      <c r="L411" s="2">
        <v>0</v>
      </c>
      <c r="M411" s="2">
        <v>0</v>
      </c>
      <c r="N411" s="2">
        <v>0</v>
      </c>
      <c r="O411" s="2">
        <v>1</v>
      </c>
      <c r="P411" s="2">
        <v>1</v>
      </c>
      <c r="Q411">
        <v>0</v>
      </c>
      <c r="R411">
        <v>0</v>
      </c>
      <c r="S411">
        <v>-1</v>
      </c>
      <c r="T411">
        <v>0</v>
      </c>
      <c r="U411">
        <v>1</v>
      </c>
      <c r="V411">
        <v>1</v>
      </c>
      <c r="W411">
        <v>1</v>
      </c>
      <c r="X411">
        <v>181</v>
      </c>
      <c r="Y411" t="s">
        <v>101</v>
      </c>
    </row>
    <row r="412" spans="1:25" ht="16" customHeight="1" x14ac:dyDescent="0.2">
      <c r="A412" s="1" t="s">
        <v>542</v>
      </c>
      <c r="B412" s="2" t="s">
        <v>229</v>
      </c>
      <c r="C412" s="2">
        <v>69</v>
      </c>
      <c r="D412" s="2" t="s">
        <v>106</v>
      </c>
      <c r="E412" s="2">
        <v>10922</v>
      </c>
      <c r="F412" s="2">
        <v>1</v>
      </c>
      <c r="G412" s="2">
        <v>0</v>
      </c>
      <c r="H412" s="2">
        <v>3</v>
      </c>
      <c r="I412" s="2">
        <v>1</v>
      </c>
      <c r="J412" s="2">
        <v>2</v>
      </c>
      <c r="K412" s="2">
        <v>1</v>
      </c>
      <c r="L412" s="2">
        <v>0</v>
      </c>
      <c r="M412" s="2">
        <v>1</v>
      </c>
      <c r="N412" s="2">
        <v>0</v>
      </c>
      <c r="O412" s="2">
        <v>0</v>
      </c>
      <c r="P412" s="2">
        <v>0</v>
      </c>
      <c r="Q412">
        <v>1</v>
      </c>
      <c r="R412">
        <v>1</v>
      </c>
      <c r="S412">
        <v>4</v>
      </c>
      <c r="T412">
        <v>1</v>
      </c>
      <c r="U412">
        <v>1</v>
      </c>
      <c r="V412">
        <v>1</v>
      </c>
      <c r="W412">
        <v>1</v>
      </c>
      <c r="X412">
        <v>139</v>
      </c>
      <c r="Y412" t="s">
        <v>101</v>
      </c>
    </row>
    <row r="413" spans="1:25" ht="16" customHeight="1" x14ac:dyDescent="0.2">
      <c r="A413" s="1" t="s">
        <v>543</v>
      </c>
      <c r="B413" s="2" t="s">
        <v>144</v>
      </c>
      <c r="C413" s="2">
        <v>69</v>
      </c>
      <c r="D413" s="2" t="s">
        <v>109</v>
      </c>
      <c r="E413" s="2">
        <v>3799</v>
      </c>
      <c r="F413" s="2">
        <v>0</v>
      </c>
      <c r="G413" s="2">
        <v>1</v>
      </c>
      <c r="H413" s="2">
        <v>2</v>
      </c>
      <c r="I413" s="2">
        <v>2</v>
      </c>
      <c r="J413" s="2">
        <v>2</v>
      </c>
      <c r="K413" s="2">
        <v>4</v>
      </c>
      <c r="L413" s="2">
        <v>0</v>
      </c>
      <c r="M413" s="2">
        <v>0</v>
      </c>
      <c r="N413" s="2">
        <v>1</v>
      </c>
      <c r="O413" s="2">
        <v>0</v>
      </c>
      <c r="P413" s="2">
        <v>0</v>
      </c>
      <c r="Q413">
        <v>1</v>
      </c>
      <c r="R413">
        <v>0</v>
      </c>
      <c r="S413">
        <v>-1</v>
      </c>
      <c r="T413">
        <v>-1</v>
      </c>
      <c r="U413">
        <v>1</v>
      </c>
      <c r="V413">
        <v>1</v>
      </c>
      <c r="W413">
        <v>1</v>
      </c>
      <c r="X413">
        <v>238</v>
      </c>
      <c r="Y413" t="s">
        <v>101</v>
      </c>
    </row>
    <row r="414" spans="1:25" ht="16" customHeight="1" x14ac:dyDescent="0.2">
      <c r="A414" s="1" t="s">
        <v>544</v>
      </c>
      <c r="B414" s="2" t="s">
        <v>124</v>
      </c>
      <c r="C414" s="2">
        <v>69</v>
      </c>
      <c r="D414" s="2" t="s">
        <v>112</v>
      </c>
      <c r="E414" s="2">
        <v>2340</v>
      </c>
      <c r="F414" s="2">
        <v>1</v>
      </c>
      <c r="G414" s="2">
        <v>1</v>
      </c>
      <c r="H414" s="2">
        <v>1</v>
      </c>
      <c r="I414" s="2">
        <v>2</v>
      </c>
      <c r="J414" s="2">
        <v>3</v>
      </c>
      <c r="K414" s="2">
        <v>2</v>
      </c>
      <c r="L414" s="2">
        <v>0</v>
      </c>
      <c r="M414" s="2">
        <v>0</v>
      </c>
      <c r="N414" s="2">
        <v>1</v>
      </c>
      <c r="O414" s="2">
        <v>1</v>
      </c>
      <c r="P414" s="2">
        <v>1</v>
      </c>
      <c r="Q414">
        <v>1</v>
      </c>
      <c r="R414">
        <v>1</v>
      </c>
      <c r="S414">
        <v>-1</v>
      </c>
      <c r="T414">
        <v>1</v>
      </c>
      <c r="U414">
        <v>1</v>
      </c>
      <c r="V414">
        <v>0</v>
      </c>
      <c r="W414">
        <v>0</v>
      </c>
      <c r="X414">
        <v>212</v>
      </c>
      <c r="Y414" t="s">
        <v>101</v>
      </c>
    </row>
    <row r="415" spans="1:25" ht="16" customHeight="1" x14ac:dyDescent="0.2">
      <c r="A415" s="1" t="s">
        <v>545</v>
      </c>
      <c r="B415" s="2" t="s">
        <v>179</v>
      </c>
      <c r="C415" s="2">
        <v>69</v>
      </c>
      <c r="D415" s="2" t="s">
        <v>115</v>
      </c>
      <c r="E415" s="2">
        <v>1450</v>
      </c>
      <c r="F415" s="2">
        <v>0</v>
      </c>
      <c r="G415" s="2">
        <v>0</v>
      </c>
      <c r="H415" s="2">
        <v>1</v>
      </c>
      <c r="I415" s="2">
        <v>2</v>
      </c>
      <c r="J415" s="2">
        <v>2</v>
      </c>
      <c r="K415" s="2">
        <v>3</v>
      </c>
      <c r="L415" s="2">
        <v>0</v>
      </c>
      <c r="M415" s="2">
        <v>0</v>
      </c>
      <c r="N415" s="2">
        <v>1</v>
      </c>
      <c r="O415" s="2">
        <v>1</v>
      </c>
      <c r="P415" s="2">
        <v>0</v>
      </c>
      <c r="Q415">
        <v>0</v>
      </c>
      <c r="R415">
        <v>0</v>
      </c>
      <c r="S415">
        <v>4</v>
      </c>
      <c r="T415">
        <v>-1</v>
      </c>
      <c r="U415">
        <v>0</v>
      </c>
      <c r="V415">
        <v>1</v>
      </c>
      <c r="W415">
        <v>0</v>
      </c>
      <c r="X415">
        <v>140</v>
      </c>
      <c r="Y415" t="s">
        <v>101</v>
      </c>
    </row>
    <row r="416" spans="1:25" ht="16" customHeight="1" x14ac:dyDescent="0.2">
      <c r="A416" s="1" t="s">
        <v>546</v>
      </c>
      <c r="B416" s="2" t="s">
        <v>179</v>
      </c>
      <c r="C416" s="2">
        <v>70</v>
      </c>
      <c r="D416" s="2" t="s">
        <v>100</v>
      </c>
      <c r="E416" s="2">
        <v>810</v>
      </c>
      <c r="F416" s="2">
        <v>0</v>
      </c>
      <c r="G416" s="2">
        <v>-1</v>
      </c>
      <c r="H416" s="2">
        <v>3</v>
      </c>
      <c r="I416" s="2">
        <v>1</v>
      </c>
      <c r="J416" s="2">
        <v>1</v>
      </c>
      <c r="K416" s="2">
        <v>4</v>
      </c>
      <c r="L416" s="2">
        <v>1</v>
      </c>
      <c r="M416" s="2">
        <v>0</v>
      </c>
      <c r="N416" s="2">
        <v>1</v>
      </c>
      <c r="O416" s="2">
        <v>1</v>
      </c>
      <c r="P416" s="2">
        <v>1</v>
      </c>
      <c r="Q416">
        <v>1</v>
      </c>
      <c r="R416">
        <v>1</v>
      </c>
      <c r="S416">
        <v>4</v>
      </c>
      <c r="T416">
        <v>0</v>
      </c>
      <c r="U416">
        <v>0</v>
      </c>
      <c r="V416">
        <v>1</v>
      </c>
      <c r="W416">
        <v>1</v>
      </c>
      <c r="X416">
        <v>307</v>
      </c>
      <c r="Y416" t="s">
        <v>101</v>
      </c>
    </row>
    <row r="417" spans="1:25" ht="16" customHeight="1" x14ac:dyDescent="0.2">
      <c r="A417" s="1" t="s">
        <v>547</v>
      </c>
      <c r="B417" s="2" t="s">
        <v>132</v>
      </c>
      <c r="C417" s="2">
        <v>70</v>
      </c>
      <c r="D417" s="2" t="s">
        <v>103</v>
      </c>
      <c r="E417" s="2">
        <v>9767</v>
      </c>
      <c r="F417" s="2">
        <v>0</v>
      </c>
      <c r="G417" s="2">
        <v>1</v>
      </c>
      <c r="H417" s="2">
        <v>3</v>
      </c>
      <c r="I417" s="2">
        <v>3</v>
      </c>
      <c r="J417" s="2">
        <v>1</v>
      </c>
      <c r="K417" s="2">
        <v>2</v>
      </c>
      <c r="L417" s="2">
        <v>0</v>
      </c>
      <c r="M417" s="2">
        <v>0</v>
      </c>
      <c r="N417" s="2">
        <v>0</v>
      </c>
      <c r="O417" s="2">
        <v>1</v>
      </c>
      <c r="P417" s="2">
        <v>1</v>
      </c>
      <c r="Q417">
        <v>1</v>
      </c>
      <c r="R417">
        <v>0</v>
      </c>
      <c r="S417">
        <v>3</v>
      </c>
      <c r="T417">
        <v>-1</v>
      </c>
      <c r="U417">
        <v>1</v>
      </c>
      <c r="V417">
        <v>0</v>
      </c>
      <c r="W417">
        <v>1</v>
      </c>
      <c r="X417">
        <v>431</v>
      </c>
      <c r="Y417" t="s">
        <v>101</v>
      </c>
    </row>
    <row r="418" spans="1:25" ht="16" customHeight="1" x14ac:dyDescent="0.2">
      <c r="A418" s="1" t="s">
        <v>548</v>
      </c>
      <c r="B418" s="2" t="s">
        <v>122</v>
      </c>
      <c r="C418" s="2">
        <v>70</v>
      </c>
      <c r="D418" s="2" t="s">
        <v>106</v>
      </c>
      <c r="E418" s="2">
        <v>378</v>
      </c>
      <c r="F418" s="2">
        <v>0</v>
      </c>
      <c r="G418" s="2">
        <v>1</v>
      </c>
      <c r="H418" s="2">
        <v>2</v>
      </c>
      <c r="I418" s="2">
        <v>3</v>
      </c>
      <c r="J418" s="2">
        <v>1</v>
      </c>
      <c r="K418" s="2">
        <v>1</v>
      </c>
      <c r="L418" s="2">
        <v>0</v>
      </c>
      <c r="M418" s="2">
        <v>0</v>
      </c>
      <c r="N418" s="2">
        <v>1</v>
      </c>
      <c r="O418" s="2">
        <v>1</v>
      </c>
      <c r="P418" s="2">
        <v>1</v>
      </c>
      <c r="Q418">
        <v>0</v>
      </c>
      <c r="R418">
        <v>0</v>
      </c>
      <c r="S418">
        <v>-1</v>
      </c>
      <c r="T418">
        <v>-1</v>
      </c>
      <c r="U418">
        <v>0</v>
      </c>
      <c r="V418">
        <v>0</v>
      </c>
      <c r="W418">
        <v>1</v>
      </c>
      <c r="X418">
        <v>213</v>
      </c>
      <c r="Y418" t="s">
        <v>101</v>
      </c>
    </row>
    <row r="419" spans="1:25" ht="16" customHeight="1" x14ac:dyDescent="0.2">
      <c r="A419" s="1" t="s">
        <v>549</v>
      </c>
      <c r="B419" s="2" t="s">
        <v>181</v>
      </c>
      <c r="C419" s="2">
        <v>70</v>
      </c>
      <c r="D419" s="2" t="s">
        <v>109</v>
      </c>
      <c r="E419" s="2">
        <v>9016</v>
      </c>
      <c r="F419" s="2">
        <v>1</v>
      </c>
      <c r="G419" s="2">
        <v>-1</v>
      </c>
      <c r="H419" s="2">
        <v>1</v>
      </c>
      <c r="I419" s="2">
        <v>1</v>
      </c>
      <c r="J419" s="2">
        <v>1</v>
      </c>
      <c r="K419" s="2">
        <v>1</v>
      </c>
      <c r="L419" s="2">
        <v>1</v>
      </c>
      <c r="M419" s="2">
        <v>0</v>
      </c>
      <c r="N419" s="2">
        <v>1</v>
      </c>
      <c r="O419" s="2">
        <v>0</v>
      </c>
      <c r="P419" s="2">
        <v>1</v>
      </c>
      <c r="Q419">
        <v>0</v>
      </c>
      <c r="R419">
        <v>1</v>
      </c>
      <c r="S419">
        <v>1</v>
      </c>
      <c r="T419">
        <v>1</v>
      </c>
      <c r="U419">
        <v>1</v>
      </c>
      <c r="V419">
        <v>0</v>
      </c>
      <c r="W419">
        <v>0</v>
      </c>
      <c r="X419">
        <v>149</v>
      </c>
      <c r="Y419" t="s">
        <v>101</v>
      </c>
    </row>
    <row r="420" spans="1:25" ht="16" customHeight="1" x14ac:dyDescent="0.2">
      <c r="A420" s="1" t="s">
        <v>550</v>
      </c>
      <c r="B420" s="2" t="s">
        <v>105</v>
      </c>
      <c r="C420" s="2">
        <v>70</v>
      </c>
      <c r="D420" s="2" t="s">
        <v>112</v>
      </c>
      <c r="E420" s="2">
        <v>271</v>
      </c>
      <c r="F420" s="2">
        <v>0</v>
      </c>
      <c r="G420" s="2">
        <v>1</v>
      </c>
      <c r="H420" s="2">
        <v>4</v>
      </c>
      <c r="I420" s="2">
        <v>1</v>
      </c>
      <c r="J420" s="2">
        <v>1</v>
      </c>
      <c r="K420" s="2">
        <v>3</v>
      </c>
      <c r="L420" s="2">
        <v>1</v>
      </c>
      <c r="M420" s="2">
        <v>1</v>
      </c>
      <c r="N420" s="2">
        <v>1</v>
      </c>
      <c r="O420" s="2">
        <v>1</v>
      </c>
      <c r="P420" s="2">
        <v>0</v>
      </c>
      <c r="Q420">
        <v>1</v>
      </c>
      <c r="R420">
        <v>1</v>
      </c>
      <c r="S420">
        <v>2</v>
      </c>
      <c r="T420">
        <v>0</v>
      </c>
      <c r="U420">
        <v>1</v>
      </c>
      <c r="V420">
        <v>0</v>
      </c>
      <c r="W420">
        <v>1</v>
      </c>
      <c r="X420">
        <v>433</v>
      </c>
      <c r="Y420" t="s">
        <v>101</v>
      </c>
    </row>
    <row r="421" spans="1:25" ht="16" customHeight="1" x14ac:dyDescent="0.2">
      <c r="A421" s="1" t="s">
        <v>551</v>
      </c>
      <c r="B421" s="2" t="s">
        <v>108</v>
      </c>
      <c r="C421" s="2">
        <v>70</v>
      </c>
      <c r="D421" s="2" t="s">
        <v>115</v>
      </c>
      <c r="E421" s="2">
        <v>3173</v>
      </c>
      <c r="F421" s="2">
        <v>1</v>
      </c>
      <c r="G421" s="2">
        <v>-1</v>
      </c>
      <c r="H421" s="2">
        <v>5</v>
      </c>
      <c r="I421" s="2">
        <v>3</v>
      </c>
      <c r="J421" s="2">
        <v>2</v>
      </c>
      <c r="K421" s="2">
        <v>2</v>
      </c>
      <c r="L421" s="2">
        <v>0</v>
      </c>
      <c r="M421" s="2">
        <v>0</v>
      </c>
      <c r="N421" s="2">
        <v>0</v>
      </c>
      <c r="O421" s="2">
        <v>0</v>
      </c>
      <c r="P421" s="2">
        <v>0</v>
      </c>
      <c r="Q421">
        <v>0</v>
      </c>
      <c r="R421">
        <v>1</v>
      </c>
      <c r="S421">
        <v>2</v>
      </c>
      <c r="T421">
        <v>-1</v>
      </c>
      <c r="U421">
        <v>1</v>
      </c>
      <c r="V421">
        <v>1</v>
      </c>
      <c r="W421">
        <v>1</v>
      </c>
      <c r="X421">
        <v>336</v>
      </c>
      <c r="Y421" t="s">
        <v>101</v>
      </c>
    </row>
    <row r="422" spans="1:25" ht="16" customHeight="1" x14ac:dyDescent="0.2">
      <c r="A422" s="1" t="s">
        <v>552</v>
      </c>
      <c r="B422" s="2" t="s">
        <v>99</v>
      </c>
      <c r="C422" s="2">
        <v>71</v>
      </c>
      <c r="D422" s="2" t="s">
        <v>100</v>
      </c>
      <c r="E422" s="2">
        <v>144</v>
      </c>
      <c r="F422" s="2">
        <v>1</v>
      </c>
      <c r="G422" s="2">
        <v>0</v>
      </c>
      <c r="H422" s="2">
        <v>3</v>
      </c>
      <c r="I422" s="2">
        <v>1</v>
      </c>
      <c r="J422" s="2">
        <v>3</v>
      </c>
      <c r="K422" s="2">
        <v>4</v>
      </c>
      <c r="L422" s="2">
        <v>0</v>
      </c>
      <c r="M422" s="2">
        <v>0</v>
      </c>
      <c r="N422" s="2">
        <v>0</v>
      </c>
      <c r="O422" s="2">
        <v>1</v>
      </c>
      <c r="P422" s="2">
        <v>1</v>
      </c>
      <c r="Q422">
        <v>0</v>
      </c>
      <c r="R422">
        <v>0</v>
      </c>
      <c r="S422">
        <v>4</v>
      </c>
      <c r="T422">
        <v>0</v>
      </c>
      <c r="U422">
        <v>0</v>
      </c>
      <c r="V422">
        <v>1</v>
      </c>
      <c r="W422">
        <v>1</v>
      </c>
      <c r="X422">
        <v>235</v>
      </c>
      <c r="Y422" t="s">
        <v>101</v>
      </c>
    </row>
    <row r="423" spans="1:25" ht="16" customHeight="1" x14ac:dyDescent="0.2">
      <c r="A423" s="1" t="s">
        <v>553</v>
      </c>
      <c r="B423" s="2" t="s">
        <v>124</v>
      </c>
      <c r="C423" s="2">
        <v>71</v>
      </c>
      <c r="D423" s="2" t="s">
        <v>103</v>
      </c>
      <c r="E423" s="2">
        <v>1787</v>
      </c>
      <c r="F423" s="2">
        <v>0</v>
      </c>
      <c r="G423" s="2">
        <v>0</v>
      </c>
      <c r="H423" s="2">
        <v>3</v>
      </c>
      <c r="I423" s="2">
        <v>3</v>
      </c>
      <c r="J423" s="2">
        <v>1</v>
      </c>
      <c r="K423" s="2">
        <v>4</v>
      </c>
      <c r="L423" s="2">
        <v>0</v>
      </c>
      <c r="M423" s="2">
        <v>0</v>
      </c>
      <c r="N423" s="2">
        <v>0</v>
      </c>
      <c r="O423" s="2">
        <v>1</v>
      </c>
      <c r="P423" s="2">
        <v>0</v>
      </c>
      <c r="Q423">
        <v>1</v>
      </c>
      <c r="R423">
        <v>1</v>
      </c>
      <c r="S423">
        <v>3</v>
      </c>
      <c r="T423">
        <v>-1</v>
      </c>
      <c r="U423">
        <v>0</v>
      </c>
      <c r="V423">
        <v>0</v>
      </c>
      <c r="W423">
        <v>1</v>
      </c>
      <c r="X423">
        <v>408</v>
      </c>
      <c r="Y423" t="s">
        <v>101</v>
      </c>
    </row>
    <row r="424" spans="1:25" ht="16" customHeight="1" x14ac:dyDescent="0.2">
      <c r="A424" s="1" t="s">
        <v>554</v>
      </c>
      <c r="B424" s="2" t="s">
        <v>252</v>
      </c>
      <c r="C424" s="2">
        <v>71</v>
      </c>
      <c r="D424" s="2" t="s">
        <v>106</v>
      </c>
      <c r="E424" s="2">
        <v>639</v>
      </c>
      <c r="F424" s="2">
        <v>1</v>
      </c>
      <c r="G424" s="2">
        <v>1</v>
      </c>
      <c r="H424" s="2">
        <v>5</v>
      </c>
      <c r="I424" s="2">
        <v>2</v>
      </c>
      <c r="J424" s="2">
        <v>1</v>
      </c>
      <c r="K424" s="2">
        <v>3</v>
      </c>
      <c r="L424" s="2">
        <v>1</v>
      </c>
      <c r="M424" s="2">
        <v>0</v>
      </c>
      <c r="N424" s="2">
        <v>0</v>
      </c>
      <c r="O424" s="2">
        <v>1</v>
      </c>
      <c r="P424" s="2">
        <v>0</v>
      </c>
      <c r="Q424">
        <v>0</v>
      </c>
      <c r="R424">
        <v>1</v>
      </c>
      <c r="S424">
        <v>-1</v>
      </c>
      <c r="T424">
        <v>-1</v>
      </c>
      <c r="U424">
        <v>1</v>
      </c>
      <c r="V424">
        <v>0</v>
      </c>
      <c r="W424">
        <v>0</v>
      </c>
      <c r="X424">
        <v>291</v>
      </c>
      <c r="Y424" t="s">
        <v>101</v>
      </c>
    </row>
    <row r="425" spans="1:25" ht="16" customHeight="1" x14ac:dyDescent="0.2">
      <c r="A425" s="1" t="s">
        <v>555</v>
      </c>
      <c r="B425" s="2" t="s">
        <v>141</v>
      </c>
      <c r="C425" s="2">
        <v>71</v>
      </c>
      <c r="D425" s="2" t="s">
        <v>109</v>
      </c>
      <c r="E425" s="2">
        <v>4458</v>
      </c>
      <c r="F425" s="2">
        <v>1</v>
      </c>
      <c r="G425" s="2">
        <v>1</v>
      </c>
      <c r="H425" s="2">
        <v>1</v>
      </c>
      <c r="I425" s="2">
        <v>2</v>
      </c>
      <c r="J425" s="2">
        <v>1</v>
      </c>
      <c r="K425" s="2">
        <v>2</v>
      </c>
      <c r="L425" s="2">
        <v>0</v>
      </c>
      <c r="M425" s="2">
        <v>1</v>
      </c>
      <c r="N425" s="2">
        <v>0</v>
      </c>
      <c r="O425" s="2">
        <v>0</v>
      </c>
      <c r="P425" s="2">
        <v>1</v>
      </c>
      <c r="Q425">
        <v>1</v>
      </c>
      <c r="R425">
        <v>1</v>
      </c>
      <c r="S425">
        <v>3</v>
      </c>
      <c r="T425">
        <v>0</v>
      </c>
      <c r="U425">
        <v>1</v>
      </c>
      <c r="V425">
        <v>1</v>
      </c>
      <c r="W425">
        <v>0</v>
      </c>
      <c r="X425">
        <v>357</v>
      </c>
      <c r="Y425" t="s">
        <v>101</v>
      </c>
    </row>
    <row r="426" spans="1:25" ht="16" customHeight="1" x14ac:dyDescent="0.2">
      <c r="A426" s="1" t="s">
        <v>556</v>
      </c>
      <c r="B426" s="2" t="s">
        <v>136</v>
      </c>
      <c r="C426" s="2">
        <v>71</v>
      </c>
      <c r="D426" s="2" t="s">
        <v>112</v>
      </c>
      <c r="E426" s="2">
        <v>4253</v>
      </c>
      <c r="F426" s="2">
        <v>0</v>
      </c>
      <c r="G426" s="2">
        <v>0</v>
      </c>
      <c r="H426" s="2">
        <v>1</v>
      </c>
      <c r="I426" s="2">
        <v>2</v>
      </c>
      <c r="J426" s="2">
        <v>2</v>
      </c>
      <c r="K426" s="2">
        <v>4</v>
      </c>
      <c r="L426" s="2">
        <v>0</v>
      </c>
      <c r="M426" s="2">
        <v>1</v>
      </c>
      <c r="N426" s="2">
        <v>1</v>
      </c>
      <c r="O426" s="2">
        <v>1</v>
      </c>
      <c r="P426" s="2">
        <v>1</v>
      </c>
      <c r="Q426">
        <v>1</v>
      </c>
      <c r="R426">
        <v>1</v>
      </c>
      <c r="S426">
        <v>1</v>
      </c>
      <c r="T426">
        <v>0</v>
      </c>
      <c r="U426">
        <v>0</v>
      </c>
      <c r="V426">
        <v>1</v>
      </c>
      <c r="W426">
        <v>0</v>
      </c>
      <c r="X426">
        <v>416</v>
      </c>
      <c r="Y426" t="s">
        <v>101</v>
      </c>
    </row>
    <row r="427" spans="1:25" ht="16" customHeight="1" x14ac:dyDescent="0.2">
      <c r="A427" s="1" t="s">
        <v>557</v>
      </c>
      <c r="B427" s="2" t="s">
        <v>99</v>
      </c>
      <c r="C427" s="2">
        <v>71</v>
      </c>
      <c r="D427" s="2" t="s">
        <v>115</v>
      </c>
      <c r="E427" s="2">
        <v>4930</v>
      </c>
      <c r="F427" s="2">
        <v>0</v>
      </c>
      <c r="G427" s="2">
        <v>1</v>
      </c>
      <c r="H427" s="2">
        <v>5</v>
      </c>
      <c r="I427" s="2">
        <v>3</v>
      </c>
      <c r="J427" s="2">
        <v>2</v>
      </c>
      <c r="K427" s="2">
        <v>1</v>
      </c>
      <c r="L427" s="2">
        <v>0</v>
      </c>
      <c r="M427" s="2">
        <v>1</v>
      </c>
      <c r="N427" s="2">
        <v>0</v>
      </c>
      <c r="O427" s="2">
        <v>0</v>
      </c>
      <c r="P427" s="2">
        <v>1</v>
      </c>
      <c r="Q427">
        <v>1</v>
      </c>
      <c r="R427">
        <v>0</v>
      </c>
      <c r="S427">
        <v>4</v>
      </c>
      <c r="T427">
        <v>0</v>
      </c>
      <c r="U427">
        <v>0</v>
      </c>
      <c r="V427">
        <v>0</v>
      </c>
      <c r="W427">
        <v>0</v>
      </c>
      <c r="X427">
        <v>434</v>
      </c>
      <c r="Y427" t="s">
        <v>101</v>
      </c>
    </row>
    <row r="428" spans="1:25" ht="16" customHeight="1" x14ac:dyDescent="0.2">
      <c r="A428" s="1" t="s">
        <v>558</v>
      </c>
      <c r="B428" s="2" t="s">
        <v>229</v>
      </c>
      <c r="C428" s="2">
        <v>72</v>
      </c>
      <c r="D428" s="2" t="s">
        <v>100</v>
      </c>
      <c r="E428" s="2">
        <v>3044</v>
      </c>
      <c r="F428" s="2">
        <v>1</v>
      </c>
      <c r="G428" s="2">
        <v>-1</v>
      </c>
      <c r="H428" s="2">
        <v>2</v>
      </c>
      <c r="I428" s="2">
        <v>2</v>
      </c>
      <c r="J428" s="2">
        <v>1</v>
      </c>
      <c r="K428" s="2">
        <v>4</v>
      </c>
      <c r="L428" s="2">
        <v>1</v>
      </c>
      <c r="M428" s="2">
        <v>0</v>
      </c>
      <c r="N428" s="2">
        <v>0</v>
      </c>
      <c r="O428" s="2">
        <v>1</v>
      </c>
      <c r="P428" s="2">
        <v>0</v>
      </c>
      <c r="Q428">
        <v>0</v>
      </c>
      <c r="R428">
        <v>1</v>
      </c>
      <c r="S428">
        <v>1</v>
      </c>
      <c r="T428">
        <v>1</v>
      </c>
      <c r="U428">
        <v>0</v>
      </c>
      <c r="V428">
        <v>1</v>
      </c>
      <c r="W428">
        <v>0</v>
      </c>
      <c r="X428">
        <v>103</v>
      </c>
      <c r="Y428" t="s">
        <v>101</v>
      </c>
    </row>
    <row r="429" spans="1:25" ht="16" customHeight="1" x14ac:dyDescent="0.2">
      <c r="A429" s="1" t="s">
        <v>559</v>
      </c>
      <c r="B429" s="2" t="s">
        <v>151</v>
      </c>
      <c r="C429" s="2">
        <v>72</v>
      </c>
      <c r="D429" s="2" t="s">
        <v>103</v>
      </c>
      <c r="E429" s="2">
        <v>3181</v>
      </c>
      <c r="F429" s="2">
        <v>0</v>
      </c>
      <c r="G429" s="2">
        <v>-1</v>
      </c>
      <c r="H429" s="2">
        <v>5</v>
      </c>
      <c r="I429" s="2">
        <v>2</v>
      </c>
      <c r="J429" s="2">
        <v>1</v>
      </c>
      <c r="K429" s="2">
        <v>3</v>
      </c>
      <c r="L429" s="2">
        <v>0</v>
      </c>
      <c r="M429" s="2">
        <v>1</v>
      </c>
      <c r="N429" s="2">
        <v>1</v>
      </c>
      <c r="O429" s="2">
        <v>1</v>
      </c>
      <c r="P429" s="2">
        <v>0</v>
      </c>
      <c r="Q429">
        <v>0</v>
      </c>
      <c r="R429">
        <v>0</v>
      </c>
      <c r="S429">
        <v>4</v>
      </c>
      <c r="T429">
        <v>-1</v>
      </c>
      <c r="U429">
        <v>0</v>
      </c>
      <c r="V429">
        <v>0</v>
      </c>
      <c r="W429">
        <v>0</v>
      </c>
      <c r="X429">
        <v>196</v>
      </c>
      <c r="Y429" t="s">
        <v>101</v>
      </c>
    </row>
    <row r="430" spans="1:25" ht="16" customHeight="1" x14ac:dyDescent="0.2">
      <c r="A430" s="1" t="s">
        <v>560</v>
      </c>
      <c r="B430" s="2" t="s">
        <v>99</v>
      </c>
      <c r="C430" s="2">
        <v>72</v>
      </c>
      <c r="D430" s="2" t="s">
        <v>106</v>
      </c>
      <c r="E430" s="2">
        <v>4093</v>
      </c>
      <c r="F430" s="2">
        <v>1</v>
      </c>
      <c r="G430" s="2">
        <v>0</v>
      </c>
      <c r="H430" s="2">
        <v>5</v>
      </c>
      <c r="I430" s="2">
        <v>1</v>
      </c>
      <c r="J430" s="2">
        <v>2</v>
      </c>
      <c r="K430" s="2">
        <v>3</v>
      </c>
      <c r="L430" s="2">
        <v>0</v>
      </c>
      <c r="M430" s="2">
        <v>1</v>
      </c>
      <c r="N430" s="2">
        <v>1</v>
      </c>
      <c r="O430" s="2">
        <v>1</v>
      </c>
      <c r="P430" s="2">
        <v>0</v>
      </c>
      <c r="Q430">
        <v>0</v>
      </c>
      <c r="R430">
        <v>0</v>
      </c>
      <c r="S430">
        <v>-1</v>
      </c>
      <c r="T430">
        <v>1</v>
      </c>
      <c r="U430">
        <v>0</v>
      </c>
      <c r="V430">
        <v>0</v>
      </c>
      <c r="W430">
        <v>0</v>
      </c>
      <c r="X430">
        <v>202</v>
      </c>
      <c r="Y430" t="s">
        <v>101</v>
      </c>
    </row>
    <row r="431" spans="1:25" ht="16" customHeight="1" x14ac:dyDescent="0.2">
      <c r="A431" s="1" t="s">
        <v>561</v>
      </c>
      <c r="B431" s="2" t="s">
        <v>191</v>
      </c>
      <c r="C431" s="2">
        <v>72</v>
      </c>
      <c r="D431" s="2" t="s">
        <v>109</v>
      </c>
      <c r="E431" s="2">
        <v>8503</v>
      </c>
      <c r="F431" s="2">
        <v>0</v>
      </c>
      <c r="G431" s="2">
        <v>0</v>
      </c>
      <c r="H431" s="2">
        <v>3</v>
      </c>
      <c r="I431" s="2">
        <v>3</v>
      </c>
      <c r="J431" s="2">
        <v>2</v>
      </c>
      <c r="K431" s="2">
        <v>2</v>
      </c>
      <c r="L431" s="2">
        <v>1</v>
      </c>
      <c r="M431" s="2">
        <v>0</v>
      </c>
      <c r="N431" s="2">
        <v>1</v>
      </c>
      <c r="O431" s="2">
        <v>1</v>
      </c>
      <c r="P431" s="2">
        <v>0</v>
      </c>
      <c r="Q431">
        <v>1</v>
      </c>
      <c r="R431">
        <v>0</v>
      </c>
      <c r="S431">
        <v>1</v>
      </c>
      <c r="T431">
        <v>0</v>
      </c>
      <c r="U431">
        <v>0</v>
      </c>
      <c r="V431">
        <v>0</v>
      </c>
      <c r="W431">
        <v>1</v>
      </c>
      <c r="X431">
        <v>48</v>
      </c>
      <c r="Y431" t="s">
        <v>101</v>
      </c>
    </row>
    <row r="432" spans="1:25" ht="16" customHeight="1" x14ac:dyDescent="0.2">
      <c r="A432" s="1" t="s">
        <v>562</v>
      </c>
      <c r="B432" s="2" t="s">
        <v>126</v>
      </c>
      <c r="C432" s="2">
        <v>72</v>
      </c>
      <c r="D432" s="2" t="s">
        <v>112</v>
      </c>
      <c r="E432" s="2">
        <v>48</v>
      </c>
      <c r="F432" s="2">
        <v>1</v>
      </c>
      <c r="G432" s="2">
        <v>1</v>
      </c>
      <c r="H432" s="2">
        <v>1</v>
      </c>
      <c r="I432" s="2">
        <v>2</v>
      </c>
      <c r="J432" s="2">
        <v>2</v>
      </c>
      <c r="K432" s="2">
        <v>4</v>
      </c>
      <c r="L432" s="2">
        <v>0</v>
      </c>
      <c r="M432" s="2">
        <v>1</v>
      </c>
      <c r="N432" s="2">
        <v>0</v>
      </c>
      <c r="O432" s="2">
        <v>0</v>
      </c>
      <c r="P432" s="2">
        <v>1</v>
      </c>
      <c r="Q432">
        <v>0</v>
      </c>
      <c r="R432">
        <v>0</v>
      </c>
      <c r="S432">
        <v>2</v>
      </c>
      <c r="T432">
        <v>1</v>
      </c>
      <c r="U432">
        <v>0</v>
      </c>
      <c r="V432">
        <v>1</v>
      </c>
      <c r="W432">
        <v>1</v>
      </c>
      <c r="X432">
        <v>153</v>
      </c>
      <c r="Y432" t="s">
        <v>101</v>
      </c>
    </row>
    <row r="433" spans="1:25" ht="16" customHeight="1" x14ac:dyDescent="0.2">
      <c r="A433" s="1" t="s">
        <v>563</v>
      </c>
      <c r="B433" s="2" t="s">
        <v>161</v>
      </c>
      <c r="C433" s="2">
        <v>72</v>
      </c>
      <c r="D433" s="2" t="s">
        <v>115</v>
      </c>
      <c r="E433" s="2">
        <v>5528</v>
      </c>
      <c r="F433" s="2">
        <v>0</v>
      </c>
      <c r="G433" s="2">
        <v>-1</v>
      </c>
      <c r="H433" s="2">
        <v>1</v>
      </c>
      <c r="I433" s="2">
        <v>2</v>
      </c>
      <c r="J433" s="2">
        <v>2</v>
      </c>
      <c r="K433" s="2">
        <v>4</v>
      </c>
      <c r="L433" s="2">
        <v>0</v>
      </c>
      <c r="M433" s="2">
        <v>1</v>
      </c>
      <c r="N433" s="2">
        <v>0</v>
      </c>
      <c r="O433" s="2">
        <v>0</v>
      </c>
      <c r="P433" s="2">
        <v>0</v>
      </c>
      <c r="Q433">
        <v>1</v>
      </c>
      <c r="R433">
        <v>0</v>
      </c>
      <c r="S433">
        <v>3</v>
      </c>
      <c r="T433">
        <v>0</v>
      </c>
      <c r="U433">
        <v>1</v>
      </c>
      <c r="V433">
        <v>0</v>
      </c>
      <c r="W433">
        <v>1</v>
      </c>
      <c r="X433">
        <v>85</v>
      </c>
      <c r="Y433" t="s">
        <v>101</v>
      </c>
    </row>
    <row r="434" spans="1:25" ht="16" customHeight="1" x14ac:dyDescent="0.2">
      <c r="A434" s="1" t="s">
        <v>564</v>
      </c>
      <c r="B434" s="2" t="s">
        <v>119</v>
      </c>
      <c r="C434" s="2">
        <v>73</v>
      </c>
      <c r="D434" s="2" t="s">
        <v>100</v>
      </c>
      <c r="E434" s="2">
        <v>325</v>
      </c>
      <c r="F434" s="2">
        <v>0</v>
      </c>
      <c r="G434" s="2">
        <v>0</v>
      </c>
      <c r="H434" s="2">
        <v>1</v>
      </c>
      <c r="I434" s="2">
        <v>1</v>
      </c>
      <c r="J434" s="2">
        <v>1</v>
      </c>
      <c r="K434" s="2">
        <v>3</v>
      </c>
      <c r="L434" s="2">
        <v>0</v>
      </c>
      <c r="M434" s="2">
        <v>1</v>
      </c>
      <c r="N434" s="2">
        <v>0</v>
      </c>
      <c r="O434" s="2">
        <v>0</v>
      </c>
      <c r="P434" s="2">
        <v>1</v>
      </c>
      <c r="Q434">
        <v>0</v>
      </c>
      <c r="R434">
        <v>0</v>
      </c>
      <c r="S434">
        <v>-1</v>
      </c>
      <c r="T434">
        <v>1</v>
      </c>
      <c r="U434">
        <v>1</v>
      </c>
      <c r="V434">
        <v>1</v>
      </c>
      <c r="W434">
        <v>0</v>
      </c>
      <c r="X434">
        <v>277</v>
      </c>
      <c r="Y434" t="s">
        <v>101</v>
      </c>
    </row>
    <row r="435" spans="1:25" ht="16" customHeight="1" x14ac:dyDescent="0.2">
      <c r="A435" s="1" t="s">
        <v>565</v>
      </c>
      <c r="B435" s="2" t="s">
        <v>170</v>
      </c>
      <c r="C435" s="2">
        <v>73</v>
      </c>
      <c r="D435" s="2" t="s">
        <v>103</v>
      </c>
      <c r="E435" s="2">
        <v>191</v>
      </c>
      <c r="F435" s="2">
        <v>0</v>
      </c>
      <c r="G435" s="2">
        <v>1</v>
      </c>
      <c r="H435" s="2">
        <v>4</v>
      </c>
      <c r="I435" s="2">
        <v>3</v>
      </c>
      <c r="J435" s="2">
        <v>2</v>
      </c>
      <c r="K435" s="2">
        <v>5</v>
      </c>
      <c r="L435" s="2">
        <v>0</v>
      </c>
      <c r="M435" s="2">
        <v>1</v>
      </c>
      <c r="N435" s="2">
        <v>0</v>
      </c>
      <c r="O435" s="2">
        <v>1</v>
      </c>
      <c r="P435" s="2">
        <v>0</v>
      </c>
      <c r="Q435">
        <v>1</v>
      </c>
      <c r="R435">
        <v>1</v>
      </c>
      <c r="S435">
        <v>4</v>
      </c>
      <c r="T435">
        <v>0</v>
      </c>
      <c r="U435">
        <v>1</v>
      </c>
      <c r="V435">
        <v>0</v>
      </c>
      <c r="W435">
        <v>1</v>
      </c>
      <c r="X435">
        <v>209</v>
      </c>
      <c r="Y435" t="s">
        <v>101</v>
      </c>
    </row>
    <row r="436" spans="1:25" ht="16" customHeight="1" x14ac:dyDescent="0.2">
      <c r="A436" s="1" t="s">
        <v>566</v>
      </c>
      <c r="B436" s="2" t="s">
        <v>119</v>
      </c>
      <c r="C436" s="2">
        <v>73</v>
      </c>
      <c r="D436" s="2" t="s">
        <v>106</v>
      </c>
      <c r="E436" s="2">
        <v>1468</v>
      </c>
      <c r="F436" s="2">
        <v>1</v>
      </c>
      <c r="G436" s="2">
        <v>-1</v>
      </c>
      <c r="H436" s="2">
        <v>5</v>
      </c>
      <c r="I436" s="2">
        <v>3</v>
      </c>
      <c r="J436" s="2">
        <v>2</v>
      </c>
      <c r="K436" s="2">
        <v>4</v>
      </c>
      <c r="L436" s="2">
        <v>1</v>
      </c>
      <c r="M436" s="2">
        <v>0</v>
      </c>
      <c r="N436" s="2">
        <v>1</v>
      </c>
      <c r="O436" s="2">
        <v>1</v>
      </c>
      <c r="P436" s="2">
        <v>1</v>
      </c>
      <c r="Q436">
        <v>0</v>
      </c>
      <c r="R436">
        <v>1</v>
      </c>
      <c r="S436">
        <v>3</v>
      </c>
      <c r="T436">
        <v>1</v>
      </c>
      <c r="U436">
        <v>1</v>
      </c>
      <c r="V436">
        <v>0</v>
      </c>
      <c r="W436">
        <v>0</v>
      </c>
      <c r="X436">
        <v>394</v>
      </c>
      <c r="Y436" t="s">
        <v>101</v>
      </c>
    </row>
    <row r="437" spans="1:25" ht="16" customHeight="1" x14ac:dyDescent="0.2">
      <c r="A437" s="1" t="s">
        <v>567</v>
      </c>
      <c r="B437" s="2" t="s">
        <v>130</v>
      </c>
      <c r="C437" s="2">
        <v>73</v>
      </c>
      <c r="D437" s="2" t="s">
        <v>109</v>
      </c>
      <c r="E437" s="2">
        <v>3951</v>
      </c>
      <c r="F437" s="2">
        <v>0</v>
      </c>
      <c r="G437" s="2">
        <v>0</v>
      </c>
      <c r="H437" s="2">
        <v>1</v>
      </c>
      <c r="I437" s="2">
        <v>2</v>
      </c>
      <c r="J437" s="2">
        <v>3</v>
      </c>
      <c r="K437" s="2">
        <v>1</v>
      </c>
      <c r="L437" s="2">
        <v>0</v>
      </c>
      <c r="M437" s="2">
        <v>1</v>
      </c>
      <c r="N437" s="2">
        <v>0</v>
      </c>
      <c r="O437" s="2">
        <v>1</v>
      </c>
      <c r="P437" s="2">
        <v>0</v>
      </c>
      <c r="Q437">
        <v>1</v>
      </c>
      <c r="R437">
        <v>0</v>
      </c>
      <c r="S437">
        <v>1</v>
      </c>
      <c r="T437">
        <v>0</v>
      </c>
      <c r="U437">
        <v>1</v>
      </c>
      <c r="V437">
        <v>1</v>
      </c>
      <c r="W437">
        <v>1</v>
      </c>
      <c r="X437">
        <v>445</v>
      </c>
      <c r="Y437" t="s">
        <v>101</v>
      </c>
    </row>
    <row r="438" spans="1:25" ht="16" customHeight="1" x14ac:dyDescent="0.2">
      <c r="A438" s="1" t="s">
        <v>568</v>
      </c>
      <c r="B438" s="2" t="s">
        <v>111</v>
      </c>
      <c r="C438" s="2">
        <v>73</v>
      </c>
      <c r="D438" s="2" t="s">
        <v>112</v>
      </c>
      <c r="E438" s="2">
        <v>1056</v>
      </c>
      <c r="F438" s="2">
        <v>0</v>
      </c>
      <c r="G438" s="2">
        <v>1</v>
      </c>
      <c r="H438" s="2">
        <v>1</v>
      </c>
      <c r="I438" s="2">
        <v>1</v>
      </c>
      <c r="J438" s="2">
        <v>3</v>
      </c>
      <c r="K438" s="2">
        <v>2</v>
      </c>
      <c r="L438" s="2">
        <v>0</v>
      </c>
      <c r="M438" s="2">
        <v>1</v>
      </c>
      <c r="N438" s="2">
        <v>1</v>
      </c>
      <c r="O438" s="2">
        <v>1</v>
      </c>
      <c r="P438" s="2">
        <v>0</v>
      </c>
      <c r="Q438">
        <v>1</v>
      </c>
      <c r="R438">
        <v>1</v>
      </c>
      <c r="S438">
        <v>2</v>
      </c>
      <c r="T438">
        <v>0</v>
      </c>
      <c r="U438">
        <v>0</v>
      </c>
      <c r="V438">
        <v>1</v>
      </c>
      <c r="W438">
        <v>1</v>
      </c>
      <c r="X438">
        <v>63</v>
      </c>
      <c r="Y438" t="s">
        <v>101</v>
      </c>
    </row>
    <row r="439" spans="1:25" ht="16" customHeight="1" x14ac:dyDescent="0.2">
      <c r="A439" s="1" t="s">
        <v>569</v>
      </c>
      <c r="B439" s="2" t="s">
        <v>108</v>
      </c>
      <c r="C439" s="2">
        <v>73</v>
      </c>
      <c r="D439" s="2" t="s">
        <v>115</v>
      </c>
      <c r="E439" s="2">
        <v>353</v>
      </c>
      <c r="F439" s="2">
        <v>0</v>
      </c>
      <c r="G439" s="2">
        <v>-1</v>
      </c>
      <c r="H439" s="2">
        <v>1</v>
      </c>
      <c r="I439" s="2">
        <v>1</v>
      </c>
      <c r="J439" s="2">
        <v>2</v>
      </c>
      <c r="K439" s="2">
        <v>5</v>
      </c>
      <c r="L439" s="2">
        <v>1</v>
      </c>
      <c r="M439" s="2">
        <v>0</v>
      </c>
      <c r="N439" s="2">
        <v>1</v>
      </c>
      <c r="O439" s="2">
        <v>1</v>
      </c>
      <c r="P439" s="2">
        <v>1</v>
      </c>
      <c r="Q439">
        <v>1</v>
      </c>
      <c r="R439">
        <v>0</v>
      </c>
      <c r="S439">
        <v>2</v>
      </c>
      <c r="T439">
        <v>0</v>
      </c>
      <c r="U439">
        <v>0</v>
      </c>
      <c r="V439">
        <v>1</v>
      </c>
      <c r="W439">
        <v>1</v>
      </c>
      <c r="X439">
        <v>398</v>
      </c>
      <c r="Y439" t="s">
        <v>101</v>
      </c>
    </row>
    <row r="440" spans="1:25" ht="16" customHeight="1" x14ac:dyDescent="0.2">
      <c r="A440" s="1" t="s">
        <v>570</v>
      </c>
      <c r="B440" s="2" t="s">
        <v>114</v>
      </c>
      <c r="C440" s="2">
        <v>74</v>
      </c>
      <c r="D440" s="2" t="s">
        <v>100</v>
      </c>
      <c r="E440" s="2">
        <v>564</v>
      </c>
      <c r="F440" s="2">
        <v>0</v>
      </c>
      <c r="G440" s="2">
        <v>-1</v>
      </c>
      <c r="H440" s="2">
        <v>3</v>
      </c>
      <c r="I440" s="2">
        <v>2</v>
      </c>
      <c r="J440" s="2">
        <v>2</v>
      </c>
      <c r="K440" s="2">
        <v>5</v>
      </c>
      <c r="L440" s="2">
        <v>0</v>
      </c>
      <c r="M440" s="2">
        <v>0</v>
      </c>
      <c r="N440" s="2">
        <v>1</v>
      </c>
      <c r="O440" s="2">
        <v>1</v>
      </c>
      <c r="P440" s="2">
        <v>0</v>
      </c>
      <c r="Q440">
        <v>1</v>
      </c>
      <c r="R440">
        <v>0</v>
      </c>
      <c r="S440">
        <v>2</v>
      </c>
      <c r="T440">
        <v>-1</v>
      </c>
      <c r="U440">
        <v>0</v>
      </c>
      <c r="V440">
        <v>1</v>
      </c>
      <c r="W440">
        <v>1</v>
      </c>
      <c r="X440">
        <v>222</v>
      </c>
      <c r="Y440" t="s">
        <v>101</v>
      </c>
    </row>
    <row r="441" spans="1:25" ht="16" customHeight="1" x14ac:dyDescent="0.2">
      <c r="A441" s="1" t="s">
        <v>571</v>
      </c>
      <c r="B441" s="2" t="s">
        <v>132</v>
      </c>
      <c r="C441" s="2">
        <v>74</v>
      </c>
      <c r="D441" s="2" t="s">
        <v>103</v>
      </c>
      <c r="E441" s="2">
        <v>694</v>
      </c>
      <c r="F441" s="2">
        <v>0</v>
      </c>
      <c r="G441" s="2">
        <v>1</v>
      </c>
      <c r="H441" s="2">
        <v>4</v>
      </c>
      <c r="I441" s="2">
        <v>3</v>
      </c>
      <c r="J441" s="2">
        <v>2</v>
      </c>
      <c r="K441" s="2">
        <v>2</v>
      </c>
      <c r="L441" s="2">
        <v>0</v>
      </c>
      <c r="M441" s="2">
        <v>1</v>
      </c>
      <c r="N441" s="2">
        <v>1</v>
      </c>
      <c r="O441" s="2">
        <v>1</v>
      </c>
      <c r="P441" s="2">
        <v>0</v>
      </c>
      <c r="Q441">
        <v>1</v>
      </c>
      <c r="R441">
        <v>1</v>
      </c>
      <c r="S441">
        <v>1</v>
      </c>
      <c r="T441">
        <v>-1</v>
      </c>
      <c r="U441">
        <v>0</v>
      </c>
      <c r="V441">
        <v>1</v>
      </c>
      <c r="W441">
        <v>1</v>
      </c>
      <c r="X441">
        <v>360</v>
      </c>
      <c r="Y441" t="s">
        <v>101</v>
      </c>
    </row>
    <row r="442" spans="1:25" ht="16" customHeight="1" x14ac:dyDescent="0.2">
      <c r="A442" s="1" t="s">
        <v>572</v>
      </c>
      <c r="B442" s="2" t="s">
        <v>136</v>
      </c>
      <c r="C442" s="2">
        <v>74</v>
      </c>
      <c r="D442" s="2" t="s">
        <v>106</v>
      </c>
      <c r="E442" s="2">
        <v>20</v>
      </c>
      <c r="F442" s="2">
        <v>1</v>
      </c>
      <c r="G442" s="2">
        <v>0</v>
      </c>
      <c r="H442" s="2">
        <v>5</v>
      </c>
      <c r="I442" s="2">
        <v>1</v>
      </c>
      <c r="J442" s="2">
        <v>1</v>
      </c>
      <c r="K442" s="2">
        <v>2</v>
      </c>
      <c r="L442" s="2">
        <v>0</v>
      </c>
      <c r="M442" s="2">
        <v>1</v>
      </c>
      <c r="N442" s="2">
        <v>1</v>
      </c>
      <c r="O442" s="2">
        <v>0</v>
      </c>
      <c r="P442" s="2">
        <v>1</v>
      </c>
      <c r="Q442">
        <v>1</v>
      </c>
      <c r="R442">
        <v>0</v>
      </c>
      <c r="S442">
        <v>3</v>
      </c>
      <c r="T442">
        <v>-1</v>
      </c>
      <c r="U442">
        <v>1</v>
      </c>
      <c r="V442">
        <v>1</v>
      </c>
      <c r="W442">
        <v>1</v>
      </c>
      <c r="X442">
        <v>125</v>
      </c>
      <c r="Y442" t="s">
        <v>101</v>
      </c>
    </row>
    <row r="443" spans="1:25" ht="16" customHeight="1" x14ac:dyDescent="0.2">
      <c r="A443" s="1" t="s">
        <v>573</v>
      </c>
      <c r="B443" s="2" t="s">
        <v>191</v>
      </c>
      <c r="C443" s="2">
        <v>74</v>
      </c>
      <c r="D443" s="2" t="s">
        <v>109</v>
      </c>
      <c r="E443" s="2">
        <v>1781</v>
      </c>
      <c r="F443" s="2">
        <v>0</v>
      </c>
      <c r="G443" s="2">
        <v>-1</v>
      </c>
      <c r="H443" s="2">
        <v>5</v>
      </c>
      <c r="I443" s="2">
        <v>2</v>
      </c>
      <c r="J443" s="2">
        <v>3</v>
      </c>
      <c r="K443" s="2">
        <v>4</v>
      </c>
      <c r="L443" s="2">
        <v>0</v>
      </c>
      <c r="M443" s="2">
        <v>1</v>
      </c>
      <c r="N443" s="2">
        <v>1</v>
      </c>
      <c r="O443" s="2">
        <v>0</v>
      </c>
      <c r="P443" s="2">
        <v>0</v>
      </c>
      <c r="Q443">
        <v>0</v>
      </c>
      <c r="R443">
        <v>1</v>
      </c>
      <c r="S443">
        <v>-1</v>
      </c>
      <c r="T443">
        <v>1</v>
      </c>
      <c r="U443">
        <v>0</v>
      </c>
      <c r="V443">
        <v>0</v>
      </c>
      <c r="W443">
        <v>0</v>
      </c>
      <c r="X443">
        <v>128</v>
      </c>
      <c r="Y443" t="s">
        <v>101</v>
      </c>
    </row>
    <row r="444" spans="1:25" ht="16" customHeight="1" x14ac:dyDescent="0.2">
      <c r="A444" s="1" t="s">
        <v>574</v>
      </c>
      <c r="B444" s="2" t="s">
        <v>122</v>
      </c>
      <c r="C444" s="2">
        <v>74</v>
      </c>
      <c r="D444" s="2" t="s">
        <v>112</v>
      </c>
      <c r="E444" s="2">
        <v>7903</v>
      </c>
      <c r="F444" s="2">
        <v>1</v>
      </c>
      <c r="G444" s="2">
        <v>0</v>
      </c>
      <c r="H444" s="2">
        <v>1</v>
      </c>
      <c r="I444" s="2">
        <v>2</v>
      </c>
      <c r="J444" s="2">
        <v>2</v>
      </c>
      <c r="K444" s="2">
        <v>2</v>
      </c>
      <c r="L444" s="2">
        <v>0</v>
      </c>
      <c r="M444" s="2">
        <v>0</v>
      </c>
      <c r="N444" s="2">
        <v>1</v>
      </c>
      <c r="O444" s="2">
        <v>1</v>
      </c>
      <c r="P444" s="2">
        <v>0</v>
      </c>
      <c r="Q444">
        <v>1</v>
      </c>
      <c r="R444">
        <v>0</v>
      </c>
      <c r="S444">
        <v>3</v>
      </c>
      <c r="T444">
        <v>0</v>
      </c>
      <c r="U444">
        <v>1</v>
      </c>
      <c r="V444">
        <v>0</v>
      </c>
      <c r="W444">
        <v>0</v>
      </c>
      <c r="X444">
        <v>244</v>
      </c>
      <c r="Y444" t="s">
        <v>101</v>
      </c>
    </row>
    <row r="445" spans="1:25" ht="16" customHeight="1" x14ac:dyDescent="0.2">
      <c r="A445" s="1" t="s">
        <v>575</v>
      </c>
      <c r="B445" s="2" t="s">
        <v>181</v>
      </c>
      <c r="C445" s="2">
        <v>74</v>
      </c>
      <c r="D445" s="2" t="s">
        <v>115</v>
      </c>
      <c r="E445" s="2">
        <v>3838</v>
      </c>
      <c r="F445" s="2">
        <v>0</v>
      </c>
      <c r="G445" s="2">
        <v>0</v>
      </c>
      <c r="H445" s="2">
        <v>1</v>
      </c>
      <c r="I445" s="2">
        <v>2</v>
      </c>
      <c r="J445" s="2">
        <v>2</v>
      </c>
      <c r="K445" s="2">
        <v>5</v>
      </c>
      <c r="L445" s="2">
        <v>1</v>
      </c>
      <c r="M445" s="2">
        <v>1</v>
      </c>
      <c r="N445" s="2">
        <v>0</v>
      </c>
      <c r="O445" s="2">
        <v>1</v>
      </c>
      <c r="P445" s="2">
        <v>1</v>
      </c>
      <c r="Q445">
        <v>1</v>
      </c>
      <c r="R445">
        <v>1</v>
      </c>
      <c r="S445">
        <v>1</v>
      </c>
      <c r="T445">
        <v>-1</v>
      </c>
      <c r="U445">
        <v>0</v>
      </c>
      <c r="V445">
        <v>1</v>
      </c>
      <c r="W445">
        <v>1</v>
      </c>
      <c r="X445">
        <v>135</v>
      </c>
      <c r="Y445" t="s">
        <v>101</v>
      </c>
    </row>
    <row r="446" spans="1:25" ht="16" customHeight="1" x14ac:dyDescent="0.2">
      <c r="A446" s="1" t="s">
        <v>576</v>
      </c>
      <c r="B446" s="2" t="s">
        <v>111</v>
      </c>
      <c r="C446" s="2">
        <v>75</v>
      </c>
      <c r="D446" s="2" t="s">
        <v>100</v>
      </c>
      <c r="E446" s="2">
        <v>5590</v>
      </c>
      <c r="F446" s="2">
        <v>0</v>
      </c>
      <c r="G446" s="2">
        <v>1</v>
      </c>
      <c r="H446" s="2">
        <v>3</v>
      </c>
      <c r="I446" s="2">
        <v>2</v>
      </c>
      <c r="J446" s="2">
        <v>3</v>
      </c>
      <c r="K446" s="2">
        <v>1</v>
      </c>
      <c r="L446" s="2">
        <v>1</v>
      </c>
      <c r="M446" s="2">
        <v>0</v>
      </c>
      <c r="N446" s="2">
        <v>0</v>
      </c>
      <c r="O446" s="2">
        <v>1</v>
      </c>
      <c r="P446" s="2">
        <v>0</v>
      </c>
      <c r="Q446">
        <v>1</v>
      </c>
      <c r="R446">
        <v>0</v>
      </c>
      <c r="S446">
        <v>-1</v>
      </c>
      <c r="T446">
        <v>1</v>
      </c>
      <c r="U446">
        <v>1</v>
      </c>
      <c r="V446">
        <v>1</v>
      </c>
      <c r="W446">
        <v>1</v>
      </c>
      <c r="X446">
        <v>168</v>
      </c>
      <c r="Y446" t="s">
        <v>101</v>
      </c>
    </row>
    <row r="447" spans="1:25" ht="16" customHeight="1" x14ac:dyDescent="0.2">
      <c r="A447" s="1" t="s">
        <v>577</v>
      </c>
      <c r="B447" s="2" t="s">
        <v>124</v>
      </c>
      <c r="C447" s="2">
        <v>75</v>
      </c>
      <c r="D447" s="2" t="s">
        <v>103</v>
      </c>
      <c r="E447" s="2">
        <v>1518</v>
      </c>
      <c r="F447" s="2">
        <v>1</v>
      </c>
      <c r="G447" s="2">
        <v>1</v>
      </c>
      <c r="H447" s="2">
        <v>4</v>
      </c>
      <c r="I447" s="2">
        <v>1</v>
      </c>
      <c r="J447" s="2">
        <v>2</v>
      </c>
      <c r="K447" s="2">
        <v>2</v>
      </c>
      <c r="L447" s="2">
        <v>1</v>
      </c>
      <c r="M447" s="2">
        <v>0</v>
      </c>
      <c r="N447" s="2">
        <v>0</v>
      </c>
      <c r="O447" s="2">
        <v>1</v>
      </c>
      <c r="P447" s="2">
        <v>1</v>
      </c>
      <c r="Q447">
        <v>0</v>
      </c>
      <c r="R447">
        <v>0</v>
      </c>
      <c r="S447">
        <v>3</v>
      </c>
      <c r="T447">
        <v>1</v>
      </c>
      <c r="U447">
        <v>0</v>
      </c>
      <c r="V447">
        <v>0</v>
      </c>
      <c r="W447">
        <v>0</v>
      </c>
      <c r="X447">
        <v>480</v>
      </c>
      <c r="Y447" t="s">
        <v>101</v>
      </c>
    </row>
    <row r="448" spans="1:25" ht="16" customHeight="1" x14ac:dyDescent="0.2">
      <c r="A448" s="1" t="s">
        <v>578</v>
      </c>
      <c r="B448" s="2" t="s">
        <v>108</v>
      </c>
      <c r="C448" s="2">
        <v>75</v>
      </c>
      <c r="D448" s="2" t="s">
        <v>106</v>
      </c>
      <c r="E448" s="2">
        <v>1405</v>
      </c>
      <c r="F448" s="2">
        <v>1</v>
      </c>
      <c r="G448" s="2">
        <v>-1</v>
      </c>
      <c r="H448" s="2">
        <v>3</v>
      </c>
      <c r="I448" s="2">
        <v>1</v>
      </c>
      <c r="J448" s="2">
        <v>2</v>
      </c>
      <c r="K448" s="2">
        <v>4</v>
      </c>
      <c r="L448" s="2">
        <v>0</v>
      </c>
      <c r="M448" s="2">
        <v>1</v>
      </c>
      <c r="N448" s="2">
        <v>0</v>
      </c>
      <c r="O448" s="2">
        <v>0</v>
      </c>
      <c r="P448" s="2">
        <v>0</v>
      </c>
      <c r="Q448">
        <v>1</v>
      </c>
      <c r="R448">
        <v>0</v>
      </c>
      <c r="S448">
        <v>4</v>
      </c>
      <c r="T448">
        <v>-1</v>
      </c>
      <c r="U448">
        <v>1</v>
      </c>
      <c r="V448">
        <v>1</v>
      </c>
      <c r="W448">
        <v>1</v>
      </c>
      <c r="X448">
        <v>407</v>
      </c>
      <c r="Y448" t="s">
        <v>101</v>
      </c>
    </row>
    <row r="449" spans="1:25" ht="16" customHeight="1" x14ac:dyDescent="0.2">
      <c r="A449" s="1" t="s">
        <v>579</v>
      </c>
      <c r="B449" s="2" t="s">
        <v>117</v>
      </c>
      <c r="C449" s="2">
        <v>75</v>
      </c>
      <c r="D449" s="2" t="s">
        <v>109</v>
      </c>
      <c r="E449" s="2">
        <v>578</v>
      </c>
      <c r="F449" s="2">
        <v>1</v>
      </c>
      <c r="G449" s="2">
        <v>1</v>
      </c>
      <c r="H449" s="2">
        <v>5</v>
      </c>
      <c r="I449" s="2">
        <v>1</v>
      </c>
      <c r="J449" s="2">
        <v>1</v>
      </c>
      <c r="K449" s="2">
        <v>1</v>
      </c>
      <c r="L449" s="2">
        <v>0</v>
      </c>
      <c r="M449" s="2">
        <v>0</v>
      </c>
      <c r="N449" s="2">
        <v>0</v>
      </c>
      <c r="O449" s="2">
        <v>0</v>
      </c>
      <c r="P449" s="2">
        <v>1</v>
      </c>
      <c r="Q449">
        <v>1</v>
      </c>
      <c r="R449">
        <v>0</v>
      </c>
      <c r="S449">
        <v>1</v>
      </c>
      <c r="T449">
        <v>1</v>
      </c>
      <c r="U449">
        <v>1</v>
      </c>
      <c r="V449">
        <v>1</v>
      </c>
      <c r="W449">
        <v>1</v>
      </c>
      <c r="X449">
        <v>427</v>
      </c>
      <c r="Y449" t="s">
        <v>101</v>
      </c>
    </row>
    <row r="450" spans="1:25" ht="16" customHeight="1" x14ac:dyDescent="0.2">
      <c r="A450" s="1" t="s">
        <v>580</v>
      </c>
      <c r="B450" s="2" t="s">
        <v>144</v>
      </c>
      <c r="C450" s="2">
        <v>75</v>
      </c>
      <c r="D450" s="2" t="s">
        <v>112</v>
      </c>
      <c r="E450" s="2">
        <v>1591</v>
      </c>
      <c r="F450" s="2">
        <v>0</v>
      </c>
      <c r="G450" s="2">
        <v>1</v>
      </c>
      <c r="H450" s="2">
        <v>3</v>
      </c>
      <c r="I450" s="2">
        <v>1</v>
      </c>
      <c r="J450" s="2">
        <v>3</v>
      </c>
      <c r="K450" s="2">
        <v>1</v>
      </c>
      <c r="L450" s="2">
        <v>0</v>
      </c>
      <c r="M450" s="2">
        <v>0</v>
      </c>
      <c r="N450" s="2">
        <v>1</v>
      </c>
      <c r="O450" s="2">
        <v>0</v>
      </c>
      <c r="P450" s="2">
        <v>0</v>
      </c>
      <c r="Q450">
        <v>0</v>
      </c>
      <c r="R450">
        <v>1</v>
      </c>
      <c r="S450">
        <v>3</v>
      </c>
      <c r="T450">
        <v>0</v>
      </c>
      <c r="U450">
        <v>1</v>
      </c>
      <c r="V450">
        <v>1</v>
      </c>
      <c r="W450">
        <v>1</v>
      </c>
      <c r="X450">
        <v>43</v>
      </c>
      <c r="Y450" t="s">
        <v>101</v>
      </c>
    </row>
    <row r="451" spans="1:25" ht="16" customHeight="1" x14ac:dyDescent="0.2">
      <c r="A451" s="1" t="s">
        <v>581</v>
      </c>
      <c r="B451" s="2" t="s">
        <v>179</v>
      </c>
      <c r="C451" s="2">
        <v>75</v>
      </c>
      <c r="D451" s="2" t="s">
        <v>115</v>
      </c>
      <c r="E451" s="2">
        <v>340</v>
      </c>
      <c r="F451" s="2">
        <v>0</v>
      </c>
      <c r="G451" s="2">
        <v>0</v>
      </c>
      <c r="H451" s="2">
        <v>4</v>
      </c>
      <c r="I451" s="2">
        <v>3</v>
      </c>
      <c r="J451" s="2">
        <v>3</v>
      </c>
      <c r="K451" s="2">
        <v>4</v>
      </c>
      <c r="L451" s="2">
        <v>1</v>
      </c>
      <c r="M451" s="2">
        <v>0</v>
      </c>
      <c r="N451" s="2">
        <v>0</v>
      </c>
      <c r="O451" s="2">
        <v>1</v>
      </c>
      <c r="P451" s="2">
        <v>1</v>
      </c>
      <c r="Q451">
        <v>1</v>
      </c>
      <c r="R451">
        <v>0</v>
      </c>
      <c r="S451">
        <v>3</v>
      </c>
      <c r="T451">
        <v>1</v>
      </c>
      <c r="U451">
        <v>1</v>
      </c>
      <c r="V451">
        <v>1</v>
      </c>
      <c r="W451">
        <v>0</v>
      </c>
      <c r="X451">
        <v>288</v>
      </c>
      <c r="Y451" t="s">
        <v>101</v>
      </c>
    </row>
    <row r="452" spans="1:25" ht="16" customHeight="1" x14ac:dyDescent="0.2">
      <c r="A452" s="1" t="s">
        <v>582</v>
      </c>
      <c r="B452" s="2" t="s">
        <v>141</v>
      </c>
      <c r="C452" s="2">
        <v>76</v>
      </c>
      <c r="D452" s="2" t="s">
        <v>100</v>
      </c>
      <c r="E452" s="2">
        <v>7030</v>
      </c>
      <c r="F452" s="2">
        <v>0</v>
      </c>
      <c r="G452" s="2">
        <v>1</v>
      </c>
      <c r="H452" s="2">
        <v>2</v>
      </c>
      <c r="I452" s="2">
        <v>1</v>
      </c>
      <c r="J452" s="2">
        <v>3</v>
      </c>
      <c r="K452" s="2">
        <v>1</v>
      </c>
      <c r="L452" s="2">
        <v>1</v>
      </c>
      <c r="M452" s="2">
        <v>1</v>
      </c>
      <c r="N452" s="2">
        <v>0</v>
      </c>
      <c r="O452" s="2">
        <v>1</v>
      </c>
      <c r="P452" s="2">
        <v>1</v>
      </c>
      <c r="Q452">
        <v>1</v>
      </c>
      <c r="R452">
        <v>0</v>
      </c>
      <c r="S452">
        <v>1</v>
      </c>
      <c r="T452">
        <v>1</v>
      </c>
      <c r="U452">
        <v>1</v>
      </c>
      <c r="V452">
        <v>0</v>
      </c>
      <c r="W452">
        <v>0</v>
      </c>
      <c r="X452">
        <v>406</v>
      </c>
      <c r="Y452" t="s">
        <v>101</v>
      </c>
    </row>
    <row r="453" spans="1:25" ht="16" customHeight="1" x14ac:dyDescent="0.2">
      <c r="A453" s="1" t="s">
        <v>583</v>
      </c>
      <c r="B453" s="2" t="s">
        <v>151</v>
      </c>
      <c r="C453" s="2">
        <v>76</v>
      </c>
      <c r="D453" s="2" t="s">
        <v>103</v>
      </c>
      <c r="E453" s="2">
        <v>2340</v>
      </c>
      <c r="F453" s="2">
        <v>1</v>
      </c>
      <c r="G453" s="2">
        <v>-1</v>
      </c>
      <c r="H453" s="2">
        <v>2</v>
      </c>
      <c r="I453" s="2">
        <v>2</v>
      </c>
      <c r="J453" s="2">
        <v>1</v>
      </c>
      <c r="K453" s="2">
        <v>1</v>
      </c>
      <c r="L453" s="2">
        <v>1</v>
      </c>
      <c r="M453" s="2">
        <v>1</v>
      </c>
      <c r="N453" s="2">
        <v>1</v>
      </c>
      <c r="O453" s="2">
        <v>0</v>
      </c>
      <c r="P453" s="2">
        <v>0</v>
      </c>
      <c r="Q453">
        <v>0</v>
      </c>
      <c r="R453">
        <v>0</v>
      </c>
      <c r="S453">
        <v>1</v>
      </c>
      <c r="T453">
        <v>0</v>
      </c>
      <c r="U453">
        <v>1</v>
      </c>
      <c r="V453">
        <v>0</v>
      </c>
      <c r="W453">
        <v>1</v>
      </c>
      <c r="X453">
        <v>405</v>
      </c>
      <c r="Y453" t="s">
        <v>101</v>
      </c>
    </row>
    <row r="454" spans="1:25" ht="16" customHeight="1" x14ac:dyDescent="0.2">
      <c r="A454" s="1" t="s">
        <v>584</v>
      </c>
      <c r="B454" s="2" t="s">
        <v>229</v>
      </c>
      <c r="C454" s="2">
        <v>76</v>
      </c>
      <c r="D454" s="2" t="s">
        <v>106</v>
      </c>
      <c r="E454" s="2">
        <v>6423</v>
      </c>
      <c r="F454" s="2">
        <v>1</v>
      </c>
      <c r="G454" s="2">
        <v>1</v>
      </c>
      <c r="H454" s="2">
        <v>1</v>
      </c>
      <c r="I454" s="2">
        <v>1</v>
      </c>
      <c r="J454" s="2">
        <v>3</v>
      </c>
      <c r="K454" s="2">
        <v>4</v>
      </c>
      <c r="L454" s="2">
        <v>1</v>
      </c>
      <c r="M454" s="2">
        <v>0</v>
      </c>
      <c r="N454" s="2">
        <v>0</v>
      </c>
      <c r="O454" s="2">
        <v>1</v>
      </c>
      <c r="P454" s="2">
        <v>0</v>
      </c>
      <c r="Q454">
        <v>1</v>
      </c>
      <c r="R454">
        <v>1</v>
      </c>
      <c r="S454">
        <v>1</v>
      </c>
      <c r="T454">
        <v>0</v>
      </c>
      <c r="U454">
        <v>0</v>
      </c>
      <c r="V454">
        <v>0</v>
      </c>
      <c r="W454">
        <v>0</v>
      </c>
      <c r="X454">
        <v>152</v>
      </c>
      <c r="Y454" t="s">
        <v>101</v>
      </c>
    </row>
    <row r="455" spans="1:25" ht="16" customHeight="1" x14ac:dyDescent="0.2">
      <c r="A455" s="1" t="s">
        <v>585</v>
      </c>
      <c r="B455" s="2" t="s">
        <v>181</v>
      </c>
      <c r="C455" s="2">
        <v>76</v>
      </c>
      <c r="D455" s="2" t="s">
        <v>109</v>
      </c>
      <c r="E455" s="2">
        <v>6947</v>
      </c>
      <c r="F455" s="2">
        <v>0</v>
      </c>
      <c r="G455" s="2">
        <v>1</v>
      </c>
      <c r="H455" s="2">
        <v>4</v>
      </c>
      <c r="I455" s="2">
        <v>3</v>
      </c>
      <c r="J455" s="2">
        <v>3</v>
      </c>
      <c r="K455" s="2">
        <v>1</v>
      </c>
      <c r="L455" s="2">
        <v>0</v>
      </c>
      <c r="M455" s="2">
        <v>0</v>
      </c>
      <c r="N455" s="2">
        <v>0</v>
      </c>
      <c r="O455" s="2">
        <v>0</v>
      </c>
      <c r="P455" s="2">
        <v>0</v>
      </c>
      <c r="Q455">
        <v>1</v>
      </c>
      <c r="R455">
        <v>0</v>
      </c>
      <c r="S455">
        <v>4</v>
      </c>
      <c r="T455">
        <v>1</v>
      </c>
      <c r="U455">
        <v>1</v>
      </c>
      <c r="V455">
        <v>0</v>
      </c>
      <c r="W455">
        <v>0</v>
      </c>
      <c r="X455">
        <v>243</v>
      </c>
      <c r="Y455" t="s">
        <v>101</v>
      </c>
    </row>
    <row r="456" spans="1:25" ht="16" customHeight="1" x14ac:dyDescent="0.2">
      <c r="A456" s="1" t="s">
        <v>586</v>
      </c>
      <c r="B456" s="2" t="s">
        <v>130</v>
      </c>
      <c r="C456" s="2">
        <v>76</v>
      </c>
      <c r="D456" s="2" t="s">
        <v>112</v>
      </c>
      <c r="E456" s="2">
        <v>1511</v>
      </c>
      <c r="F456" s="2">
        <v>1</v>
      </c>
      <c r="G456" s="2">
        <v>-1</v>
      </c>
      <c r="H456" s="2">
        <v>5</v>
      </c>
      <c r="I456" s="2">
        <v>2</v>
      </c>
      <c r="J456" s="2">
        <v>3</v>
      </c>
      <c r="K456" s="2">
        <v>4</v>
      </c>
      <c r="L456" s="2">
        <v>0</v>
      </c>
      <c r="M456" s="2">
        <v>1</v>
      </c>
      <c r="N456" s="2">
        <v>0</v>
      </c>
      <c r="O456" s="2">
        <v>1</v>
      </c>
      <c r="P456" s="2">
        <v>1</v>
      </c>
      <c r="Q456">
        <v>0</v>
      </c>
      <c r="R456">
        <v>0</v>
      </c>
      <c r="S456">
        <v>2</v>
      </c>
      <c r="T456">
        <v>0</v>
      </c>
      <c r="U456">
        <v>0</v>
      </c>
      <c r="V456">
        <v>0</v>
      </c>
      <c r="W456">
        <v>1</v>
      </c>
      <c r="X456">
        <v>274</v>
      </c>
      <c r="Y456" t="s">
        <v>101</v>
      </c>
    </row>
    <row r="457" spans="1:25" ht="16" customHeight="1" x14ac:dyDescent="0.2">
      <c r="A457" s="1" t="s">
        <v>587</v>
      </c>
      <c r="B457" s="2" t="s">
        <v>170</v>
      </c>
      <c r="C457" s="2">
        <v>76</v>
      </c>
      <c r="D457" s="2" t="s">
        <v>115</v>
      </c>
      <c r="E457" s="2">
        <v>9767</v>
      </c>
      <c r="F457" s="2">
        <v>1</v>
      </c>
      <c r="G457" s="2">
        <v>0</v>
      </c>
      <c r="H457" s="2">
        <v>1</v>
      </c>
      <c r="I457" s="2">
        <v>1</v>
      </c>
      <c r="J457" s="2">
        <v>2</v>
      </c>
      <c r="K457" s="2">
        <v>3</v>
      </c>
      <c r="L457" s="2">
        <v>0</v>
      </c>
      <c r="M457" s="2">
        <v>0</v>
      </c>
      <c r="N457" s="2">
        <v>1</v>
      </c>
      <c r="O457" s="2">
        <v>0</v>
      </c>
      <c r="P457" s="2">
        <v>0</v>
      </c>
      <c r="Q457">
        <v>1</v>
      </c>
      <c r="R457">
        <v>0</v>
      </c>
      <c r="S457">
        <v>2</v>
      </c>
      <c r="T457">
        <v>0</v>
      </c>
      <c r="U457">
        <v>1</v>
      </c>
      <c r="V457">
        <v>1</v>
      </c>
      <c r="W457">
        <v>1</v>
      </c>
      <c r="X457">
        <v>163</v>
      </c>
      <c r="Y457" t="s">
        <v>101</v>
      </c>
    </row>
    <row r="458" spans="1:25" ht="16" customHeight="1" x14ac:dyDescent="0.2">
      <c r="A458" s="1" t="s">
        <v>588</v>
      </c>
      <c r="B458" s="2" t="s">
        <v>114</v>
      </c>
      <c r="C458" s="2">
        <v>77</v>
      </c>
      <c r="D458" s="2" t="s">
        <v>100</v>
      </c>
      <c r="E458" s="2">
        <v>1585</v>
      </c>
      <c r="F458" s="2">
        <v>0</v>
      </c>
      <c r="G458" s="2">
        <v>1</v>
      </c>
      <c r="H458" s="2">
        <v>4</v>
      </c>
      <c r="I458" s="2">
        <v>1</v>
      </c>
      <c r="J458" s="2">
        <v>2</v>
      </c>
      <c r="K458" s="2">
        <v>4</v>
      </c>
      <c r="L458" s="2">
        <v>0</v>
      </c>
      <c r="M458" s="2">
        <v>0</v>
      </c>
      <c r="N458" s="2">
        <v>0</v>
      </c>
      <c r="O458" s="2">
        <v>0</v>
      </c>
      <c r="P458" s="2">
        <v>1</v>
      </c>
      <c r="Q458">
        <v>1</v>
      </c>
      <c r="R458">
        <v>0</v>
      </c>
      <c r="S458">
        <v>1</v>
      </c>
      <c r="T458">
        <v>0</v>
      </c>
      <c r="U458">
        <v>1</v>
      </c>
      <c r="V458">
        <v>0</v>
      </c>
      <c r="W458">
        <v>1</v>
      </c>
      <c r="X458">
        <v>461</v>
      </c>
      <c r="Y458" t="s">
        <v>101</v>
      </c>
    </row>
    <row r="459" spans="1:25" ht="16" customHeight="1" x14ac:dyDescent="0.2">
      <c r="A459" s="1" t="s">
        <v>589</v>
      </c>
      <c r="B459" s="2" t="s">
        <v>124</v>
      </c>
      <c r="C459" s="2">
        <v>77</v>
      </c>
      <c r="D459" s="2" t="s">
        <v>103</v>
      </c>
      <c r="E459" s="2">
        <v>810</v>
      </c>
      <c r="F459" s="2">
        <v>0</v>
      </c>
      <c r="G459" s="2">
        <v>1</v>
      </c>
      <c r="H459" s="2">
        <v>2</v>
      </c>
      <c r="I459" s="2">
        <v>1</v>
      </c>
      <c r="J459" s="2">
        <v>1</v>
      </c>
      <c r="K459" s="2">
        <v>4</v>
      </c>
      <c r="L459" s="2">
        <v>0</v>
      </c>
      <c r="M459" s="2">
        <v>0</v>
      </c>
      <c r="N459" s="2">
        <v>0</v>
      </c>
      <c r="O459" s="2">
        <v>1</v>
      </c>
      <c r="P459" s="2">
        <v>0</v>
      </c>
      <c r="Q459">
        <v>1</v>
      </c>
      <c r="R459">
        <v>0</v>
      </c>
      <c r="S459">
        <v>4</v>
      </c>
      <c r="T459">
        <v>0</v>
      </c>
      <c r="U459">
        <v>0</v>
      </c>
      <c r="V459">
        <v>1</v>
      </c>
      <c r="W459">
        <v>1</v>
      </c>
      <c r="X459">
        <v>145</v>
      </c>
      <c r="Y459" t="s">
        <v>101</v>
      </c>
    </row>
    <row r="460" spans="1:25" ht="16" customHeight="1" x14ac:dyDescent="0.2">
      <c r="A460" s="1" t="s">
        <v>590</v>
      </c>
      <c r="B460" s="2" t="s">
        <v>181</v>
      </c>
      <c r="C460" s="2">
        <v>77</v>
      </c>
      <c r="D460" s="2" t="s">
        <v>106</v>
      </c>
      <c r="E460" s="2">
        <v>3015</v>
      </c>
      <c r="F460" s="2">
        <v>1</v>
      </c>
      <c r="G460" s="2">
        <v>0</v>
      </c>
      <c r="H460" s="2">
        <v>1</v>
      </c>
      <c r="I460" s="2">
        <v>2</v>
      </c>
      <c r="J460" s="2">
        <v>2</v>
      </c>
      <c r="K460" s="2">
        <v>4</v>
      </c>
      <c r="L460" s="2">
        <v>1</v>
      </c>
      <c r="M460" s="2">
        <v>1</v>
      </c>
      <c r="N460" s="2">
        <v>0</v>
      </c>
      <c r="O460" s="2">
        <v>0</v>
      </c>
      <c r="P460" s="2">
        <v>0</v>
      </c>
      <c r="Q460">
        <v>0</v>
      </c>
      <c r="R460">
        <v>0</v>
      </c>
      <c r="S460">
        <v>-1</v>
      </c>
      <c r="T460">
        <v>1</v>
      </c>
      <c r="U460">
        <v>1</v>
      </c>
      <c r="V460">
        <v>0</v>
      </c>
      <c r="W460">
        <v>1</v>
      </c>
      <c r="X460">
        <v>234</v>
      </c>
      <c r="Y460" t="s">
        <v>101</v>
      </c>
    </row>
    <row r="461" spans="1:25" ht="16" customHeight="1" x14ac:dyDescent="0.2">
      <c r="A461" s="1" t="s">
        <v>591</v>
      </c>
      <c r="B461" s="2" t="s">
        <v>229</v>
      </c>
      <c r="C461" s="2">
        <v>77</v>
      </c>
      <c r="D461" s="2" t="s">
        <v>109</v>
      </c>
      <c r="E461" s="2">
        <v>3003</v>
      </c>
      <c r="F461" s="2">
        <v>0</v>
      </c>
      <c r="G461" s="2">
        <v>-1</v>
      </c>
      <c r="H461" s="2">
        <v>4</v>
      </c>
      <c r="I461" s="2">
        <v>2</v>
      </c>
      <c r="J461" s="2">
        <v>1</v>
      </c>
      <c r="K461" s="2">
        <v>2</v>
      </c>
      <c r="L461" s="2">
        <v>0</v>
      </c>
      <c r="M461" s="2">
        <v>1</v>
      </c>
      <c r="N461" s="2">
        <v>0</v>
      </c>
      <c r="O461" s="2">
        <v>1</v>
      </c>
      <c r="P461" s="2">
        <v>0</v>
      </c>
      <c r="Q461">
        <v>1</v>
      </c>
      <c r="R461">
        <v>0</v>
      </c>
      <c r="S461">
        <v>4</v>
      </c>
      <c r="T461">
        <v>0</v>
      </c>
      <c r="U461">
        <v>1</v>
      </c>
      <c r="V461">
        <v>1</v>
      </c>
      <c r="W461">
        <v>0</v>
      </c>
      <c r="X461">
        <v>474</v>
      </c>
      <c r="Y461" t="s">
        <v>101</v>
      </c>
    </row>
    <row r="462" spans="1:25" ht="16" customHeight="1" x14ac:dyDescent="0.2">
      <c r="A462" s="1" t="s">
        <v>592</v>
      </c>
      <c r="B462" s="2" t="s">
        <v>126</v>
      </c>
      <c r="C462" s="2">
        <v>77</v>
      </c>
      <c r="D462" s="2" t="s">
        <v>112</v>
      </c>
      <c r="E462" s="2">
        <v>4458</v>
      </c>
      <c r="F462" s="2">
        <v>1</v>
      </c>
      <c r="G462" s="2">
        <v>0</v>
      </c>
      <c r="H462" s="2">
        <v>3</v>
      </c>
      <c r="I462" s="2">
        <v>3</v>
      </c>
      <c r="J462" s="2">
        <v>1</v>
      </c>
      <c r="K462" s="2">
        <v>1</v>
      </c>
      <c r="L462" s="2">
        <v>0</v>
      </c>
      <c r="M462" s="2">
        <v>0</v>
      </c>
      <c r="N462" s="2">
        <v>0</v>
      </c>
      <c r="O462" s="2">
        <v>0</v>
      </c>
      <c r="P462" s="2">
        <v>1</v>
      </c>
      <c r="Q462">
        <v>0</v>
      </c>
      <c r="R462">
        <v>1</v>
      </c>
      <c r="S462">
        <v>-1</v>
      </c>
      <c r="T462">
        <v>0</v>
      </c>
      <c r="U462">
        <v>0</v>
      </c>
      <c r="V462">
        <v>0</v>
      </c>
      <c r="W462">
        <v>0</v>
      </c>
      <c r="X462">
        <v>83</v>
      </c>
      <c r="Y462" t="s">
        <v>101</v>
      </c>
    </row>
    <row r="463" spans="1:25" ht="16" customHeight="1" x14ac:dyDescent="0.2">
      <c r="A463" s="1" t="s">
        <v>593</v>
      </c>
      <c r="B463" s="2" t="s">
        <v>117</v>
      </c>
      <c r="C463" s="2">
        <v>77</v>
      </c>
      <c r="D463" s="2" t="s">
        <v>115</v>
      </c>
      <c r="E463" s="2">
        <v>6868</v>
      </c>
      <c r="F463" s="2">
        <v>0</v>
      </c>
      <c r="G463" s="2">
        <v>-1</v>
      </c>
      <c r="H463" s="2">
        <v>4</v>
      </c>
      <c r="I463" s="2">
        <v>1</v>
      </c>
      <c r="J463" s="2">
        <v>2</v>
      </c>
      <c r="K463" s="2">
        <v>5</v>
      </c>
      <c r="L463" s="2">
        <v>0</v>
      </c>
      <c r="M463" s="2">
        <v>0</v>
      </c>
      <c r="N463" s="2">
        <v>0</v>
      </c>
      <c r="O463" s="2">
        <v>0</v>
      </c>
      <c r="P463" s="2">
        <v>1</v>
      </c>
      <c r="Q463">
        <v>0</v>
      </c>
      <c r="R463">
        <v>0</v>
      </c>
      <c r="S463">
        <v>2</v>
      </c>
      <c r="T463">
        <v>-1</v>
      </c>
      <c r="U463">
        <v>1</v>
      </c>
      <c r="V463">
        <v>1</v>
      </c>
      <c r="W463">
        <v>1</v>
      </c>
      <c r="X463">
        <v>87</v>
      </c>
      <c r="Y463" t="s">
        <v>101</v>
      </c>
    </row>
    <row r="464" spans="1:25" ht="16" customHeight="1" x14ac:dyDescent="0.2">
      <c r="A464" s="1" t="s">
        <v>594</v>
      </c>
      <c r="B464" s="2" t="s">
        <v>122</v>
      </c>
      <c r="C464" s="2">
        <v>78</v>
      </c>
      <c r="D464" s="2" t="s">
        <v>100</v>
      </c>
      <c r="E464" s="2">
        <v>424</v>
      </c>
      <c r="F464" s="2">
        <v>1</v>
      </c>
      <c r="G464" s="2">
        <v>0</v>
      </c>
      <c r="H464" s="2">
        <v>1</v>
      </c>
      <c r="I464" s="2">
        <v>2</v>
      </c>
      <c r="J464" s="2">
        <v>1</v>
      </c>
      <c r="K464" s="2">
        <v>3</v>
      </c>
      <c r="L464" s="2">
        <v>1</v>
      </c>
      <c r="M464" s="2">
        <v>0</v>
      </c>
      <c r="N464" s="2">
        <v>0</v>
      </c>
      <c r="O464" s="2">
        <v>0</v>
      </c>
      <c r="P464" s="2">
        <v>1</v>
      </c>
      <c r="Q464">
        <v>1</v>
      </c>
      <c r="R464">
        <v>1</v>
      </c>
      <c r="S464">
        <v>-1</v>
      </c>
      <c r="T464">
        <v>1</v>
      </c>
      <c r="U464">
        <v>0</v>
      </c>
      <c r="V464">
        <v>0</v>
      </c>
      <c r="W464">
        <v>0</v>
      </c>
      <c r="X464">
        <v>64</v>
      </c>
      <c r="Y464" t="s">
        <v>101</v>
      </c>
    </row>
    <row r="465" spans="1:25" ht="16" customHeight="1" x14ac:dyDescent="0.2">
      <c r="A465" s="1" t="s">
        <v>595</v>
      </c>
      <c r="B465" s="2" t="s">
        <v>122</v>
      </c>
      <c r="C465" s="2">
        <v>78</v>
      </c>
      <c r="D465" s="2" t="s">
        <v>103</v>
      </c>
      <c r="E465" s="2">
        <v>10223</v>
      </c>
      <c r="F465" s="2">
        <v>0</v>
      </c>
      <c r="G465" s="2">
        <v>-1</v>
      </c>
      <c r="H465" s="2">
        <v>1</v>
      </c>
      <c r="I465" s="2">
        <v>3</v>
      </c>
      <c r="J465" s="2">
        <v>2</v>
      </c>
      <c r="K465" s="2">
        <v>4</v>
      </c>
      <c r="L465" s="2">
        <v>1</v>
      </c>
      <c r="M465" s="2">
        <v>1</v>
      </c>
      <c r="N465" s="2">
        <v>1</v>
      </c>
      <c r="O465" s="2">
        <v>1</v>
      </c>
      <c r="P465" s="2">
        <v>1</v>
      </c>
      <c r="Q465">
        <v>1</v>
      </c>
      <c r="R465">
        <v>0</v>
      </c>
      <c r="S465">
        <v>4</v>
      </c>
      <c r="T465">
        <v>0</v>
      </c>
      <c r="U465">
        <v>1</v>
      </c>
      <c r="V465">
        <v>0</v>
      </c>
      <c r="W465">
        <v>0</v>
      </c>
      <c r="X465">
        <v>381</v>
      </c>
      <c r="Y465" t="s">
        <v>101</v>
      </c>
    </row>
    <row r="466" spans="1:25" ht="16" customHeight="1" x14ac:dyDescent="0.2">
      <c r="A466" s="1" t="s">
        <v>596</v>
      </c>
      <c r="B466" s="2" t="s">
        <v>132</v>
      </c>
      <c r="C466" s="2">
        <v>78</v>
      </c>
      <c r="D466" s="2" t="s">
        <v>106</v>
      </c>
      <c r="E466" s="2">
        <v>5528</v>
      </c>
      <c r="F466" s="2">
        <v>1</v>
      </c>
      <c r="G466" s="2">
        <v>1</v>
      </c>
      <c r="H466" s="2">
        <v>3</v>
      </c>
      <c r="I466" s="2">
        <v>2</v>
      </c>
      <c r="J466" s="2">
        <v>3</v>
      </c>
      <c r="K466" s="2">
        <v>1</v>
      </c>
      <c r="L466" s="2">
        <v>0</v>
      </c>
      <c r="M466" s="2">
        <v>0</v>
      </c>
      <c r="N466" s="2">
        <v>0</v>
      </c>
      <c r="O466" s="2">
        <v>0</v>
      </c>
      <c r="P466" s="2">
        <v>0</v>
      </c>
      <c r="Q466">
        <v>0</v>
      </c>
      <c r="R466">
        <v>0</v>
      </c>
      <c r="S466">
        <v>-1</v>
      </c>
      <c r="T466">
        <v>-1</v>
      </c>
      <c r="U466">
        <v>1</v>
      </c>
      <c r="V466">
        <v>1</v>
      </c>
      <c r="W466">
        <v>0</v>
      </c>
      <c r="X466">
        <v>384</v>
      </c>
      <c r="Y466" t="s">
        <v>101</v>
      </c>
    </row>
    <row r="467" spans="1:25" ht="16" customHeight="1" x14ac:dyDescent="0.2">
      <c r="A467" s="1" t="s">
        <v>597</v>
      </c>
      <c r="B467" s="2" t="s">
        <v>119</v>
      </c>
      <c r="C467" s="2">
        <v>78</v>
      </c>
      <c r="D467" s="2" t="s">
        <v>109</v>
      </c>
      <c r="E467" s="2">
        <v>144</v>
      </c>
      <c r="F467" s="2">
        <v>0</v>
      </c>
      <c r="G467" s="2">
        <v>1</v>
      </c>
      <c r="H467" s="2">
        <v>3</v>
      </c>
      <c r="I467" s="2">
        <v>2</v>
      </c>
      <c r="J467" s="2">
        <v>1</v>
      </c>
      <c r="K467" s="2">
        <v>4</v>
      </c>
      <c r="L467" s="2">
        <v>0</v>
      </c>
      <c r="M467" s="2">
        <v>0</v>
      </c>
      <c r="N467" s="2">
        <v>1</v>
      </c>
      <c r="O467" s="2">
        <v>1</v>
      </c>
      <c r="P467" s="2">
        <v>0</v>
      </c>
      <c r="Q467">
        <v>1</v>
      </c>
      <c r="R467">
        <v>0</v>
      </c>
      <c r="S467">
        <v>2</v>
      </c>
      <c r="T467">
        <v>0</v>
      </c>
      <c r="U467">
        <v>1</v>
      </c>
      <c r="V467">
        <v>0</v>
      </c>
      <c r="W467">
        <v>0</v>
      </c>
      <c r="X467">
        <v>131</v>
      </c>
      <c r="Y467" t="s">
        <v>101</v>
      </c>
    </row>
    <row r="468" spans="1:25" ht="16" customHeight="1" x14ac:dyDescent="0.2">
      <c r="A468" s="1" t="s">
        <v>598</v>
      </c>
      <c r="B468" s="2" t="s">
        <v>179</v>
      </c>
      <c r="C468" s="2">
        <v>78</v>
      </c>
      <c r="D468" s="2" t="s">
        <v>112</v>
      </c>
      <c r="E468" s="2">
        <v>48</v>
      </c>
      <c r="F468" s="2">
        <v>1</v>
      </c>
      <c r="G468" s="2">
        <v>1</v>
      </c>
      <c r="H468" s="2">
        <v>5</v>
      </c>
      <c r="I468" s="2">
        <v>3</v>
      </c>
      <c r="J468" s="2">
        <v>2</v>
      </c>
      <c r="K468" s="2">
        <v>2</v>
      </c>
      <c r="L468" s="2">
        <v>0</v>
      </c>
      <c r="M468" s="2">
        <v>1</v>
      </c>
      <c r="N468" s="2">
        <v>0</v>
      </c>
      <c r="O468" s="2">
        <v>1</v>
      </c>
      <c r="P468" s="2">
        <v>0</v>
      </c>
      <c r="Q468">
        <v>1</v>
      </c>
      <c r="R468">
        <v>1</v>
      </c>
      <c r="S468">
        <v>-1</v>
      </c>
      <c r="T468">
        <v>-1</v>
      </c>
      <c r="U468">
        <v>1</v>
      </c>
      <c r="V468">
        <v>1</v>
      </c>
      <c r="W468">
        <v>0</v>
      </c>
      <c r="X468">
        <v>344</v>
      </c>
      <c r="Y468" t="s">
        <v>101</v>
      </c>
    </row>
    <row r="469" spans="1:25" ht="16" customHeight="1" x14ac:dyDescent="0.2">
      <c r="A469" s="1" t="s">
        <v>599</v>
      </c>
      <c r="B469" s="2" t="s">
        <v>126</v>
      </c>
      <c r="C469" s="2">
        <v>78</v>
      </c>
      <c r="D469" s="2" t="s">
        <v>115</v>
      </c>
      <c r="E469" s="2">
        <v>1126</v>
      </c>
      <c r="F469" s="2">
        <v>0</v>
      </c>
      <c r="G469" s="2">
        <v>-1</v>
      </c>
      <c r="H469" s="2">
        <v>5</v>
      </c>
      <c r="I469" s="2">
        <v>2</v>
      </c>
      <c r="J469" s="2">
        <v>2</v>
      </c>
      <c r="K469" s="2">
        <v>3</v>
      </c>
      <c r="L469" s="2">
        <v>1</v>
      </c>
      <c r="M469" s="2">
        <v>1</v>
      </c>
      <c r="N469" s="2">
        <v>0</v>
      </c>
      <c r="O469" s="2">
        <v>0</v>
      </c>
      <c r="P469" s="2">
        <v>0</v>
      </c>
      <c r="Q469">
        <v>0</v>
      </c>
      <c r="R469">
        <v>0</v>
      </c>
      <c r="S469">
        <v>3</v>
      </c>
      <c r="T469">
        <v>1</v>
      </c>
      <c r="U469">
        <v>0</v>
      </c>
      <c r="V469">
        <v>0</v>
      </c>
      <c r="W469">
        <v>1</v>
      </c>
      <c r="X469">
        <v>260</v>
      </c>
      <c r="Y469" t="s">
        <v>101</v>
      </c>
    </row>
    <row r="470" spans="1:25" ht="16" customHeight="1" x14ac:dyDescent="0.2">
      <c r="A470" s="1" t="s">
        <v>600</v>
      </c>
      <c r="B470" s="2" t="s">
        <v>111</v>
      </c>
      <c r="C470" s="2">
        <v>79</v>
      </c>
      <c r="D470" s="2" t="s">
        <v>100</v>
      </c>
      <c r="E470" s="2">
        <v>1468</v>
      </c>
      <c r="F470" s="2">
        <v>1</v>
      </c>
      <c r="G470" s="2">
        <v>-1</v>
      </c>
      <c r="H470" s="2">
        <v>4</v>
      </c>
      <c r="I470" s="2">
        <v>2</v>
      </c>
      <c r="J470" s="2">
        <v>1</v>
      </c>
      <c r="K470" s="2">
        <v>1</v>
      </c>
      <c r="L470" s="2">
        <v>0</v>
      </c>
      <c r="M470" s="2">
        <v>1</v>
      </c>
      <c r="N470" s="2">
        <v>1</v>
      </c>
      <c r="O470" s="2">
        <v>0</v>
      </c>
      <c r="P470" s="2">
        <v>0</v>
      </c>
      <c r="Q470">
        <v>0</v>
      </c>
      <c r="R470">
        <v>1</v>
      </c>
      <c r="S470">
        <v>4</v>
      </c>
      <c r="T470">
        <v>0</v>
      </c>
      <c r="U470">
        <v>0</v>
      </c>
      <c r="V470">
        <v>1</v>
      </c>
      <c r="W470">
        <v>0</v>
      </c>
      <c r="X470">
        <v>283</v>
      </c>
      <c r="Y470" t="s">
        <v>101</v>
      </c>
    </row>
    <row r="471" spans="1:25" ht="16" customHeight="1" x14ac:dyDescent="0.2">
      <c r="A471" s="1" t="s">
        <v>601</v>
      </c>
      <c r="B471" s="2" t="s">
        <v>108</v>
      </c>
      <c r="C471" s="2">
        <v>79</v>
      </c>
      <c r="D471" s="2" t="s">
        <v>103</v>
      </c>
      <c r="E471" s="2">
        <v>3799</v>
      </c>
      <c r="F471" s="2">
        <v>1</v>
      </c>
      <c r="G471" s="2">
        <v>0</v>
      </c>
      <c r="H471" s="2">
        <v>3</v>
      </c>
      <c r="I471" s="2">
        <v>1</v>
      </c>
      <c r="J471" s="2">
        <v>1</v>
      </c>
      <c r="K471" s="2">
        <v>2</v>
      </c>
      <c r="L471" s="2">
        <v>1</v>
      </c>
      <c r="M471" s="2">
        <v>1</v>
      </c>
      <c r="N471" s="2">
        <v>0</v>
      </c>
      <c r="O471" s="2">
        <v>0</v>
      </c>
      <c r="P471" s="2">
        <v>1</v>
      </c>
      <c r="Q471">
        <v>0</v>
      </c>
      <c r="R471">
        <v>0</v>
      </c>
      <c r="S471">
        <v>1</v>
      </c>
      <c r="T471">
        <v>1</v>
      </c>
      <c r="U471">
        <v>0</v>
      </c>
      <c r="V471">
        <v>0</v>
      </c>
      <c r="W471">
        <v>0</v>
      </c>
      <c r="X471">
        <v>48</v>
      </c>
      <c r="Y471" t="s">
        <v>101</v>
      </c>
    </row>
    <row r="472" spans="1:25" ht="16" customHeight="1" x14ac:dyDescent="0.2">
      <c r="A472" s="1" t="s">
        <v>602</v>
      </c>
      <c r="B472" s="2" t="s">
        <v>191</v>
      </c>
      <c r="C472" s="2">
        <v>79</v>
      </c>
      <c r="D472" s="2" t="s">
        <v>106</v>
      </c>
      <c r="E472" s="2">
        <v>3181</v>
      </c>
      <c r="F472" s="2">
        <v>0</v>
      </c>
      <c r="G472" s="2">
        <v>0</v>
      </c>
      <c r="H472" s="2">
        <v>4</v>
      </c>
      <c r="I472" s="2">
        <v>1</v>
      </c>
      <c r="J472" s="2">
        <v>2</v>
      </c>
      <c r="K472" s="2">
        <v>3</v>
      </c>
      <c r="L472" s="2">
        <v>1</v>
      </c>
      <c r="M472" s="2">
        <v>0</v>
      </c>
      <c r="N472" s="2">
        <v>1</v>
      </c>
      <c r="O472" s="2">
        <v>1</v>
      </c>
      <c r="P472" s="2">
        <v>1</v>
      </c>
      <c r="Q472">
        <v>0</v>
      </c>
      <c r="R472">
        <v>1</v>
      </c>
      <c r="S472">
        <v>-1</v>
      </c>
      <c r="T472">
        <v>0</v>
      </c>
      <c r="U472">
        <v>0</v>
      </c>
      <c r="V472">
        <v>1</v>
      </c>
      <c r="W472">
        <v>0</v>
      </c>
      <c r="X472">
        <v>314</v>
      </c>
      <c r="Y472" t="s">
        <v>101</v>
      </c>
    </row>
    <row r="473" spans="1:25" ht="16" customHeight="1" x14ac:dyDescent="0.2">
      <c r="A473" s="1" t="s">
        <v>603</v>
      </c>
      <c r="B473" s="2" t="s">
        <v>128</v>
      </c>
      <c r="C473" s="2">
        <v>79</v>
      </c>
      <c r="D473" s="2" t="s">
        <v>109</v>
      </c>
      <c r="E473" s="2">
        <v>1787</v>
      </c>
      <c r="F473" s="2">
        <v>0</v>
      </c>
      <c r="G473" s="2">
        <v>-1</v>
      </c>
      <c r="H473" s="2">
        <v>3</v>
      </c>
      <c r="I473" s="2">
        <v>3</v>
      </c>
      <c r="J473" s="2">
        <v>3</v>
      </c>
      <c r="K473" s="2">
        <v>3</v>
      </c>
      <c r="L473" s="2">
        <v>0</v>
      </c>
      <c r="M473" s="2">
        <v>1</v>
      </c>
      <c r="N473" s="2">
        <v>0</v>
      </c>
      <c r="O473" s="2">
        <v>0</v>
      </c>
      <c r="P473" s="2">
        <v>1</v>
      </c>
      <c r="Q473">
        <v>0</v>
      </c>
      <c r="R473">
        <v>1</v>
      </c>
      <c r="S473">
        <v>1</v>
      </c>
      <c r="T473">
        <v>1</v>
      </c>
      <c r="U473">
        <v>1</v>
      </c>
      <c r="V473">
        <v>0</v>
      </c>
      <c r="W473">
        <v>1</v>
      </c>
      <c r="X473">
        <v>254</v>
      </c>
      <c r="Y473" t="s">
        <v>101</v>
      </c>
    </row>
    <row r="474" spans="1:25" ht="16" customHeight="1" x14ac:dyDescent="0.2">
      <c r="A474" s="1" t="s">
        <v>604</v>
      </c>
      <c r="B474" s="2" t="s">
        <v>141</v>
      </c>
      <c r="C474" s="2">
        <v>79</v>
      </c>
      <c r="D474" s="2" t="s">
        <v>112</v>
      </c>
      <c r="E474" s="2">
        <v>1450</v>
      </c>
      <c r="F474" s="2">
        <v>1</v>
      </c>
      <c r="G474" s="2">
        <v>-1</v>
      </c>
      <c r="H474" s="2">
        <v>5</v>
      </c>
      <c r="I474" s="2">
        <v>1</v>
      </c>
      <c r="J474" s="2">
        <v>1</v>
      </c>
      <c r="K474" s="2">
        <v>2</v>
      </c>
      <c r="L474" s="2">
        <v>1</v>
      </c>
      <c r="M474" s="2">
        <v>1</v>
      </c>
      <c r="N474" s="2">
        <v>1</v>
      </c>
      <c r="O474" s="2">
        <v>0</v>
      </c>
      <c r="P474" s="2">
        <v>1</v>
      </c>
      <c r="Q474">
        <v>0</v>
      </c>
      <c r="R474">
        <v>0</v>
      </c>
      <c r="S474">
        <v>2</v>
      </c>
      <c r="T474">
        <v>1</v>
      </c>
      <c r="U474">
        <v>0</v>
      </c>
      <c r="V474">
        <v>1</v>
      </c>
      <c r="W474">
        <v>0</v>
      </c>
      <c r="X474">
        <v>340</v>
      </c>
      <c r="Y474" t="s">
        <v>101</v>
      </c>
    </row>
    <row r="475" spans="1:25" ht="16" customHeight="1" x14ac:dyDescent="0.2">
      <c r="A475" s="1" t="s">
        <v>605</v>
      </c>
      <c r="B475" s="2" t="s">
        <v>151</v>
      </c>
      <c r="C475" s="2">
        <v>79</v>
      </c>
      <c r="D475" s="2" t="s">
        <v>115</v>
      </c>
      <c r="E475" s="2">
        <v>191</v>
      </c>
      <c r="F475" s="2">
        <v>0</v>
      </c>
      <c r="G475" s="2">
        <v>0</v>
      </c>
      <c r="H475" s="2">
        <v>1</v>
      </c>
      <c r="I475" s="2">
        <v>3</v>
      </c>
      <c r="J475" s="2">
        <v>2</v>
      </c>
      <c r="K475" s="2">
        <v>2</v>
      </c>
      <c r="L475" s="2">
        <v>1</v>
      </c>
      <c r="M475" s="2">
        <v>0</v>
      </c>
      <c r="N475" s="2">
        <v>1</v>
      </c>
      <c r="O475" s="2">
        <v>0</v>
      </c>
      <c r="P475" s="2">
        <v>1</v>
      </c>
      <c r="Q475">
        <v>1</v>
      </c>
      <c r="R475">
        <v>0</v>
      </c>
      <c r="S475">
        <v>2</v>
      </c>
      <c r="T475">
        <v>-1</v>
      </c>
      <c r="U475">
        <v>1</v>
      </c>
      <c r="V475">
        <v>1</v>
      </c>
      <c r="W475">
        <v>1</v>
      </c>
      <c r="X475">
        <v>197</v>
      </c>
      <c r="Y475" t="s">
        <v>101</v>
      </c>
    </row>
    <row r="476" spans="1:25" ht="16" customHeight="1" x14ac:dyDescent="0.2">
      <c r="A476" s="1" t="s">
        <v>606</v>
      </c>
      <c r="B476" s="2" t="s">
        <v>99</v>
      </c>
      <c r="C476" s="2">
        <v>80</v>
      </c>
      <c r="D476" s="2" t="s">
        <v>100</v>
      </c>
      <c r="E476" s="2">
        <v>10922</v>
      </c>
      <c r="F476" s="2">
        <v>1</v>
      </c>
      <c r="G476" s="2">
        <v>-1</v>
      </c>
      <c r="H476" s="2">
        <v>5</v>
      </c>
      <c r="I476" s="2">
        <v>3</v>
      </c>
      <c r="J476" s="2">
        <v>3</v>
      </c>
      <c r="K476" s="2">
        <v>5</v>
      </c>
      <c r="L476" s="2">
        <v>1</v>
      </c>
      <c r="M476" s="2">
        <v>0</v>
      </c>
      <c r="N476" s="2">
        <v>1</v>
      </c>
      <c r="O476" s="2">
        <v>0</v>
      </c>
      <c r="P476" s="2">
        <v>1</v>
      </c>
      <c r="Q476">
        <v>1</v>
      </c>
      <c r="R476">
        <v>0</v>
      </c>
      <c r="S476">
        <v>1</v>
      </c>
      <c r="T476">
        <v>0</v>
      </c>
      <c r="U476">
        <v>0</v>
      </c>
      <c r="V476">
        <v>0</v>
      </c>
      <c r="W476">
        <v>0</v>
      </c>
      <c r="X476">
        <v>55</v>
      </c>
      <c r="Y476" t="s">
        <v>101</v>
      </c>
    </row>
    <row r="477" spans="1:25" ht="16" customHeight="1" x14ac:dyDescent="0.2">
      <c r="A477" s="1" t="s">
        <v>607</v>
      </c>
      <c r="B477" s="2" t="s">
        <v>191</v>
      </c>
      <c r="C477" s="2">
        <v>80</v>
      </c>
      <c r="D477" s="2" t="s">
        <v>103</v>
      </c>
      <c r="E477" s="2">
        <v>1559</v>
      </c>
      <c r="F477" s="2">
        <v>1</v>
      </c>
      <c r="G477" s="2">
        <v>0</v>
      </c>
      <c r="H477" s="2">
        <v>4</v>
      </c>
      <c r="I477" s="2">
        <v>2</v>
      </c>
      <c r="J477" s="2">
        <v>1</v>
      </c>
      <c r="K477" s="2">
        <v>2</v>
      </c>
      <c r="L477" s="2">
        <v>0</v>
      </c>
      <c r="M477" s="2">
        <v>0</v>
      </c>
      <c r="N477" s="2">
        <v>1</v>
      </c>
      <c r="O477" s="2">
        <v>1</v>
      </c>
      <c r="P477" s="2">
        <v>0</v>
      </c>
      <c r="Q477">
        <v>1</v>
      </c>
      <c r="R477">
        <v>0</v>
      </c>
      <c r="S477">
        <v>2</v>
      </c>
      <c r="T477">
        <v>-1</v>
      </c>
      <c r="U477">
        <v>0</v>
      </c>
      <c r="V477">
        <v>1</v>
      </c>
      <c r="W477">
        <v>1</v>
      </c>
      <c r="X477">
        <v>214</v>
      </c>
      <c r="Y477" t="s">
        <v>101</v>
      </c>
    </row>
    <row r="478" spans="1:25" ht="16" customHeight="1" x14ac:dyDescent="0.2">
      <c r="A478" s="1" t="s">
        <v>608</v>
      </c>
      <c r="B478" s="2" t="s">
        <v>128</v>
      </c>
      <c r="C478" s="2">
        <v>80</v>
      </c>
      <c r="D478" s="2" t="s">
        <v>106</v>
      </c>
      <c r="E478" s="2">
        <v>353</v>
      </c>
      <c r="F478" s="2">
        <v>0</v>
      </c>
      <c r="G478" s="2">
        <v>0</v>
      </c>
      <c r="H478" s="2">
        <v>4</v>
      </c>
      <c r="I478" s="2">
        <v>3</v>
      </c>
      <c r="J478" s="2">
        <v>2</v>
      </c>
      <c r="K478" s="2">
        <v>4</v>
      </c>
      <c r="L478" s="2">
        <v>0</v>
      </c>
      <c r="M478" s="2">
        <v>1</v>
      </c>
      <c r="N478" s="2">
        <v>1</v>
      </c>
      <c r="O478" s="2">
        <v>0</v>
      </c>
      <c r="P478" s="2">
        <v>0</v>
      </c>
      <c r="Q478">
        <v>1</v>
      </c>
      <c r="R478">
        <v>0</v>
      </c>
      <c r="S478">
        <v>1</v>
      </c>
      <c r="T478">
        <v>-1</v>
      </c>
      <c r="U478">
        <v>1</v>
      </c>
      <c r="V478">
        <v>1</v>
      </c>
      <c r="W478">
        <v>1</v>
      </c>
      <c r="X478">
        <v>354</v>
      </c>
      <c r="Y478" t="s">
        <v>101</v>
      </c>
    </row>
    <row r="479" spans="1:25" ht="16" customHeight="1" x14ac:dyDescent="0.2">
      <c r="A479" s="1" t="s">
        <v>609</v>
      </c>
      <c r="B479" s="2" t="s">
        <v>144</v>
      </c>
      <c r="C479" s="2">
        <v>80</v>
      </c>
      <c r="D479" s="2" t="s">
        <v>109</v>
      </c>
      <c r="E479" s="2">
        <v>4093</v>
      </c>
      <c r="F479" s="2">
        <v>0</v>
      </c>
      <c r="G479" s="2">
        <v>-1</v>
      </c>
      <c r="H479" s="2">
        <v>1</v>
      </c>
      <c r="I479" s="2">
        <v>2</v>
      </c>
      <c r="J479" s="2">
        <v>3</v>
      </c>
      <c r="K479" s="2">
        <v>1</v>
      </c>
      <c r="L479" s="2">
        <v>0</v>
      </c>
      <c r="M479" s="2">
        <v>1</v>
      </c>
      <c r="N479" s="2">
        <v>0</v>
      </c>
      <c r="O479" s="2">
        <v>1</v>
      </c>
      <c r="P479" s="2">
        <v>0</v>
      </c>
      <c r="Q479">
        <v>1</v>
      </c>
      <c r="R479">
        <v>1</v>
      </c>
      <c r="S479">
        <v>2</v>
      </c>
      <c r="T479">
        <v>1</v>
      </c>
      <c r="U479">
        <v>0</v>
      </c>
      <c r="V479">
        <v>0</v>
      </c>
      <c r="W479">
        <v>0</v>
      </c>
      <c r="X479">
        <v>115</v>
      </c>
      <c r="Y479" t="s">
        <v>101</v>
      </c>
    </row>
    <row r="480" spans="1:25" ht="16" customHeight="1" x14ac:dyDescent="0.2">
      <c r="A480" s="1" t="s">
        <v>610</v>
      </c>
      <c r="B480" s="2" t="s">
        <v>105</v>
      </c>
      <c r="C480" s="2">
        <v>80</v>
      </c>
      <c r="D480" s="2" t="s">
        <v>112</v>
      </c>
      <c r="E480" s="2">
        <v>9016</v>
      </c>
      <c r="F480" s="2">
        <v>0</v>
      </c>
      <c r="G480" s="2">
        <v>-1</v>
      </c>
      <c r="H480" s="2">
        <v>3</v>
      </c>
      <c r="I480" s="2">
        <v>1</v>
      </c>
      <c r="J480" s="2">
        <v>2</v>
      </c>
      <c r="K480" s="2">
        <v>1</v>
      </c>
      <c r="L480" s="2">
        <v>1</v>
      </c>
      <c r="M480" s="2">
        <v>0</v>
      </c>
      <c r="N480" s="2">
        <v>0</v>
      </c>
      <c r="O480" s="2">
        <v>1</v>
      </c>
      <c r="P480" s="2">
        <v>0</v>
      </c>
      <c r="Q480">
        <v>1</v>
      </c>
      <c r="R480">
        <v>0</v>
      </c>
      <c r="S480">
        <v>1</v>
      </c>
      <c r="T480">
        <v>-1</v>
      </c>
      <c r="U480">
        <v>0</v>
      </c>
      <c r="V480">
        <v>0</v>
      </c>
      <c r="W480">
        <v>1</v>
      </c>
      <c r="X480">
        <v>34</v>
      </c>
      <c r="Y480" t="s">
        <v>101</v>
      </c>
    </row>
    <row r="481" spans="1:25" ht="16" customHeight="1" x14ac:dyDescent="0.2">
      <c r="A481" s="1" t="s">
        <v>611</v>
      </c>
      <c r="B481" s="2" t="s">
        <v>114</v>
      </c>
      <c r="C481" s="2">
        <v>80</v>
      </c>
      <c r="D481" s="2" t="s">
        <v>115</v>
      </c>
      <c r="E481" s="2">
        <v>1781</v>
      </c>
      <c r="F481" s="2">
        <v>0</v>
      </c>
      <c r="G481" s="2">
        <v>-1</v>
      </c>
      <c r="H481" s="2">
        <v>4</v>
      </c>
      <c r="I481" s="2">
        <v>2</v>
      </c>
      <c r="J481" s="2">
        <v>1</v>
      </c>
      <c r="K481" s="2">
        <v>1</v>
      </c>
      <c r="L481" s="2">
        <v>1</v>
      </c>
      <c r="M481" s="2">
        <v>1</v>
      </c>
      <c r="N481" s="2">
        <v>0</v>
      </c>
      <c r="O481" s="2">
        <v>0</v>
      </c>
      <c r="P481" s="2">
        <v>1</v>
      </c>
      <c r="Q481">
        <v>1</v>
      </c>
      <c r="R481">
        <v>0</v>
      </c>
      <c r="S481">
        <v>4</v>
      </c>
      <c r="T481">
        <v>1</v>
      </c>
      <c r="U481">
        <v>0</v>
      </c>
      <c r="V481">
        <v>1</v>
      </c>
      <c r="W481">
        <v>1</v>
      </c>
      <c r="X481">
        <v>273</v>
      </c>
      <c r="Y481" t="s">
        <v>101</v>
      </c>
    </row>
    <row r="482" spans="1:25" ht="16" customHeight="1" x14ac:dyDescent="0.2">
      <c r="A482" s="1" t="s">
        <v>612</v>
      </c>
      <c r="B482" s="2" t="s">
        <v>146</v>
      </c>
      <c r="C482" s="2">
        <v>81</v>
      </c>
      <c r="D482" s="2" t="s">
        <v>100</v>
      </c>
      <c r="E482" s="2">
        <v>271</v>
      </c>
      <c r="F482" s="2">
        <v>1</v>
      </c>
      <c r="G482" s="2">
        <v>1</v>
      </c>
      <c r="H482" s="2">
        <v>1</v>
      </c>
      <c r="I482" s="2">
        <v>1</v>
      </c>
      <c r="J482" s="2">
        <v>2</v>
      </c>
      <c r="K482" s="2">
        <v>2</v>
      </c>
      <c r="L482" s="2">
        <v>1</v>
      </c>
      <c r="M482" s="2">
        <v>1</v>
      </c>
      <c r="N482" s="2">
        <v>1</v>
      </c>
      <c r="O482" s="2">
        <v>0</v>
      </c>
      <c r="P482" s="2">
        <v>0</v>
      </c>
      <c r="Q482">
        <v>0</v>
      </c>
      <c r="R482">
        <v>0</v>
      </c>
      <c r="S482">
        <v>2</v>
      </c>
      <c r="T482">
        <v>0</v>
      </c>
      <c r="U482">
        <v>1</v>
      </c>
      <c r="V482">
        <v>1</v>
      </c>
      <c r="W482">
        <v>0</v>
      </c>
      <c r="X482">
        <v>281</v>
      </c>
      <c r="Y482" t="s">
        <v>101</v>
      </c>
    </row>
    <row r="483" spans="1:25" ht="16" customHeight="1" x14ac:dyDescent="0.2">
      <c r="A483" s="1" t="s">
        <v>613</v>
      </c>
      <c r="B483" s="2" t="s">
        <v>105</v>
      </c>
      <c r="C483" s="2">
        <v>81</v>
      </c>
      <c r="D483" s="2" t="s">
        <v>103</v>
      </c>
      <c r="E483" s="2">
        <v>3044</v>
      </c>
      <c r="F483" s="2">
        <v>0</v>
      </c>
      <c r="G483" s="2">
        <v>1</v>
      </c>
      <c r="H483" s="2">
        <v>3</v>
      </c>
      <c r="I483" s="2">
        <v>3</v>
      </c>
      <c r="J483" s="2">
        <v>3</v>
      </c>
      <c r="K483" s="2">
        <v>3</v>
      </c>
      <c r="L483" s="2">
        <v>0</v>
      </c>
      <c r="M483" s="2">
        <v>1</v>
      </c>
      <c r="N483" s="2">
        <v>1</v>
      </c>
      <c r="O483" s="2">
        <v>0</v>
      </c>
      <c r="P483" s="2">
        <v>1</v>
      </c>
      <c r="Q483">
        <v>0</v>
      </c>
      <c r="R483">
        <v>0</v>
      </c>
      <c r="S483">
        <v>3</v>
      </c>
      <c r="T483">
        <v>1</v>
      </c>
      <c r="U483">
        <v>1</v>
      </c>
      <c r="V483">
        <v>0</v>
      </c>
      <c r="W483">
        <v>0</v>
      </c>
      <c r="X483">
        <v>38</v>
      </c>
      <c r="Y483" t="s">
        <v>101</v>
      </c>
    </row>
    <row r="484" spans="1:25" ht="16" customHeight="1" x14ac:dyDescent="0.2">
      <c r="A484" s="1" t="s">
        <v>614</v>
      </c>
      <c r="B484" s="2" t="s">
        <v>108</v>
      </c>
      <c r="C484" s="2">
        <v>81</v>
      </c>
      <c r="D484" s="2" t="s">
        <v>106</v>
      </c>
      <c r="E484" s="2">
        <v>3951</v>
      </c>
      <c r="F484" s="2">
        <v>1</v>
      </c>
      <c r="G484" s="2">
        <v>0</v>
      </c>
      <c r="H484" s="2">
        <v>3</v>
      </c>
      <c r="I484" s="2">
        <v>1</v>
      </c>
      <c r="J484" s="2">
        <v>1</v>
      </c>
      <c r="K484" s="2">
        <v>3</v>
      </c>
      <c r="L484" s="2">
        <v>1</v>
      </c>
      <c r="M484" s="2">
        <v>1</v>
      </c>
      <c r="N484" s="2">
        <v>1</v>
      </c>
      <c r="O484" s="2">
        <v>0</v>
      </c>
      <c r="P484" s="2">
        <v>0</v>
      </c>
      <c r="Q484">
        <v>1</v>
      </c>
      <c r="R484">
        <v>0</v>
      </c>
      <c r="S484">
        <v>-1</v>
      </c>
      <c r="T484">
        <v>-1</v>
      </c>
      <c r="U484">
        <v>0</v>
      </c>
      <c r="V484">
        <v>1</v>
      </c>
      <c r="W484">
        <v>0</v>
      </c>
      <c r="X484">
        <v>90</v>
      </c>
      <c r="Y484" t="s">
        <v>101</v>
      </c>
    </row>
    <row r="485" spans="1:25" ht="16" customHeight="1" x14ac:dyDescent="0.2">
      <c r="A485" s="1" t="s">
        <v>615</v>
      </c>
      <c r="B485" s="2" t="s">
        <v>161</v>
      </c>
      <c r="C485" s="2">
        <v>81</v>
      </c>
      <c r="D485" s="2" t="s">
        <v>109</v>
      </c>
      <c r="E485" s="2">
        <v>2228</v>
      </c>
      <c r="F485" s="2">
        <v>0</v>
      </c>
      <c r="G485" s="2">
        <v>0</v>
      </c>
      <c r="H485" s="2">
        <v>2</v>
      </c>
      <c r="I485" s="2">
        <v>1</v>
      </c>
      <c r="J485" s="2">
        <v>1</v>
      </c>
      <c r="K485" s="2">
        <v>3</v>
      </c>
      <c r="L485" s="2">
        <v>0</v>
      </c>
      <c r="M485" s="2">
        <v>1</v>
      </c>
      <c r="N485" s="2">
        <v>0</v>
      </c>
      <c r="O485" s="2">
        <v>0</v>
      </c>
      <c r="P485" s="2">
        <v>0</v>
      </c>
      <c r="Q485">
        <v>1</v>
      </c>
      <c r="R485">
        <v>1</v>
      </c>
      <c r="S485">
        <v>4</v>
      </c>
      <c r="T485">
        <v>0</v>
      </c>
      <c r="U485">
        <v>1</v>
      </c>
      <c r="V485">
        <v>1</v>
      </c>
      <c r="W485">
        <v>1</v>
      </c>
      <c r="X485">
        <v>349</v>
      </c>
      <c r="Y485" t="s">
        <v>101</v>
      </c>
    </row>
    <row r="486" spans="1:25" ht="16" customHeight="1" x14ac:dyDescent="0.2">
      <c r="A486" s="1" t="s">
        <v>616</v>
      </c>
      <c r="B486" s="2" t="s">
        <v>172</v>
      </c>
      <c r="C486" s="2">
        <v>81</v>
      </c>
      <c r="D486" s="2" t="s">
        <v>112</v>
      </c>
      <c r="E486" s="2">
        <v>4930</v>
      </c>
      <c r="F486" s="2">
        <v>1</v>
      </c>
      <c r="G486" s="2">
        <v>-1</v>
      </c>
      <c r="H486" s="2">
        <v>1</v>
      </c>
      <c r="I486" s="2">
        <v>1</v>
      </c>
      <c r="J486" s="2">
        <v>3</v>
      </c>
      <c r="K486" s="2">
        <v>3</v>
      </c>
      <c r="L486" s="2">
        <v>1</v>
      </c>
      <c r="M486" s="2">
        <v>1</v>
      </c>
      <c r="N486" s="2">
        <v>1</v>
      </c>
      <c r="O486" s="2">
        <v>0</v>
      </c>
      <c r="P486" s="2">
        <v>1</v>
      </c>
      <c r="Q486">
        <v>1</v>
      </c>
      <c r="R486">
        <v>1</v>
      </c>
      <c r="S486">
        <v>1</v>
      </c>
      <c r="T486">
        <v>0</v>
      </c>
      <c r="U486">
        <v>1</v>
      </c>
      <c r="V486">
        <v>0</v>
      </c>
      <c r="W486">
        <v>0</v>
      </c>
      <c r="X486">
        <v>416</v>
      </c>
      <c r="Y486" t="s">
        <v>101</v>
      </c>
    </row>
    <row r="487" spans="1:25" ht="16" customHeight="1" x14ac:dyDescent="0.2">
      <c r="A487" s="1" t="s">
        <v>617</v>
      </c>
      <c r="B487" s="2" t="s">
        <v>179</v>
      </c>
      <c r="C487" s="2">
        <v>81</v>
      </c>
      <c r="D487" s="2" t="s">
        <v>115</v>
      </c>
      <c r="E487" s="2">
        <v>3173</v>
      </c>
      <c r="F487" s="2">
        <v>1</v>
      </c>
      <c r="G487" s="2">
        <v>-1</v>
      </c>
      <c r="H487" s="2">
        <v>1</v>
      </c>
      <c r="I487" s="2">
        <v>3</v>
      </c>
      <c r="J487" s="2">
        <v>3</v>
      </c>
      <c r="K487" s="2">
        <v>5</v>
      </c>
      <c r="L487" s="2">
        <v>1</v>
      </c>
      <c r="M487" s="2">
        <v>0</v>
      </c>
      <c r="N487" s="2">
        <v>0</v>
      </c>
      <c r="O487" s="2">
        <v>0</v>
      </c>
      <c r="P487" s="2">
        <v>1</v>
      </c>
      <c r="Q487">
        <v>0</v>
      </c>
      <c r="R487">
        <v>1</v>
      </c>
      <c r="S487">
        <v>3</v>
      </c>
      <c r="T487">
        <v>0</v>
      </c>
      <c r="U487">
        <v>0</v>
      </c>
      <c r="V487">
        <v>0</v>
      </c>
      <c r="W487">
        <v>1</v>
      </c>
      <c r="X487">
        <v>191</v>
      </c>
      <c r="Y487" t="s">
        <v>101</v>
      </c>
    </row>
    <row r="488" spans="1:25" ht="16" customHeight="1" x14ac:dyDescent="0.2">
      <c r="A488" s="1" t="s">
        <v>618</v>
      </c>
      <c r="B488" s="2" t="s">
        <v>114</v>
      </c>
      <c r="C488" s="2">
        <v>82</v>
      </c>
      <c r="D488" s="2" t="s">
        <v>100</v>
      </c>
      <c r="E488" s="2">
        <v>564</v>
      </c>
      <c r="F488" s="2">
        <v>0</v>
      </c>
      <c r="G488" s="2">
        <v>-1</v>
      </c>
      <c r="H488" s="2">
        <v>2</v>
      </c>
      <c r="I488" s="2">
        <v>2</v>
      </c>
      <c r="J488" s="2">
        <v>1</v>
      </c>
      <c r="K488" s="2">
        <v>3</v>
      </c>
      <c r="L488" s="2">
        <v>0</v>
      </c>
      <c r="M488" s="2">
        <v>1</v>
      </c>
      <c r="N488" s="2">
        <v>0</v>
      </c>
      <c r="O488" s="2">
        <v>1</v>
      </c>
      <c r="P488" s="2">
        <v>0</v>
      </c>
      <c r="Q488">
        <v>1</v>
      </c>
      <c r="R488">
        <v>0</v>
      </c>
      <c r="S488">
        <v>1</v>
      </c>
      <c r="T488">
        <v>-1</v>
      </c>
      <c r="U488">
        <v>0</v>
      </c>
      <c r="V488">
        <v>0</v>
      </c>
      <c r="W488">
        <v>1</v>
      </c>
      <c r="X488">
        <v>163</v>
      </c>
      <c r="Y488" t="s">
        <v>101</v>
      </c>
    </row>
    <row r="489" spans="1:25" ht="16" customHeight="1" x14ac:dyDescent="0.2">
      <c r="A489" s="1" t="s">
        <v>619</v>
      </c>
      <c r="B489" s="2" t="s">
        <v>229</v>
      </c>
      <c r="C489" s="2">
        <v>82</v>
      </c>
      <c r="D489" s="2" t="s">
        <v>103</v>
      </c>
      <c r="E489" s="2">
        <v>8503</v>
      </c>
      <c r="F489" s="2">
        <v>0</v>
      </c>
      <c r="G489" s="2">
        <v>-1</v>
      </c>
      <c r="H489" s="2">
        <v>3</v>
      </c>
      <c r="I489" s="2">
        <v>1</v>
      </c>
      <c r="J489" s="2">
        <v>2</v>
      </c>
      <c r="K489" s="2">
        <v>4</v>
      </c>
      <c r="L489" s="2">
        <v>1</v>
      </c>
      <c r="M489" s="2">
        <v>0</v>
      </c>
      <c r="N489" s="2">
        <v>0</v>
      </c>
      <c r="O489" s="2">
        <v>0</v>
      </c>
      <c r="P489" s="2">
        <v>1</v>
      </c>
      <c r="Q489">
        <v>1</v>
      </c>
      <c r="R489">
        <v>0</v>
      </c>
      <c r="S489">
        <v>2</v>
      </c>
      <c r="T489">
        <v>0</v>
      </c>
      <c r="U489">
        <v>0</v>
      </c>
      <c r="V489">
        <v>0</v>
      </c>
      <c r="W489">
        <v>1</v>
      </c>
      <c r="X489">
        <v>150</v>
      </c>
      <c r="Y489" t="s">
        <v>101</v>
      </c>
    </row>
    <row r="490" spans="1:25" ht="16" customHeight="1" x14ac:dyDescent="0.2">
      <c r="A490" s="1" t="s">
        <v>620</v>
      </c>
      <c r="B490" s="2" t="s">
        <v>124</v>
      </c>
      <c r="C490" s="2">
        <v>82</v>
      </c>
      <c r="D490" s="2" t="s">
        <v>106</v>
      </c>
      <c r="E490" s="2">
        <v>1507</v>
      </c>
      <c r="F490" s="2">
        <v>1</v>
      </c>
      <c r="G490" s="2">
        <v>0</v>
      </c>
      <c r="H490" s="2">
        <v>5</v>
      </c>
      <c r="I490" s="2">
        <v>2</v>
      </c>
      <c r="J490" s="2">
        <v>2</v>
      </c>
      <c r="K490" s="2">
        <v>1</v>
      </c>
      <c r="L490" s="2">
        <v>0</v>
      </c>
      <c r="M490" s="2">
        <v>1</v>
      </c>
      <c r="N490" s="2">
        <v>0</v>
      </c>
      <c r="O490" s="2">
        <v>0</v>
      </c>
      <c r="P490" s="2">
        <v>0</v>
      </c>
      <c r="Q490">
        <v>1</v>
      </c>
      <c r="R490">
        <v>1</v>
      </c>
      <c r="S490">
        <v>-1</v>
      </c>
      <c r="T490">
        <v>0</v>
      </c>
      <c r="U490">
        <v>1</v>
      </c>
      <c r="V490">
        <v>0</v>
      </c>
      <c r="W490">
        <v>0</v>
      </c>
      <c r="X490">
        <v>323</v>
      </c>
      <c r="Y490" t="s">
        <v>101</v>
      </c>
    </row>
    <row r="491" spans="1:25" ht="16" customHeight="1" x14ac:dyDescent="0.2">
      <c r="A491" s="1" t="s">
        <v>621</v>
      </c>
      <c r="B491" s="2" t="s">
        <v>105</v>
      </c>
      <c r="C491" s="2">
        <v>82</v>
      </c>
      <c r="D491" s="2" t="s">
        <v>109</v>
      </c>
      <c r="E491" s="2">
        <v>378</v>
      </c>
      <c r="F491" s="2">
        <v>0</v>
      </c>
      <c r="G491" s="2">
        <v>0</v>
      </c>
      <c r="H491" s="2">
        <v>2</v>
      </c>
      <c r="I491" s="2">
        <v>1</v>
      </c>
      <c r="J491" s="2">
        <v>2</v>
      </c>
      <c r="K491" s="2">
        <v>4</v>
      </c>
      <c r="L491" s="2">
        <v>1</v>
      </c>
      <c r="M491" s="2">
        <v>1</v>
      </c>
      <c r="N491" s="2">
        <v>0</v>
      </c>
      <c r="O491" s="2">
        <v>0</v>
      </c>
      <c r="P491" s="2">
        <v>0</v>
      </c>
      <c r="Q491">
        <v>0</v>
      </c>
      <c r="R491">
        <v>1</v>
      </c>
      <c r="S491">
        <v>1</v>
      </c>
      <c r="T491">
        <v>-1</v>
      </c>
      <c r="U491">
        <v>1</v>
      </c>
      <c r="V491">
        <v>1</v>
      </c>
      <c r="W491">
        <v>0</v>
      </c>
      <c r="X491">
        <v>424</v>
      </c>
      <c r="Y491" t="s">
        <v>101</v>
      </c>
    </row>
    <row r="492" spans="1:25" ht="16" customHeight="1" x14ac:dyDescent="0.2">
      <c r="A492" s="1" t="s">
        <v>622</v>
      </c>
      <c r="B492" s="2" t="s">
        <v>132</v>
      </c>
      <c r="C492" s="2">
        <v>82</v>
      </c>
      <c r="D492" s="2" t="s">
        <v>112</v>
      </c>
      <c r="E492" s="2">
        <v>325</v>
      </c>
      <c r="F492" s="2">
        <v>1</v>
      </c>
      <c r="G492" s="2">
        <v>-1</v>
      </c>
      <c r="H492" s="2">
        <v>1</v>
      </c>
      <c r="I492" s="2">
        <v>1</v>
      </c>
      <c r="J492" s="2">
        <v>2</v>
      </c>
      <c r="K492" s="2">
        <v>5</v>
      </c>
      <c r="L492" s="2">
        <v>0</v>
      </c>
      <c r="M492" s="2">
        <v>1</v>
      </c>
      <c r="N492" s="2">
        <v>0</v>
      </c>
      <c r="O492" s="2">
        <v>1</v>
      </c>
      <c r="P492" s="2">
        <v>1</v>
      </c>
      <c r="Q492">
        <v>1</v>
      </c>
      <c r="R492">
        <v>0</v>
      </c>
      <c r="S492">
        <v>-1</v>
      </c>
      <c r="T492">
        <v>1</v>
      </c>
      <c r="U492">
        <v>0</v>
      </c>
      <c r="V492">
        <v>0</v>
      </c>
      <c r="W492">
        <v>1</v>
      </c>
      <c r="X492">
        <v>155</v>
      </c>
      <c r="Y492" t="s">
        <v>101</v>
      </c>
    </row>
    <row r="493" spans="1:25" ht="16" customHeight="1" x14ac:dyDescent="0.2">
      <c r="A493" s="1" t="s">
        <v>623</v>
      </c>
      <c r="B493" s="2" t="s">
        <v>170</v>
      </c>
      <c r="C493" s="2">
        <v>82</v>
      </c>
      <c r="D493" s="2" t="s">
        <v>115</v>
      </c>
      <c r="E493" s="2">
        <v>4253</v>
      </c>
      <c r="F493" s="2">
        <v>0</v>
      </c>
      <c r="G493" s="2">
        <v>-1</v>
      </c>
      <c r="H493" s="2">
        <v>1</v>
      </c>
      <c r="I493" s="2">
        <v>1</v>
      </c>
      <c r="J493" s="2">
        <v>1</v>
      </c>
      <c r="K493" s="2">
        <v>4</v>
      </c>
      <c r="L493" s="2">
        <v>0</v>
      </c>
      <c r="M493" s="2">
        <v>0</v>
      </c>
      <c r="N493" s="2">
        <v>0</v>
      </c>
      <c r="O493" s="2">
        <v>0</v>
      </c>
      <c r="P493" s="2">
        <v>0</v>
      </c>
      <c r="Q493">
        <v>1</v>
      </c>
      <c r="R493">
        <v>0</v>
      </c>
      <c r="S493">
        <v>4</v>
      </c>
      <c r="T493">
        <v>-1</v>
      </c>
      <c r="U493">
        <v>1</v>
      </c>
      <c r="V493">
        <v>0</v>
      </c>
      <c r="W493">
        <v>1</v>
      </c>
      <c r="X493">
        <v>88</v>
      </c>
      <c r="Y493" t="s">
        <v>101</v>
      </c>
    </row>
    <row r="494" spans="1:25" ht="16" customHeight="1" x14ac:dyDescent="0.2">
      <c r="A494" s="1" t="s">
        <v>624</v>
      </c>
      <c r="B494" s="2" t="s">
        <v>124</v>
      </c>
      <c r="C494" s="2">
        <v>83</v>
      </c>
      <c r="D494" s="2" t="s">
        <v>100</v>
      </c>
      <c r="E494" s="2">
        <v>432</v>
      </c>
      <c r="F494" s="2">
        <v>0</v>
      </c>
      <c r="G494" s="2">
        <v>1</v>
      </c>
      <c r="H494" s="2">
        <v>2</v>
      </c>
      <c r="I494" s="2">
        <v>3</v>
      </c>
      <c r="J494" s="2">
        <v>1</v>
      </c>
      <c r="K494" s="2">
        <v>2</v>
      </c>
      <c r="L494" s="2">
        <v>1</v>
      </c>
      <c r="M494" s="2">
        <v>0</v>
      </c>
      <c r="N494" s="2">
        <v>0</v>
      </c>
      <c r="O494" s="2">
        <v>1</v>
      </c>
      <c r="P494" s="2">
        <v>1</v>
      </c>
      <c r="Q494">
        <v>1</v>
      </c>
      <c r="R494">
        <v>0</v>
      </c>
      <c r="S494">
        <v>-1</v>
      </c>
      <c r="T494">
        <v>-1</v>
      </c>
      <c r="U494">
        <v>0</v>
      </c>
      <c r="V494">
        <v>0</v>
      </c>
      <c r="W494">
        <v>1</v>
      </c>
      <c r="X494">
        <v>277</v>
      </c>
      <c r="Y494" t="s">
        <v>101</v>
      </c>
    </row>
    <row r="495" spans="1:25" ht="16" customHeight="1" x14ac:dyDescent="0.2">
      <c r="A495" s="1" t="s">
        <v>625</v>
      </c>
      <c r="B495" s="2" t="s">
        <v>124</v>
      </c>
      <c r="C495" s="2">
        <v>83</v>
      </c>
      <c r="D495" s="2" t="s">
        <v>103</v>
      </c>
      <c r="E495" s="2">
        <v>3838</v>
      </c>
      <c r="F495" s="2">
        <v>1</v>
      </c>
      <c r="G495" s="2">
        <v>0</v>
      </c>
      <c r="H495" s="2">
        <v>1</v>
      </c>
      <c r="I495" s="2">
        <v>3</v>
      </c>
      <c r="J495" s="2">
        <v>2</v>
      </c>
      <c r="K495" s="2">
        <v>3</v>
      </c>
      <c r="L495" s="2">
        <v>0</v>
      </c>
      <c r="M495" s="2">
        <v>0</v>
      </c>
      <c r="N495" s="2">
        <v>1</v>
      </c>
      <c r="O495" s="2">
        <v>0</v>
      </c>
      <c r="P495" s="2">
        <v>1</v>
      </c>
      <c r="Q495">
        <v>0</v>
      </c>
      <c r="R495">
        <v>1</v>
      </c>
      <c r="S495">
        <v>-1</v>
      </c>
      <c r="T495">
        <v>0</v>
      </c>
      <c r="U495">
        <v>1</v>
      </c>
      <c r="V495">
        <v>1</v>
      </c>
      <c r="W495">
        <v>0</v>
      </c>
      <c r="X495">
        <v>177</v>
      </c>
      <c r="Y495" t="s">
        <v>101</v>
      </c>
    </row>
    <row r="496" spans="1:25" ht="16" customHeight="1" x14ac:dyDescent="0.2">
      <c r="A496" s="1" t="s">
        <v>626</v>
      </c>
      <c r="B496" s="2" t="s">
        <v>108</v>
      </c>
      <c r="C496" s="2">
        <v>83</v>
      </c>
      <c r="D496" s="2" t="s">
        <v>106</v>
      </c>
      <c r="E496" s="2">
        <v>20</v>
      </c>
      <c r="F496" s="2">
        <v>0</v>
      </c>
      <c r="G496" s="2">
        <v>-1</v>
      </c>
      <c r="H496" s="2">
        <v>3</v>
      </c>
      <c r="I496" s="2">
        <v>3</v>
      </c>
      <c r="J496" s="2">
        <v>2</v>
      </c>
      <c r="K496" s="2">
        <v>4</v>
      </c>
      <c r="L496" s="2">
        <v>1</v>
      </c>
      <c r="M496" s="2">
        <v>0</v>
      </c>
      <c r="N496" s="2">
        <v>0</v>
      </c>
      <c r="O496" s="2">
        <v>0</v>
      </c>
      <c r="P496" s="2">
        <v>0</v>
      </c>
      <c r="Q496">
        <v>0</v>
      </c>
      <c r="R496">
        <v>0</v>
      </c>
      <c r="S496">
        <v>3</v>
      </c>
      <c r="T496">
        <v>1</v>
      </c>
      <c r="U496">
        <v>0</v>
      </c>
      <c r="V496">
        <v>1</v>
      </c>
      <c r="W496">
        <v>1</v>
      </c>
      <c r="X496">
        <v>151</v>
      </c>
      <c r="Y496" t="s">
        <v>101</v>
      </c>
    </row>
    <row r="497" spans="1:25" ht="16" customHeight="1" x14ac:dyDescent="0.2">
      <c r="A497" s="1" t="s">
        <v>627</v>
      </c>
      <c r="B497" s="2" t="s">
        <v>161</v>
      </c>
      <c r="C497" s="2">
        <v>83</v>
      </c>
      <c r="D497" s="2" t="s">
        <v>109</v>
      </c>
      <c r="E497" s="2">
        <v>1056</v>
      </c>
      <c r="F497" s="2">
        <v>1</v>
      </c>
      <c r="G497" s="2">
        <v>-1</v>
      </c>
      <c r="H497" s="2">
        <v>3</v>
      </c>
      <c r="I497" s="2">
        <v>2</v>
      </c>
      <c r="J497" s="2">
        <v>3</v>
      </c>
      <c r="K497" s="2">
        <v>2</v>
      </c>
      <c r="L497" s="2">
        <v>1</v>
      </c>
      <c r="M497" s="2">
        <v>0</v>
      </c>
      <c r="N497" s="2">
        <v>1</v>
      </c>
      <c r="O497" s="2">
        <v>0</v>
      </c>
      <c r="P497" s="2">
        <v>0</v>
      </c>
      <c r="Q497">
        <v>1</v>
      </c>
      <c r="R497">
        <v>0</v>
      </c>
      <c r="S497">
        <v>1</v>
      </c>
      <c r="T497">
        <v>-1</v>
      </c>
      <c r="U497">
        <v>1</v>
      </c>
      <c r="V497">
        <v>1</v>
      </c>
      <c r="W497">
        <v>1</v>
      </c>
      <c r="X497">
        <v>346</v>
      </c>
      <c r="Y497" t="s">
        <v>101</v>
      </c>
    </row>
    <row r="498" spans="1:25" ht="16" customHeight="1" x14ac:dyDescent="0.2">
      <c r="A498" s="1" t="s">
        <v>628</v>
      </c>
      <c r="B498" s="2" t="s">
        <v>146</v>
      </c>
      <c r="C498" s="2">
        <v>83</v>
      </c>
      <c r="D498" s="2" t="s">
        <v>112</v>
      </c>
      <c r="E498" s="2">
        <v>639</v>
      </c>
      <c r="F498" s="2">
        <v>1</v>
      </c>
      <c r="G498" s="2">
        <v>1</v>
      </c>
      <c r="H498" s="2">
        <v>4</v>
      </c>
      <c r="I498" s="2">
        <v>3</v>
      </c>
      <c r="J498" s="2">
        <v>2</v>
      </c>
      <c r="K498" s="2">
        <v>3</v>
      </c>
      <c r="L498" s="2">
        <v>1</v>
      </c>
      <c r="M498" s="2">
        <v>0</v>
      </c>
      <c r="N498" s="2">
        <v>1</v>
      </c>
      <c r="O498" s="2">
        <v>0</v>
      </c>
      <c r="P498" s="2">
        <v>1</v>
      </c>
      <c r="Q498">
        <v>1</v>
      </c>
      <c r="R498">
        <v>1</v>
      </c>
      <c r="S498">
        <v>3</v>
      </c>
      <c r="T498">
        <v>-1</v>
      </c>
      <c r="U498">
        <v>1</v>
      </c>
      <c r="V498">
        <v>0</v>
      </c>
      <c r="W498">
        <v>1</v>
      </c>
      <c r="X498">
        <v>49</v>
      </c>
      <c r="Y498" t="s">
        <v>101</v>
      </c>
    </row>
    <row r="499" spans="1:25" ht="16" customHeight="1" x14ac:dyDescent="0.2">
      <c r="A499" s="1" t="s">
        <v>629</v>
      </c>
      <c r="B499" s="2" t="s">
        <v>136</v>
      </c>
      <c r="C499" s="2">
        <v>83</v>
      </c>
      <c r="D499" s="2" t="s">
        <v>115</v>
      </c>
      <c r="E499" s="2">
        <v>7903</v>
      </c>
      <c r="F499" s="2">
        <v>0</v>
      </c>
      <c r="G499" s="2">
        <v>1</v>
      </c>
      <c r="H499" s="2">
        <v>2</v>
      </c>
      <c r="I499" s="2">
        <v>2</v>
      </c>
      <c r="J499" s="2">
        <v>1</v>
      </c>
      <c r="K499" s="2">
        <v>2</v>
      </c>
      <c r="L499" s="2">
        <v>0</v>
      </c>
      <c r="M499" s="2">
        <v>1</v>
      </c>
      <c r="N499" s="2">
        <v>1</v>
      </c>
      <c r="O499" s="2">
        <v>1</v>
      </c>
      <c r="P499" s="2">
        <v>1</v>
      </c>
      <c r="Q499">
        <v>0</v>
      </c>
      <c r="R499">
        <v>0</v>
      </c>
      <c r="S499">
        <v>3</v>
      </c>
      <c r="T499">
        <v>1</v>
      </c>
      <c r="U499">
        <v>0</v>
      </c>
      <c r="V499">
        <v>0</v>
      </c>
      <c r="W499">
        <v>1</v>
      </c>
      <c r="X499">
        <v>412</v>
      </c>
      <c r="Y499" t="s">
        <v>101</v>
      </c>
    </row>
    <row r="500" spans="1:25" ht="16" customHeight="1" x14ac:dyDescent="0.2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</row>
    <row r="501" spans="1:25" ht="16" customHeight="1" x14ac:dyDescent="0.2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</row>
    <row r="502" spans="1:25" ht="16" customHeight="1" x14ac:dyDescent="0.2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</row>
    <row r="503" spans="1:25" ht="16" customHeight="1" x14ac:dyDescent="0.2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</row>
    <row r="504" spans="1:25" ht="16" customHeight="1" x14ac:dyDescent="0.2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</row>
    <row r="505" spans="1:25" ht="16" customHeight="1" x14ac:dyDescent="0.2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</row>
    <row r="506" spans="1:25" ht="16" customHeight="1" x14ac:dyDescent="0.2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</row>
    <row r="507" spans="1:25" ht="16" customHeight="1" x14ac:dyDescent="0.2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</row>
    <row r="508" spans="1:25" ht="16" customHeight="1" x14ac:dyDescent="0.2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</row>
    <row r="509" spans="1:25" ht="16" customHeight="1" x14ac:dyDescent="0.2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</row>
    <row r="510" spans="1:25" ht="16" customHeight="1" x14ac:dyDescent="0.2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</row>
    <row r="511" spans="1:25" ht="16" customHeight="1" x14ac:dyDescent="0.2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</row>
    <row r="512" spans="1:25" ht="16" customHeight="1" x14ac:dyDescent="0.2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</row>
    <row r="513" spans="1:16" ht="16" customHeight="1" x14ac:dyDescent="0.2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</row>
    <row r="514" spans="1:16" ht="16" customHeight="1" x14ac:dyDescent="0.2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</row>
    <row r="515" spans="1:16" ht="16" customHeight="1" x14ac:dyDescent="0.2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</row>
    <row r="516" spans="1:16" ht="16" customHeight="1" x14ac:dyDescent="0.2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</row>
    <row r="517" spans="1:16" ht="16" customHeight="1" x14ac:dyDescent="0.2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</row>
    <row r="518" spans="1:16" ht="16" customHeight="1" x14ac:dyDescent="0.2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</row>
    <row r="519" spans="1:16" ht="16" customHeight="1" x14ac:dyDescent="0.2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</row>
    <row r="520" spans="1:16" ht="16" customHeight="1" x14ac:dyDescent="0.2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</row>
    <row r="521" spans="1:16" ht="16" customHeight="1" x14ac:dyDescent="0.2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</row>
    <row r="522" spans="1:16" ht="16" customHeight="1" x14ac:dyDescent="0.2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</row>
    <row r="523" spans="1:16" ht="16" customHeight="1" x14ac:dyDescent="0.2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</row>
    <row r="524" spans="1:16" ht="16" customHeight="1" x14ac:dyDescent="0.2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</row>
    <row r="525" spans="1:16" ht="16" customHeight="1" x14ac:dyDescent="0.2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</row>
    <row r="526" spans="1:16" ht="16" customHeight="1" x14ac:dyDescent="0.2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</row>
    <row r="527" spans="1:16" ht="16" customHeight="1" x14ac:dyDescent="0.2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</row>
    <row r="528" spans="1:16" ht="16" customHeight="1" x14ac:dyDescent="0.2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</row>
    <row r="529" spans="1:16" ht="16" customHeight="1" x14ac:dyDescent="0.2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</row>
    <row r="530" spans="1:16" ht="16" customHeight="1" x14ac:dyDescent="0.2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</row>
    <row r="531" spans="1:16" ht="16" customHeight="1" x14ac:dyDescent="0.2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</row>
    <row r="532" spans="1:16" ht="16" customHeight="1" x14ac:dyDescent="0.2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</row>
    <row r="533" spans="1:16" ht="16" customHeight="1" x14ac:dyDescent="0.2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</row>
    <row r="534" spans="1:16" ht="16" customHeight="1" x14ac:dyDescent="0.2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</row>
    <row r="535" spans="1:16" ht="16" customHeight="1" x14ac:dyDescent="0.2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</row>
    <row r="536" spans="1:16" ht="16" customHeight="1" x14ac:dyDescent="0.2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</row>
    <row r="537" spans="1:16" ht="16" customHeight="1" x14ac:dyDescent="0.2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</row>
    <row r="538" spans="1:16" ht="16" customHeight="1" x14ac:dyDescent="0.2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</row>
    <row r="539" spans="1:16" ht="16" customHeight="1" x14ac:dyDescent="0.2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</row>
    <row r="540" spans="1:16" ht="16" customHeight="1" x14ac:dyDescent="0.2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</row>
    <row r="541" spans="1:16" ht="16" customHeight="1" x14ac:dyDescent="0.2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</row>
    <row r="542" spans="1:16" ht="16" customHeight="1" x14ac:dyDescent="0.2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</row>
    <row r="543" spans="1:16" ht="16" customHeight="1" x14ac:dyDescent="0.2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</row>
    <row r="544" spans="1:16" ht="16" customHeight="1" x14ac:dyDescent="0.2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</row>
    <row r="545" spans="1:16" ht="16" customHeight="1" x14ac:dyDescent="0.2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</row>
    <row r="546" spans="1:16" ht="16" customHeight="1" x14ac:dyDescent="0.2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</row>
    <row r="547" spans="1:16" ht="16" customHeight="1" x14ac:dyDescent="0.2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</row>
    <row r="548" spans="1:16" ht="16" customHeight="1" x14ac:dyDescent="0.2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</row>
    <row r="549" spans="1:16" ht="16" customHeight="1" x14ac:dyDescent="0.2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</row>
    <row r="550" spans="1:16" ht="16" customHeight="1" x14ac:dyDescent="0.2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</row>
    <row r="551" spans="1:16" ht="16" customHeight="1" x14ac:dyDescent="0.2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</row>
    <row r="552" spans="1:16" ht="16" customHeight="1" x14ac:dyDescent="0.2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</row>
    <row r="553" spans="1:16" ht="16" customHeight="1" x14ac:dyDescent="0.2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</row>
    <row r="554" spans="1:16" ht="16" customHeight="1" x14ac:dyDescent="0.2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</row>
    <row r="555" spans="1:16" ht="16" customHeight="1" x14ac:dyDescent="0.2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</row>
    <row r="556" spans="1:16" ht="16" customHeight="1" x14ac:dyDescent="0.2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</row>
    <row r="557" spans="1:16" ht="16" customHeight="1" x14ac:dyDescent="0.2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</row>
    <row r="558" spans="1:16" ht="16" customHeight="1" x14ac:dyDescent="0.2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</row>
    <row r="559" spans="1:16" ht="16" customHeight="1" x14ac:dyDescent="0.2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</row>
    <row r="560" spans="1:16" ht="16" customHeight="1" x14ac:dyDescent="0.2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</row>
    <row r="561" spans="1:16" ht="16" customHeight="1" x14ac:dyDescent="0.2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</row>
    <row r="562" spans="1:16" ht="16" customHeight="1" x14ac:dyDescent="0.2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</row>
    <row r="563" spans="1:16" ht="16" customHeight="1" x14ac:dyDescent="0.2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</row>
    <row r="564" spans="1:16" ht="16" customHeight="1" x14ac:dyDescent="0.2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</row>
    <row r="565" spans="1:16" ht="16" customHeight="1" x14ac:dyDescent="0.2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</row>
    <row r="566" spans="1:16" ht="16" customHeight="1" x14ac:dyDescent="0.2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 spans="1:16" ht="16" customHeight="1" x14ac:dyDescent="0.2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</row>
    <row r="568" spans="1:16" ht="16" customHeight="1" x14ac:dyDescent="0.2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</row>
    <row r="569" spans="1:16" ht="16" customHeight="1" x14ac:dyDescent="0.2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</row>
    <row r="570" spans="1:16" ht="16" customHeight="1" x14ac:dyDescent="0.2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</row>
    <row r="571" spans="1:16" ht="16" customHeight="1" x14ac:dyDescent="0.2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</row>
    <row r="572" spans="1:16" ht="16" customHeight="1" x14ac:dyDescent="0.2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</row>
    <row r="573" spans="1:16" ht="16" customHeight="1" x14ac:dyDescent="0.2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</row>
    <row r="574" spans="1:16" ht="16" customHeight="1" x14ac:dyDescent="0.2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</row>
    <row r="575" spans="1:16" ht="16" customHeight="1" x14ac:dyDescent="0.2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</row>
    <row r="576" spans="1:16" ht="16" customHeight="1" x14ac:dyDescent="0.2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</row>
    <row r="577" spans="1:16" ht="16" customHeight="1" x14ac:dyDescent="0.2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</row>
    <row r="578" spans="1:16" ht="16" customHeight="1" x14ac:dyDescent="0.2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</row>
    <row r="579" spans="1:16" ht="16" customHeight="1" x14ac:dyDescent="0.2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</row>
    <row r="580" spans="1:16" ht="16" customHeight="1" x14ac:dyDescent="0.2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 spans="1:16" ht="16" customHeight="1" x14ac:dyDescent="0.2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</row>
    <row r="582" spans="1:16" ht="16" customHeight="1" x14ac:dyDescent="0.2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</row>
    <row r="583" spans="1:16" ht="16" customHeight="1" x14ac:dyDescent="0.2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</row>
    <row r="584" spans="1:16" ht="16" customHeight="1" x14ac:dyDescent="0.2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</row>
    <row r="585" spans="1:16" ht="16" customHeight="1" x14ac:dyDescent="0.2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</row>
    <row r="586" spans="1:16" ht="16" customHeight="1" x14ac:dyDescent="0.2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</row>
    <row r="587" spans="1:16" ht="16" customHeight="1" x14ac:dyDescent="0.2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</row>
    <row r="588" spans="1:16" ht="16" customHeight="1" x14ac:dyDescent="0.2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</row>
    <row r="589" spans="1:16" ht="16" customHeight="1" x14ac:dyDescent="0.2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</row>
    <row r="590" spans="1:16" ht="16" customHeight="1" x14ac:dyDescent="0.2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</row>
    <row r="591" spans="1:16" ht="16" customHeight="1" x14ac:dyDescent="0.2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</row>
    <row r="592" spans="1:16" ht="16" customHeight="1" x14ac:dyDescent="0.2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</row>
    <row r="593" spans="1:16" ht="16" customHeight="1" x14ac:dyDescent="0.2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</row>
    <row r="594" spans="1:16" ht="16" customHeight="1" x14ac:dyDescent="0.2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</row>
    <row r="595" spans="1:16" ht="16" customHeight="1" x14ac:dyDescent="0.2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</row>
    <row r="596" spans="1:16" ht="16" customHeight="1" x14ac:dyDescent="0.2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</row>
    <row r="597" spans="1:16" ht="16" customHeight="1" x14ac:dyDescent="0.2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</row>
    <row r="598" spans="1:16" ht="16" customHeight="1" x14ac:dyDescent="0.2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</row>
    <row r="599" spans="1:16" ht="16" customHeight="1" x14ac:dyDescent="0.2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</row>
    <row r="600" spans="1:16" ht="16" customHeight="1" x14ac:dyDescent="0.2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</row>
    <row r="601" spans="1:16" ht="16" customHeight="1" x14ac:dyDescent="0.2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</row>
    <row r="602" spans="1:16" ht="16" customHeight="1" x14ac:dyDescent="0.2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</row>
    <row r="603" spans="1:16" ht="16" customHeight="1" x14ac:dyDescent="0.2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</row>
    <row r="604" spans="1:16" ht="16" customHeight="1" x14ac:dyDescent="0.2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</row>
    <row r="605" spans="1:16" ht="16" customHeight="1" x14ac:dyDescent="0.2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</row>
    <row r="606" spans="1:16" ht="16" customHeight="1" x14ac:dyDescent="0.2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</row>
    <row r="607" spans="1:16" ht="16" customHeight="1" x14ac:dyDescent="0.2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</row>
    <row r="608" spans="1:16" ht="16" customHeight="1" x14ac:dyDescent="0.2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</row>
    <row r="609" spans="1:16" ht="16" customHeight="1" x14ac:dyDescent="0.2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</row>
    <row r="610" spans="1:16" ht="16" customHeight="1" x14ac:dyDescent="0.2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</row>
    <row r="611" spans="1:16" ht="16" customHeight="1" x14ac:dyDescent="0.2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</row>
    <row r="612" spans="1:16" ht="16" customHeight="1" x14ac:dyDescent="0.2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</row>
    <row r="613" spans="1:16" ht="16" customHeight="1" x14ac:dyDescent="0.2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</row>
    <row r="614" spans="1:16" ht="16" customHeight="1" x14ac:dyDescent="0.2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</row>
    <row r="615" spans="1:16" ht="16" customHeight="1" x14ac:dyDescent="0.2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</row>
    <row r="616" spans="1:16" ht="16" customHeight="1" x14ac:dyDescent="0.2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</row>
    <row r="617" spans="1:16" ht="16" customHeight="1" x14ac:dyDescent="0.2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</row>
    <row r="618" spans="1:16" ht="16" customHeight="1" x14ac:dyDescent="0.2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</row>
    <row r="619" spans="1:16" ht="16" customHeight="1" x14ac:dyDescent="0.2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</row>
    <row r="620" spans="1:16" ht="16" customHeight="1" x14ac:dyDescent="0.2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</row>
    <row r="621" spans="1:16" ht="16" customHeight="1" x14ac:dyDescent="0.2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</row>
    <row r="622" spans="1:16" ht="16" customHeight="1" x14ac:dyDescent="0.2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</row>
    <row r="623" spans="1:16" ht="16" customHeight="1" x14ac:dyDescent="0.2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</row>
    <row r="624" spans="1:16" ht="16" customHeight="1" x14ac:dyDescent="0.2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</row>
    <row r="625" spans="1:16" ht="16" customHeight="1" x14ac:dyDescent="0.2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</row>
    <row r="626" spans="1:16" ht="16" customHeight="1" x14ac:dyDescent="0.2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</row>
    <row r="627" spans="1:16" ht="16" customHeight="1" x14ac:dyDescent="0.2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</row>
    <row r="628" spans="1:16" ht="16" customHeight="1" x14ac:dyDescent="0.2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</row>
    <row r="629" spans="1:16" ht="16" customHeight="1" x14ac:dyDescent="0.2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</row>
    <row r="630" spans="1:16" ht="16" customHeight="1" x14ac:dyDescent="0.2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</row>
    <row r="631" spans="1:16" ht="16" customHeight="1" x14ac:dyDescent="0.2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</row>
    <row r="632" spans="1:16" ht="16" customHeight="1" x14ac:dyDescent="0.2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</row>
    <row r="633" spans="1:16" ht="16" customHeight="1" x14ac:dyDescent="0.2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</row>
    <row r="634" spans="1:16" ht="16" customHeight="1" x14ac:dyDescent="0.2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</row>
    <row r="635" spans="1:16" ht="16" customHeight="1" x14ac:dyDescent="0.2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</row>
    <row r="636" spans="1:16" ht="16" customHeight="1" x14ac:dyDescent="0.2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 spans="1:16" ht="16" customHeight="1" x14ac:dyDescent="0.2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</row>
    <row r="638" spans="1:16" ht="16" customHeight="1" x14ac:dyDescent="0.2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</row>
    <row r="639" spans="1:16" ht="16" customHeight="1" x14ac:dyDescent="0.2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</row>
    <row r="640" spans="1:16" ht="16" customHeight="1" x14ac:dyDescent="0.2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 spans="1:16" ht="16" customHeight="1" x14ac:dyDescent="0.2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</row>
    <row r="642" spans="1:16" ht="16" customHeight="1" x14ac:dyDescent="0.2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</row>
    <row r="643" spans="1:16" ht="16" customHeight="1" x14ac:dyDescent="0.2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 spans="1:16" ht="16" customHeight="1" x14ac:dyDescent="0.2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</row>
    <row r="645" spans="1:16" ht="16" customHeight="1" x14ac:dyDescent="0.2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</row>
    <row r="646" spans="1:16" ht="16" customHeight="1" x14ac:dyDescent="0.2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</row>
    <row r="647" spans="1:16" ht="16" customHeight="1" x14ac:dyDescent="0.2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</row>
    <row r="648" spans="1:16" ht="16" customHeight="1" x14ac:dyDescent="0.2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</row>
    <row r="649" spans="1:16" ht="16" customHeight="1" x14ac:dyDescent="0.2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</row>
    <row r="650" spans="1:16" ht="16" customHeight="1" x14ac:dyDescent="0.2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</row>
    <row r="651" spans="1:16" ht="16" customHeight="1" x14ac:dyDescent="0.2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</row>
    <row r="652" spans="1:16" ht="16" customHeight="1" x14ac:dyDescent="0.2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</row>
    <row r="653" spans="1:16" ht="16" customHeight="1" x14ac:dyDescent="0.2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</row>
    <row r="654" spans="1:16" ht="16" customHeight="1" x14ac:dyDescent="0.2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</row>
    <row r="655" spans="1:16" ht="16" customHeight="1" x14ac:dyDescent="0.2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</row>
    <row r="656" spans="1:16" ht="16" customHeight="1" x14ac:dyDescent="0.2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</row>
    <row r="657" spans="1:16" ht="16" customHeight="1" x14ac:dyDescent="0.2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</row>
    <row r="658" spans="1:16" ht="16" customHeight="1" x14ac:dyDescent="0.2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</row>
    <row r="659" spans="1:16" ht="16" customHeight="1" x14ac:dyDescent="0.2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</row>
    <row r="660" spans="1:16" ht="16" customHeight="1" x14ac:dyDescent="0.2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</row>
    <row r="661" spans="1:16" ht="16" customHeight="1" x14ac:dyDescent="0.2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</row>
    <row r="662" spans="1:16" ht="16" customHeight="1" x14ac:dyDescent="0.2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</row>
    <row r="663" spans="1:16" ht="16" customHeight="1" x14ac:dyDescent="0.2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</row>
    <row r="664" spans="1:16" ht="16" customHeight="1" x14ac:dyDescent="0.2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</row>
    <row r="665" spans="1:16" ht="16" customHeight="1" x14ac:dyDescent="0.2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</row>
    <row r="666" spans="1:16" ht="16" customHeight="1" x14ac:dyDescent="0.2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</row>
    <row r="667" spans="1:16" ht="16" customHeight="1" x14ac:dyDescent="0.2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</row>
    <row r="668" spans="1:16" ht="16" customHeight="1" x14ac:dyDescent="0.2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</row>
    <row r="669" spans="1:16" ht="16" customHeight="1" x14ac:dyDescent="0.2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</row>
    <row r="670" spans="1:16" ht="16" customHeight="1" x14ac:dyDescent="0.2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</row>
    <row r="671" spans="1:16" ht="16" customHeight="1" x14ac:dyDescent="0.2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</row>
    <row r="672" spans="1:16" ht="16" customHeight="1" x14ac:dyDescent="0.2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</row>
    <row r="673" spans="1:16" ht="16" customHeight="1" x14ac:dyDescent="0.2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</row>
    <row r="674" spans="1:16" ht="16" customHeight="1" x14ac:dyDescent="0.2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</row>
    <row r="675" spans="1:16" ht="16" customHeight="1" x14ac:dyDescent="0.2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</row>
    <row r="676" spans="1:16" ht="16" customHeight="1" x14ac:dyDescent="0.2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</row>
    <row r="677" spans="1:16" ht="16" customHeight="1" x14ac:dyDescent="0.2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</row>
    <row r="678" spans="1:16" ht="16" customHeight="1" x14ac:dyDescent="0.2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</row>
    <row r="679" spans="1:16" ht="16" customHeight="1" x14ac:dyDescent="0.2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</row>
    <row r="680" spans="1:16" ht="16" customHeight="1" x14ac:dyDescent="0.2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</row>
    <row r="681" spans="1:16" ht="16" customHeight="1" x14ac:dyDescent="0.2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</row>
    <row r="682" spans="1:16" ht="16" customHeight="1" x14ac:dyDescent="0.2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</row>
    <row r="683" spans="1:16" ht="16" customHeight="1" x14ac:dyDescent="0.2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</row>
    <row r="684" spans="1:16" ht="16" customHeight="1" x14ac:dyDescent="0.2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</row>
    <row r="685" spans="1:16" ht="16" customHeight="1" x14ac:dyDescent="0.2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</row>
    <row r="686" spans="1:16" ht="16" customHeight="1" x14ac:dyDescent="0.2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</row>
    <row r="687" spans="1:16" ht="16" customHeight="1" x14ac:dyDescent="0.2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</row>
    <row r="688" spans="1:16" ht="16" customHeight="1" x14ac:dyDescent="0.2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</row>
    <row r="689" spans="1:16" ht="16" customHeight="1" x14ac:dyDescent="0.2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</row>
    <row r="690" spans="1:16" ht="16" customHeight="1" x14ac:dyDescent="0.2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</row>
    <row r="691" spans="1:16" ht="16" customHeight="1" x14ac:dyDescent="0.2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</row>
    <row r="692" spans="1:16" ht="16" customHeight="1" x14ac:dyDescent="0.2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</row>
    <row r="693" spans="1:16" ht="16" customHeight="1" x14ac:dyDescent="0.2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</row>
    <row r="694" spans="1:16" ht="16" customHeight="1" x14ac:dyDescent="0.2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</row>
    <row r="695" spans="1:16" ht="16" customHeight="1" x14ac:dyDescent="0.2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</row>
    <row r="696" spans="1:16" ht="16" customHeight="1" x14ac:dyDescent="0.2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</row>
    <row r="697" spans="1:16" ht="16" customHeight="1" x14ac:dyDescent="0.2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</row>
    <row r="698" spans="1:16" ht="16" customHeight="1" x14ac:dyDescent="0.2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</row>
    <row r="699" spans="1:16" ht="16" customHeight="1" x14ac:dyDescent="0.2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</row>
    <row r="700" spans="1:16" ht="16" customHeight="1" x14ac:dyDescent="0.2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</row>
    <row r="701" spans="1:16" ht="16" customHeight="1" x14ac:dyDescent="0.2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</row>
    <row r="702" spans="1:16" ht="16" customHeight="1" x14ac:dyDescent="0.2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</row>
    <row r="703" spans="1:16" ht="16" customHeight="1" x14ac:dyDescent="0.2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</row>
    <row r="704" spans="1:16" ht="16" customHeight="1" x14ac:dyDescent="0.2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</row>
    <row r="705" spans="1:16" ht="16" customHeight="1" x14ac:dyDescent="0.2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</row>
    <row r="706" spans="1:16" ht="16" customHeight="1" x14ac:dyDescent="0.2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</row>
    <row r="707" spans="1:16" ht="16" customHeight="1" x14ac:dyDescent="0.2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</row>
    <row r="708" spans="1:16" ht="16" customHeight="1" x14ac:dyDescent="0.2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</row>
    <row r="709" spans="1:16" ht="16" customHeight="1" x14ac:dyDescent="0.2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</row>
    <row r="710" spans="1:16" ht="16" customHeight="1" x14ac:dyDescent="0.2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</row>
    <row r="711" spans="1:16" ht="16" customHeight="1" x14ac:dyDescent="0.2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</row>
    <row r="712" spans="1:16" ht="16" customHeight="1" x14ac:dyDescent="0.2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</row>
    <row r="713" spans="1:16" ht="16" customHeight="1" x14ac:dyDescent="0.2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</row>
    <row r="714" spans="1:16" ht="16" customHeight="1" x14ac:dyDescent="0.2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</row>
    <row r="715" spans="1:16" ht="16" customHeight="1" x14ac:dyDescent="0.2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</row>
    <row r="716" spans="1:16" ht="16" customHeight="1" x14ac:dyDescent="0.2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</row>
    <row r="717" spans="1:16" ht="16" customHeight="1" x14ac:dyDescent="0.2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</row>
    <row r="718" spans="1:16" ht="16" customHeight="1" x14ac:dyDescent="0.2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</row>
    <row r="719" spans="1:16" ht="16" customHeight="1" x14ac:dyDescent="0.2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</row>
    <row r="720" spans="1:16" ht="16" customHeight="1" x14ac:dyDescent="0.2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</row>
    <row r="721" spans="1:16" ht="16" customHeight="1" x14ac:dyDescent="0.2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</row>
    <row r="722" spans="1:16" ht="16" customHeight="1" x14ac:dyDescent="0.2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</row>
    <row r="723" spans="1:16" ht="16" customHeight="1" x14ac:dyDescent="0.2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</row>
    <row r="724" spans="1:16" ht="16" customHeight="1" x14ac:dyDescent="0.2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</row>
    <row r="725" spans="1:16" ht="16" customHeight="1" x14ac:dyDescent="0.2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</row>
    <row r="726" spans="1:16" ht="16" customHeight="1" x14ac:dyDescent="0.2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</row>
    <row r="727" spans="1:16" ht="16" customHeight="1" x14ac:dyDescent="0.2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</row>
    <row r="728" spans="1:16" ht="16" customHeight="1" x14ac:dyDescent="0.2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</row>
    <row r="729" spans="1:16" ht="16" customHeight="1" x14ac:dyDescent="0.2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</row>
    <row r="730" spans="1:16" ht="16" customHeight="1" x14ac:dyDescent="0.2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</row>
    <row r="731" spans="1:16" ht="16" customHeight="1" x14ac:dyDescent="0.2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</row>
    <row r="732" spans="1:16" ht="16" customHeight="1" x14ac:dyDescent="0.2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</row>
    <row r="733" spans="1:16" ht="16" customHeight="1" x14ac:dyDescent="0.2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</row>
    <row r="734" spans="1:16" ht="16" customHeight="1" x14ac:dyDescent="0.2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</row>
    <row r="735" spans="1:16" ht="16" customHeight="1" x14ac:dyDescent="0.2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</row>
    <row r="736" spans="1:16" ht="16" customHeight="1" x14ac:dyDescent="0.2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</row>
    <row r="737" spans="1:16" ht="16" customHeight="1" x14ac:dyDescent="0.2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</row>
    <row r="738" spans="1:16" ht="16" customHeight="1" x14ac:dyDescent="0.2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</row>
    <row r="739" spans="1:16" ht="16" customHeight="1" x14ac:dyDescent="0.2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</row>
    <row r="740" spans="1:16" ht="16" customHeight="1" x14ac:dyDescent="0.2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</row>
    <row r="741" spans="1:16" ht="16" customHeight="1" x14ac:dyDescent="0.2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</row>
    <row r="742" spans="1:16" ht="16" customHeight="1" x14ac:dyDescent="0.2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</row>
    <row r="743" spans="1:16" ht="16" customHeight="1" x14ac:dyDescent="0.2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</row>
    <row r="744" spans="1:16" ht="16" customHeight="1" x14ac:dyDescent="0.2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</row>
    <row r="745" spans="1:16" ht="16" customHeight="1" x14ac:dyDescent="0.2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</row>
    <row r="746" spans="1:16" ht="16" customHeight="1" x14ac:dyDescent="0.2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</row>
    <row r="747" spans="1:16" ht="16" customHeight="1" x14ac:dyDescent="0.2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</row>
    <row r="748" spans="1:16" ht="16" customHeight="1" x14ac:dyDescent="0.2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</row>
    <row r="749" spans="1:16" ht="16" customHeight="1" x14ac:dyDescent="0.2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</row>
    <row r="750" spans="1:16" ht="16" customHeight="1" x14ac:dyDescent="0.2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</row>
    <row r="751" spans="1:16" ht="16" customHeight="1" x14ac:dyDescent="0.2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</row>
    <row r="752" spans="1:16" ht="16" customHeight="1" x14ac:dyDescent="0.2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</row>
    <row r="753" spans="1:16" ht="16" customHeight="1" x14ac:dyDescent="0.2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</row>
    <row r="754" spans="1:16" ht="16" customHeight="1" x14ac:dyDescent="0.2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</row>
    <row r="755" spans="1:16" ht="16" customHeight="1" x14ac:dyDescent="0.2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</row>
    <row r="756" spans="1:16" ht="16" customHeight="1" x14ac:dyDescent="0.2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</row>
    <row r="757" spans="1:16" ht="16" customHeight="1" x14ac:dyDescent="0.2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</row>
    <row r="758" spans="1:16" ht="16" customHeight="1" x14ac:dyDescent="0.2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</row>
    <row r="759" spans="1:16" ht="16" customHeight="1" x14ac:dyDescent="0.2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</row>
    <row r="760" spans="1:16" ht="16" customHeight="1" x14ac:dyDescent="0.2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</row>
    <row r="761" spans="1:16" ht="16" customHeight="1" x14ac:dyDescent="0.2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</row>
    <row r="762" spans="1:16" ht="16" customHeight="1" x14ac:dyDescent="0.2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</row>
    <row r="763" spans="1:16" ht="16" customHeight="1" x14ac:dyDescent="0.2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</row>
    <row r="764" spans="1:16" ht="16" customHeight="1" x14ac:dyDescent="0.2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</row>
    <row r="765" spans="1:16" ht="16" customHeight="1" x14ac:dyDescent="0.2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</row>
    <row r="766" spans="1:16" ht="16" customHeight="1" x14ac:dyDescent="0.2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</row>
    <row r="767" spans="1:16" ht="16" customHeight="1" x14ac:dyDescent="0.2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</row>
    <row r="768" spans="1:16" ht="16" customHeight="1" x14ac:dyDescent="0.2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</row>
    <row r="769" spans="1:16" ht="16" customHeight="1" x14ac:dyDescent="0.2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</row>
    <row r="770" spans="1:16" ht="16" customHeight="1" x14ac:dyDescent="0.2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</row>
    <row r="771" spans="1:16" ht="16" customHeight="1" x14ac:dyDescent="0.2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</row>
    <row r="772" spans="1:16" ht="16" customHeight="1" x14ac:dyDescent="0.2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</row>
    <row r="773" spans="1:16" ht="16" customHeight="1" x14ac:dyDescent="0.2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</row>
    <row r="774" spans="1:16" ht="16" customHeight="1" x14ac:dyDescent="0.2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</row>
    <row r="775" spans="1:16" ht="16" customHeight="1" x14ac:dyDescent="0.2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</row>
    <row r="776" spans="1:16" ht="16" customHeight="1" x14ac:dyDescent="0.2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</row>
    <row r="777" spans="1:16" ht="16" customHeight="1" x14ac:dyDescent="0.2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</row>
    <row r="778" spans="1:16" ht="16" customHeight="1" x14ac:dyDescent="0.2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</row>
    <row r="779" spans="1:16" ht="16" customHeight="1" x14ac:dyDescent="0.2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</row>
    <row r="780" spans="1:16" ht="16" customHeight="1" x14ac:dyDescent="0.2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</row>
    <row r="781" spans="1:16" ht="16" customHeight="1" x14ac:dyDescent="0.2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</row>
    <row r="782" spans="1:16" ht="16" customHeight="1" x14ac:dyDescent="0.2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</row>
    <row r="783" spans="1:16" ht="16" customHeight="1" x14ac:dyDescent="0.2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</row>
    <row r="784" spans="1:16" ht="16" customHeight="1" x14ac:dyDescent="0.2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</row>
    <row r="785" spans="1:16" ht="16" customHeight="1" x14ac:dyDescent="0.2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</row>
    <row r="786" spans="1:16" ht="16" customHeight="1" x14ac:dyDescent="0.2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</row>
    <row r="787" spans="1:16" ht="16" customHeight="1" x14ac:dyDescent="0.2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</row>
    <row r="788" spans="1:16" ht="16" customHeight="1" x14ac:dyDescent="0.2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</row>
    <row r="789" spans="1:16" ht="16" customHeight="1" x14ac:dyDescent="0.2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</row>
    <row r="790" spans="1:16" ht="16" customHeight="1" x14ac:dyDescent="0.2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</row>
    <row r="791" spans="1:16" ht="16" customHeight="1" x14ac:dyDescent="0.2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</row>
    <row r="792" spans="1:16" ht="16" customHeight="1" x14ac:dyDescent="0.2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</row>
    <row r="793" spans="1:16" ht="16" customHeight="1" x14ac:dyDescent="0.2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</row>
    <row r="794" spans="1:16" ht="16" customHeight="1" x14ac:dyDescent="0.2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</row>
    <row r="795" spans="1:16" ht="16" customHeight="1" x14ac:dyDescent="0.2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</row>
    <row r="796" spans="1:16" ht="16" customHeight="1" x14ac:dyDescent="0.2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</row>
    <row r="797" spans="1:16" ht="16" customHeight="1" x14ac:dyDescent="0.2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</row>
    <row r="798" spans="1:16" ht="16" customHeight="1" x14ac:dyDescent="0.2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</row>
    <row r="799" spans="1:16" ht="16" customHeight="1" x14ac:dyDescent="0.2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</row>
    <row r="800" spans="1:16" ht="16" customHeight="1" x14ac:dyDescent="0.2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</row>
    <row r="801" spans="1:16" ht="16" customHeight="1" x14ac:dyDescent="0.2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</row>
    <row r="802" spans="1:16" ht="16" customHeight="1" x14ac:dyDescent="0.2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</row>
    <row r="803" spans="1:16" ht="16" customHeight="1" x14ac:dyDescent="0.2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</row>
    <row r="804" spans="1:16" ht="16" customHeight="1" x14ac:dyDescent="0.2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</row>
    <row r="805" spans="1:16" ht="16" customHeight="1" x14ac:dyDescent="0.2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</row>
    <row r="806" spans="1:16" ht="16" customHeight="1" x14ac:dyDescent="0.2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</row>
    <row r="807" spans="1:16" ht="16" customHeight="1" x14ac:dyDescent="0.2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</row>
    <row r="808" spans="1:16" ht="16" customHeight="1" x14ac:dyDescent="0.2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</row>
    <row r="809" spans="1:16" ht="16" customHeight="1" x14ac:dyDescent="0.2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</row>
    <row r="810" spans="1:16" ht="16" customHeight="1" x14ac:dyDescent="0.2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</row>
    <row r="811" spans="1:16" ht="16" customHeight="1" x14ac:dyDescent="0.2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</row>
    <row r="812" spans="1:16" ht="16" customHeight="1" x14ac:dyDescent="0.2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</row>
    <row r="813" spans="1:16" ht="16" customHeight="1" x14ac:dyDescent="0.2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</row>
    <row r="814" spans="1:16" ht="16" customHeight="1" x14ac:dyDescent="0.2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</row>
    <row r="815" spans="1:16" ht="16" customHeight="1" x14ac:dyDescent="0.2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</row>
    <row r="816" spans="1:16" ht="16" customHeight="1" x14ac:dyDescent="0.2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</row>
    <row r="817" spans="1:16" ht="16" customHeight="1" x14ac:dyDescent="0.2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</row>
    <row r="818" spans="1:16" ht="16" customHeight="1" x14ac:dyDescent="0.2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</row>
    <row r="819" spans="1:16" ht="16" customHeight="1" x14ac:dyDescent="0.2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</row>
    <row r="820" spans="1:16" ht="16" customHeight="1" x14ac:dyDescent="0.2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</row>
    <row r="821" spans="1:16" ht="16" customHeight="1" x14ac:dyDescent="0.2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</row>
    <row r="822" spans="1:16" ht="16" customHeight="1" x14ac:dyDescent="0.2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</row>
    <row r="823" spans="1:16" ht="16" customHeight="1" x14ac:dyDescent="0.2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</row>
    <row r="824" spans="1:16" ht="16" customHeight="1" x14ac:dyDescent="0.2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</row>
    <row r="825" spans="1:16" ht="16" customHeight="1" x14ac:dyDescent="0.2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</row>
    <row r="826" spans="1:16" ht="16" customHeight="1" x14ac:dyDescent="0.2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</row>
    <row r="827" spans="1:16" ht="16" customHeight="1" x14ac:dyDescent="0.2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</row>
    <row r="828" spans="1:16" ht="16" customHeight="1" x14ac:dyDescent="0.2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</row>
    <row r="829" spans="1:16" ht="16" customHeight="1" x14ac:dyDescent="0.2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</row>
    <row r="830" spans="1:16" ht="16" customHeight="1" x14ac:dyDescent="0.2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</row>
    <row r="831" spans="1:16" ht="16" customHeight="1" x14ac:dyDescent="0.2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</row>
    <row r="832" spans="1:16" ht="16" customHeight="1" x14ac:dyDescent="0.2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</row>
    <row r="833" spans="1:16" ht="16" customHeight="1" x14ac:dyDescent="0.2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</row>
    <row r="834" spans="1:16" ht="16" customHeight="1" x14ac:dyDescent="0.2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</row>
    <row r="835" spans="1:16" ht="16" customHeight="1" x14ac:dyDescent="0.2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</row>
    <row r="836" spans="1:16" ht="16" customHeight="1" x14ac:dyDescent="0.2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</row>
    <row r="837" spans="1:16" ht="16" customHeight="1" x14ac:dyDescent="0.2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</row>
    <row r="838" spans="1:16" ht="16" customHeight="1" x14ac:dyDescent="0.2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</row>
    <row r="839" spans="1:16" ht="16" customHeight="1" x14ac:dyDescent="0.2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</row>
    <row r="840" spans="1:16" ht="16" customHeight="1" x14ac:dyDescent="0.2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</row>
    <row r="841" spans="1:16" ht="16" customHeight="1" x14ac:dyDescent="0.2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</row>
    <row r="842" spans="1:16" ht="16" customHeight="1" x14ac:dyDescent="0.2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</row>
    <row r="843" spans="1:16" ht="16" customHeight="1" x14ac:dyDescent="0.2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</row>
    <row r="844" spans="1:16" ht="16" customHeight="1" x14ac:dyDescent="0.2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</row>
    <row r="845" spans="1:16" ht="16" customHeight="1" x14ac:dyDescent="0.2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</row>
    <row r="846" spans="1:16" ht="16" customHeight="1" x14ac:dyDescent="0.2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</row>
    <row r="847" spans="1:16" ht="16" customHeight="1" x14ac:dyDescent="0.2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</row>
    <row r="848" spans="1:16" ht="16" customHeight="1" x14ac:dyDescent="0.2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</row>
    <row r="849" spans="1:16" ht="16" customHeight="1" x14ac:dyDescent="0.2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</row>
    <row r="850" spans="1:16" ht="16" customHeight="1" x14ac:dyDescent="0.2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</row>
    <row r="851" spans="1:16" ht="16" customHeight="1" x14ac:dyDescent="0.2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</row>
    <row r="852" spans="1:16" ht="16" customHeight="1" x14ac:dyDescent="0.2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</row>
    <row r="853" spans="1:16" ht="16" customHeight="1" x14ac:dyDescent="0.2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</row>
    <row r="854" spans="1:16" ht="16" customHeight="1" x14ac:dyDescent="0.2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</row>
    <row r="855" spans="1:16" ht="16" customHeight="1" x14ac:dyDescent="0.2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</row>
    <row r="856" spans="1:16" ht="16" customHeight="1" x14ac:dyDescent="0.2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</row>
    <row r="857" spans="1:16" ht="16" customHeight="1" x14ac:dyDescent="0.2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</row>
    <row r="858" spans="1:16" ht="16" customHeight="1" x14ac:dyDescent="0.2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</row>
    <row r="859" spans="1:16" ht="16" customHeight="1" x14ac:dyDescent="0.2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</row>
    <row r="860" spans="1:16" ht="16" customHeight="1" x14ac:dyDescent="0.2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</row>
    <row r="861" spans="1:16" ht="16" customHeight="1" x14ac:dyDescent="0.2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</row>
    <row r="862" spans="1:16" ht="16" customHeight="1" x14ac:dyDescent="0.2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</row>
    <row r="863" spans="1:16" ht="16" customHeight="1" x14ac:dyDescent="0.2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</row>
    <row r="864" spans="1:16" ht="16" customHeight="1" x14ac:dyDescent="0.2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</row>
    <row r="865" spans="1:16" ht="16" customHeight="1" x14ac:dyDescent="0.2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</row>
    <row r="866" spans="1:16" ht="16" customHeight="1" x14ac:dyDescent="0.2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</row>
    <row r="867" spans="1:16" ht="16" customHeight="1" x14ac:dyDescent="0.2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</row>
    <row r="868" spans="1:16" ht="16" customHeight="1" x14ac:dyDescent="0.2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</row>
    <row r="869" spans="1:16" ht="16" customHeight="1" x14ac:dyDescent="0.2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</row>
    <row r="870" spans="1:16" ht="16" customHeight="1" x14ac:dyDescent="0.2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</row>
    <row r="871" spans="1:16" ht="16" customHeight="1" x14ac:dyDescent="0.2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</row>
    <row r="872" spans="1:16" ht="16" customHeight="1" x14ac:dyDescent="0.2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</row>
    <row r="873" spans="1:16" ht="16" customHeight="1" x14ac:dyDescent="0.2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</row>
    <row r="874" spans="1:16" ht="16" customHeight="1" x14ac:dyDescent="0.2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</row>
    <row r="875" spans="1:16" ht="16" customHeight="1" x14ac:dyDescent="0.2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</row>
    <row r="876" spans="1:16" ht="16" customHeight="1" x14ac:dyDescent="0.2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</row>
    <row r="877" spans="1:16" ht="16" customHeight="1" x14ac:dyDescent="0.2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</row>
    <row r="878" spans="1:16" ht="16" customHeight="1" x14ac:dyDescent="0.2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</row>
    <row r="879" spans="1:16" ht="16" customHeight="1" x14ac:dyDescent="0.2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</row>
    <row r="880" spans="1:16" ht="16" customHeight="1" x14ac:dyDescent="0.2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</row>
    <row r="881" spans="1:16" ht="16" customHeight="1" x14ac:dyDescent="0.2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</row>
    <row r="882" spans="1:16" ht="16" customHeight="1" x14ac:dyDescent="0.2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</row>
    <row r="883" spans="1:16" ht="16" customHeight="1" x14ac:dyDescent="0.2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</row>
    <row r="884" spans="1:16" ht="16" customHeight="1" x14ac:dyDescent="0.2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</row>
    <row r="885" spans="1:16" ht="16" customHeight="1" x14ac:dyDescent="0.2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</row>
    <row r="886" spans="1:16" ht="16" customHeight="1" x14ac:dyDescent="0.2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</row>
    <row r="887" spans="1:16" ht="16" customHeight="1" x14ac:dyDescent="0.2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</row>
    <row r="888" spans="1:16" ht="16" customHeight="1" x14ac:dyDescent="0.2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</row>
    <row r="889" spans="1:16" ht="16" customHeight="1" x14ac:dyDescent="0.2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</row>
    <row r="890" spans="1:16" ht="16" customHeight="1" x14ac:dyDescent="0.2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</row>
    <row r="891" spans="1:16" ht="16" customHeight="1" x14ac:dyDescent="0.2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</row>
    <row r="892" spans="1:16" ht="16" customHeight="1" x14ac:dyDescent="0.2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</row>
    <row r="893" spans="1:16" ht="16" customHeight="1" x14ac:dyDescent="0.2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</row>
    <row r="894" spans="1:16" ht="16" customHeight="1" x14ac:dyDescent="0.2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</row>
    <row r="895" spans="1:16" ht="16" customHeight="1" x14ac:dyDescent="0.2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</row>
    <row r="896" spans="1:16" ht="16" customHeight="1" x14ac:dyDescent="0.2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</row>
    <row r="897" spans="1:16" ht="16" customHeight="1" x14ac:dyDescent="0.2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</row>
    <row r="898" spans="1:16" ht="16" customHeight="1" x14ac:dyDescent="0.2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</row>
    <row r="899" spans="1:16" ht="16" customHeight="1" x14ac:dyDescent="0.2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</row>
    <row r="900" spans="1:16" ht="16" customHeight="1" x14ac:dyDescent="0.2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</row>
    <row r="901" spans="1:16" ht="16" customHeight="1" x14ac:dyDescent="0.2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</row>
    <row r="902" spans="1:16" ht="16" customHeight="1" x14ac:dyDescent="0.2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</row>
    <row r="903" spans="1:16" ht="16" customHeight="1" x14ac:dyDescent="0.2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</row>
    <row r="904" spans="1:16" ht="16" customHeight="1" x14ac:dyDescent="0.2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</row>
    <row r="905" spans="1:16" ht="16" customHeight="1" x14ac:dyDescent="0.2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</row>
    <row r="906" spans="1:16" ht="16" customHeight="1" x14ac:dyDescent="0.2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</row>
    <row r="907" spans="1:16" ht="16" customHeight="1" x14ac:dyDescent="0.2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</row>
    <row r="908" spans="1:16" ht="16" customHeight="1" x14ac:dyDescent="0.2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</row>
    <row r="909" spans="1:16" ht="16" customHeight="1" x14ac:dyDescent="0.2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</row>
    <row r="910" spans="1:16" ht="16" customHeight="1" x14ac:dyDescent="0.2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</row>
    <row r="911" spans="1:16" ht="16" customHeight="1" x14ac:dyDescent="0.2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</row>
    <row r="912" spans="1:16" ht="16" customHeight="1" x14ac:dyDescent="0.2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</row>
    <row r="913" spans="1:16" ht="16" customHeight="1" x14ac:dyDescent="0.2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</row>
    <row r="914" spans="1:16" ht="16" customHeight="1" x14ac:dyDescent="0.2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</row>
    <row r="915" spans="1:16" ht="16" customHeight="1" x14ac:dyDescent="0.2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</row>
    <row r="916" spans="1:16" ht="16" customHeight="1" x14ac:dyDescent="0.2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</row>
    <row r="917" spans="1:16" ht="16" customHeight="1" x14ac:dyDescent="0.2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</row>
    <row r="918" spans="1:16" ht="16" customHeight="1" x14ac:dyDescent="0.2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</row>
    <row r="919" spans="1:16" ht="16" customHeight="1" x14ac:dyDescent="0.2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</row>
    <row r="920" spans="1:16" ht="16" customHeight="1" x14ac:dyDescent="0.2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</row>
    <row r="921" spans="1:16" ht="16" customHeight="1" x14ac:dyDescent="0.2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</row>
    <row r="922" spans="1:16" ht="16" customHeight="1" x14ac:dyDescent="0.2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</row>
    <row r="923" spans="1:16" ht="16" customHeight="1" x14ac:dyDescent="0.2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</row>
    <row r="924" spans="1:16" ht="16" customHeight="1" x14ac:dyDescent="0.2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</row>
    <row r="925" spans="1:16" ht="16" customHeight="1" x14ac:dyDescent="0.2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</row>
    <row r="926" spans="1:16" ht="16" customHeight="1" x14ac:dyDescent="0.2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</row>
    <row r="927" spans="1:16" ht="16" customHeight="1" x14ac:dyDescent="0.2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</row>
    <row r="928" spans="1:16" ht="16" customHeight="1" x14ac:dyDescent="0.2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</row>
    <row r="929" spans="1:16" ht="16" customHeight="1" x14ac:dyDescent="0.2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</row>
    <row r="930" spans="1:16" ht="16" customHeight="1" x14ac:dyDescent="0.2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</row>
    <row r="931" spans="1:16" ht="16" customHeight="1" x14ac:dyDescent="0.2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</row>
    <row r="932" spans="1:16" ht="16" customHeight="1" x14ac:dyDescent="0.2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</row>
    <row r="933" spans="1:16" ht="16" customHeight="1" x14ac:dyDescent="0.2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</row>
    <row r="934" spans="1:16" ht="16" customHeight="1" x14ac:dyDescent="0.2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</row>
    <row r="935" spans="1:16" ht="16" customHeight="1" x14ac:dyDescent="0.2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</row>
    <row r="936" spans="1:16" ht="16" customHeight="1" x14ac:dyDescent="0.2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</row>
    <row r="937" spans="1:16" ht="16" customHeight="1" x14ac:dyDescent="0.2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</row>
    <row r="938" spans="1:16" ht="16" customHeight="1" x14ac:dyDescent="0.2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</row>
    <row r="939" spans="1:16" ht="16" customHeight="1" x14ac:dyDescent="0.2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</row>
    <row r="940" spans="1:16" ht="16" customHeight="1" x14ac:dyDescent="0.2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</row>
    <row r="941" spans="1:16" ht="16" customHeight="1" x14ac:dyDescent="0.2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</row>
    <row r="942" spans="1:16" ht="16" customHeight="1" x14ac:dyDescent="0.2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</row>
    <row r="943" spans="1:16" ht="16" customHeight="1" x14ac:dyDescent="0.2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</row>
    <row r="944" spans="1:16" ht="16" customHeight="1" x14ac:dyDescent="0.2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</row>
    <row r="945" spans="1:16" ht="16" customHeight="1" x14ac:dyDescent="0.2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</row>
    <row r="946" spans="1:16" ht="16" customHeight="1" x14ac:dyDescent="0.2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</row>
    <row r="947" spans="1:16" ht="16" customHeight="1" x14ac:dyDescent="0.2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</row>
    <row r="948" spans="1:16" ht="16" customHeight="1" x14ac:dyDescent="0.2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</row>
    <row r="949" spans="1:16" ht="16" customHeight="1" x14ac:dyDescent="0.2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</row>
    <row r="950" spans="1:16" ht="16" customHeight="1" x14ac:dyDescent="0.2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</row>
    <row r="951" spans="1:16" ht="16" customHeight="1" x14ac:dyDescent="0.2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</row>
    <row r="952" spans="1:16" ht="16" customHeight="1" x14ac:dyDescent="0.2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</row>
    <row r="953" spans="1:16" ht="16" customHeight="1" x14ac:dyDescent="0.2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</row>
    <row r="954" spans="1:16" ht="16" customHeight="1" x14ac:dyDescent="0.2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</row>
    <row r="955" spans="1:16" ht="16" customHeight="1" x14ac:dyDescent="0.2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</row>
    <row r="956" spans="1:16" ht="16" customHeight="1" x14ac:dyDescent="0.2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</row>
    <row r="957" spans="1:16" ht="16" customHeight="1" x14ac:dyDescent="0.2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</row>
    <row r="958" spans="1:16" ht="16" customHeight="1" x14ac:dyDescent="0.2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</row>
    <row r="959" spans="1:16" ht="16" customHeight="1" x14ac:dyDescent="0.2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</row>
    <row r="960" spans="1:16" ht="16" customHeight="1" x14ac:dyDescent="0.2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</row>
    <row r="961" spans="1:16" ht="16" customHeight="1" x14ac:dyDescent="0.2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</row>
    <row r="962" spans="1:16" ht="16" customHeight="1" x14ac:dyDescent="0.2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</row>
    <row r="963" spans="1:16" ht="16" customHeight="1" x14ac:dyDescent="0.2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</row>
    <row r="964" spans="1:16" ht="16" customHeight="1" x14ac:dyDescent="0.2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</row>
    <row r="965" spans="1:16" ht="16" customHeight="1" x14ac:dyDescent="0.2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</row>
    <row r="966" spans="1:16" ht="16" customHeight="1" x14ac:dyDescent="0.2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</row>
    <row r="967" spans="1:16" ht="16" customHeight="1" x14ac:dyDescent="0.2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</row>
    <row r="968" spans="1:16" ht="16" customHeight="1" x14ac:dyDescent="0.2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</row>
    <row r="969" spans="1:16" ht="16" customHeight="1" x14ac:dyDescent="0.2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</row>
    <row r="970" spans="1:16" ht="16" customHeight="1" x14ac:dyDescent="0.2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</row>
    <row r="971" spans="1:16" ht="16" customHeight="1" x14ac:dyDescent="0.2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</row>
    <row r="972" spans="1:16" ht="16" customHeight="1" x14ac:dyDescent="0.2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</row>
    <row r="973" spans="1:16" ht="16" customHeight="1" x14ac:dyDescent="0.2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</row>
    <row r="974" spans="1:16" ht="16" customHeight="1" x14ac:dyDescent="0.2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</row>
    <row r="975" spans="1:16" ht="16" customHeight="1" x14ac:dyDescent="0.2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</row>
    <row r="976" spans="1:16" ht="16" customHeight="1" x14ac:dyDescent="0.2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</row>
    <row r="977" spans="1:16" ht="16" customHeight="1" x14ac:dyDescent="0.2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</row>
    <row r="978" spans="1:16" ht="16" customHeight="1" x14ac:dyDescent="0.2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</row>
    <row r="979" spans="1:16" ht="16" customHeight="1" x14ac:dyDescent="0.2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</row>
    <row r="980" spans="1:16" ht="16" customHeight="1" x14ac:dyDescent="0.2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</row>
    <row r="981" spans="1:16" ht="16" customHeight="1" x14ac:dyDescent="0.2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</row>
    <row r="982" spans="1:16" ht="16" customHeight="1" x14ac:dyDescent="0.2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</row>
    <row r="983" spans="1:16" ht="16" customHeight="1" x14ac:dyDescent="0.2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</row>
    <row r="984" spans="1:16" ht="16" customHeight="1" x14ac:dyDescent="0.2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</row>
    <row r="985" spans="1:16" ht="16" customHeight="1" x14ac:dyDescent="0.2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</row>
    <row r="986" spans="1:16" ht="16" customHeight="1" x14ac:dyDescent="0.2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</row>
  </sheetData>
  <autoFilter ref="A1:Y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C9C0E-3B07-5D49-A29D-544E3CDB49A9}">
  <dimension ref="A1:F5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5" x14ac:dyDescent="0.2"/>
  <cols>
    <col min="2" max="2" width="28" bestFit="1" customWidth="1"/>
    <col min="3" max="3" width="14.5" bestFit="1" customWidth="1"/>
    <col min="6" max="6" width="29.6640625" bestFit="1" customWidth="1"/>
  </cols>
  <sheetData>
    <row r="1" spans="1:6" ht="16" x14ac:dyDescent="0.2">
      <c r="A1" s="40" t="s">
        <v>52</v>
      </c>
      <c r="B1" s="40" t="s">
        <v>53</v>
      </c>
      <c r="C1" s="40" t="s">
        <v>54</v>
      </c>
      <c r="D1" s="40" t="s">
        <v>55</v>
      </c>
      <c r="E1" s="40" t="s">
        <v>56</v>
      </c>
      <c r="F1" s="40" t="s">
        <v>57</v>
      </c>
    </row>
    <row r="2" spans="1:6" x14ac:dyDescent="0.2">
      <c r="A2">
        <v>20</v>
      </c>
      <c r="B2" t="s">
        <v>631</v>
      </c>
      <c r="C2" t="s">
        <v>632</v>
      </c>
      <c r="D2" t="s">
        <v>69</v>
      </c>
      <c r="E2" t="s">
        <v>58</v>
      </c>
      <c r="F2" s="41"/>
    </row>
    <row r="3" spans="1:6" x14ac:dyDescent="0.2">
      <c r="A3">
        <v>48</v>
      </c>
      <c r="B3" t="s">
        <v>633</v>
      </c>
      <c r="C3" t="s">
        <v>75</v>
      </c>
      <c r="D3" t="s">
        <v>61</v>
      </c>
      <c r="E3" t="s">
        <v>58</v>
      </c>
      <c r="F3" t="s">
        <v>634</v>
      </c>
    </row>
    <row r="4" spans="1:6" x14ac:dyDescent="0.2">
      <c r="A4">
        <v>144</v>
      </c>
      <c r="B4" t="s">
        <v>59</v>
      </c>
      <c r="C4" t="s">
        <v>60</v>
      </c>
      <c r="D4" t="s">
        <v>61</v>
      </c>
      <c r="E4" t="s">
        <v>58</v>
      </c>
      <c r="F4" t="s">
        <v>62</v>
      </c>
    </row>
    <row r="5" spans="1:6" x14ac:dyDescent="0.2">
      <c r="A5">
        <v>191</v>
      </c>
      <c r="B5" t="s">
        <v>635</v>
      </c>
      <c r="C5" t="s">
        <v>636</v>
      </c>
      <c r="D5" t="s">
        <v>69</v>
      </c>
      <c r="E5" t="s">
        <v>58</v>
      </c>
    </row>
    <row r="6" spans="1:6" x14ac:dyDescent="0.2">
      <c r="A6">
        <v>271</v>
      </c>
      <c r="B6" t="s">
        <v>637</v>
      </c>
      <c r="C6" t="s">
        <v>638</v>
      </c>
      <c r="D6" t="s">
        <v>69</v>
      </c>
      <c r="E6" t="s">
        <v>58</v>
      </c>
    </row>
    <row r="7" spans="1:6" x14ac:dyDescent="0.2">
      <c r="A7">
        <v>325</v>
      </c>
      <c r="B7" t="s">
        <v>63</v>
      </c>
      <c r="C7" t="s">
        <v>60</v>
      </c>
      <c r="D7" t="s">
        <v>61</v>
      </c>
      <c r="E7" t="s">
        <v>58</v>
      </c>
      <c r="F7" t="s">
        <v>64</v>
      </c>
    </row>
    <row r="8" spans="1:6" x14ac:dyDescent="0.2">
      <c r="A8">
        <v>340</v>
      </c>
      <c r="B8" t="s">
        <v>639</v>
      </c>
      <c r="C8" t="s">
        <v>640</v>
      </c>
      <c r="D8" t="s">
        <v>69</v>
      </c>
      <c r="E8" t="s">
        <v>58</v>
      </c>
      <c r="F8" t="s">
        <v>641</v>
      </c>
    </row>
    <row r="9" spans="1:6" x14ac:dyDescent="0.2">
      <c r="A9">
        <v>353</v>
      </c>
      <c r="B9" t="s">
        <v>642</v>
      </c>
      <c r="C9" t="s">
        <v>643</v>
      </c>
      <c r="D9" t="s">
        <v>69</v>
      </c>
      <c r="E9" t="s">
        <v>58</v>
      </c>
      <c r="F9" t="s">
        <v>644</v>
      </c>
    </row>
    <row r="10" spans="1:6" x14ac:dyDescent="0.2">
      <c r="A10">
        <v>378</v>
      </c>
      <c r="B10" t="s">
        <v>645</v>
      </c>
      <c r="C10" t="s">
        <v>646</v>
      </c>
      <c r="D10" t="s">
        <v>69</v>
      </c>
      <c r="E10" t="s">
        <v>58</v>
      </c>
    </row>
    <row r="11" spans="1:6" x14ac:dyDescent="0.2">
      <c r="A11">
        <v>424</v>
      </c>
      <c r="B11" t="s">
        <v>647</v>
      </c>
      <c r="C11" t="s">
        <v>648</v>
      </c>
      <c r="D11" t="s">
        <v>69</v>
      </c>
      <c r="E11" t="s">
        <v>58</v>
      </c>
    </row>
    <row r="12" spans="1:6" x14ac:dyDescent="0.2">
      <c r="A12">
        <v>432</v>
      </c>
      <c r="B12" t="s">
        <v>65</v>
      </c>
      <c r="C12" t="s">
        <v>60</v>
      </c>
      <c r="D12" t="s">
        <v>61</v>
      </c>
      <c r="E12" t="s">
        <v>58</v>
      </c>
      <c r="F12" t="s">
        <v>66</v>
      </c>
    </row>
    <row r="13" spans="1:6" x14ac:dyDescent="0.2">
      <c r="A13">
        <v>564</v>
      </c>
      <c r="B13" t="s">
        <v>649</v>
      </c>
      <c r="C13" t="s">
        <v>650</v>
      </c>
      <c r="D13" t="s">
        <v>69</v>
      </c>
      <c r="E13" t="s">
        <v>58</v>
      </c>
      <c r="F13" t="s">
        <v>651</v>
      </c>
    </row>
    <row r="14" spans="1:6" x14ac:dyDescent="0.2">
      <c r="A14">
        <v>578</v>
      </c>
      <c r="B14" t="s">
        <v>67</v>
      </c>
      <c r="C14" t="s">
        <v>68</v>
      </c>
      <c r="D14" t="s">
        <v>69</v>
      </c>
      <c r="E14" t="s">
        <v>58</v>
      </c>
      <c r="F14" t="s">
        <v>70</v>
      </c>
    </row>
    <row r="15" spans="1:6" x14ac:dyDescent="0.2">
      <c r="A15">
        <v>639</v>
      </c>
      <c r="B15" t="s">
        <v>652</v>
      </c>
      <c r="C15" t="s">
        <v>653</v>
      </c>
      <c r="D15" t="s">
        <v>69</v>
      </c>
      <c r="E15" t="s">
        <v>58</v>
      </c>
    </row>
    <row r="16" spans="1:6" x14ac:dyDescent="0.2">
      <c r="A16">
        <v>694</v>
      </c>
      <c r="B16" t="s">
        <v>654</v>
      </c>
      <c r="C16" t="s">
        <v>69</v>
      </c>
      <c r="D16" t="s">
        <v>69</v>
      </c>
      <c r="E16" t="s">
        <v>58</v>
      </c>
    </row>
    <row r="17" spans="1:6" x14ac:dyDescent="0.2">
      <c r="A17">
        <v>810</v>
      </c>
      <c r="B17" t="s">
        <v>655</v>
      </c>
      <c r="C17" t="s">
        <v>656</v>
      </c>
      <c r="D17" t="s">
        <v>69</v>
      </c>
      <c r="E17" t="s">
        <v>58</v>
      </c>
      <c r="F17" t="s">
        <v>657</v>
      </c>
    </row>
    <row r="18" spans="1:6" x14ac:dyDescent="0.2">
      <c r="A18">
        <v>1056</v>
      </c>
      <c r="B18" t="s">
        <v>658</v>
      </c>
      <c r="C18" t="s">
        <v>659</v>
      </c>
      <c r="D18" t="s">
        <v>660</v>
      </c>
      <c r="E18" t="s">
        <v>58</v>
      </c>
    </row>
    <row r="19" spans="1:6" x14ac:dyDescent="0.2">
      <c r="A19">
        <v>1126</v>
      </c>
      <c r="B19" t="s">
        <v>661</v>
      </c>
      <c r="C19" t="s">
        <v>662</v>
      </c>
      <c r="D19" t="s">
        <v>69</v>
      </c>
      <c r="E19" t="s">
        <v>58</v>
      </c>
    </row>
    <row r="20" spans="1:6" x14ac:dyDescent="0.2">
      <c r="A20">
        <v>1405</v>
      </c>
      <c r="B20" t="s">
        <v>663</v>
      </c>
      <c r="C20" t="s">
        <v>664</v>
      </c>
      <c r="D20" t="s">
        <v>69</v>
      </c>
      <c r="E20" t="s">
        <v>58</v>
      </c>
      <c r="F20" t="s">
        <v>665</v>
      </c>
    </row>
    <row r="21" spans="1:6" x14ac:dyDescent="0.2">
      <c r="A21">
        <v>1450</v>
      </c>
      <c r="B21" t="s">
        <v>666</v>
      </c>
      <c r="C21" t="s">
        <v>636</v>
      </c>
      <c r="D21" t="s">
        <v>69</v>
      </c>
      <c r="E21" t="s">
        <v>58</v>
      </c>
    </row>
    <row r="22" spans="1:6" x14ac:dyDescent="0.2">
      <c r="A22">
        <v>1468</v>
      </c>
      <c r="B22" t="s">
        <v>667</v>
      </c>
      <c r="C22" t="s">
        <v>668</v>
      </c>
      <c r="D22" t="s">
        <v>69</v>
      </c>
      <c r="E22" t="s">
        <v>58</v>
      </c>
      <c r="F22" t="s">
        <v>669</v>
      </c>
    </row>
    <row r="23" spans="1:6" x14ac:dyDescent="0.2">
      <c r="A23">
        <v>1507</v>
      </c>
      <c r="B23" t="s">
        <v>670</v>
      </c>
      <c r="C23" t="s">
        <v>671</v>
      </c>
      <c r="D23" t="s">
        <v>69</v>
      </c>
      <c r="E23" t="s">
        <v>58</v>
      </c>
      <c r="F23" t="s">
        <v>672</v>
      </c>
    </row>
    <row r="24" spans="1:6" x14ac:dyDescent="0.2">
      <c r="A24">
        <v>1511</v>
      </c>
      <c r="B24" t="s">
        <v>673</v>
      </c>
      <c r="C24" t="s">
        <v>664</v>
      </c>
      <c r="D24" t="s">
        <v>69</v>
      </c>
      <c r="E24" t="s">
        <v>58</v>
      </c>
      <c r="F24" t="s">
        <v>674</v>
      </c>
    </row>
    <row r="25" spans="1:6" x14ac:dyDescent="0.2">
      <c r="A25">
        <v>1518</v>
      </c>
      <c r="B25" t="s">
        <v>675</v>
      </c>
      <c r="C25" t="s">
        <v>676</v>
      </c>
      <c r="D25" t="s">
        <v>69</v>
      </c>
      <c r="E25" t="s">
        <v>58</v>
      </c>
      <c r="F25" t="s">
        <v>677</v>
      </c>
    </row>
    <row r="26" spans="1:6" x14ac:dyDescent="0.2">
      <c r="A26">
        <v>1559</v>
      </c>
      <c r="B26" t="s">
        <v>678</v>
      </c>
      <c r="C26" t="s">
        <v>679</v>
      </c>
      <c r="D26" t="s">
        <v>69</v>
      </c>
      <c r="E26" t="s">
        <v>58</v>
      </c>
    </row>
    <row r="27" spans="1:6" x14ac:dyDescent="0.2">
      <c r="A27">
        <v>1585</v>
      </c>
      <c r="B27" t="s">
        <v>680</v>
      </c>
      <c r="C27" t="s">
        <v>681</v>
      </c>
      <c r="D27" t="s">
        <v>69</v>
      </c>
      <c r="E27" t="s">
        <v>58</v>
      </c>
    </row>
    <row r="28" spans="1:6" x14ac:dyDescent="0.2">
      <c r="A28">
        <v>1591</v>
      </c>
      <c r="B28" t="s">
        <v>682</v>
      </c>
      <c r="C28" t="s">
        <v>636</v>
      </c>
      <c r="D28" t="s">
        <v>69</v>
      </c>
      <c r="E28" t="s">
        <v>58</v>
      </c>
    </row>
    <row r="29" spans="1:6" x14ac:dyDescent="0.2">
      <c r="A29">
        <v>1781</v>
      </c>
      <c r="B29" t="s">
        <v>683</v>
      </c>
      <c r="C29" t="s">
        <v>684</v>
      </c>
      <c r="D29" t="s">
        <v>71</v>
      </c>
      <c r="E29" t="s">
        <v>58</v>
      </c>
      <c r="F29" t="s">
        <v>685</v>
      </c>
    </row>
    <row r="30" spans="1:6" x14ac:dyDescent="0.2">
      <c r="A30">
        <v>1787</v>
      </c>
      <c r="B30" t="s">
        <v>72</v>
      </c>
      <c r="C30" t="s">
        <v>73</v>
      </c>
      <c r="D30" t="s">
        <v>61</v>
      </c>
      <c r="E30" t="s">
        <v>58</v>
      </c>
      <c r="F30" t="s">
        <v>74</v>
      </c>
    </row>
    <row r="31" spans="1:6" x14ac:dyDescent="0.2">
      <c r="A31">
        <v>2228</v>
      </c>
      <c r="B31" t="s">
        <v>76</v>
      </c>
      <c r="C31" t="s">
        <v>77</v>
      </c>
      <c r="D31" t="s">
        <v>69</v>
      </c>
      <c r="E31" t="s">
        <v>58</v>
      </c>
      <c r="F31" t="s">
        <v>78</v>
      </c>
    </row>
    <row r="32" spans="1:6" x14ac:dyDescent="0.2">
      <c r="A32">
        <v>2340</v>
      </c>
      <c r="B32" t="s">
        <v>686</v>
      </c>
      <c r="C32" t="s">
        <v>636</v>
      </c>
      <c r="D32" t="s">
        <v>69</v>
      </c>
      <c r="E32" t="s">
        <v>58</v>
      </c>
    </row>
    <row r="33" spans="1:6" x14ac:dyDescent="0.2">
      <c r="A33">
        <v>3003</v>
      </c>
      <c r="B33" t="s">
        <v>687</v>
      </c>
      <c r="C33" t="s">
        <v>688</v>
      </c>
      <c r="D33" t="s">
        <v>69</v>
      </c>
      <c r="E33" t="s">
        <v>58</v>
      </c>
    </row>
    <row r="34" spans="1:6" x14ac:dyDescent="0.2">
      <c r="A34">
        <v>3015</v>
      </c>
      <c r="B34" t="s">
        <v>689</v>
      </c>
      <c r="C34" t="s">
        <v>690</v>
      </c>
      <c r="D34" t="s">
        <v>69</v>
      </c>
      <c r="E34" t="s">
        <v>58</v>
      </c>
      <c r="F34" t="s">
        <v>691</v>
      </c>
    </row>
    <row r="35" spans="1:6" x14ac:dyDescent="0.2">
      <c r="A35">
        <v>3044</v>
      </c>
      <c r="B35" t="s">
        <v>692</v>
      </c>
      <c r="C35" t="s">
        <v>693</v>
      </c>
      <c r="D35" t="s">
        <v>69</v>
      </c>
      <c r="E35" t="s">
        <v>58</v>
      </c>
    </row>
    <row r="36" spans="1:6" x14ac:dyDescent="0.2">
      <c r="A36">
        <v>3173</v>
      </c>
      <c r="B36" t="s">
        <v>694</v>
      </c>
      <c r="C36" t="s">
        <v>636</v>
      </c>
      <c r="D36" t="s">
        <v>69</v>
      </c>
      <c r="E36" t="s">
        <v>58</v>
      </c>
      <c r="F36" t="s">
        <v>695</v>
      </c>
    </row>
    <row r="37" spans="1:6" x14ac:dyDescent="0.2">
      <c r="A37">
        <v>3181</v>
      </c>
      <c r="B37" t="s">
        <v>696</v>
      </c>
      <c r="C37" t="s">
        <v>697</v>
      </c>
      <c r="D37" t="s">
        <v>69</v>
      </c>
      <c r="E37" t="s">
        <v>58</v>
      </c>
    </row>
    <row r="38" spans="1:6" x14ac:dyDescent="0.2">
      <c r="A38">
        <v>3799</v>
      </c>
      <c r="B38" t="s">
        <v>698</v>
      </c>
      <c r="C38" t="s">
        <v>699</v>
      </c>
      <c r="D38" t="s">
        <v>69</v>
      </c>
      <c r="E38" t="s">
        <v>58</v>
      </c>
    </row>
    <row r="39" spans="1:6" x14ac:dyDescent="0.2">
      <c r="A39">
        <v>3838</v>
      </c>
      <c r="B39" t="s">
        <v>700</v>
      </c>
      <c r="C39" t="s">
        <v>636</v>
      </c>
      <c r="D39" t="s">
        <v>69</v>
      </c>
      <c r="E39" t="s">
        <v>58</v>
      </c>
    </row>
    <row r="40" spans="1:6" x14ac:dyDescent="0.2">
      <c r="A40">
        <v>3951</v>
      </c>
      <c r="B40" t="s">
        <v>701</v>
      </c>
      <c r="C40" t="s">
        <v>702</v>
      </c>
      <c r="D40" t="s">
        <v>69</v>
      </c>
      <c r="E40" t="s">
        <v>58</v>
      </c>
    </row>
    <row r="41" spans="1:6" x14ac:dyDescent="0.2">
      <c r="A41">
        <v>4093</v>
      </c>
      <c r="B41" t="s">
        <v>703</v>
      </c>
      <c r="C41" t="s">
        <v>704</v>
      </c>
      <c r="D41" t="s">
        <v>69</v>
      </c>
      <c r="E41" t="s">
        <v>58</v>
      </c>
    </row>
    <row r="42" spans="1:6" x14ac:dyDescent="0.2">
      <c r="A42">
        <v>4253</v>
      </c>
      <c r="B42" t="s">
        <v>705</v>
      </c>
      <c r="C42" t="s">
        <v>706</v>
      </c>
      <c r="D42" t="s">
        <v>707</v>
      </c>
      <c r="E42" t="s">
        <v>708</v>
      </c>
    </row>
    <row r="43" spans="1:6" x14ac:dyDescent="0.2">
      <c r="A43">
        <v>4458</v>
      </c>
      <c r="B43" t="s">
        <v>709</v>
      </c>
      <c r="C43" t="s">
        <v>710</v>
      </c>
      <c r="D43" t="s">
        <v>69</v>
      </c>
      <c r="E43" t="s">
        <v>58</v>
      </c>
    </row>
    <row r="44" spans="1:6" x14ac:dyDescent="0.2">
      <c r="A44">
        <v>4930</v>
      </c>
      <c r="B44" t="s">
        <v>711</v>
      </c>
      <c r="C44" t="s">
        <v>648</v>
      </c>
      <c r="D44" t="s">
        <v>69</v>
      </c>
      <c r="E44" t="s">
        <v>58</v>
      </c>
    </row>
    <row r="45" spans="1:6" x14ac:dyDescent="0.2">
      <c r="A45">
        <v>5528</v>
      </c>
      <c r="B45" t="s">
        <v>712</v>
      </c>
      <c r="C45" t="s">
        <v>713</v>
      </c>
      <c r="D45" t="s">
        <v>714</v>
      </c>
      <c r="E45" t="s">
        <v>715</v>
      </c>
      <c r="F45" t="s">
        <v>716</v>
      </c>
    </row>
    <row r="46" spans="1:6" x14ac:dyDescent="0.2">
      <c r="A46">
        <v>5590</v>
      </c>
      <c r="B46" t="s">
        <v>717</v>
      </c>
      <c r="C46" t="s">
        <v>648</v>
      </c>
      <c r="D46" t="s">
        <v>69</v>
      </c>
      <c r="E46" t="s">
        <v>58</v>
      </c>
    </row>
    <row r="47" spans="1:6" x14ac:dyDescent="0.2">
      <c r="A47">
        <v>6423</v>
      </c>
      <c r="B47" t="s">
        <v>718</v>
      </c>
      <c r="C47" t="s">
        <v>719</v>
      </c>
      <c r="D47" t="s">
        <v>69</v>
      </c>
      <c r="E47" t="s">
        <v>58</v>
      </c>
    </row>
    <row r="48" spans="1:6" x14ac:dyDescent="0.2">
      <c r="A48">
        <v>6868</v>
      </c>
      <c r="B48" t="s">
        <v>720</v>
      </c>
      <c r="C48" t="s">
        <v>721</v>
      </c>
      <c r="D48" t="s">
        <v>69</v>
      </c>
      <c r="E48" t="s">
        <v>58</v>
      </c>
    </row>
    <row r="49" spans="1:6" x14ac:dyDescent="0.2">
      <c r="A49">
        <v>6947</v>
      </c>
      <c r="B49" t="s">
        <v>722</v>
      </c>
      <c r="C49" t="s">
        <v>706</v>
      </c>
      <c r="D49" t="s">
        <v>707</v>
      </c>
      <c r="E49" t="s">
        <v>708</v>
      </c>
    </row>
    <row r="50" spans="1:6" x14ac:dyDescent="0.2">
      <c r="A50">
        <v>7030</v>
      </c>
      <c r="B50" t="s">
        <v>723</v>
      </c>
      <c r="C50" t="s">
        <v>724</v>
      </c>
      <c r="D50" t="s">
        <v>69</v>
      </c>
      <c r="E50" t="s">
        <v>58</v>
      </c>
    </row>
    <row r="51" spans="1:6" x14ac:dyDescent="0.2">
      <c r="A51">
        <v>7903</v>
      </c>
      <c r="B51" t="s">
        <v>725</v>
      </c>
      <c r="C51" t="s">
        <v>636</v>
      </c>
      <c r="D51" t="s">
        <v>69</v>
      </c>
      <c r="E51" t="s">
        <v>58</v>
      </c>
    </row>
    <row r="52" spans="1:6" x14ac:dyDescent="0.2">
      <c r="A52">
        <v>8503</v>
      </c>
      <c r="B52" t="s">
        <v>726</v>
      </c>
      <c r="C52" t="s">
        <v>727</v>
      </c>
      <c r="D52" t="s">
        <v>707</v>
      </c>
      <c r="E52" t="s">
        <v>708</v>
      </c>
    </row>
    <row r="53" spans="1:6" x14ac:dyDescent="0.2">
      <c r="A53">
        <v>9016</v>
      </c>
      <c r="B53" t="s">
        <v>728</v>
      </c>
      <c r="C53" t="s">
        <v>729</v>
      </c>
      <c r="D53" t="s">
        <v>69</v>
      </c>
      <c r="E53" t="s">
        <v>58</v>
      </c>
    </row>
    <row r="54" spans="1:6" x14ac:dyDescent="0.2">
      <c r="A54">
        <v>9767</v>
      </c>
      <c r="B54" t="s">
        <v>730</v>
      </c>
      <c r="C54" t="s">
        <v>731</v>
      </c>
      <c r="D54" t="s">
        <v>61</v>
      </c>
      <c r="E54" t="s">
        <v>58</v>
      </c>
      <c r="F54" t="s">
        <v>732</v>
      </c>
    </row>
    <row r="55" spans="1:6" x14ac:dyDescent="0.2">
      <c r="A55">
        <v>10223</v>
      </c>
      <c r="B55" t="s">
        <v>733</v>
      </c>
      <c r="C55" t="s">
        <v>636</v>
      </c>
      <c r="D55" t="s">
        <v>69</v>
      </c>
      <c r="E55" t="s">
        <v>58</v>
      </c>
    </row>
    <row r="56" spans="1:6" x14ac:dyDescent="0.2">
      <c r="A56">
        <v>10922</v>
      </c>
      <c r="B56" t="s">
        <v>734</v>
      </c>
      <c r="C56" t="s">
        <v>706</v>
      </c>
      <c r="D56" t="s">
        <v>707</v>
      </c>
      <c r="E56" t="s">
        <v>708</v>
      </c>
    </row>
  </sheetData>
  <autoFilter ref="A1:F51" xr:uid="{7D5C9C0E-3B07-5D49-A29D-544E3CDB49A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8CE5-8EAA-7342-ACB5-E8337D375685}">
  <dimension ref="A1:O100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J44" sqref="J44"/>
    </sheetView>
  </sheetViews>
  <sheetFormatPr baseColWidth="10" defaultRowHeight="15" x14ac:dyDescent="0.2"/>
  <cols>
    <col min="1" max="1" width="16" bestFit="1" customWidth="1"/>
  </cols>
  <sheetData>
    <row r="1" spans="1:15" ht="16" x14ac:dyDescent="0.2">
      <c r="A1" s="40" t="s">
        <v>79</v>
      </c>
      <c r="B1" s="40" t="s">
        <v>80</v>
      </c>
      <c r="C1" s="40" t="s">
        <v>81</v>
      </c>
      <c r="D1" s="40" t="s">
        <v>82</v>
      </c>
      <c r="E1" s="40" t="s">
        <v>83</v>
      </c>
      <c r="F1" s="40" t="s">
        <v>84</v>
      </c>
      <c r="G1" s="40" t="s">
        <v>85</v>
      </c>
      <c r="H1" s="40" t="s">
        <v>86</v>
      </c>
      <c r="I1" s="40" t="s">
        <v>87</v>
      </c>
      <c r="J1" s="40" t="s">
        <v>88</v>
      </c>
      <c r="K1" s="40" t="s">
        <v>89</v>
      </c>
      <c r="L1" s="40" t="s">
        <v>90</v>
      </c>
      <c r="M1" s="40" t="s">
        <v>91</v>
      </c>
      <c r="N1" s="40" t="s">
        <v>92</v>
      </c>
    </row>
    <row r="2" spans="1:15" x14ac:dyDescent="0.2">
      <c r="A2" t="s">
        <v>735</v>
      </c>
      <c r="B2" s="42">
        <v>46094</v>
      </c>
      <c r="C2" s="43">
        <v>0.36805555555555558</v>
      </c>
      <c r="D2" t="s">
        <v>93</v>
      </c>
      <c r="E2">
        <v>1</v>
      </c>
      <c r="F2">
        <v>1</v>
      </c>
      <c r="G2">
        <v>810</v>
      </c>
      <c r="H2">
        <v>564</v>
      </c>
      <c r="I2">
        <v>10922</v>
      </c>
      <c r="J2">
        <v>5528</v>
      </c>
      <c r="K2">
        <v>1405</v>
      </c>
      <c r="L2">
        <v>7030</v>
      </c>
      <c r="M2">
        <v>119</v>
      </c>
      <c r="N2">
        <v>173</v>
      </c>
      <c r="O2" s="42"/>
    </row>
    <row r="3" spans="1:15" x14ac:dyDescent="0.2">
      <c r="A3" t="s">
        <v>736</v>
      </c>
      <c r="B3" s="42">
        <v>46094</v>
      </c>
      <c r="C3" s="43">
        <v>0.37430555555555556</v>
      </c>
      <c r="D3" t="s">
        <v>93</v>
      </c>
      <c r="E3">
        <v>2</v>
      </c>
      <c r="F3">
        <v>1</v>
      </c>
      <c r="G3">
        <v>1559</v>
      </c>
      <c r="H3">
        <v>4253</v>
      </c>
      <c r="I3">
        <v>271</v>
      </c>
      <c r="J3">
        <v>1591</v>
      </c>
      <c r="K3">
        <v>432</v>
      </c>
      <c r="L3">
        <v>1468</v>
      </c>
      <c r="M3">
        <v>90</v>
      </c>
      <c r="N3">
        <v>77</v>
      </c>
    </row>
    <row r="4" spans="1:15" x14ac:dyDescent="0.2">
      <c r="A4" t="s">
        <v>737</v>
      </c>
      <c r="B4" s="42">
        <v>46094</v>
      </c>
      <c r="C4" s="43">
        <v>0.38055555555555554</v>
      </c>
      <c r="D4" t="s">
        <v>93</v>
      </c>
      <c r="E4">
        <v>3</v>
      </c>
      <c r="F4">
        <v>1</v>
      </c>
      <c r="G4">
        <v>3173</v>
      </c>
      <c r="H4">
        <v>7903</v>
      </c>
      <c r="I4">
        <v>3015</v>
      </c>
      <c r="J4">
        <v>10223</v>
      </c>
      <c r="K4">
        <v>191</v>
      </c>
      <c r="L4">
        <v>578</v>
      </c>
      <c r="M4">
        <v>218</v>
      </c>
      <c r="N4">
        <v>124</v>
      </c>
    </row>
    <row r="5" spans="1:15" x14ac:dyDescent="0.2">
      <c r="A5" t="s">
        <v>738</v>
      </c>
      <c r="B5" s="42">
        <v>46094</v>
      </c>
      <c r="C5" s="43">
        <v>0.38680555555555557</v>
      </c>
      <c r="D5" t="s">
        <v>93</v>
      </c>
      <c r="E5">
        <v>4</v>
      </c>
      <c r="F5">
        <v>1</v>
      </c>
      <c r="G5">
        <v>1518</v>
      </c>
      <c r="H5">
        <v>3799</v>
      </c>
      <c r="I5">
        <v>378</v>
      </c>
      <c r="J5">
        <v>1511</v>
      </c>
      <c r="K5">
        <v>3951</v>
      </c>
      <c r="L5">
        <v>4458</v>
      </c>
      <c r="M5">
        <v>71</v>
      </c>
      <c r="N5">
        <v>180</v>
      </c>
    </row>
    <row r="6" spans="1:15" x14ac:dyDescent="0.2">
      <c r="A6" t="s">
        <v>739</v>
      </c>
      <c r="B6" s="42">
        <v>46094</v>
      </c>
      <c r="C6" s="43">
        <v>0.39305555555555555</v>
      </c>
      <c r="D6" t="s">
        <v>93</v>
      </c>
      <c r="E6">
        <v>5</v>
      </c>
      <c r="F6">
        <v>1</v>
      </c>
      <c r="G6">
        <v>3181</v>
      </c>
      <c r="H6">
        <v>1126</v>
      </c>
      <c r="I6">
        <v>20</v>
      </c>
      <c r="J6">
        <v>5590</v>
      </c>
      <c r="K6">
        <v>6423</v>
      </c>
      <c r="L6">
        <v>325</v>
      </c>
      <c r="M6">
        <v>169</v>
      </c>
      <c r="N6">
        <v>39</v>
      </c>
    </row>
    <row r="7" spans="1:15" x14ac:dyDescent="0.2">
      <c r="A7" t="s">
        <v>740</v>
      </c>
      <c r="B7" s="42">
        <v>46094</v>
      </c>
      <c r="C7" s="43">
        <v>0.39930555555555558</v>
      </c>
      <c r="D7" t="s">
        <v>93</v>
      </c>
      <c r="E7">
        <v>6</v>
      </c>
      <c r="F7">
        <v>1</v>
      </c>
      <c r="G7">
        <v>3003</v>
      </c>
      <c r="H7">
        <v>4093</v>
      </c>
      <c r="I7">
        <v>9767</v>
      </c>
      <c r="J7">
        <v>1507</v>
      </c>
      <c r="K7">
        <v>144</v>
      </c>
      <c r="L7">
        <v>424</v>
      </c>
      <c r="M7">
        <v>40</v>
      </c>
      <c r="N7">
        <v>145</v>
      </c>
    </row>
    <row r="8" spans="1:15" x14ac:dyDescent="0.2">
      <c r="A8" t="s">
        <v>741</v>
      </c>
      <c r="B8" s="42">
        <v>46094</v>
      </c>
      <c r="C8" s="43">
        <v>0.40555555555555556</v>
      </c>
      <c r="D8" t="s">
        <v>93</v>
      </c>
      <c r="E8">
        <v>7</v>
      </c>
      <c r="F8">
        <v>1</v>
      </c>
      <c r="G8">
        <v>1781</v>
      </c>
      <c r="H8">
        <v>1450</v>
      </c>
      <c r="I8">
        <v>8503</v>
      </c>
      <c r="J8">
        <v>4930</v>
      </c>
      <c r="K8">
        <v>1056</v>
      </c>
      <c r="L8">
        <v>3044</v>
      </c>
      <c r="M8">
        <v>85</v>
      </c>
      <c r="N8">
        <v>137</v>
      </c>
    </row>
    <row r="9" spans="1:15" x14ac:dyDescent="0.2">
      <c r="A9" t="s">
        <v>742</v>
      </c>
      <c r="B9" s="42">
        <v>46094</v>
      </c>
      <c r="C9" s="43">
        <v>0.41180555555555554</v>
      </c>
      <c r="D9" t="s">
        <v>93</v>
      </c>
      <c r="E9">
        <v>8</v>
      </c>
      <c r="F9">
        <v>1</v>
      </c>
      <c r="G9">
        <v>340</v>
      </c>
      <c r="H9">
        <v>1787</v>
      </c>
      <c r="I9">
        <v>3838</v>
      </c>
      <c r="J9">
        <v>9016</v>
      </c>
      <c r="K9">
        <v>6947</v>
      </c>
      <c r="L9">
        <v>6868</v>
      </c>
      <c r="M9">
        <v>305</v>
      </c>
      <c r="N9">
        <v>27</v>
      </c>
    </row>
    <row r="10" spans="1:15" x14ac:dyDescent="0.2">
      <c r="A10" t="s">
        <v>743</v>
      </c>
      <c r="B10" s="42">
        <v>46094</v>
      </c>
      <c r="C10" s="43">
        <v>0.41805555555555557</v>
      </c>
      <c r="D10" t="s">
        <v>93</v>
      </c>
      <c r="E10">
        <v>9</v>
      </c>
      <c r="F10">
        <v>1</v>
      </c>
      <c r="G10">
        <v>1585</v>
      </c>
      <c r="H10">
        <v>353</v>
      </c>
      <c r="I10">
        <v>694</v>
      </c>
      <c r="J10">
        <v>2340</v>
      </c>
      <c r="K10">
        <v>639</v>
      </c>
      <c r="L10">
        <v>2228</v>
      </c>
      <c r="M10">
        <v>98</v>
      </c>
      <c r="N10">
        <v>157</v>
      </c>
    </row>
    <row r="11" spans="1:15" x14ac:dyDescent="0.2">
      <c r="A11" t="s">
        <v>744</v>
      </c>
      <c r="B11" s="42">
        <v>46094</v>
      </c>
      <c r="C11" s="43">
        <v>0.42430555555555555</v>
      </c>
      <c r="D11" t="s">
        <v>93</v>
      </c>
      <c r="E11">
        <v>10</v>
      </c>
      <c r="F11">
        <v>1</v>
      </c>
      <c r="G11">
        <v>271</v>
      </c>
      <c r="H11">
        <v>1405</v>
      </c>
      <c r="I11">
        <v>4458</v>
      </c>
      <c r="J11">
        <v>48</v>
      </c>
      <c r="K11">
        <v>7030</v>
      </c>
      <c r="L11">
        <v>7903</v>
      </c>
      <c r="M11">
        <v>178</v>
      </c>
      <c r="N11">
        <v>33</v>
      </c>
    </row>
    <row r="12" spans="1:15" x14ac:dyDescent="0.2">
      <c r="A12" t="s">
        <v>745</v>
      </c>
      <c r="B12" s="42">
        <v>46094</v>
      </c>
      <c r="C12" s="43">
        <v>0.43055555555555558</v>
      </c>
      <c r="D12" t="s">
        <v>93</v>
      </c>
      <c r="E12">
        <v>11</v>
      </c>
      <c r="F12">
        <v>1</v>
      </c>
      <c r="G12">
        <v>20</v>
      </c>
      <c r="H12">
        <v>10922</v>
      </c>
      <c r="I12">
        <v>1468</v>
      </c>
      <c r="J12">
        <v>3173</v>
      </c>
      <c r="K12">
        <v>578</v>
      </c>
      <c r="L12">
        <v>432</v>
      </c>
      <c r="M12">
        <v>95</v>
      </c>
      <c r="N12">
        <v>104</v>
      </c>
    </row>
    <row r="13" spans="1:15" x14ac:dyDescent="0.2">
      <c r="A13" t="s">
        <v>746</v>
      </c>
      <c r="B13" s="42">
        <v>46094</v>
      </c>
      <c r="C13" s="43">
        <v>0.43611111111111112</v>
      </c>
      <c r="D13" t="s">
        <v>93</v>
      </c>
      <c r="E13">
        <v>12</v>
      </c>
      <c r="F13">
        <v>1</v>
      </c>
      <c r="G13">
        <v>564</v>
      </c>
      <c r="H13">
        <v>4093</v>
      </c>
      <c r="I13">
        <v>1518</v>
      </c>
      <c r="J13">
        <v>9767</v>
      </c>
      <c r="K13">
        <v>6423</v>
      </c>
      <c r="L13">
        <v>1126</v>
      </c>
      <c r="M13">
        <v>40</v>
      </c>
      <c r="N13">
        <v>46</v>
      </c>
    </row>
    <row r="14" spans="1:15" x14ac:dyDescent="0.2">
      <c r="A14" t="s">
        <v>747</v>
      </c>
      <c r="B14" s="42">
        <v>46094</v>
      </c>
      <c r="C14" s="43">
        <v>0.44166666666666665</v>
      </c>
      <c r="D14" t="s">
        <v>93</v>
      </c>
      <c r="E14">
        <v>13</v>
      </c>
      <c r="F14">
        <v>1</v>
      </c>
      <c r="G14">
        <v>1056</v>
      </c>
      <c r="H14">
        <v>10223</v>
      </c>
      <c r="I14">
        <v>3181</v>
      </c>
      <c r="J14">
        <v>3799</v>
      </c>
      <c r="K14">
        <v>3003</v>
      </c>
      <c r="L14">
        <v>4253</v>
      </c>
      <c r="M14">
        <v>189</v>
      </c>
      <c r="N14">
        <v>101</v>
      </c>
    </row>
    <row r="15" spans="1:15" x14ac:dyDescent="0.2">
      <c r="A15" t="s">
        <v>748</v>
      </c>
      <c r="B15" s="42">
        <v>46094</v>
      </c>
      <c r="C15" s="43">
        <v>0.44722222222222224</v>
      </c>
      <c r="D15" t="s">
        <v>93</v>
      </c>
      <c r="E15">
        <v>14</v>
      </c>
      <c r="F15">
        <v>1</v>
      </c>
      <c r="G15">
        <v>810</v>
      </c>
      <c r="H15">
        <v>144</v>
      </c>
      <c r="I15">
        <v>5590</v>
      </c>
      <c r="J15">
        <v>3838</v>
      </c>
      <c r="K15">
        <v>3951</v>
      </c>
      <c r="L15">
        <v>8503</v>
      </c>
      <c r="M15">
        <v>33</v>
      </c>
      <c r="N15">
        <v>135</v>
      </c>
    </row>
    <row r="16" spans="1:15" x14ac:dyDescent="0.2">
      <c r="A16" t="s">
        <v>749</v>
      </c>
      <c r="B16" s="42">
        <v>46094</v>
      </c>
      <c r="C16" s="43">
        <v>0.45277777777777778</v>
      </c>
      <c r="D16" t="s">
        <v>93</v>
      </c>
      <c r="E16">
        <v>15</v>
      </c>
      <c r="F16">
        <v>1</v>
      </c>
      <c r="G16">
        <v>639</v>
      </c>
      <c r="H16">
        <v>5528</v>
      </c>
      <c r="I16">
        <v>1591</v>
      </c>
      <c r="J16">
        <v>1450</v>
      </c>
      <c r="K16">
        <v>3015</v>
      </c>
      <c r="L16">
        <v>9016</v>
      </c>
      <c r="M16">
        <v>192</v>
      </c>
      <c r="N16">
        <v>265</v>
      </c>
    </row>
    <row r="17" spans="1:14" x14ac:dyDescent="0.2">
      <c r="A17" t="s">
        <v>750</v>
      </c>
      <c r="B17" s="42">
        <v>46094</v>
      </c>
      <c r="C17" s="43">
        <v>0.45833333333333331</v>
      </c>
      <c r="D17" t="s">
        <v>93</v>
      </c>
      <c r="E17">
        <v>16</v>
      </c>
      <c r="F17">
        <v>1</v>
      </c>
      <c r="G17">
        <v>353</v>
      </c>
      <c r="H17">
        <v>4930</v>
      </c>
      <c r="I17">
        <v>48</v>
      </c>
      <c r="J17">
        <v>378</v>
      </c>
      <c r="K17">
        <v>1585</v>
      </c>
      <c r="L17">
        <v>6947</v>
      </c>
      <c r="M17">
        <v>111</v>
      </c>
      <c r="N17">
        <v>54</v>
      </c>
    </row>
    <row r="18" spans="1:14" x14ac:dyDescent="0.2">
      <c r="A18" t="s">
        <v>751</v>
      </c>
      <c r="B18" s="42">
        <v>46094</v>
      </c>
      <c r="C18" s="43">
        <v>0.46388888888888891</v>
      </c>
      <c r="D18" t="s">
        <v>93</v>
      </c>
      <c r="E18">
        <v>17</v>
      </c>
      <c r="F18">
        <v>1</v>
      </c>
      <c r="G18">
        <v>1781</v>
      </c>
      <c r="H18">
        <v>1507</v>
      </c>
      <c r="I18">
        <v>2340</v>
      </c>
      <c r="J18">
        <v>424</v>
      </c>
      <c r="K18">
        <v>2228</v>
      </c>
      <c r="L18">
        <v>1787</v>
      </c>
      <c r="M18">
        <v>219</v>
      </c>
      <c r="N18">
        <v>278</v>
      </c>
    </row>
    <row r="19" spans="1:14" x14ac:dyDescent="0.2">
      <c r="A19" t="s">
        <v>752</v>
      </c>
      <c r="B19" s="42">
        <v>46094</v>
      </c>
      <c r="C19" s="43">
        <v>0.46944444444444444</v>
      </c>
      <c r="D19" t="s">
        <v>93</v>
      </c>
      <c r="E19">
        <v>18</v>
      </c>
      <c r="F19">
        <v>1</v>
      </c>
      <c r="G19">
        <v>191</v>
      </c>
      <c r="H19">
        <v>340</v>
      </c>
      <c r="I19">
        <v>3044</v>
      </c>
      <c r="J19">
        <v>325</v>
      </c>
      <c r="K19">
        <v>694</v>
      </c>
      <c r="L19">
        <v>1559</v>
      </c>
      <c r="M19">
        <v>226</v>
      </c>
      <c r="N19">
        <v>188</v>
      </c>
    </row>
    <row r="20" spans="1:14" x14ac:dyDescent="0.2">
      <c r="A20" t="s">
        <v>753</v>
      </c>
      <c r="B20" s="42">
        <v>46094</v>
      </c>
      <c r="C20" s="43">
        <v>0.47499999999999998</v>
      </c>
      <c r="D20" t="s">
        <v>93</v>
      </c>
      <c r="E20">
        <v>19</v>
      </c>
      <c r="F20">
        <v>1</v>
      </c>
      <c r="G20">
        <v>1511</v>
      </c>
      <c r="H20">
        <v>1126</v>
      </c>
      <c r="I20">
        <v>1405</v>
      </c>
      <c r="J20">
        <v>4253</v>
      </c>
      <c r="K20">
        <v>3173</v>
      </c>
      <c r="L20">
        <v>6868</v>
      </c>
      <c r="M20">
        <v>215</v>
      </c>
      <c r="N20">
        <v>123</v>
      </c>
    </row>
    <row r="21" spans="1:14" x14ac:dyDescent="0.2">
      <c r="A21" t="s">
        <v>754</v>
      </c>
      <c r="B21" s="42">
        <v>46094</v>
      </c>
      <c r="C21" s="43">
        <v>0.48055555555555557</v>
      </c>
      <c r="D21" t="s">
        <v>93</v>
      </c>
      <c r="E21">
        <v>20</v>
      </c>
      <c r="F21">
        <v>1</v>
      </c>
      <c r="G21">
        <v>9767</v>
      </c>
      <c r="H21">
        <v>10922</v>
      </c>
      <c r="I21">
        <v>3838</v>
      </c>
      <c r="J21">
        <v>7903</v>
      </c>
      <c r="K21">
        <v>3003</v>
      </c>
      <c r="L21">
        <v>3181</v>
      </c>
      <c r="M21">
        <v>148</v>
      </c>
      <c r="N21">
        <v>100</v>
      </c>
    </row>
    <row r="22" spans="1:14" x14ac:dyDescent="0.2">
      <c r="A22" t="s">
        <v>755</v>
      </c>
      <c r="B22" s="42">
        <v>46094</v>
      </c>
      <c r="C22" s="43">
        <v>0.4861111111111111</v>
      </c>
      <c r="D22" t="s">
        <v>93</v>
      </c>
      <c r="E22">
        <v>21</v>
      </c>
      <c r="F22">
        <v>1</v>
      </c>
      <c r="G22">
        <v>7030</v>
      </c>
      <c r="H22">
        <v>20</v>
      </c>
      <c r="I22">
        <v>3015</v>
      </c>
      <c r="J22">
        <v>9016</v>
      </c>
      <c r="K22">
        <v>144</v>
      </c>
      <c r="L22">
        <v>3799</v>
      </c>
      <c r="M22">
        <v>100</v>
      </c>
      <c r="N22">
        <v>74</v>
      </c>
    </row>
    <row r="23" spans="1:14" x14ac:dyDescent="0.2">
      <c r="A23" t="s">
        <v>756</v>
      </c>
      <c r="B23" s="42">
        <v>46094</v>
      </c>
      <c r="C23" s="43">
        <v>0.49166666666666664</v>
      </c>
      <c r="D23" t="s">
        <v>93</v>
      </c>
      <c r="E23">
        <v>22</v>
      </c>
      <c r="F23">
        <v>1</v>
      </c>
      <c r="G23">
        <v>3951</v>
      </c>
      <c r="H23">
        <v>1450</v>
      </c>
      <c r="I23">
        <v>6947</v>
      </c>
      <c r="J23">
        <v>1585</v>
      </c>
      <c r="K23">
        <v>432</v>
      </c>
      <c r="L23">
        <v>564</v>
      </c>
      <c r="M23">
        <v>99</v>
      </c>
      <c r="N23">
        <v>42</v>
      </c>
    </row>
    <row r="24" spans="1:14" x14ac:dyDescent="0.2">
      <c r="A24" t="s">
        <v>757</v>
      </c>
      <c r="B24" s="42">
        <v>46094</v>
      </c>
      <c r="C24" s="43">
        <v>0.49722222222222223</v>
      </c>
      <c r="D24" t="s">
        <v>93</v>
      </c>
      <c r="E24">
        <v>23</v>
      </c>
      <c r="F24">
        <v>1</v>
      </c>
      <c r="G24">
        <v>1787</v>
      </c>
      <c r="H24">
        <v>378</v>
      </c>
      <c r="I24">
        <v>1056</v>
      </c>
      <c r="J24">
        <v>4093</v>
      </c>
      <c r="K24">
        <v>2228</v>
      </c>
      <c r="L24">
        <v>578</v>
      </c>
      <c r="M24">
        <v>125</v>
      </c>
      <c r="N24">
        <v>18</v>
      </c>
    </row>
    <row r="25" spans="1:14" x14ac:dyDescent="0.2">
      <c r="A25" t="s">
        <v>758</v>
      </c>
      <c r="B25" s="42">
        <v>46094</v>
      </c>
      <c r="C25" s="43">
        <v>0.54166666666666663</v>
      </c>
      <c r="D25" t="s">
        <v>93</v>
      </c>
      <c r="E25">
        <v>24</v>
      </c>
      <c r="F25">
        <v>1</v>
      </c>
      <c r="G25">
        <v>639</v>
      </c>
      <c r="H25">
        <v>325</v>
      </c>
      <c r="I25">
        <v>1518</v>
      </c>
      <c r="J25">
        <v>48</v>
      </c>
      <c r="K25">
        <v>1781</v>
      </c>
      <c r="L25">
        <v>810</v>
      </c>
      <c r="M25">
        <v>58</v>
      </c>
      <c r="N25">
        <v>112</v>
      </c>
    </row>
    <row r="26" spans="1:14" x14ac:dyDescent="0.2">
      <c r="A26" t="s">
        <v>759</v>
      </c>
      <c r="B26" s="42">
        <v>46094</v>
      </c>
      <c r="C26" s="43">
        <v>0.54722222222222228</v>
      </c>
      <c r="D26" t="s">
        <v>93</v>
      </c>
      <c r="E26">
        <v>25</v>
      </c>
      <c r="F26">
        <v>1</v>
      </c>
      <c r="G26">
        <v>1559</v>
      </c>
      <c r="H26">
        <v>1507</v>
      </c>
      <c r="I26">
        <v>4930</v>
      </c>
      <c r="J26">
        <v>2340</v>
      </c>
      <c r="K26">
        <v>5590</v>
      </c>
      <c r="L26">
        <v>191</v>
      </c>
      <c r="M26">
        <v>198</v>
      </c>
      <c r="N26">
        <v>118</v>
      </c>
    </row>
    <row r="27" spans="1:14" x14ac:dyDescent="0.2">
      <c r="A27" t="s">
        <v>760</v>
      </c>
      <c r="B27" s="42">
        <v>46094</v>
      </c>
      <c r="C27" s="43">
        <v>0.55277777777777781</v>
      </c>
      <c r="D27" t="s">
        <v>93</v>
      </c>
      <c r="E27">
        <v>26</v>
      </c>
      <c r="F27">
        <v>1</v>
      </c>
      <c r="G27">
        <v>6868</v>
      </c>
      <c r="H27">
        <v>8503</v>
      </c>
      <c r="I27">
        <v>424</v>
      </c>
      <c r="J27">
        <v>694</v>
      </c>
      <c r="K27">
        <v>271</v>
      </c>
      <c r="L27">
        <v>1591</v>
      </c>
      <c r="M27">
        <v>225</v>
      </c>
      <c r="N27">
        <v>126</v>
      </c>
    </row>
    <row r="28" spans="1:14" x14ac:dyDescent="0.2">
      <c r="A28" t="s">
        <v>761</v>
      </c>
      <c r="B28" s="42">
        <v>46094</v>
      </c>
      <c r="C28" s="43">
        <v>0.55833333333333335</v>
      </c>
      <c r="D28" t="s">
        <v>93</v>
      </c>
      <c r="E28">
        <v>27</v>
      </c>
      <c r="F28">
        <v>1</v>
      </c>
      <c r="G28">
        <v>4458</v>
      </c>
      <c r="H28">
        <v>3044</v>
      </c>
      <c r="I28">
        <v>10223</v>
      </c>
      <c r="J28">
        <v>353</v>
      </c>
      <c r="K28">
        <v>1511</v>
      </c>
      <c r="L28">
        <v>340</v>
      </c>
      <c r="M28">
        <v>35</v>
      </c>
      <c r="N28">
        <v>105</v>
      </c>
    </row>
    <row r="29" spans="1:14" x14ac:dyDescent="0.2">
      <c r="A29" t="s">
        <v>762</v>
      </c>
      <c r="B29" s="42">
        <v>46094</v>
      </c>
      <c r="C29" s="43">
        <v>0.56388888888888888</v>
      </c>
      <c r="D29" t="s">
        <v>93</v>
      </c>
      <c r="E29">
        <v>28</v>
      </c>
      <c r="F29">
        <v>1</v>
      </c>
      <c r="G29">
        <v>5528</v>
      </c>
      <c r="H29">
        <v>1468</v>
      </c>
      <c r="I29">
        <v>144</v>
      </c>
      <c r="J29">
        <v>7903</v>
      </c>
      <c r="K29">
        <v>6947</v>
      </c>
      <c r="L29">
        <v>6423</v>
      </c>
      <c r="M29">
        <v>184</v>
      </c>
      <c r="N29">
        <v>31</v>
      </c>
    </row>
    <row r="30" spans="1:14" x14ac:dyDescent="0.2">
      <c r="A30" t="s">
        <v>763</v>
      </c>
      <c r="B30" s="42">
        <v>46094</v>
      </c>
      <c r="C30" s="43">
        <v>0.56944444444444442</v>
      </c>
      <c r="D30" t="s">
        <v>93</v>
      </c>
      <c r="E30">
        <v>29</v>
      </c>
      <c r="F30">
        <v>1</v>
      </c>
      <c r="G30">
        <v>3951</v>
      </c>
      <c r="H30">
        <v>3015</v>
      </c>
      <c r="I30">
        <v>2228</v>
      </c>
      <c r="J30">
        <v>20</v>
      </c>
      <c r="K30">
        <v>1405</v>
      </c>
      <c r="L30">
        <v>4093</v>
      </c>
      <c r="M30">
        <v>217</v>
      </c>
      <c r="N30">
        <v>204</v>
      </c>
    </row>
    <row r="31" spans="1:14" x14ac:dyDescent="0.2">
      <c r="A31" t="s">
        <v>764</v>
      </c>
      <c r="B31" s="42">
        <v>46094</v>
      </c>
      <c r="C31" s="43">
        <v>0.57499999999999996</v>
      </c>
      <c r="D31" t="s">
        <v>93</v>
      </c>
      <c r="E31">
        <v>30</v>
      </c>
      <c r="F31">
        <v>1</v>
      </c>
      <c r="G31">
        <v>1450</v>
      </c>
      <c r="H31">
        <v>578</v>
      </c>
      <c r="I31">
        <v>3003</v>
      </c>
      <c r="J31">
        <v>1126</v>
      </c>
      <c r="K31">
        <v>7030</v>
      </c>
      <c r="L31">
        <v>1781</v>
      </c>
      <c r="M31">
        <v>20</v>
      </c>
      <c r="N31">
        <v>81</v>
      </c>
    </row>
    <row r="32" spans="1:14" x14ac:dyDescent="0.2">
      <c r="A32" t="s">
        <v>765</v>
      </c>
      <c r="B32" s="42">
        <v>46094</v>
      </c>
      <c r="C32" s="43">
        <v>0.5805555555555556</v>
      </c>
      <c r="D32" t="s">
        <v>93</v>
      </c>
      <c r="E32">
        <v>31</v>
      </c>
      <c r="F32">
        <v>1</v>
      </c>
      <c r="G32">
        <v>1559</v>
      </c>
      <c r="H32">
        <v>639</v>
      </c>
      <c r="I32">
        <v>191</v>
      </c>
      <c r="J32">
        <v>9767</v>
      </c>
      <c r="K32">
        <v>1787</v>
      </c>
      <c r="L32">
        <v>564</v>
      </c>
      <c r="M32">
        <v>61</v>
      </c>
      <c r="N32">
        <v>133</v>
      </c>
    </row>
    <row r="33" spans="1:14" x14ac:dyDescent="0.2">
      <c r="A33" t="s">
        <v>766</v>
      </c>
      <c r="B33" s="42">
        <v>46094</v>
      </c>
      <c r="C33" s="43">
        <v>0.58611111111111114</v>
      </c>
      <c r="D33" t="s">
        <v>93</v>
      </c>
      <c r="E33">
        <v>32</v>
      </c>
      <c r="F33">
        <v>1</v>
      </c>
      <c r="G33">
        <v>271</v>
      </c>
      <c r="H33">
        <v>5590</v>
      </c>
      <c r="I33">
        <v>10922</v>
      </c>
      <c r="J33">
        <v>1518</v>
      </c>
      <c r="K33">
        <v>4253</v>
      </c>
      <c r="L33">
        <v>1585</v>
      </c>
      <c r="M33">
        <v>95</v>
      </c>
      <c r="N33">
        <v>111</v>
      </c>
    </row>
    <row r="34" spans="1:14" x14ac:dyDescent="0.2">
      <c r="A34" t="s">
        <v>767</v>
      </c>
      <c r="B34" s="42">
        <v>46094</v>
      </c>
      <c r="C34" s="43">
        <v>0.59166666666666667</v>
      </c>
      <c r="D34" t="s">
        <v>93</v>
      </c>
      <c r="E34">
        <v>33</v>
      </c>
      <c r="F34">
        <v>1</v>
      </c>
      <c r="G34">
        <v>3044</v>
      </c>
      <c r="H34">
        <v>424</v>
      </c>
      <c r="I34">
        <v>1511</v>
      </c>
      <c r="J34">
        <v>3181</v>
      </c>
      <c r="K34">
        <v>3838</v>
      </c>
      <c r="L34">
        <v>810</v>
      </c>
      <c r="M34">
        <v>274</v>
      </c>
      <c r="N34">
        <v>152</v>
      </c>
    </row>
    <row r="35" spans="1:14" x14ac:dyDescent="0.2">
      <c r="A35" t="s">
        <v>768</v>
      </c>
      <c r="B35" s="42">
        <v>46094</v>
      </c>
      <c r="C35" s="43">
        <v>0.59722222222222221</v>
      </c>
      <c r="D35" t="s">
        <v>93</v>
      </c>
      <c r="E35">
        <v>34</v>
      </c>
      <c r="F35">
        <v>1</v>
      </c>
      <c r="G35">
        <v>2340</v>
      </c>
      <c r="H35">
        <v>10223</v>
      </c>
      <c r="I35">
        <v>9016</v>
      </c>
      <c r="J35">
        <v>1468</v>
      </c>
      <c r="K35">
        <v>4458</v>
      </c>
      <c r="L35">
        <v>8503</v>
      </c>
      <c r="M35">
        <v>126</v>
      </c>
      <c r="N35">
        <v>122</v>
      </c>
    </row>
    <row r="36" spans="1:14" x14ac:dyDescent="0.2">
      <c r="A36" t="s">
        <v>769</v>
      </c>
      <c r="B36" s="42">
        <v>46094</v>
      </c>
      <c r="C36" s="43">
        <v>0.60277777777777775</v>
      </c>
      <c r="D36" t="s">
        <v>93</v>
      </c>
      <c r="E36">
        <v>35</v>
      </c>
      <c r="F36">
        <v>1</v>
      </c>
      <c r="G36">
        <v>48</v>
      </c>
      <c r="H36">
        <v>378</v>
      </c>
      <c r="I36">
        <v>1591</v>
      </c>
      <c r="J36">
        <v>694</v>
      </c>
      <c r="K36">
        <v>6423</v>
      </c>
      <c r="L36">
        <v>1056</v>
      </c>
      <c r="M36">
        <v>206</v>
      </c>
      <c r="N36">
        <v>256</v>
      </c>
    </row>
    <row r="37" spans="1:14" x14ac:dyDescent="0.2">
      <c r="A37" t="s">
        <v>770</v>
      </c>
      <c r="B37" s="42">
        <v>46094</v>
      </c>
      <c r="C37" s="43">
        <v>0.60833333333333328</v>
      </c>
      <c r="D37" t="s">
        <v>93</v>
      </c>
      <c r="E37">
        <v>36</v>
      </c>
      <c r="F37">
        <v>1</v>
      </c>
      <c r="G37">
        <v>1507</v>
      </c>
      <c r="H37">
        <v>353</v>
      </c>
      <c r="I37">
        <v>5528</v>
      </c>
      <c r="J37">
        <v>340</v>
      </c>
      <c r="K37">
        <v>3173</v>
      </c>
      <c r="L37">
        <v>3799</v>
      </c>
      <c r="M37">
        <v>191</v>
      </c>
      <c r="N37">
        <v>170</v>
      </c>
    </row>
    <row r="38" spans="1:14" x14ac:dyDescent="0.2">
      <c r="A38" t="s">
        <v>771</v>
      </c>
      <c r="B38" s="42">
        <v>46094</v>
      </c>
      <c r="C38" s="43">
        <v>0.61388888888888893</v>
      </c>
      <c r="D38" t="s">
        <v>93</v>
      </c>
      <c r="E38">
        <v>37</v>
      </c>
      <c r="F38">
        <v>1</v>
      </c>
      <c r="G38">
        <v>432</v>
      </c>
      <c r="H38">
        <v>7030</v>
      </c>
      <c r="I38">
        <v>325</v>
      </c>
      <c r="J38">
        <v>6868</v>
      </c>
      <c r="K38">
        <v>4930</v>
      </c>
      <c r="L38">
        <v>4093</v>
      </c>
      <c r="M38">
        <v>54</v>
      </c>
      <c r="N38">
        <v>50</v>
      </c>
    </row>
    <row r="39" spans="1:14" x14ac:dyDescent="0.2">
      <c r="A39" t="s">
        <v>772</v>
      </c>
      <c r="B39" s="42">
        <v>46094</v>
      </c>
      <c r="C39" s="43">
        <v>0.61944444444444446</v>
      </c>
      <c r="D39" t="s">
        <v>93</v>
      </c>
      <c r="E39">
        <v>38</v>
      </c>
      <c r="F39">
        <v>1</v>
      </c>
      <c r="G39">
        <v>10922</v>
      </c>
      <c r="H39">
        <v>3951</v>
      </c>
      <c r="I39">
        <v>1585</v>
      </c>
      <c r="J39">
        <v>3015</v>
      </c>
      <c r="K39">
        <v>1559</v>
      </c>
      <c r="L39">
        <v>1787</v>
      </c>
      <c r="M39">
        <v>69</v>
      </c>
      <c r="N39">
        <v>386</v>
      </c>
    </row>
    <row r="40" spans="1:14" x14ac:dyDescent="0.2">
      <c r="A40" t="s">
        <v>773</v>
      </c>
      <c r="B40" s="42">
        <v>46094</v>
      </c>
      <c r="C40" s="43">
        <v>0.625</v>
      </c>
      <c r="D40" t="s">
        <v>93</v>
      </c>
      <c r="E40">
        <v>39</v>
      </c>
      <c r="F40">
        <v>1</v>
      </c>
      <c r="G40">
        <v>191</v>
      </c>
      <c r="H40">
        <v>1511</v>
      </c>
      <c r="I40">
        <v>271</v>
      </c>
      <c r="J40">
        <v>578</v>
      </c>
      <c r="K40">
        <v>1781</v>
      </c>
      <c r="L40">
        <v>144</v>
      </c>
      <c r="M40">
        <v>67</v>
      </c>
      <c r="N40">
        <v>53</v>
      </c>
    </row>
    <row r="41" spans="1:14" x14ac:dyDescent="0.2">
      <c r="A41" t="s">
        <v>774</v>
      </c>
      <c r="B41" s="42">
        <v>46094</v>
      </c>
      <c r="C41" s="43">
        <v>0.63055555555555554</v>
      </c>
      <c r="D41" t="s">
        <v>93</v>
      </c>
      <c r="E41">
        <v>40</v>
      </c>
      <c r="F41">
        <v>1</v>
      </c>
      <c r="G41">
        <v>3003</v>
      </c>
      <c r="H41">
        <v>20</v>
      </c>
      <c r="I41">
        <v>9016</v>
      </c>
      <c r="J41">
        <v>4253</v>
      </c>
      <c r="K41">
        <v>3044</v>
      </c>
      <c r="L41">
        <v>2340</v>
      </c>
      <c r="M41">
        <v>44</v>
      </c>
      <c r="N41">
        <v>178</v>
      </c>
    </row>
    <row r="42" spans="1:14" x14ac:dyDescent="0.2">
      <c r="A42" t="s">
        <v>775</v>
      </c>
      <c r="B42" s="42">
        <v>46094</v>
      </c>
      <c r="C42" s="43">
        <v>0.63611111111111107</v>
      </c>
      <c r="D42" t="s">
        <v>93</v>
      </c>
      <c r="E42">
        <v>41</v>
      </c>
      <c r="F42">
        <v>1</v>
      </c>
      <c r="G42">
        <v>3838</v>
      </c>
      <c r="H42">
        <v>1468</v>
      </c>
      <c r="I42">
        <v>5590</v>
      </c>
      <c r="J42">
        <v>2228</v>
      </c>
      <c r="K42">
        <v>9767</v>
      </c>
      <c r="L42">
        <v>48</v>
      </c>
      <c r="M42">
        <v>82</v>
      </c>
      <c r="N42">
        <v>147</v>
      </c>
    </row>
    <row r="43" spans="1:14" x14ac:dyDescent="0.2">
      <c r="A43" t="s">
        <v>776</v>
      </c>
      <c r="B43" s="42">
        <v>46094</v>
      </c>
      <c r="C43" s="43">
        <v>0.64166666666666672</v>
      </c>
      <c r="D43" t="s">
        <v>93</v>
      </c>
      <c r="E43">
        <v>42</v>
      </c>
      <c r="F43">
        <v>1</v>
      </c>
      <c r="G43">
        <v>1450</v>
      </c>
      <c r="H43">
        <v>564</v>
      </c>
      <c r="I43">
        <v>1056</v>
      </c>
      <c r="J43">
        <v>424</v>
      </c>
      <c r="K43">
        <v>340</v>
      </c>
      <c r="L43">
        <v>4458</v>
      </c>
      <c r="M43">
        <v>82</v>
      </c>
      <c r="N43">
        <v>362</v>
      </c>
    </row>
    <row r="44" spans="1:14" x14ac:dyDescent="0.2">
      <c r="A44" t="s">
        <v>777</v>
      </c>
      <c r="B44" s="42">
        <v>46094</v>
      </c>
      <c r="C44" s="43">
        <v>0.64722222222222225</v>
      </c>
      <c r="D44" t="s">
        <v>93</v>
      </c>
      <c r="E44">
        <v>43</v>
      </c>
      <c r="F44">
        <v>1</v>
      </c>
      <c r="G44">
        <v>6868</v>
      </c>
      <c r="H44">
        <v>5528</v>
      </c>
      <c r="I44">
        <v>432</v>
      </c>
      <c r="J44">
        <v>378</v>
      </c>
      <c r="K44">
        <v>1507</v>
      </c>
      <c r="L44">
        <v>10223</v>
      </c>
      <c r="M44">
        <v>186</v>
      </c>
      <c r="N44">
        <v>159</v>
      </c>
    </row>
    <row r="45" spans="1:14" x14ac:dyDescent="0.2">
      <c r="A45" t="s">
        <v>778</v>
      </c>
      <c r="B45" s="42">
        <v>46094</v>
      </c>
      <c r="C45" s="43">
        <v>0.65277777777777779</v>
      </c>
      <c r="D45" t="s">
        <v>93</v>
      </c>
      <c r="E45">
        <v>44</v>
      </c>
      <c r="F45">
        <v>1</v>
      </c>
      <c r="G45">
        <v>1518</v>
      </c>
      <c r="H45">
        <v>6947</v>
      </c>
      <c r="I45">
        <v>694</v>
      </c>
      <c r="J45">
        <v>3173</v>
      </c>
      <c r="K45">
        <v>3181</v>
      </c>
      <c r="L45">
        <v>325</v>
      </c>
      <c r="M45">
        <v>244</v>
      </c>
      <c r="N45">
        <v>194</v>
      </c>
    </row>
    <row r="46" spans="1:14" x14ac:dyDescent="0.2">
      <c r="A46" t="s">
        <v>779</v>
      </c>
      <c r="B46" s="42">
        <v>46094</v>
      </c>
      <c r="C46" s="43">
        <v>0.65833333333333333</v>
      </c>
      <c r="D46" t="s">
        <v>93</v>
      </c>
      <c r="E46">
        <v>45</v>
      </c>
      <c r="F46">
        <v>1</v>
      </c>
      <c r="G46">
        <v>1126</v>
      </c>
      <c r="H46">
        <v>3799</v>
      </c>
      <c r="I46">
        <v>810</v>
      </c>
      <c r="J46">
        <v>4930</v>
      </c>
      <c r="K46">
        <v>1591</v>
      </c>
      <c r="L46">
        <v>7903</v>
      </c>
      <c r="M46">
        <v>188</v>
      </c>
      <c r="N46">
        <v>100</v>
      </c>
    </row>
    <row r="47" spans="1:14" x14ac:dyDescent="0.2">
      <c r="A47" t="s">
        <v>780</v>
      </c>
      <c r="B47" s="42">
        <v>46094</v>
      </c>
      <c r="C47" s="43">
        <v>0.66388888888888886</v>
      </c>
      <c r="D47" t="s">
        <v>93</v>
      </c>
      <c r="E47">
        <v>46</v>
      </c>
      <c r="F47">
        <v>1</v>
      </c>
      <c r="G47">
        <v>1405</v>
      </c>
      <c r="H47">
        <v>8503</v>
      </c>
      <c r="I47">
        <v>6423</v>
      </c>
      <c r="J47">
        <v>639</v>
      </c>
      <c r="K47">
        <v>353</v>
      </c>
      <c r="L47">
        <v>3003</v>
      </c>
      <c r="M47">
        <v>75</v>
      </c>
      <c r="N47">
        <v>27</v>
      </c>
    </row>
    <row r="48" spans="1:14" x14ac:dyDescent="0.2">
      <c r="A48" t="s">
        <v>781</v>
      </c>
      <c r="B48" s="42">
        <v>46094</v>
      </c>
      <c r="C48" s="43">
        <v>0.6694444444444444</v>
      </c>
      <c r="D48" t="s">
        <v>93</v>
      </c>
      <c r="E48">
        <v>47</v>
      </c>
      <c r="F48">
        <v>1</v>
      </c>
      <c r="G48">
        <v>4253</v>
      </c>
      <c r="H48">
        <v>4093</v>
      </c>
      <c r="I48">
        <v>7030</v>
      </c>
      <c r="J48">
        <v>191</v>
      </c>
      <c r="K48">
        <v>1585</v>
      </c>
      <c r="L48">
        <v>3838</v>
      </c>
      <c r="M48">
        <v>42</v>
      </c>
      <c r="N48">
        <v>111</v>
      </c>
    </row>
    <row r="49" spans="1:14" x14ac:dyDescent="0.2">
      <c r="A49" t="s">
        <v>782</v>
      </c>
      <c r="B49" s="42">
        <v>46094</v>
      </c>
      <c r="C49" s="43">
        <v>0.67500000000000004</v>
      </c>
      <c r="D49" t="s">
        <v>93</v>
      </c>
      <c r="E49">
        <v>48</v>
      </c>
      <c r="F49">
        <v>1</v>
      </c>
      <c r="G49">
        <v>144</v>
      </c>
      <c r="H49">
        <v>20</v>
      </c>
      <c r="I49">
        <v>3044</v>
      </c>
      <c r="J49">
        <v>1787</v>
      </c>
      <c r="K49">
        <v>10922</v>
      </c>
      <c r="L49">
        <v>48</v>
      </c>
      <c r="M49">
        <v>95</v>
      </c>
      <c r="N49">
        <v>175</v>
      </c>
    </row>
    <row r="50" spans="1:14" x14ac:dyDescent="0.2">
      <c r="A50" t="s">
        <v>783</v>
      </c>
      <c r="B50" s="42">
        <v>46094</v>
      </c>
      <c r="C50" s="43">
        <v>0.68055555555555558</v>
      </c>
      <c r="D50" t="s">
        <v>93</v>
      </c>
      <c r="E50">
        <v>49</v>
      </c>
      <c r="F50">
        <v>1</v>
      </c>
      <c r="G50">
        <v>5590</v>
      </c>
      <c r="H50">
        <v>6868</v>
      </c>
      <c r="I50">
        <v>9767</v>
      </c>
      <c r="J50">
        <v>4458</v>
      </c>
      <c r="K50">
        <v>5528</v>
      </c>
      <c r="L50">
        <v>1781</v>
      </c>
      <c r="M50">
        <v>150</v>
      </c>
      <c r="N50">
        <v>152</v>
      </c>
    </row>
    <row r="51" spans="1:14" x14ac:dyDescent="0.2">
      <c r="A51" t="s">
        <v>784</v>
      </c>
      <c r="B51" s="42">
        <v>46094</v>
      </c>
      <c r="C51" s="43">
        <v>0.68611111111111112</v>
      </c>
      <c r="D51" t="s">
        <v>93</v>
      </c>
      <c r="E51">
        <v>50</v>
      </c>
      <c r="F51">
        <v>1</v>
      </c>
      <c r="G51">
        <v>6947</v>
      </c>
      <c r="H51">
        <v>2228</v>
      </c>
      <c r="I51">
        <v>1559</v>
      </c>
      <c r="J51">
        <v>10223</v>
      </c>
      <c r="K51">
        <v>1518</v>
      </c>
      <c r="L51">
        <v>1450</v>
      </c>
      <c r="M51">
        <v>133</v>
      </c>
      <c r="N51">
        <v>76</v>
      </c>
    </row>
    <row r="52" spans="1:14" x14ac:dyDescent="0.2">
      <c r="A52" t="s">
        <v>785</v>
      </c>
      <c r="B52" s="42">
        <v>46094</v>
      </c>
      <c r="C52" s="43">
        <v>0.69166666666666665</v>
      </c>
      <c r="D52" t="s">
        <v>93</v>
      </c>
      <c r="E52">
        <v>51</v>
      </c>
      <c r="F52">
        <v>1</v>
      </c>
      <c r="G52">
        <v>3015</v>
      </c>
      <c r="H52">
        <v>3181</v>
      </c>
      <c r="I52">
        <v>1507</v>
      </c>
      <c r="J52">
        <v>1126</v>
      </c>
      <c r="K52">
        <v>1056</v>
      </c>
      <c r="L52">
        <v>271</v>
      </c>
      <c r="M52">
        <v>358</v>
      </c>
      <c r="N52">
        <v>154</v>
      </c>
    </row>
    <row r="53" spans="1:14" x14ac:dyDescent="0.2">
      <c r="A53" t="s">
        <v>786</v>
      </c>
      <c r="B53" s="42">
        <v>46094</v>
      </c>
      <c r="C53" s="43">
        <v>0.69722222222222219</v>
      </c>
      <c r="D53" t="s">
        <v>93</v>
      </c>
      <c r="E53">
        <v>52</v>
      </c>
      <c r="F53">
        <v>1</v>
      </c>
      <c r="G53">
        <v>4930</v>
      </c>
      <c r="H53">
        <v>694</v>
      </c>
      <c r="I53">
        <v>1511</v>
      </c>
      <c r="J53">
        <v>1468</v>
      </c>
      <c r="K53">
        <v>9016</v>
      </c>
      <c r="L53">
        <v>1405</v>
      </c>
      <c r="M53">
        <v>253</v>
      </c>
      <c r="N53">
        <v>94</v>
      </c>
    </row>
    <row r="54" spans="1:14" x14ac:dyDescent="0.2">
      <c r="A54" t="s">
        <v>787</v>
      </c>
      <c r="B54" s="42">
        <v>46094</v>
      </c>
      <c r="C54" s="43">
        <v>0.70277777777777772</v>
      </c>
      <c r="D54" t="s">
        <v>93</v>
      </c>
      <c r="E54">
        <v>53</v>
      </c>
      <c r="F54">
        <v>1</v>
      </c>
      <c r="G54">
        <v>7903</v>
      </c>
      <c r="H54">
        <v>564</v>
      </c>
      <c r="I54">
        <v>3951</v>
      </c>
      <c r="J54">
        <v>1591</v>
      </c>
      <c r="K54">
        <v>2340</v>
      </c>
      <c r="L54">
        <v>353</v>
      </c>
      <c r="M54">
        <v>37</v>
      </c>
      <c r="N54">
        <v>179</v>
      </c>
    </row>
    <row r="55" spans="1:14" x14ac:dyDescent="0.2">
      <c r="A55" t="s">
        <v>788</v>
      </c>
      <c r="B55" s="42">
        <v>46094</v>
      </c>
      <c r="C55" s="43">
        <v>0.70833333333333337</v>
      </c>
      <c r="D55" t="s">
        <v>93</v>
      </c>
      <c r="E55">
        <v>54</v>
      </c>
      <c r="F55">
        <v>1</v>
      </c>
      <c r="G55">
        <v>6423</v>
      </c>
      <c r="H55">
        <v>340</v>
      </c>
      <c r="I55">
        <v>432</v>
      </c>
      <c r="J55">
        <v>8503</v>
      </c>
      <c r="K55">
        <v>810</v>
      </c>
      <c r="L55">
        <v>3173</v>
      </c>
      <c r="M55">
        <v>318</v>
      </c>
      <c r="N55">
        <v>227</v>
      </c>
    </row>
    <row r="56" spans="1:14" x14ac:dyDescent="0.2">
      <c r="A56" t="s">
        <v>789</v>
      </c>
      <c r="B56" s="42">
        <v>46094</v>
      </c>
      <c r="C56" s="43">
        <v>0.71388888888888891</v>
      </c>
      <c r="D56" t="s">
        <v>93</v>
      </c>
      <c r="E56">
        <v>55</v>
      </c>
      <c r="F56">
        <v>1</v>
      </c>
      <c r="G56">
        <v>325</v>
      </c>
      <c r="H56">
        <v>424</v>
      </c>
      <c r="I56">
        <v>3799</v>
      </c>
      <c r="J56">
        <v>578</v>
      </c>
      <c r="K56">
        <v>378</v>
      </c>
      <c r="L56">
        <v>639</v>
      </c>
      <c r="M56">
        <v>250</v>
      </c>
      <c r="N56">
        <v>66</v>
      </c>
    </row>
    <row r="57" spans="1:14" x14ac:dyDescent="0.2">
      <c r="A57" t="s">
        <v>790</v>
      </c>
      <c r="B57" s="42">
        <v>46094</v>
      </c>
      <c r="C57" s="43">
        <v>0.71944444444444444</v>
      </c>
      <c r="D57" t="s">
        <v>93</v>
      </c>
      <c r="E57">
        <v>56</v>
      </c>
      <c r="F57">
        <v>1</v>
      </c>
      <c r="G57">
        <v>2228</v>
      </c>
      <c r="H57">
        <v>3838</v>
      </c>
      <c r="I57">
        <v>3003</v>
      </c>
      <c r="J57">
        <v>5528</v>
      </c>
      <c r="K57">
        <v>1518</v>
      </c>
      <c r="L57">
        <v>1559</v>
      </c>
      <c r="M57">
        <v>127</v>
      </c>
      <c r="N57">
        <v>104</v>
      </c>
    </row>
    <row r="58" spans="1:14" x14ac:dyDescent="0.2">
      <c r="A58" t="s">
        <v>791</v>
      </c>
      <c r="B58" s="42">
        <v>46094</v>
      </c>
      <c r="C58" s="43">
        <v>0.72499999999999998</v>
      </c>
      <c r="D58" t="s">
        <v>93</v>
      </c>
      <c r="E58">
        <v>57</v>
      </c>
      <c r="F58">
        <v>1</v>
      </c>
      <c r="G58">
        <v>10223</v>
      </c>
      <c r="H58">
        <v>5590</v>
      </c>
      <c r="I58">
        <v>1787</v>
      </c>
      <c r="J58">
        <v>7030</v>
      </c>
      <c r="K58">
        <v>271</v>
      </c>
      <c r="L58">
        <v>1450</v>
      </c>
      <c r="M58">
        <v>122</v>
      </c>
      <c r="N58">
        <v>84</v>
      </c>
    </row>
    <row r="59" spans="1:14" x14ac:dyDescent="0.2">
      <c r="A59" t="s">
        <v>792</v>
      </c>
      <c r="B59" s="42">
        <v>46094</v>
      </c>
      <c r="C59" s="43">
        <v>0.73055555555555551</v>
      </c>
      <c r="D59" t="s">
        <v>93</v>
      </c>
      <c r="E59">
        <v>58</v>
      </c>
      <c r="F59">
        <v>1</v>
      </c>
      <c r="G59">
        <v>694</v>
      </c>
      <c r="H59">
        <v>191</v>
      </c>
      <c r="I59">
        <v>1126</v>
      </c>
      <c r="J59">
        <v>10922</v>
      </c>
      <c r="K59">
        <v>4458</v>
      </c>
      <c r="L59">
        <v>6947</v>
      </c>
      <c r="M59">
        <v>248</v>
      </c>
      <c r="N59">
        <v>82</v>
      </c>
    </row>
    <row r="60" spans="1:14" x14ac:dyDescent="0.2">
      <c r="A60" t="s">
        <v>793</v>
      </c>
      <c r="B60" s="42">
        <v>46094</v>
      </c>
      <c r="C60" s="43">
        <v>0.73611111111111116</v>
      </c>
      <c r="D60" t="s">
        <v>93</v>
      </c>
      <c r="E60">
        <v>59</v>
      </c>
      <c r="F60">
        <v>1</v>
      </c>
      <c r="G60">
        <v>1507</v>
      </c>
      <c r="H60">
        <v>1591</v>
      </c>
      <c r="I60">
        <v>1585</v>
      </c>
      <c r="J60">
        <v>20</v>
      </c>
      <c r="K60">
        <v>7903</v>
      </c>
      <c r="L60">
        <v>1511</v>
      </c>
      <c r="M60">
        <v>170</v>
      </c>
      <c r="N60">
        <v>62</v>
      </c>
    </row>
    <row r="61" spans="1:14" x14ac:dyDescent="0.2">
      <c r="A61" t="s">
        <v>794</v>
      </c>
      <c r="B61" s="42">
        <v>46094</v>
      </c>
      <c r="C61" s="43">
        <v>0.7416666666666667</v>
      </c>
      <c r="D61" t="s">
        <v>93</v>
      </c>
      <c r="E61">
        <v>60</v>
      </c>
      <c r="F61">
        <v>1</v>
      </c>
      <c r="G61">
        <v>3015</v>
      </c>
      <c r="H61">
        <v>48</v>
      </c>
      <c r="I61">
        <v>4253</v>
      </c>
      <c r="J61">
        <v>340</v>
      </c>
      <c r="K61">
        <v>9767</v>
      </c>
      <c r="L61">
        <v>4930</v>
      </c>
      <c r="M61">
        <v>359</v>
      </c>
      <c r="N61">
        <v>231</v>
      </c>
    </row>
    <row r="62" spans="1:14" x14ac:dyDescent="0.2">
      <c r="A62" t="s">
        <v>795</v>
      </c>
      <c r="B62" s="42">
        <v>46095</v>
      </c>
      <c r="C62" s="43">
        <v>0.36805555555555558</v>
      </c>
      <c r="D62" t="s">
        <v>93</v>
      </c>
      <c r="E62">
        <v>61</v>
      </c>
      <c r="F62">
        <v>1</v>
      </c>
      <c r="G62">
        <v>6423</v>
      </c>
      <c r="H62">
        <v>1781</v>
      </c>
      <c r="I62">
        <v>424</v>
      </c>
      <c r="J62">
        <v>3799</v>
      </c>
      <c r="K62">
        <v>432</v>
      </c>
      <c r="L62">
        <v>3951</v>
      </c>
      <c r="M62">
        <v>225</v>
      </c>
      <c r="N62">
        <v>165</v>
      </c>
    </row>
    <row r="63" spans="1:14" x14ac:dyDescent="0.2">
      <c r="A63" t="s">
        <v>796</v>
      </c>
      <c r="B63" s="42">
        <v>46095</v>
      </c>
      <c r="C63" s="43">
        <v>0.37361111111111112</v>
      </c>
      <c r="D63" t="s">
        <v>93</v>
      </c>
      <c r="E63">
        <v>62</v>
      </c>
      <c r="F63">
        <v>1</v>
      </c>
      <c r="G63">
        <v>3181</v>
      </c>
      <c r="H63">
        <v>6868</v>
      </c>
      <c r="I63">
        <v>578</v>
      </c>
      <c r="J63">
        <v>353</v>
      </c>
      <c r="K63">
        <v>9016</v>
      </c>
      <c r="L63">
        <v>564</v>
      </c>
      <c r="M63">
        <v>206</v>
      </c>
      <c r="N63">
        <v>86</v>
      </c>
    </row>
    <row r="64" spans="1:14" x14ac:dyDescent="0.2">
      <c r="A64" t="s">
        <v>797</v>
      </c>
      <c r="B64" s="42">
        <v>46095</v>
      </c>
      <c r="C64" s="43">
        <v>0.37916666666666665</v>
      </c>
      <c r="D64" t="s">
        <v>93</v>
      </c>
      <c r="E64">
        <v>63</v>
      </c>
      <c r="F64">
        <v>1</v>
      </c>
      <c r="G64">
        <v>1405</v>
      </c>
      <c r="H64">
        <v>3173</v>
      </c>
      <c r="I64">
        <v>2340</v>
      </c>
      <c r="J64">
        <v>1056</v>
      </c>
      <c r="K64">
        <v>325</v>
      </c>
      <c r="L64">
        <v>144</v>
      </c>
      <c r="M64">
        <v>232</v>
      </c>
      <c r="N64">
        <v>111</v>
      </c>
    </row>
    <row r="65" spans="1:14" x14ac:dyDescent="0.2">
      <c r="A65" t="s">
        <v>798</v>
      </c>
      <c r="B65" s="42">
        <v>46095</v>
      </c>
      <c r="C65" s="43">
        <v>0.38472222222222224</v>
      </c>
      <c r="D65" t="s">
        <v>93</v>
      </c>
      <c r="E65">
        <v>64</v>
      </c>
      <c r="F65">
        <v>1</v>
      </c>
      <c r="G65">
        <v>4093</v>
      </c>
      <c r="H65">
        <v>1468</v>
      </c>
      <c r="I65">
        <v>378</v>
      </c>
      <c r="J65">
        <v>3044</v>
      </c>
      <c r="K65">
        <v>810</v>
      </c>
      <c r="L65">
        <v>639</v>
      </c>
      <c r="M65">
        <v>65</v>
      </c>
      <c r="N65">
        <v>139</v>
      </c>
    </row>
    <row r="66" spans="1:14" x14ac:dyDescent="0.2">
      <c r="A66" t="s">
        <v>799</v>
      </c>
      <c r="B66" s="42">
        <v>46095</v>
      </c>
      <c r="C66" s="43">
        <v>0.39027777777777778</v>
      </c>
      <c r="D66" t="s">
        <v>93</v>
      </c>
      <c r="E66">
        <v>65</v>
      </c>
      <c r="F66">
        <v>1</v>
      </c>
      <c r="G66">
        <v>8503</v>
      </c>
      <c r="H66">
        <v>1559</v>
      </c>
      <c r="I66">
        <v>7030</v>
      </c>
      <c r="J66">
        <v>7903</v>
      </c>
      <c r="K66">
        <v>1126</v>
      </c>
      <c r="L66">
        <v>1518</v>
      </c>
      <c r="M66">
        <v>155</v>
      </c>
      <c r="N66">
        <v>88</v>
      </c>
    </row>
    <row r="67" spans="1:14" x14ac:dyDescent="0.2">
      <c r="A67" t="s">
        <v>800</v>
      </c>
      <c r="B67" s="42">
        <v>46095</v>
      </c>
      <c r="C67" s="43">
        <v>0.39583333333333331</v>
      </c>
      <c r="D67" t="s">
        <v>93</v>
      </c>
      <c r="E67">
        <v>66</v>
      </c>
      <c r="F67">
        <v>1</v>
      </c>
      <c r="G67">
        <v>1591</v>
      </c>
      <c r="H67">
        <v>20</v>
      </c>
      <c r="I67">
        <v>2228</v>
      </c>
      <c r="J67">
        <v>6947</v>
      </c>
      <c r="K67">
        <v>3003</v>
      </c>
      <c r="L67">
        <v>340</v>
      </c>
      <c r="M67">
        <v>107</v>
      </c>
      <c r="N67">
        <v>101</v>
      </c>
    </row>
    <row r="68" spans="1:14" x14ac:dyDescent="0.2">
      <c r="A68" t="s">
        <v>801</v>
      </c>
      <c r="B68" s="42">
        <v>46095</v>
      </c>
      <c r="C68" s="43">
        <v>0.40138888888888891</v>
      </c>
      <c r="D68" t="s">
        <v>93</v>
      </c>
      <c r="E68">
        <v>67</v>
      </c>
      <c r="F68">
        <v>1</v>
      </c>
      <c r="G68">
        <v>432</v>
      </c>
      <c r="H68">
        <v>424</v>
      </c>
      <c r="I68">
        <v>694</v>
      </c>
      <c r="J68">
        <v>1511</v>
      </c>
      <c r="K68">
        <v>3015</v>
      </c>
      <c r="L68">
        <v>5590</v>
      </c>
      <c r="M68">
        <v>366</v>
      </c>
      <c r="N68">
        <v>261</v>
      </c>
    </row>
    <row r="69" spans="1:14" x14ac:dyDescent="0.2">
      <c r="A69" t="s">
        <v>802</v>
      </c>
      <c r="B69" s="42">
        <v>46095</v>
      </c>
      <c r="C69" s="43">
        <v>0.40694444444444444</v>
      </c>
      <c r="D69" t="s">
        <v>93</v>
      </c>
      <c r="E69">
        <v>68</v>
      </c>
      <c r="F69">
        <v>1</v>
      </c>
      <c r="G69">
        <v>6423</v>
      </c>
      <c r="H69">
        <v>1585</v>
      </c>
      <c r="I69">
        <v>10223</v>
      </c>
      <c r="J69">
        <v>3838</v>
      </c>
      <c r="K69">
        <v>578</v>
      </c>
      <c r="L69">
        <v>1507</v>
      </c>
      <c r="M69">
        <v>130</v>
      </c>
      <c r="N69">
        <v>101</v>
      </c>
    </row>
    <row r="70" spans="1:14" x14ac:dyDescent="0.2">
      <c r="A70" t="s">
        <v>803</v>
      </c>
      <c r="B70" s="42">
        <v>46095</v>
      </c>
      <c r="C70" s="43">
        <v>0.41249999999999998</v>
      </c>
      <c r="D70" t="s">
        <v>93</v>
      </c>
      <c r="E70">
        <v>69</v>
      </c>
      <c r="F70">
        <v>1</v>
      </c>
      <c r="G70">
        <v>3799</v>
      </c>
      <c r="H70">
        <v>2340</v>
      </c>
      <c r="I70">
        <v>1450</v>
      </c>
      <c r="J70">
        <v>1405</v>
      </c>
      <c r="K70">
        <v>6868</v>
      </c>
      <c r="L70">
        <v>10922</v>
      </c>
      <c r="M70">
        <v>125</v>
      </c>
      <c r="N70">
        <v>300</v>
      </c>
    </row>
    <row r="71" spans="1:14" x14ac:dyDescent="0.2">
      <c r="A71" t="s">
        <v>804</v>
      </c>
      <c r="B71" s="42">
        <v>46095</v>
      </c>
      <c r="C71" s="43">
        <v>0.41805555555555557</v>
      </c>
      <c r="D71" t="s">
        <v>93</v>
      </c>
      <c r="E71">
        <v>70</v>
      </c>
      <c r="F71">
        <v>1</v>
      </c>
      <c r="G71">
        <v>9016</v>
      </c>
      <c r="H71">
        <v>271</v>
      </c>
      <c r="I71">
        <v>3173</v>
      </c>
      <c r="J71">
        <v>810</v>
      </c>
      <c r="K71">
        <v>9767</v>
      </c>
      <c r="L71">
        <v>378</v>
      </c>
      <c r="M71">
        <v>196</v>
      </c>
      <c r="N71">
        <v>40</v>
      </c>
    </row>
    <row r="72" spans="1:14" x14ac:dyDescent="0.2">
      <c r="A72" t="s">
        <v>805</v>
      </c>
      <c r="B72" s="42">
        <v>46095</v>
      </c>
      <c r="C72" s="43">
        <v>0.4236111111111111</v>
      </c>
      <c r="D72" t="s">
        <v>93</v>
      </c>
      <c r="E72">
        <v>71</v>
      </c>
      <c r="F72">
        <v>1</v>
      </c>
      <c r="G72">
        <v>4458</v>
      </c>
      <c r="H72">
        <v>4253</v>
      </c>
      <c r="I72">
        <v>4930</v>
      </c>
      <c r="J72">
        <v>144</v>
      </c>
      <c r="K72">
        <v>1787</v>
      </c>
      <c r="L72">
        <v>639</v>
      </c>
      <c r="M72">
        <v>123</v>
      </c>
      <c r="N72">
        <v>205</v>
      </c>
    </row>
    <row r="73" spans="1:14" x14ac:dyDescent="0.2">
      <c r="A73" t="s">
        <v>806</v>
      </c>
      <c r="B73" s="42">
        <v>46095</v>
      </c>
      <c r="C73" s="43">
        <v>0.42916666666666664</v>
      </c>
      <c r="D73" t="s">
        <v>93</v>
      </c>
      <c r="E73">
        <v>72</v>
      </c>
      <c r="F73">
        <v>1</v>
      </c>
      <c r="G73">
        <v>8503</v>
      </c>
      <c r="H73">
        <v>48</v>
      </c>
      <c r="I73">
        <v>5528</v>
      </c>
      <c r="J73">
        <v>3044</v>
      </c>
      <c r="K73">
        <v>3181</v>
      </c>
      <c r="L73">
        <v>4093</v>
      </c>
      <c r="M73">
        <v>221</v>
      </c>
      <c r="N73">
        <v>255</v>
      </c>
    </row>
    <row r="74" spans="1:14" x14ac:dyDescent="0.2">
      <c r="A74" t="s">
        <v>807</v>
      </c>
      <c r="B74" s="42">
        <v>46095</v>
      </c>
      <c r="C74" s="43">
        <v>0.43472222222222223</v>
      </c>
      <c r="D74" t="s">
        <v>93</v>
      </c>
      <c r="E74">
        <v>73</v>
      </c>
      <c r="F74">
        <v>1</v>
      </c>
      <c r="G74">
        <v>3951</v>
      </c>
      <c r="H74">
        <v>1056</v>
      </c>
      <c r="I74">
        <v>353</v>
      </c>
      <c r="J74">
        <v>325</v>
      </c>
      <c r="K74">
        <v>191</v>
      </c>
      <c r="L74">
        <v>1468</v>
      </c>
      <c r="M74">
        <v>206</v>
      </c>
      <c r="N74">
        <v>74</v>
      </c>
    </row>
    <row r="75" spans="1:14" x14ac:dyDescent="0.2">
      <c r="A75" t="s">
        <v>808</v>
      </c>
      <c r="B75" s="42">
        <v>46095</v>
      </c>
      <c r="C75" s="43">
        <v>0.44027777777777777</v>
      </c>
      <c r="D75" t="s">
        <v>93</v>
      </c>
      <c r="E75">
        <v>74</v>
      </c>
      <c r="F75">
        <v>1</v>
      </c>
      <c r="G75">
        <v>1781</v>
      </c>
      <c r="H75">
        <v>7903</v>
      </c>
      <c r="I75">
        <v>3838</v>
      </c>
      <c r="J75">
        <v>564</v>
      </c>
      <c r="K75">
        <v>694</v>
      </c>
      <c r="L75">
        <v>20</v>
      </c>
      <c r="M75">
        <v>111</v>
      </c>
      <c r="N75">
        <v>263</v>
      </c>
    </row>
    <row r="76" spans="1:14" x14ac:dyDescent="0.2">
      <c r="A76" t="s">
        <v>809</v>
      </c>
      <c r="B76" s="42">
        <v>46095</v>
      </c>
      <c r="C76" s="43">
        <v>0.44583333333333336</v>
      </c>
      <c r="D76" t="s">
        <v>93</v>
      </c>
      <c r="E76">
        <v>75</v>
      </c>
      <c r="F76">
        <v>1</v>
      </c>
      <c r="G76">
        <v>578</v>
      </c>
      <c r="H76">
        <v>1591</v>
      </c>
      <c r="I76">
        <v>340</v>
      </c>
      <c r="J76">
        <v>5590</v>
      </c>
      <c r="K76">
        <v>1518</v>
      </c>
      <c r="L76">
        <v>1405</v>
      </c>
      <c r="M76">
        <v>223</v>
      </c>
      <c r="N76">
        <v>154</v>
      </c>
    </row>
    <row r="77" spans="1:14" x14ac:dyDescent="0.2">
      <c r="A77" t="s">
        <v>810</v>
      </c>
      <c r="B77" s="42">
        <v>46095</v>
      </c>
      <c r="C77" s="43">
        <v>0.4513888888888889</v>
      </c>
      <c r="D77" t="s">
        <v>93</v>
      </c>
      <c r="E77">
        <v>76</v>
      </c>
      <c r="F77">
        <v>1</v>
      </c>
      <c r="G77">
        <v>6947</v>
      </c>
      <c r="H77">
        <v>1511</v>
      </c>
      <c r="I77">
        <v>9767</v>
      </c>
      <c r="J77">
        <v>7030</v>
      </c>
      <c r="K77">
        <v>2340</v>
      </c>
      <c r="L77">
        <v>6423</v>
      </c>
      <c r="M77">
        <v>166</v>
      </c>
      <c r="N77">
        <v>134</v>
      </c>
    </row>
    <row r="78" spans="1:14" x14ac:dyDescent="0.2">
      <c r="A78" t="s">
        <v>811</v>
      </c>
      <c r="B78" s="42">
        <v>46095</v>
      </c>
      <c r="C78" s="43">
        <v>0.45694444444444443</v>
      </c>
      <c r="D78" t="s">
        <v>93</v>
      </c>
      <c r="E78">
        <v>77</v>
      </c>
      <c r="F78">
        <v>1</v>
      </c>
      <c r="G78">
        <v>3003</v>
      </c>
      <c r="H78">
        <v>4458</v>
      </c>
      <c r="I78">
        <v>6868</v>
      </c>
      <c r="J78">
        <v>1585</v>
      </c>
      <c r="K78">
        <v>810</v>
      </c>
      <c r="L78">
        <v>3015</v>
      </c>
      <c r="M78">
        <v>98</v>
      </c>
      <c r="N78">
        <v>214</v>
      </c>
    </row>
    <row r="79" spans="1:14" x14ac:dyDescent="0.2">
      <c r="A79" t="s">
        <v>812</v>
      </c>
      <c r="B79" s="42">
        <v>46095</v>
      </c>
      <c r="C79" s="43">
        <v>0.46250000000000002</v>
      </c>
      <c r="D79" t="s">
        <v>93</v>
      </c>
      <c r="E79">
        <v>78</v>
      </c>
      <c r="F79">
        <v>1</v>
      </c>
      <c r="G79">
        <v>144</v>
      </c>
      <c r="H79">
        <v>48</v>
      </c>
      <c r="I79">
        <v>1126</v>
      </c>
      <c r="J79">
        <v>424</v>
      </c>
      <c r="K79">
        <v>10223</v>
      </c>
      <c r="L79">
        <v>5528</v>
      </c>
      <c r="M79">
        <v>163</v>
      </c>
      <c r="N79">
        <v>302</v>
      </c>
    </row>
    <row r="80" spans="1:14" x14ac:dyDescent="0.2">
      <c r="A80" t="s">
        <v>813</v>
      </c>
      <c r="B80" s="42">
        <v>46095</v>
      </c>
      <c r="C80" s="43">
        <v>0.46805555555555556</v>
      </c>
      <c r="D80" t="s">
        <v>93</v>
      </c>
      <c r="E80">
        <v>79</v>
      </c>
      <c r="F80">
        <v>1</v>
      </c>
      <c r="G80">
        <v>1787</v>
      </c>
      <c r="H80">
        <v>1450</v>
      </c>
      <c r="I80">
        <v>191</v>
      </c>
      <c r="J80">
        <v>1468</v>
      </c>
      <c r="K80">
        <v>3799</v>
      </c>
      <c r="L80">
        <v>3181</v>
      </c>
      <c r="M80">
        <v>115</v>
      </c>
      <c r="N80">
        <v>192</v>
      </c>
    </row>
    <row r="81" spans="1:14" x14ac:dyDescent="0.2">
      <c r="A81" t="s">
        <v>814</v>
      </c>
      <c r="B81" s="42">
        <v>46095</v>
      </c>
      <c r="C81" s="43">
        <v>0.47361111111111109</v>
      </c>
      <c r="D81" t="s">
        <v>93</v>
      </c>
      <c r="E81">
        <v>80</v>
      </c>
      <c r="F81">
        <v>1</v>
      </c>
      <c r="G81">
        <v>4093</v>
      </c>
      <c r="H81">
        <v>9016</v>
      </c>
      <c r="I81">
        <v>1781</v>
      </c>
      <c r="J81">
        <v>10922</v>
      </c>
      <c r="K81">
        <v>1559</v>
      </c>
      <c r="L81">
        <v>353</v>
      </c>
      <c r="M81">
        <v>76</v>
      </c>
      <c r="N81">
        <v>232</v>
      </c>
    </row>
    <row r="82" spans="1:14" x14ac:dyDescent="0.2">
      <c r="A82" t="s">
        <v>815</v>
      </c>
      <c r="B82" s="42">
        <v>46095</v>
      </c>
      <c r="C82" s="43">
        <v>0.47916666666666669</v>
      </c>
      <c r="D82" t="s">
        <v>93</v>
      </c>
      <c r="E82">
        <v>81</v>
      </c>
      <c r="F82">
        <v>1</v>
      </c>
      <c r="G82">
        <v>2228</v>
      </c>
      <c r="H82">
        <v>4930</v>
      </c>
      <c r="I82">
        <v>3173</v>
      </c>
      <c r="J82">
        <v>271</v>
      </c>
      <c r="K82">
        <v>3044</v>
      </c>
      <c r="L82">
        <v>3951</v>
      </c>
      <c r="M82">
        <v>145</v>
      </c>
      <c r="N82">
        <v>159</v>
      </c>
    </row>
    <row r="83" spans="1:14" x14ac:dyDescent="0.2">
      <c r="A83" t="s">
        <v>816</v>
      </c>
      <c r="B83" s="42">
        <v>46095</v>
      </c>
      <c r="C83" s="43">
        <v>0.48472222222222222</v>
      </c>
      <c r="D83" t="s">
        <v>93</v>
      </c>
      <c r="E83">
        <v>82</v>
      </c>
      <c r="F83">
        <v>1</v>
      </c>
      <c r="G83">
        <v>378</v>
      </c>
      <c r="H83">
        <v>325</v>
      </c>
      <c r="I83">
        <v>4253</v>
      </c>
      <c r="J83">
        <v>564</v>
      </c>
      <c r="K83">
        <v>8503</v>
      </c>
      <c r="L83">
        <v>1507</v>
      </c>
      <c r="M83">
        <v>77</v>
      </c>
      <c r="N83">
        <v>140</v>
      </c>
    </row>
    <row r="84" spans="1:14" x14ac:dyDescent="0.2">
      <c r="A84" t="s">
        <v>817</v>
      </c>
      <c r="B84" s="42">
        <v>46095</v>
      </c>
      <c r="C84" s="43">
        <v>0.49027777777777776</v>
      </c>
      <c r="D84" t="s">
        <v>93</v>
      </c>
      <c r="E84">
        <v>83</v>
      </c>
      <c r="F84">
        <v>1</v>
      </c>
      <c r="G84">
        <v>1056</v>
      </c>
      <c r="H84">
        <v>639</v>
      </c>
      <c r="I84">
        <v>7903</v>
      </c>
      <c r="J84">
        <v>432</v>
      </c>
      <c r="K84">
        <v>3838</v>
      </c>
      <c r="L84">
        <v>20</v>
      </c>
      <c r="M84">
        <v>86</v>
      </c>
      <c r="N84">
        <v>91</v>
      </c>
    </row>
    <row r="85" spans="1:14" x14ac:dyDescent="0.2">
      <c r="A85" t="s">
        <v>818</v>
      </c>
      <c r="B85" s="42">
        <v>46095</v>
      </c>
      <c r="C85" s="43">
        <v>0.5625</v>
      </c>
      <c r="D85" t="s">
        <v>94</v>
      </c>
      <c r="E85">
        <v>1</v>
      </c>
      <c r="F85">
        <v>1</v>
      </c>
      <c r="G85">
        <v>340</v>
      </c>
      <c r="H85">
        <v>424</v>
      </c>
      <c r="I85">
        <v>1468</v>
      </c>
      <c r="J85">
        <v>353</v>
      </c>
      <c r="K85">
        <v>1559</v>
      </c>
      <c r="L85">
        <v>2340</v>
      </c>
      <c r="M85">
        <v>239</v>
      </c>
      <c r="N85">
        <v>145</v>
      </c>
    </row>
    <row r="86" spans="1:14" x14ac:dyDescent="0.2">
      <c r="A86" t="s">
        <v>819</v>
      </c>
      <c r="B86" s="42">
        <v>46095</v>
      </c>
      <c r="C86" s="43">
        <v>0.56874999999999998</v>
      </c>
      <c r="D86" t="s">
        <v>94</v>
      </c>
      <c r="E86">
        <v>1</v>
      </c>
      <c r="F86">
        <v>2</v>
      </c>
      <c r="G86">
        <v>1507</v>
      </c>
      <c r="H86">
        <v>8503</v>
      </c>
      <c r="I86">
        <v>1511</v>
      </c>
      <c r="J86">
        <v>1405</v>
      </c>
      <c r="K86">
        <v>3044</v>
      </c>
      <c r="L86">
        <v>1591</v>
      </c>
      <c r="M86">
        <v>147</v>
      </c>
      <c r="N86">
        <v>191</v>
      </c>
    </row>
    <row r="87" spans="1:14" x14ac:dyDescent="0.2">
      <c r="A87" t="s">
        <v>820</v>
      </c>
      <c r="B87" s="42">
        <v>46095</v>
      </c>
      <c r="C87" s="43">
        <v>0.57499999999999996</v>
      </c>
      <c r="D87" t="s">
        <v>94</v>
      </c>
      <c r="E87">
        <v>1</v>
      </c>
      <c r="F87">
        <v>3</v>
      </c>
      <c r="G87">
        <v>694</v>
      </c>
      <c r="H87">
        <v>48</v>
      </c>
      <c r="I87">
        <v>3015</v>
      </c>
      <c r="J87">
        <v>1056</v>
      </c>
      <c r="K87">
        <v>2228</v>
      </c>
      <c r="L87">
        <v>6868</v>
      </c>
      <c r="M87">
        <v>350</v>
      </c>
      <c r="N87">
        <v>88</v>
      </c>
    </row>
    <row r="88" spans="1:14" x14ac:dyDescent="0.2">
      <c r="A88" t="s">
        <v>821</v>
      </c>
      <c r="B88" s="42">
        <v>46095</v>
      </c>
      <c r="C88" s="43">
        <v>0.58125000000000004</v>
      </c>
      <c r="D88" t="s">
        <v>94</v>
      </c>
      <c r="E88">
        <v>1</v>
      </c>
      <c r="F88">
        <v>4</v>
      </c>
      <c r="G88">
        <v>3181</v>
      </c>
      <c r="H88">
        <v>10922</v>
      </c>
      <c r="I88">
        <v>1787</v>
      </c>
      <c r="J88">
        <v>3173</v>
      </c>
      <c r="K88">
        <v>3951</v>
      </c>
      <c r="L88">
        <v>5528</v>
      </c>
      <c r="M88">
        <v>249</v>
      </c>
      <c r="N88">
        <v>163</v>
      </c>
    </row>
    <row r="89" spans="1:14" x14ac:dyDescent="0.2">
      <c r="A89" t="s">
        <v>822</v>
      </c>
      <c r="B89" s="42">
        <v>46095</v>
      </c>
      <c r="C89" s="43">
        <v>0.58750000000000002</v>
      </c>
      <c r="D89" t="s">
        <v>94</v>
      </c>
      <c r="E89">
        <v>1</v>
      </c>
      <c r="F89">
        <v>5</v>
      </c>
      <c r="G89">
        <v>353</v>
      </c>
      <c r="H89">
        <v>1559</v>
      </c>
      <c r="I89">
        <v>2340</v>
      </c>
      <c r="J89">
        <v>1511</v>
      </c>
      <c r="K89">
        <v>8503</v>
      </c>
      <c r="L89">
        <v>1507</v>
      </c>
      <c r="M89">
        <v>218</v>
      </c>
      <c r="N89">
        <v>252</v>
      </c>
    </row>
    <row r="90" spans="1:14" x14ac:dyDescent="0.2">
      <c r="A90" t="s">
        <v>823</v>
      </c>
      <c r="B90" s="42">
        <v>46095</v>
      </c>
      <c r="C90" s="43">
        <v>0.59375</v>
      </c>
      <c r="D90" t="s">
        <v>94</v>
      </c>
      <c r="E90">
        <v>1</v>
      </c>
      <c r="F90">
        <v>6</v>
      </c>
      <c r="G90">
        <v>1056</v>
      </c>
      <c r="H90">
        <v>2228</v>
      </c>
      <c r="I90">
        <v>6868</v>
      </c>
      <c r="J90">
        <v>3173</v>
      </c>
      <c r="K90">
        <v>3951</v>
      </c>
      <c r="L90">
        <v>5528</v>
      </c>
      <c r="M90">
        <v>96</v>
      </c>
      <c r="N90">
        <v>200</v>
      </c>
    </row>
    <row r="91" spans="1:14" x14ac:dyDescent="0.2">
      <c r="A91" t="s">
        <v>824</v>
      </c>
      <c r="B91" s="42">
        <v>46095</v>
      </c>
      <c r="C91" s="43">
        <v>0.6</v>
      </c>
      <c r="D91" t="s">
        <v>94</v>
      </c>
      <c r="E91">
        <v>1</v>
      </c>
      <c r="F91">
        <v>7</v>
      </c>
      <c r="G91">
        <v>1468</v>
      </c>
      <c r="H91">
        <v>424</v>
      </c>
      <c r="I91">
        <v>340</v>
      </c>
      <c r="J91">
        <v>1405</v>
      </c>
      <c r="K91">
        <v>3044</v>
      </c>
      <c r="L91">
        <v>1591</v>
      </c>
      <c r="M91">
        <v>266</v>
      </c>
      <c r="N91">
        <v>160</v>
      </c>
    </row>
    <row r="92" spans="1:14" x14ac:dyDescent="0.2">
      <c r="A92" t="s">
        <v>825</v>
      </c>
      <c r="B92" s="42">
        <v>46095</v>
      </c>
      <c r="C92" s="43">
        <v>0.60624999999999996</v>
      </c>
      <c r="D92" t="s">
        <v>94</v>
      </c>
      <c r="E92">
        <v>1</v>
      </c>
      <c r="F92">
        <v>8</v>
      </c>
      <c r="G92">
        <v>694</v>
      </c>
      <c r="H92">
        <v>3015</v>
      </c>
      <c r="I92">
        <v>48</v>
      </c>
      <c r="J92">
        <v>3181</v>
      </c>
      <c r="K92">
        <v>10922</v>
      </c>
      <c r="L92">
        <v>1787</v>
      </c>
      <c r="M92">
        <v>379</v>
      </c>
      <c r="N92">
        <v>304</v>
      </c>
    </row>
    <row r="93" spans="1:14" x14ac:dyDescent="0.2">
      <c r="A93" t="s">
        <v>826</v>
      </c>
      <c r="B93" s="42">
        <v>46095</v>
      </c>
      <c r="C93" s="43">
        <v>0.61250000000000004</v>
      </c>
      <c r="D93" t="s">
        <v>94</v>
      </c>
      <c r="E93">
        <v>1</v>
      </c>
      <c r="F93">
        <v>9</v>
      </c>
      <c r="G93">
        <v>1405</v>
      </c>
      <c r="H93">
        <v>3044</v>
      </c>
      <c r="I93">
        <v>1591</v>
      </c>
      <c r="J93">
        <v>1126</v>
      </c>
      <c r="K93">
        <v>3951</v>
      </c>
      <c r="L93">
        <v>5528</v>
      </c>
      <c r="M93">
        <v>133</v>
      </c>
      <c r="N93">
        <v>234</v>
      </c>
    </row>
    <row r="94" spans="1:14" x14ac:dyDescent="0.2">
      <c r="A94" t="s">
        <v>827</v>
      </c>
      <c r="B94" s="42">
        <v>46095</v>
      </c>
      <c r="C94" s="43">
        <v>0.61875000000000002</v>
      </c>
      <c r="D94" t="s">
        <v>94</v>
      </c>
      <c r="E94">
        <v>1</v>
      </c>
      <c r="F94">
        <v>10</v>
      </c>
      <c r="G94">
        <v>3181</v>
      </c>
      <c r="H94">
        <v>10922</v>
      </c>
      <c r="I94">
        <v>1787</v>
      </c>
      <c r="J94">
        <v>1511</v>
      </c>
      <c r="K94">
        <v>8503</v>
      </c>
      <c r="L94">
        <v>1507</v>
      </c>
      <c r="M94">
        <v>292</v>
      </c>
      <c r="N94">
        <v>199</v>
      </c>
    </row>
    <row r="95" spans="1:14" x14ac:dyDescent="0.2">
      <c r="A95" t="s">
        <v>828</v>
      </c>
      <c r="B95" s="42">
        <v>46095</v>
      </c>
      <c r="C95" s="43">
        <v>0.62708333333333333</v>
      </c>
      <c r="D95" t="s">
        <v>94</v>
      </c>
      <c r="E95">
        <v>1</v>
      </c>
      <c r="F95">
        <v>11</v>
      </c>
      <c r="G95">
        <v>340</v>
      </c>
      <c r="H95">
        <v>424</v>
      </c>
      <c r="I95">
        <v>1468</v>
      </c>
      <c r="J95">
        <v>694</v>
      </c>
      <c r="K95">
        <v>3015</v>
      </c>
      <c r="L95">
        <v>48</v>
      </c>
      <c r="M95">
        <v>214</v>
      </c>
      <c r="N95">
        <v>326</v>
      </c>
    </row>
    <row r="96" spans="1:14" x14ac:dyDescent="0.2">
      <c r="A96" t="s">
        <v>829</v>
      </c>
      <c r="B96" s="42">
        <v>46095</v>
      </c>
      <c r="C96" s="43">
        <v>0.6333333333333333</v>
      </c>
      <c r="D96" t="s">
        <v>94</v>
      </c>
      <c r="E96">
        <v>1</v>
      </c>
      <c r="F96">
        <v>12</v>
      </c>
      <c r="G96">
        <v>3181</v>
      </c>
      <c r="H96">
        <v>10922</v>
      </c>
      <c r="I96">
        <v>1787</v>
      </c>
      <c r="J96">
        <v>3173</v>
      </c>
      <c r="K96">
        <v>3951</v>
      </c>
      <c r="L96">
        <v>5528</v>
      </c>
      <c r="M96">
        <v>367</v>
      </c>
      <c r="N96">
        <v>259</v>
      </c>
    </row>
    <row r="97" spans="1:14" x14ac:dyDescent="0.2">
      <c r="A97" t="s">
        <v>830</v>
      </c>
      <c r="B97" s="42">
        <v>46095</v>
      </c>
      <c r="C97" s="43">
        <v>0.6479166666666667</v>
      </c>
      <c r="D97" t="s">
        <v>94</v>
      </c>
      <c r="E97">
        <v>1</v>
      </c>
      <c r="F97">
        <v>13</v>
      </c>
      <c r="G97">
        <v>6423</v>
      </c>
      <c r="H97">
        <v>424</v>
      </c>
      <c r="I97">
        <v>340</v>
      </c>
      <c r="J97">
        <v>3181</v>
      </c>
      <c r="K97">
        <v>10922</v>
      </c>
      <c r="L97">
        <v>1787</v>
      </c>
      <c r="M97">
        <v>262</v>
      </c>
      <c r="N97">
        <v>293</v>
      </c>
    </row>
    <row r="98" spans="1:14" x14ac:dyDescent="0.2">
      <c r="A98" t="s">
        <v>831</v>
      </c>
      <c r="B98" s="42">
        <v>46095</v>
      </c>
      <c r="C98" s="43">
        <v>0.66249999999999998</v>
      </c>
      <c r="D98" t="s">
        <v>95</v>
      </c>
      <c r="E98">
        <v>1</v>
      </c>
      <c r="F98">
        <v>1</v>
      </c>
      <c r="G98">
        <v>694</v>
      </c>
      <c r="H98">
        <v>3015</v>
      </c>
      <c r="I98">
        <v>48</v>
      </c>
      <c r="J98">
        <v>3181</v>
      </c>
      <c r="K98">
        <v>10922</v>
      </c>
      <c r="L98">
        <v>1787</v>
      </c>
      <c r="M98">
        <v>404</v>
      </c>
      <c r="N98">
        <v>379</v>
      </c>
    </row>
    <row r="99" spans="1:14" x14ac:dyDescent="0.2">
      <c r="A99" t="s">
        <v>832</v>
      </c>
      <c r="B99" s="42">
        <v>46095</v>
      </c>
      <c r="C99" s="43">
        <v>0.67708333333333337</v>
      </c>
      <c r="D99" t="s">
        <v>95</v>
      </c>
      <c r="E99">
        <v>2</v>
      </c>
      <c r="F99">
        <v>1</v>
      </c>
      <c r="G99">
        <v>48</v>
      </c>
      <c r="H99">
        <v>3015</v>
      </c>
      <c r="I99">
        <v>694</v>
      </c>
      <c r="J99">
        <v>3181</v>
      </c>
      <c r="K99">
        <v>10922</v>
      </c>
      <c r="L99">
        <v>1787</v>
      </c>
      <c r="M99">
        <v>314</v>
      </c>
      <c r="N99">
        <v>324</v>
      </c>
    </row>
    <row r="100" spans="1:14" x14ac:dyDescent="0.2">
      <c r="A100" t="s">
        <v>833</v>
      </c>
      <c r="B100" s="42">
        <v>46095</v>
      </c>
      <c r="C100" s="43">
        <v>0.69166666666666665</v>
      </c>
      <c r="D100" t="s">
        <v>95</v>
      </c>
      <c r="E100">
        <v>3</v>
      </c>
      <c r="F100">
        <v>1</v>
      </c>
      <c r="G100">
        <v>48</v>
      </c>
      <c r="H100">
        <v>3015</v>
      </c>
      <c r="I100">
        <v>694</v>
      </c>
      <c r="J100">
        <v>3181</v>
      </c>
      <c r="K100">
        <v>10922</v>
      </c>
      <c r="L100">
        <v>1787</v>
      </c>
      <c r="M100">
        <v>345</v>
      </c>
      <c r="N100">
        <v>346</v>
      </c>
    </row>
  </sheetData>
  <autoFilter ref="A1:N92" xr:uid="{2D108CE5-8EAA-7342-ACB5-E8337D37568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="150" zoomScaleNormal="150" workbookViewId="0">
      <selection activeCell="B1" sqref="B1"/>
    </sheetView>
  </sheetViews>
  <sheetFormatPr baseColWidth="10" defaultColWidth="8.83203125" defaultRowHeight="15" x14ac:dyDescent="0.2"/>
  <cols>
    <col min="1" max="1" width="15" customWidth="1"/>
    <col min="2" max="2" width="50" customWidth="1"/>
  </cols>
  <sheetData>
    <row r="1" spans="1:2" ht="16" x14ac:dyDescent="0.2">
      <c r="A1" s="3" t="s">
        <v>5</v>
      </c>
      <c r="B1" s="4"/>
    </row>
    <row r="2" spans="1:2" ht="16" x14ac:dyDescent="0.2">
      <c r="A2" s="3" t="s">
        <v>6</v>
      </c>
      <c r="B2" s="4"/>
    </row>
    <row r="3" spans="1:2" ht="16" x14ac:dyDescent="0.2">
      <c r="A3" s="3" t="s">
        <v>7</v>
      </c>
      <c r="B3" s="4"/>
    </row>
    <row r="4" spans="1:2" ht="16" x14ac:dyDescent="0.2">
      <c r="A4" s="3" t="s">
        <v>8</v>
      </c>
      <c r="B4" s="4"/>
    </row>
    <row r="5" spans="1:2" ht="16" x14ac:dyDescent="0.2">
      <c r="A5" s="3" t="s">
        <v>9</v>
      </c>
      <c r="B5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0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8.83203125" defaultRowHeight="15" x14ac:dyDescent="0.2"/>
  <cols>
    <col min="1" max="1" width="16.5" customWidth="1"/>
    <col min="2" max="2" width="31" bestFit="1" customWidth="1"/>
    <col min="3" max="3" width="24.1640625" bestFit="1" customWidth="1"/>
    <col min="4" max="6" width="20.83203125" style="12" customWidth="1"/>
  </cols>
  <sheetData>
    <row r="1" spans="1:29" ht="20" customHeight="1" x14ac:dyDescent="0.2">
      <c r="A1" s="5" t="s">
        <v>10</v>
      </c>
      <c r="B1" s="5" t="s">
        <v>11</v>
      </c>
      <c r="C1" s="13" t="s">
        <v>96</v>
      </c>
      <c r="D1" s="13" t="s">
        <v>41</v>
      </c>
      <c r="E1" s="13" t="s">
        <v>42</v>
      </c>
      <c r="F1" s="13" t="s">
        <v>43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 ht="16" x14ac:dyDescent="0.2">
      <c r="A2" s="4">
        <f>IF(ISBLANK('TBA-Teams'!A2),"",'TBA-Teams'!A2)</f>
        <v>20</v>
      </c>
      <c r="B2" s="4" t="str">
        <f>IF(ISBLANK('TBA-Teams'!B2),"",'TBA-Teams'!B2)</f>
        <v>The Rocketeers</v>
      </c>
      <c r="C2" s="4" t="str">
        <f>IF(ISBLANK('TBA-Teams'!C2),"",CONCATENATE('TBA-Teams'!C2,", ",'TBA-Teams'!D2))</f>
        <v>Clifton Park, New York</v>
      </c>
      <c r="D2" s="44" t="str">
        <f>IF($A2&lt;&gt;"", HYPERLINK(CONCATENATE("https://www.thebluealliance.com/team/",$A2),CONCATENATE("View ",$A2)), "")</f>
        <v>View 20</v>
      </c>
      <c r="E2" s="44" t="str">
        <f>IF($A2&lt;&gt;"", HYPERLINK(CONCATENATE("https://frc-events.firstinspires.org/team/",$A2),CONCATENATE("View ",$A2)), "")</f>
        <v>View 20</v>
      </c>
      <c r="F2" s="44" t="str">
        <f>IF($A2&lt;&gt;"", HYPERLINK(CONCATENATE("https://www.statbotics.io/team/",$A2),CONCATENATE("View ",$A2)), "")</f>
        <v>View 20</v>
      </c>
    </row>
    <row r="3" spans="1:29" ht="16" x14ac:dyDescent="0.2">
      <c r="A3" s="4">
        <f>IF(ISBLANK('TBA-Teams'!A3),"",'TBA-Teams'!A3)</f>
        <v>48</v>
      </c>
      <c r="B3" s="4" t="str">
        <f>IF(ISBLANK('TBA-Teams'!B3),"",'TBA-Teams'!B3)</f>
        <v>Team E.L.I.T.E.</v>
      </c>
      <c r="C3" s="4" t="str">
        <f>IF(ISBLANK('TBA-Teams'!C3),"",CONCATENATE('TBA-Teams'!C3,", ",'TBA-Teams'!D3))</f>
        <v>Warren, Ohio</v>
      </c>
      <c r="D3" s="44" t="str">
        <f t="shared" ref="D3:D66" si="0">IF($A3&lt;&gt;"", HYPERLINK(CONCATENATE("https://www.thebluealliance.com/team/",$A3),CONCATENATE("View ",$A3)), "")</f>
        <v>View 48</v>
      </c>
      <c r="E3" s="44" t="str">
        <f t="shared" ref="E3:E66" si="1">IF($A3&lt;&gt;"", HYPERLINK(CONCATENATE("https://frc-events.firstinspires.org/team/",$A3),CONCATENATE("View ",$A3)), "")</f>
        <v>View 48</v>
      </c>
      <c r="F3" s="44" t="str">
        <f t="shared" ref="F3:F66" si="2">IF($A3&lt;&gt;"", HYPERLINK(CONCATENATE("https://www.statbotics.io/team/",$A3),CONCATENATE("View ",$A3)), "")</f>
        <v>View 48</v>
      </c>
    </row>
    <row r="4" spans="1:29" ht="16" x14ac:dyDescent="0.2">
      <c r="A4" s="4">
        <f>IF(ISBLANK('TBA-Teams'!A4),"",'TBA-Teams'!A4)</f>
        <v>144</v>
      </c>
      <c r="B4" s="4" t="str">
        <f>IF(ISBLANK('TBA-Teams'!B4),"",'TBA-Teams'!B4)</f>
        <v>Operation Orange</v>
      </c>
      <c r="C4" s="4" t="str">
        <f>IF(ISBLANK('TBA-Teams'!C4),"",CONCATENATE('TBA-Teams'!C4,", ",'TBA-Teams'!D4))</f>
        <v>Hamilton, Ohio</v>
      </c>
      <c r="D4" s="44" t="str">
        <f t="shared" si="0"/>
        <v>View 144</v>
      </c>
      <c r="E4" s="44" t="str">
        <f t="shared" si="1"/>
        <v>View 144</v>
      </c>
      <c r="F4" s="44" t="str">
        <f t="shared" si="2"/>
        <v>View 144</v>
      </c>
    </row>
    <row r="5" spans="1:29" ht="16" x14ac:dyDescent="0.2">
      <c r="A5" s="4">
        <f>IF(ISBLANK('TBA-Teams'!A5),"",'TBA-Teams'!A5)</f>
        <v>191</v>
      </c>
      <c r="B5" s="4" t="str">
        <f>IF(ISBLANK('TBA-Teams'!B5),"",'TBA-Teams'!B5)</f>
        <v>X-CATS</v>
      </c>
      <c r="C5" s="4" t="str">
        <f>IF(ISBLANK('TBA-Teams'!C5),"",CONCATENATE('TBA-Teams'!C5,", ",'TBA-Teams'!D5))</f>
        <v>Rochester, New York</v>
      </c>
      <c r="D5" s="44" t="str">
        <f t="shared" si="0"/>
        <v>View 191</v>
      </c>
      <c r="E5" s="44" t="str">
        <f t="shared" si="1"/>
        <v>View 191</v>
      </c>
      <c r="F5" s="44" t="str">
        <f t="shared" si="2"/>
        <v>View 191</v>
      </c>
    </row>
    <row r="6" spans="1:29" ht="16" x14ac:dyDescent="0.2">
      <c r="A6" s="4">
        <f>IF(ISBLANK('TBA-Teams'!A6),"",'TBA-Teams'!A6)</f>
        <v>271</v>
      </c>
      <c r="B6" s="4" t="str">
        <f>IF(ISBLANK('TBA-Teams'!B6),"",'TBA-Teams'!B6)</f>
        <v>Mechanical Marauders</v>
      </c>
      <c r="C6" s="4" t="str">
        <f>IF(ISBLANK('TBA-Teams'!C6),"",CONCATENATE('TBA-Teams'!C6,", ",'TBA-Teams'!D6))</f>
        <v>Bay Shore, New York</v>
      </c>
      <c r="D6" s="44" t="str">
        <f t="shared" si="0"/>
        <v>View 271</v>
      </c>
      <c r="E6" s="44" t="str">
        <f t="shared" si="1"/>
        <v>View 271</v>
      </c>
      <c r="F6" s="44" t="str">
        <f t="shared" si="2"/>
        <v>View 271</v>
      </c>
    </row>
    <row r="7" spans="1:29" ht="16" x14ac:dyDescent="0.2">
      <c r="A7" s="4">
        <f>IF(ISBLANK('TBA-Teams'!A7),"",'TBA-Teams'!A7)</f>
        <v>325</v>
      </c>
      <c r="B7" s="4" t="str">
        <f>IF(ISBLANK('TBA-Teams'!B7),"",'TBA-Teams'!B7)</f>
        <v>Respawn Robotics</v>
      </c>
      <c r="C7" s="4" t="str">
        <f>IF(ISBLANK('TBA-Teams'!C7),"",CONCATENATE('TBA-Teams'!C7,", ",'TBA-Teams'!D7))</f>
        <v>Hamilton, Ohio</v>
      </c>
      <c r="D7" s="44" t="str">
        <f t="shared" si="0"/>
        <v>View 325</v>
      </c>
      <c r="E7" s="44" t="str">
        <f t="shared" si="1"/>
        <v>View 325</v>
      </c>
      <c r="F7" s="44" t="str">
        <f t="shared" si="2"/>
        <v>View 325</v>
      </c>
    </row>
    <row r="8" spans="1:29" ht="16" x14ac:dyDescent="0.2">
      <c r="A8" s="4">
        <f>IF(ISBLANK('TBA-Teams'!A8),"",'TBA-Teams'!A8)</f>
        <v>340</v>
      </c>
      <c r="B8" s="4" t="str">
        <f>IF(ISBLANK('TBA-Teams'!B8),"",'TBA-Teams'!B8)</f>
        <v>G.R.R. (Greater Rochester Robotics)</v>
      </c>
      <c r="C8" s="4" t="str">
        <f>IF(ISBLANK('TBA-Teams'!C8),"",CONCATENATE('TBA-Teams'!C8,", ",'TBA-Teams'!D8))</f>
        <v>Churchville, New York</v>
      </c>
      <c r="D8" s="44" t="str">
        <f t="shared" si="0"/>
        <v>View 340</v>
      </c>
      <c r="E8" s="44" t="str">
        <f t="shared" si="1"/>
        <v>View 340</v>
      </c>
      <c r="F8" s="44" t="str">
        <f t="shared" si="2"/>
        <v>View 340</v>
      </c>
    </row>
    <row r="9" spans="1:29" ht="16" x14ac:dyDescent="0.2">
      <c r="A9" s="4">
        <f>IF(ISBLANK('TBA-Teams'!A9),"",'TBA-Teams'!A9)</f>
        <v>353</v>
      </c>
      <c r="B9" s="4" t="str">
        <f>IF(ISBLANK('TBA-Teams'!B9),"",'TBA-Teams'!B9)</f>
        <v>POBots</v>
      </c>
      <c r="C9" s="4" t="str">
        <f>IF(ISBLANK('TBA-Teams'!C9),"",CONCATENATE('TBA-Teams'!C9,", ",'TBA-Teams'!D9))</f>
        <v>Plainview, New York</v>
      </c>
      <c r="D9" s="44" t="str">
        <f t="shared" si="0"/>
        <v>View 353</v>
      </c>
      <c r="E9" s="44" t="str">
        <f t="shared" si="1"/>
        <v>View 353</v>
      </c>
      <c r="F9" s="44" t="str">
        <f t="shared" si="2"/>
        <v>View 353</v>
      </c>
    </row>
    <row r="10" spans="1:29" ht="16" x14ac:dyDescent="0.2">
      <c r="A10" s="4">
        <f>IF(ISBLANK('TBA-Teams'!A10),"",'TBA-Teams'!A10)</f>
        <v>378</v>
      </c>
      <c r="B10" s="4" t="str">
        <f>IF(ISBLANK('TBA-Teams'!B10),"",'TBA-Teams'!B10)</f>
        <v>The Circuit Stompers</v>
      </c>
      <c r="C10" s="4" t="str">
        <f>IF(ISBLANK('TBA-Teams'!C10),"",CONCATENATE('TBA-Teams'!C10,", ",'TBA-Teams'!D10))</f>
        <v>Newfane, New York</v>
      </c>
      <c r="D10" s="44" t="str">
        <f t="shared" si="0"/>
        <v>View 378</v>
      </c>
      <c r="E10" s="44" t="str">
        <f t="shared" si="1"/>
        <v>View 378</v>
      </c>
      <c r="F10" s="44" t="str">
        <f t="shared" si="2"/>
        <v>View 378</v>
      </c>
    </row>
    <row r="11" spans="1:29" ht="16" x14ac:dyDescent="0.2">
      <c r="A11" s="4">
        <f>IF(ISBLANK('TBA-Teams'!A11),"",'TBA-Teams'!A11)</f>
        <v>424</v>
      </c>
      <c r="B11" s="4" t="str">
        <f>IF(ISBLANK('TBA-Teams'!B11),"",'TBA-Teams'!B11)</f>
        <v>Rust Belt Robotics</v>
      </c>
      <c r="C11" s="4" t="str">
        <f>IF(ISBLANK('TBA-Teams'!C11),"",CONCATENATE('TBA-Teams'!C11,", ",'TBA-Teams'!D11))</f>
        <v>Buffalo, New York</v>
      </c>
      <c r="D11" s="44" t="str">
        <f t="shared" si="0"/>
        <v>View 424</v>
      </c>
      <c r="E11" s="44" t="str">
        <f t="shared" si="1"/>
        <v>View 424</v>
      </c>
      <c r="F11" s="44" t="str">
        <f t="shared" si="2"/>
        <v>View 424</v>
      </c>
    </row>
    <row r="12" spans="1:29" ht="16" x14ac:dyDescent="0.2">
      <c r="A12" s="4">
        <f>IF(ISBLANK('TBA-Teams'!A12),"",'TBA-Teams'!A12)</f>
        <v>432</v>
      </c>
      <c r="B12" s="4" t="str">
        <f>IF(ISBLANK('TBA-Teams'!B12),"",'TBA-Teams'!B12)</f>
        <v>The Final Countdown</v>
      </c>
      <c r="C12" s="4" t="str">
        <f>IF(ISBLANK('TBA-Teams'!C12),"",CONCATENATE('TBA-Teams'!C12,", ",'TBA-Teams'!D12))</f>
        <v>Hamilton, Ohio</v>
      </c>
      <c r="D12" s="44" t="str">
        <f t="shared" si="0"/>
        <v>View 432</v>
      </c>
      <c r="E12" s="44" t="str">
        <f t="shared" si="1"/>
        <v>View 432</v>
      </c>
      <c r="F12" s="44" t="str">
        <f t="shared" si="2"/>
        <v>View 432</v>
      </c>
    </row>
    <row r="13" spans="1:29" ht="16" x14ac:dyDescent="0.2">
      <c r="A13" s="4">
        <f>IF(ISBLANK('TBA-Teams'!A13),"",'TBA-Teams'!A13)</f>
        <v>564</v>
      </c>
      <c r="B13" s="4" t="str">
        <f>IF(ISBLANK('TBA-Teams'!B13),"",'TBA-Teams'!B13)</f>
        <v>Longwood RoboLions</v>
      </c>
      <c r="C13" s="4" t="str">
        <f>IF(ISBLANK('TBA-Teams'!C13),"",CONCATENATE('TBA-Teams'!C13,", ",'TBA-Teams'!D13))</f>
        <v>Middle Island, New York</v>
      </c>
      <c r="D13" s="44" t="str">
        <f t="shared" si="0"/>
        <v>View 564</v>
      </c>
      <c r="E13" s="44" t="str">
        <f t="shared" si="1"/>
        <v>View 564</v>
      </c>
      <c r="F13" s="44" t="str">
        <f t="shared" si="2"/>
        <v>View 564</v>
      </c>
    </row>
    <row r="14" spans="1:29" ht="16" x14ac:dyDescent="0.2">
      <c r="A14" s="4">
        <f>IF(ISBLANK('TBA-Teams'!A14),"",'TBA-Teams'!A14)</f>
        <v>578</v>
      </c>
      <c r="B14" s="4" t="str">
        <f>IF(ISBLANK('TBA-Teams'!B14),"",'TBA-Teams'!B14)</f>
        <v>Fairport Robotics</v>
      </c>
      <c r="C14" s="4" t="str">
        <f>IF(ISBLANK('TBA-Teams'!C14),"",CONCATENATE('TBA-Teams'!C14,", ",'TBA-Teams'!D14))</f>
        <v>Fairport, New York</v>
      </c>
      <c r="D14" s="44" t="str">
        <f t="shared" si="0"/>
        <v>View 578</v>
      </c>
      <c r="E14" s="44" t="str">
        <f t="shared" si="1"/>
        <v>View 578</v>
      </c>
      <c r="F14" s="44" t="str">
        <f t="shared" si="2"/>
        <v>View 578</v>
      </c>
    </row>
    <row r="15" spans="1:29" ht="16" x14ac:dyDescent="0.2">
      <c r="A15" s="4">
        <f>IF(ISBLANK('TBA-Teams'!A15),"",'TBA-Teams'!A15)</f>
        <v>639</v>
      </c>
      <c r="B15" s="4" t="str">
        <f>IF(ISBLANK('TBA-Teams'!B15),"",'TBA-Teams'!B15)</f>
        <v>Code Red Robotics</v>
      </c>
      <c r="C15" s="4" t="str">
        <f>IF(ISBLANK('TBA-Teams'!C15),"",CONCATENATE('TBA-Teams'!C15,", ",'TBA-Teams'!D15))</f>
        <v>Ithaca, New York</v>
      </c>
      <c r="D15" s="44" t="str">
        <f t="shared" si="0"/>
        <v>View 639</v>
      </c>
      <c r="E15" s="44" t="str">
        <f t="shared" si="1"/>
        <v>View 639</v>
      </c>
      <c r="F15" s="44" t="str">
        <f t="shared" si="2"/>
        <v>View 639</v>
      </c>
    </row>
    <row r="16" spans="1:29" ht="16" x14ac:dyDescent="0.2">
      <c r="A16" s="4">
        <f>IF(ISBLANK('TBA-Teams'!A16),"",'TBA-Teams'!A16)</f>
        <v>694</v>
      </c>
      <c r="B16" s="4" t="str">
        <f>IF(ISBLANK('TBA-Teams'!B16),"",'TBA-Teams'!B16)</f>
        <v>StuyPulse</v>
      </c>
      <c r="C16" s="4" t="str">
        <f>IF(ISBLANK('TBA-Teams'!C16),"",CONCATENATE('TBA-Teams'!C16,", ",'TBA-Teams'!D16))</f>
        <v>New York, New York</v>
      </c>
      <c r="D16" s="44" t="str">
        <f t="shared" si="0"/>
        <v>View 694</v>
      </c>
      <c r="E16" s="44" t="str">
        <f t="shared" si="1"/>
        <v>View 694</v>
      </c>
      <c r="F16" s="44" t="str">
        <f t="shared" si="2"/>
        <v>View 694</v>
      </c>
    </row>
    <row r="17" spans="1:6" ht="16" x14ac:dyDescent="0.2">
      <c r="A17" s="4">
        <f>IF(ISBLANK('TBA-Teams'!A17),"",'TBA-Teams'!A17)</f>
        <v>810</v>
      </c>
      <c r="B17" s="4" t="str">
        <f>IF(ISBLANK('TBA-Teams'!B17),"",'TBA-Teams'!B17)</f>
        <v>The Mechanical Bulls</v>
      </c>
      <c r="C17" s="4" t="str">
        <f>IF(ISBLANK('TBA-Teams'!C17),"",CONCATENATE('TBA-Teams'!C17,", ",'TBA-Teams'!D17))</f>
        <v>Smithtown, New York</v>
      </c>
      <c r="D17" s="44" t="str">
        <f t="shared" si="0"/>
        <v>View 810</v>
      </c>
      <c r="E17" s="44" t="str">
        <f t="shared" si="1"/>
        <v>View 810</v>
      </c>
      <c r="F17" s="44" t="str">
        <f t="shared" si="2"/>
        <v>View 810</v>
      </c>
    </row>
    <row r="18" spans="1:6" ht="16" x14ac:dyDescent="0.2">
      <c r="A18" s="4">
        <f>IF(ISBLANK('TBA-Teams'!A18),"",'TBA-Teams'!A18)</f>
        <v>1056</v>
      </c>
      <c r="B18" s="4" t="str">
        <f>IF(ISBLANK('TBA-Teams'!B18),"",'TBA-Teams'!B18)</f>
        <v>Hot Rocks</v>
      </c>
      <c r="C18" s="4" t="str">
        <f>IF(ISBLANK('TBA-Teams'!C18),"",CONCATENATE('TBA-Teams'!C18,", ",'TBA-Teams'!D18))</f>
        <v>Hilo, Hawaii</v>
      </c>
      <c r="D18" s="44" t="str">
        <f t="shared" si="0"/>
        <v>View 1056</v>
      </c>
      <c r="E18" s="44" t="str">
        <f t="shared" si="1"/>
        <v>View 1056</v>
      </c>
      <c r="F18" s="44" t="str">
        <f t="shared" si="2"/>
        <v>View 1056</v>
      </c>
    </row>
    <row r="19" spans="1:6" ht="16" x14ac:dyDescent="0.2">
      <c r="A19" s="4">
        <f>IF(ISBLANK('TBA-Teams'!A19),"",'TBA-Teams'!A19)</f>
        <v>1126</v>
      </c>
      <c r="B19" s="4" t="str">
        <f>IF(ISBLANK('TBA-Teams'!B19),"",'TBA-Teams'!B19)</f>
        <v>SPARX</v>
      </c>
      <c r="C19" s="4" t="str">
        <f>IF(ISBLANK('TBA-Teams'!C19),"",CONCATENATE('TBA-Teams'!C19,", ",'TBA-Teams'!D19))</f>
        <v>Webster, New York</v>
      </c>
      <c r="D19" s="44" t="str">
        <f t="shared" si="0"/>
        <v>View 1126</v>
      </c>
      <c r="E19" s="44" t="str">
        <f t="shared" si="1"/>
        <v>View 1126</v>
      </c>
      <c r="F19" s="44" t="str">
        <f t="shared" si="2"/>
        <v>View 1126</v>
      </c>
    </row>
    <row r="20" spans="1:6" ht="16" x14ac:dyDescent="0.2">
      <c r="A20" s="4">
        <f>IF(ISBLANK('TBA-Teams'!A20),"",'TBA-Teams'!A20)</f>
        <v>1405</v>
      </c>
      <c r="B20" s="4" t="str">
        <f>IF(ISBLANK('TBA-Teams'!B20),"",'TBA-Teams'!B20)</f>
        <v>Finney Falcons</v>
      </c>
      <c r="C20" s="4" t="str">
        <f>IF(ISBLANK('TBA-Teams'!C20),"",CONCATENATE('TBA-Teams'!C20,", ",'TBA-Teams'!D20))</f>
        <v>Penfield, New York</v>
      </c>
      <c r="D20" s="44" t="str">
        <f t="shared" si="0"/>
        <v>View 1405</v>
      </c>
      <c r="E20" s="44" t="str">
        <f t="shared" si="1"/>
        <v>View 1405</v>
      </c>
      <c r="F20" s="44" t="str">
        <f t="shared" si="2"/>
        <v>View 1405</v>
      </c>
    </row>
    <row r="21" spans="1:6" ht="16" x14ac:dyDescent="0.2">
      <c r="A21" s="4">
        <f>IF(ISBLANK('TBA-Teams'!A21),"",'TBA-Teams'!A21)</f>
        <v>1450</v>
      </c>
      <c r="B21" s="4" t="str">
        <f>IF(ISBLANK('TBA-Teams'!B21),"",'TBA-Teams'!B21)</f>
        <v>XQ Robotix Team 1450</v>
      </c>
      <c r="C21" s="4" t="str">
        <f>IF(ISBLANK('TBA-Teams'!C21),"",CONCATENATE('TBA-Teams'!C21,", ",'TBA-Teams'!D21))</f>
        <v>Rochester, New York</v>
      </c>
      <c r="D21" s="44" t="str">
        <f t="shared" si="0"/>
        <v>View 1450</v>
      </c>
      <c r="E21" s="44" t="str">
        <f t="shared" si="1"/>
        <v>View 1450</v>
      </c>
      <c r="F21" s="44" t="str">
        <f t="shared" si="2"/>
        <v>View 1450</v>
      </c>
    </row>
    <row r="22" spans="1:6" ht="16" x14ac:dyDescent="0.2">
      <c r="A22" s="4">
        <f>IF(ISBLANK('TBA-Teams'!A22),"",'TBA-Teams'!A22)</f>
        <v>1468</v>
      </c>
      <c r="B22" s="4" t="str">
        <f>IF(ISBLANK('TBA-Teams'!B22),"",'TBA-Teams'!B22)</f>
        <v>Hicksville J-Birds</v>
      </c>
      <c r="C22" s="4" t="str">
        <f>IF(ISBLANK('TBA-Teams'!C22),"",CONCATENATE('TBA-Teams'!C22,", ",'TBA-Teams'!D22))</f>
        <v>Hicksville, New York</v>
      </c>
      <c r="D22" s="44" t="str">
        <f t="shared" si="0"/>
        <v>View 1468</v>
      </c>
      <c r="E22" s="44" t="str">
        <f t="shared" si="1"/>
        <v>View 1468</v>
      </c>
      <c r="F22" s="44" t="str">
        <f t="shared" si="2"/>
        <v>View 1468</v>
      </c>
    </row>
    <row r="23" spans="1:6" ht="16" x14ac:dyDescent="0.2">
      <c r="A23" s="4">
        <f>IF(ISBLANK('TBA-Teams'!A23),"",'TBA-Teams'!A23)</f>
        <v>1507</v>
      </c>
      <c r="B23" s="4" t="str">
        <f>IF(ISBLANK('TBA-Teams'!B23),"",'TBA-Teams'!B23)</f>
        <v>Warlocks</v>
      </c>
      <c r="C23" s="4" t="str">
        <f>IF(ISBLANK('TBA-Teams'!C23),"",CONCATENATE('TBA-Teams'!C23,", ",'TBA-Teams'!D23))</f>
        <v>Lockport, New York</v>
      </c>
      <c r="D23" s="44" t="str">
        <f t="shared" si="0"/>
        <v>View 1507</v>
      </c>
      <c r="E23" s="44" t="str">
        <f t="shared" si="1"/>
        <v>View 1507</v>
      </c>
      <c r="F23" s="44" t="str">
        <f t="shared" si="2"/>
        <v>View 1507</v>
      </c>
    </row>
    <row r="24" spans="1:6" ht="16" x14ac:dyDescent="0.2">
      <c r="A24" s="4">
        <f>IF(ISBLANK('TBA-Teams'!A24),"",'TBA-Teams'!A24)</f>
        <v>1511</v>
      </c>
      <c r="B24" s="4" t="str">
        <f>IF(ISBLANK('TBA-Teams'!B24),"",'TBA-Teams'!B24)</f>
        <v>Rolling Thunder</v>
      </c>
      <c r="C24" s="4" t="str">
        <f>IF(ISBLANK('TBA-Teams'!C24),"",CONCATENATE('TBA-Teams'!C24,", ",'TBA-Teams'!D24))</f>
        <v>Penfield, New York</v>
      </c>
      <c r="D24" s="44" t="str">
        <f t="shared" si="0"/>
        <v>View 1511</v>
      </c>
      <c r="E24" s="44" t="str">
        <f t="shared" si="1"/>
        <v>View 1511</v>
      </c>
      <c r="F24" s="44" t="str">
        <f t="shared" si="2"/>
        <v>View 1511</v>
      </c>
    </row>
    <row r="25" spans="1:6" ht="16" x14ac:dyDescent="0.2">
      <c r="A25" s="4">
        <f>IF(ISBLANK('TBA-Teams'!A25),"",'TBA-Teams'!A25)</f>
        <v>1518</v>
      </c>
      <c r="B25" s="4" t="str">
        <f>IF(ISBLANK('TBA-Teams'!B25),"",'TBA-Teams'!B25)</f>
        <v>Raider Robotics</v>
      </c>
      <c r="C25" s="4" t="str">
        <f>IF(ISBLANK('TBA-Teams'!C25),"",CONCATENATE('TBA-Teams'!C25,", ",'TBA-Teams'!D25))</f>
        <v>Palmyra, New York</v>
      </c>
      <c r="D25" s="44" t="str">
        <f t="shared" si="0"/>
        <v>View 1518</v>
      </c>
      <c r="E25" s="44" t="str">
        <f t="shared" si="1"/>
        <v>View 1518</v>
      </c>
      <c r="F25" s="44" t="str">
        <f t="shared" si="2"/>
        <v>View 1518</v>
      </c>
    </row>
    <row r="26" spans="1:6" ht="16" x14ac:dyDescent="0.2">
      <c r="A26" s="4">
        <f>IF(ISBLANK('TBA-Teams'!A26),"",'TBA-Teams'!A26)</f>
        <v>1559</v>
      </c>
      <c r="B26" s="4" t="str">
        <f>IF(ISBLANK('TBA-Teams'!B26),"",'TBA-Teams'!B26)</f>
        <v>Devil Tech</v>
      </c>
      <c r="C26" s="4" t="str">
        <f>IF(ISBLANK('TBA-Teams'!C26),"",CONCATENATE('TBA-Teams'!C26,", ",'TBA-Teams'!D26))</f>
        <v>Victor, New York</v>
      </c>
      <c r="D26" s="44" t="str">
        <f t="shared" si="0"/>
        <v>View 1559</v>
      </c>
      <c r="E26" s="44" t="str">
        <f t="shared" si="1"/>
        <v>View 1559</v>
      </c>
      <c r="F26" s="44" t="str">
        <f t="shared" si="2"/>
        <v>View 1559</v>
      </c>
    </row>
    <row r="27" spans="1:6" ht="16" x14ac:dyDescent="0.2">
      <c r="A27" s="4">
        <f>IF(ISBLANK('TBA-Teams'!A27),"",'TBA-Teams'!A27)</f>
        <v>1585</v>
      </c>
      <c r="B27" s="4" t="str">
        <f>IF(ISBLANK('TBA-Teams'!B27),"",'TBA-Teams'!B27)</f>
        <v>Scitobor Robotics</v>
      </c>
      <c r="C27" s="4" t="str">
        <f>IF(ISBLANK('TBA-Teams'!C27),"",CONCATENATE('TBA-Teams'!C27,", ",'TBA-Teams'!D27))</f>
        <v>Shortsville, New York</v>
      </c>
      <c r="D27" s="44" t="str">
        <f t="shared" si="0"/>
        <v>View 1585</v>
      </c>
      <c r="E27" s="44" t="str">
        <f t="shared" si="1"/>
        <v>View 1585</v>
      </c>
      <c r="F27" s="44" t="str">
        <f t="shared" si="2"/>
        <v>View 1585</v>
      </c>
    </row>
    <row r="28" spans="1:6" ht="16" x14ac:dyDescent="0.2">
      <c r="A28" s="4">
        <f>IF(ISBLANK('TBA-Teams'!A28),"",'TBA-Teams'!A28)</f>
        <v>1591</v>
      </c>
      <c r="B28" s="4" t="str">
        <f>IF(ISBLANK('TBA-Teams'!B28),"",'TBA-Teams'!B28)</f>
        <v>Greece Gladiators</v>
      </c>
      <c r="C28" s="4" t="str">
        <f>IF(ISBLANK('TBA-Teams'!C28),"",CONCATENATE('TBA-Teams'!C28,", ",'TBA-Teams'!D28))</f>
        <v>Rochester, New York</v>
      </c>
      <c r="D28" s="44" t="str">
        <f t="shared" si="0"/>
        <v>View 1591</v>
      </c>
      <c r="E28" s="44" t="str">
        <f t="shared" si="1"/>
        <v>View 1591</v>
      </c>
      <c r="F28" s="44" t="str">
        <f t="shared" si="2"/>
        <v>View 1591</v>
      </c>
    </row>
    <row r="29" spans="1:6" ht="16" x14ac:dyDescent="0.2">
      <c r="A29" s="4">
        <f>IF(ISBLANK('TBA-Teams'!A29),"",'TBA-Teams'!A29)</f>
        <v>1781</v>
      </c>
      <c r="B29" s="4" t="str">
        <f>IF(ISBLANK('TBA-Teams'!B29),"",'TBA-Teams'!B29)</f>
        <v>Lindblom Electric Eagles</v>
      </c>
      <c r="C29" s="4" t="str">
        <f>IF(ISBLANK('TBA-Teams'!C29),"",CONCATENATE('TBA-Teams'!C29,", ",'TBA-Teams'!D29))</f>
        <v>Chicago, Illinois</v>
      </c>
      <c r="D29" s="44" t="str">
        <f t="shared" si="0"/>
        <v>View 1781</v>
      </c>
      <c r="E29" s="44" t="str">
        <f t="shared" si="1"/>
        <v>View 1781</v>
      </c>
      <c r="F29" s="44" t="str">
        <f t="shared" si="2"/>
        <v>View 1781</v>
      </c>
    </row>
    <row r="30" spans="1:6" ht="16" x14ac:dyDescent="0.2">
      <c r="A30" s="4">
        <f>IF(ISBLANK('TBA-Teams'!A30),"",'TBA-Teams'!A30)</f>
        <v>1787</v>
      </c>
      <c r="B30" s="4" t="str">
        <f>IF(ISBLANK('TBA-Teams'!B30),"",'TBA-Teams'!B30)</f>
        <v>The Flying Circuits</v>
      </c>
      <c r="C30" s="4" t="str">
        <f>IF(ISBLANK('TBA-Teams'!C30),"",CONCATENATE('TBA-Teams'!C30,", ",'TBA-Teams'!D30))</f>
        <v>Pepper Pike, Ohio</v>
      </c>
      <c r="D30" s="44" t="str">
        <f t="shared" si="0"/>
        <v>View 1787</v>
      </c>
      <c r="E30" s="44" t="str">
        <f t="shared" si="1"/>
        <v>View 1787</v>
      </c>
      <c r="F30" s="44" t="str">
        <f t="shared" si="2"/>
        <v>View 1787</v>
      </c>
    </row>
    <row r="31" spans="1:6" ht="16" x14ac:dyDescent="0.2">
      <c r="A31" s="4">
        <f>IF(ISBLANK('TBA-Teams'!A31),"",'TBA-Teams'!A31)</f>
        <v>2228</v>
      </c>
      <c r="B31" s="4" t="str">
        <f>IF(ISBLANK('TBA-Teams'!B31),"",'TBA-Teams'!B31)</f>
        <v>CougarTech</v>
      </c>
      <c r="C31" s="4" t="str">
        <f>IF(ISBLANK('TBA-Teams'!C31),"",CONCATENATE('TBA-Teams'!C31,", ",'TBA-Teams'!D31))</f>
        <v>Honeoye Falls, New York</v>
      </c>
      <c r="D31" s="44" t="str">
        <f t="shared" si="0"/>
        <v>View 2228</v>
      </c>
      <c r="E31" s="44" t="str">
        <f t="shared" si="1"/>
        <v>View 2228</v>
      </c>
      <c r="F31" s="44" t="str">
        <f t="shared" si="2"/>
        <v>View 2228</v>
      </c>
    </row>
    <row r="32" spans="1:6" ht="16" x14ac:dyDescent="0.2">
      <c r="A32" s="4">
        <f>IF(ISBLANK('TBA-Teams'!A32),"",'TBA-Teams'!A32)</f>
        <v>2340</v>
      </c>
      <c r="B32" s="4" t="str">
        <f>IF(ISBLANK('TBA-Teams'!B32),"",'TBA-Teams'!B32)</f>
        <v>Mercy Robotics-Xcentrics</v>
      </c>
      <c r="C32" s="4" t="str">
        <f>IF(ISBLANK('TBA-Teams'!C32),"",CONCATENATE('TBA-Teams'!C32,", ",'TBA-Teams'!D32))</f>
        <v>Rochester, New York</v>
      </c>
      <c r="D32" s="44" t="str">
        <f t="shared" si="0"/>
        <v>View 2340</v>
      </c>
      <c r="E32" s="44" t="str">
        <f t="shared" si="1"/>
        <v>View 2340</v>
      </c>
      <c r="F32" s="44" t="str">
        <f t="shared" si="2"/>
        <v>View 2340</v>
      </c>
    </row>
    <row r="33" spans="1:6" ht="16" x14ac:dyDescent="0.2">
      <c r="A33" s="4">
        <f>IF(ISBLANK('TBA-Teams'!A33),"",'TBA-Teams'!A33)</f>
        <v>3003</v>
      </c>
      <c r="B33" s="4" t="str">
        <f>IF(ISBLANK('TBA-Teams'!B33),"",'TBA-Teams'!B33)</f>
        <v>TAN(X)</v>
      </c>
      <c r="C33" s="4" t="str">
        <f>IF(ISBLANK('TBA-Teams'!C33),"",CONCATENATE('TBA-Teams'!C33,", ",'TBA-Teams'!D33))</f>
        <v>Canandaigua, New York</v>
      </c>
      <c r="D33" s="44" t="str">
        <f t="shared" si="0"/>
        <v>View 3003</v>
      </c>
      <c r="E33" s="44" t="str">
        <f t="shared" si="1"/>
        <v>View 3003</v>
      </c>
      <c r="F33" s="44" t="str">
        <f t="shared" si="2"/>
        <v>View 3003</v>
      </c>
    </row>
    <row r="34" spans="1:6" ht="16" x14ac:dyDescent="0.2">
      <c r="A34" s="4">
        <f>IF(ISBLANK('TBA-Teams'!A34),"",'TBA-Teams'!A34)</f>
        <v>3015</v>
      </c>
      <c r="B34" s="4" t="str">
        <f>IF(ISBLANK('TBA-Teams'!B34),"",'TBA-Teams'!B34)</f>
        <v>Ranger Robotics</v>
      </c>
      <c r="C34" s="4" t="str">
        <f>IF(ISBLANK('TBA-Teams'!C34),"",CONCATENATE('TBA-Teams'!C34,", ",'TBA-Teams'!D34))</f>
        <v>Spencerport, New York</v>
      </c>
      <c r="D34" s="44" t="str">
        <f t="shared" si="0"/>
        <v>View 3015</v>
      </c>
      <c r="E34" s="44" t="str">
        <f t="shared" si="1"/>
        <v>View 3015</v>
      </c>
      <c r="F34" s="44" t="str">
        <f t="shared" si="2"/>
        <v>View 3015</v>
      </c>
    </row>
    <row r="35" spans="1:6" ht="16" x14ac:dyDescent="0.2">
      <c r="A35" s="4">
        <f>IF(ISBLANK('TBA-Teams'!A35),"",'TBA-Teams'!A35)</f>
        <v>3044</v>
      </c>
      <c r="B35" s="4" t="str">
        <f>IF(ISBLANK('TBA-Teams'!B35),"",'TBA-Teams'!B35)</f>
        <v>Team 0xBE4</v>
      </c>
      <c r="C35" s="4" t="str">
        <f>IF(ISBLANK('TBA-Teams'!C35),"",CONCATENATE('TBA-Teams'!C35,", ",'TBA-Teams'!D35))</f>
        <v>Ballston Spa, New York</v>
      </c>
      <c r="D35" s="44" t="str">
        <f t="shared" si="0"/>
        <v>View 3044</v>
      </c>
      <c r="E35" s="44" t="str">
        <f t="shared" si="1"/>
        <v>View 3044</v>
      </c>
      <c r="F35" s="44" t="str">
        <f t="shared" si="2"/>
        <v>View 3044</v>
      </c>
    </row>
    <row r="36" spans="1:6" ht="16" x14ac:dyDescent="0.2">
      <c r="A36" s="4">
        <f>IF(ISBLANK('TBA-Teams'!A36),"",'TBA-Teams'!A36)</f>
        <v>3173</v>
      </c>
      <c r="B36" s="4" t="str">
        <f>IF(ISBLANK('TBA-Teams'!B36),"",'TBA-Teams'!B36)</f>
        <v>IgKnighters</v>
      </c>
      <c r="C36" s="4" t="str">
        <f>IF(ISBLANK('TBA-Teams'!C36),"",CONCATENATE('TBA-Teams'!C36,", ",'TBA-Teams'!D36))</f>
        <v>Rochester, New York</v>
      </c>
      <c r="D36" s="44" t="str">
        <f t="shared" si="0"/>
        <v>View 3173</v>
      </c>
      <c r="E36" s="44" t="str">
        <f t="shared" si="1"/>
        <v>View 3173</v>
      </c>
      <c r="F36" s="44" t="str">
        <f t="shared" si="2"/>
        <v>View 3173</v>
      </c>
    </row>
    <row r="37" spans="1:6" ht="16" x14ac:dyDescent="0.2">
      <c r="A37" s="4">
        <f>IF(ISBLANK('TBA-Teams'!A37),"",'TBA-Teams'!A37)</f>
        <v>3181</v>
      </c>
      <c r="B37" s="4" t="str">
        <f>IF(ISBLANK('TBA-Teams'!B37),"",'TBA-Teams'!B37)</f>
        <v>Pittsford Panthers</v>
      </c>
      <c r="C37" s="4" t="str">
        <f>IF(ISBLANK('TBA-Teams'!C37),"",CONCATENATE('TBA-Teams'!C37,", ",'TBA-Teams'!D37))</f>
        <v>Pittsford, New York</v>
      </c>
      <c r="D37" s="44" t="str">
        <f t="shared" si="0"/>
        <v>View 3181</v>
      </c>
      <c r="E37" s="44" t="str">
        <f t="shared" si="1"/>
        <v>View 3181</v>
      </c>
      <c r="F37" s="44" t="str">
        <f t="shared" si="2"/>
        <v>View 3181</v>
      </c>
    </row>
    <row r="38" spans="1:6" ht="16" x14ac:dyDescent="0.2">
      <c r="A38" s="4">
        <f>IF(ISBLANK('TBA-Teams'!A38),"",'TBA-Teams'!A38)</f>
        <v>3799</v>
      </c>
      <c r="B38" s="4" t="str">
        <f>IF(ISBLANK('TBA-Teams'!B38),"",'TBA-Teams'!B38)</f>
        <v>Electric Fire</v>
      </c>
      <c r="C38" s="4" t="str">
        <f>IF(ISBLANK('TBA-Teams'!C38),"",CONCATENATE('TBA-Teams'!C38,", ",'TBA-Teams'!D38))</f>
        <v>Elmira, New York</v>
      </c>
      <c r="D38" s="44" t="str">
        <f t="shared" si="0"/>
        <v>View 3799</v>
      </c>
      <c r="E38" s="44" t="str">
        <f t="shared" si="1"/>
        <v>View 3799</v>
      </c>
      <c r="F38" s="44" t="str">
        <f t="shared" si="2"/>
        <v>View 3799</v>
      </c>
    </row>
    <row r="39" spans="1:6" ht="16" x14ac:dyDescent="0.2">
      <c r="A39" s="4">
        <f>IF(ISBLANK('TBA-Teams'!A39),"",'TBA-Teams'!A39)</f>
        <v>3838</v>
      </c>
      <c r="B39" s="4" t="str">
        <f>IF(ISBLANK('TBA-Teams'!B39),"",'TBA-Teams'!B39)</f>
        <v>Roc City Robotix</v>
      </c>
      <c r="C39" s="4" t="str">
        <f>IF(ISBLANK('TBA-Teams'!C39),"",CONCATENATE('TBA-Teams'!C39,", ",'TBA-Teams'!D39))</f>
        <v>Rochester, New York</v>
      </c>
      <c r="D39" s="44" t="str">
        <f t="shared" si="0"/>
        <v>View 3838</v>
      </c>
      <c r="E39" s="44" t="str">
        <f t="shared" si="1"/>
        <v>View 3838</v>
      </c>
      <c r="F39" s="44" t="str">
        <f t="shared" si="2"/>
        <v>View 3838</v>
      </c>
    </row>
    <row r="40" spans="1:6" ht="16" x14ac:dyDescent="0.2">
      <c r="A40" s="4">
        <f>IF(ISBLANK('TBA-Teams'!A40),"",'TBA-Teams'!A40)</f>
        <v>3951</v>
      </c>
      <c r="B40" s="4" t="str">
        <f>IF(ISBLANK('TBA-Teams'!B40),"",'TBA-Teams'!B40)</f>
        <v>SUITS</v>
      </c>
      <c r="C40" s="4" t="str">
        <f>IF(ISBLANK('TBA-Teams'!C40),"",CONCATENATE('TBA-Teams'!C40,", ",'TBA-Teams'!D40))</f>
        <v>Honeoye, New York</v>
      </c>
      <c r="D40" s="44" t="str">
        <f t="shared" si="0"/>
        <v>View 3951</v>
      </c>
      <c r="E40" s="44" t="str">
        <f t="shared" si="1"/>
        <v>View 3951</v>
      </c>
      <c r="F40" s="44" t="str">
        <f t="shared" si="2"/>
        <v>View 3951</v>
      </c>
    </row>
    <row r="41" spans="1:6" ht="16" x14ac:dyDescent="0.2">
      <c r="A41" s="4">
        <f>IF(ISBLANK('TBA-Teams'!A41),"",'TBA-Teams'!A41)</f>
        <v>4093</v>
      </c>
      <c r="B41" s="4" t="str">
        <f>IF(ISBLANK('TBA-Teams'!B41),"",'TBA-Teams'!B41)</f>
        <v>Hardwired</v>
      </c>
      <c r="C41" s="4" t="str">
        <f>IF(ISBLANK('TBA-Teams'!C41),"",CONCATENATE('TBA-Teams'!C41,", ",'TBA-Teams'!D41))</f>
        <v>Orleans County, New York</v>
      </c>
      <c r="D41" s="44" t="str">
        <f t="shared" si="0"/>
        <v>View 4093</v>
      </c>
      <c r="E41" s="44" t="str">
        <f t="shared" si="1"/>
        <v>View 4093</v>
      </c>
      <c r="F41" s="44" t="str">
        <f t="shared" si="2"/>
        <v>View 4093</v>
      </c>
    </row>
    <row r="42" spans="1:6" ht="16" x14ac:dyDescent="0.2">
      <c r="A42" s="4">
        <f>IF(ISBLANK('TBA-Teams'!A42),"",'TBA-Teams'!A42)</f>
        <v>4253</v>
      </c>
      <c r="B42" s="4" t="str">
        <f>IF(ISBLANK('TBA-Teams'!B42),"",'TBA-Teams'!B42)</f>
        <v>Raid Zero</v>
      </c>
      <c r="C42" s="4" t="str">
        <f>IF(ISBLANK('TBA-Teams'!C42),"",CONCATENATE('TBA-Teams'!C42,", ",'TBA-Teams'!D42))</f>
        <v>Taipei, Taipei Special Municipality</v>
      </c>
      <c r="D42" s="44" t="str">
        <f t="shared" si="0"/>
        <v>View 4253</v>
      </c>
      <c r="E42" s="44" t="str">
        <f t="shared" si="1"/>
        <v>View 4253</v>
      </c>
      <c r="F42" s="44" t="str">
        <f t="shared" si="2"/>
        <v>View 4253</v>
      </c>
    </row>
    <row r="43" spans="1:6" ht="16" x14ac:dyDescent="0.2">
      <c r="A43" s="4">
        <f>IF(ISBLANK('TBA-Teams'!A43),"",'TBA-Teams'!A43)</f>
        <v>4458</v>
      </c>
      <c r="B43" s="4" t="str">
        <f>IF(ISBLANK('TBA-Teams'!B43),"",'TBA-Teams'!B43)</f>
        <v>Infernobotix</v>
      </c>
      <c r="C43" s="4" t="str">
        <f>IF(ISBLANK('TBA-Teams'!C43),"",CONCATENATE('TBA-Teams'!C43,", ",'TBA-Teams'!D43))</f>
        <v>Center Moriches, New York</v>
      </c>
      <c r="D43" s="44" t="str">
        <f t="shared" si="0"/>
        <v>View 4458</v>
      </c>
      <c r="E43" s="44" t="str">
        <f t="shared" si="1"/>
        <v>View 4458</v>
      </c>
      <c r="F43" s="44" t="str">
        <f t="shared" si="2"/>
        <v>View 4458</v>
      </c>
    </row>
    <row r="44" spans="1:6" ht="16" x14ac:dyDescent="0.2">
      <c r="A44" s="4">
        <f>IF(ISBLANK('TBA-Teams'!A44),"",'TBA-Teams'!A44)</f>
        <v>4930</v>
      </c>
      <c r="B44" s="4" t="str">
        <f>IF(ISBLANK('TBA-Teams'!B44),"",'TBA-Teams'!B44)</f>
        <v>Electric Mayhem</v>
      </c>
      <c r="C44" s="4" t="str">
        <f>IF(ISBLANK('TBA-Teams'!C44),"",CONCATENATE('TBA-Teams'!C44,", ",'TBA-Teams'!D44))</f>
        <v>Buffalo, New York</v>
      </c>
      <c r="D44" s="44" t="str">
        <f t="shared" si="0"/>
        <v>View 4930</v>
      </c>
      <c r="E44" s="44" t="str">
        <f t="shared" si="1"/>
        <v>View 4930</v>
      </c>
      <c r="F44" s="44" t="str">
        <f t="shared" si="2"/>
        <v>View 4930</v>
      </c>
    </row>
    <row r="45" spans="1:6" ht="16" x14ac:dyDescent="0.2">
      <c r="A45" s="4">
        <f>IF(ISBLANK('TBA-Teams'!A45),"",'TBA-Teams'!A45)</f>
        <v>5528</v>
      </c>
      <c r="B45" s="4" t="str">
        <f>IF(ISBLANK('TBA-Teams'!B45),"",'TBA-Teams'!B45)</f>
        <v>Ultime</v>
      </c>
      <c r="C45" s="4" t="str">
        <f>IF(ISBLANK('TBA-Teams'!C45),"",CONCATENATE('TBA-Teams'!C45,", ",'TBA-Teams'!D45))</f>
        <v>Trois-Rivieres, Québec</v>
      </c>
      <c r="D45" s="44" t="str">
        <f t="shared" si="0"/>
        <v>View 5528</v>
      </c>
      <c r="E45" s="44" t="str">
        <f t="shared" si="1"/>
        <v>View 5528</v>
      </c>
      <c r="F45" s="44" t="str">
        <f t="shared" si="2"/>
        <v>View 5528</v>
      </c>
    </row>
    <row r="46" spans="1:6" ht="16" x14ac:dyDescent="0.2">
      <c r="A46" s="4">
        <f>IF(ISBLANK('TBA-Teams'!A46),"",'TBA-Teams'!A46)</f>
        <v>5590</v>
      </c>
      <c r="B46" s="4" t="str">
        <f>IF(ISBLANK('TBA-Teams'!B46),"",'TBA-Teams'!B46)</f>
        <v>Alumiboti</v>
      </c>
      <c r="C46" s="4" t="str">
        <f>IF(ISBLANK('TBA-Teams'!C46),"",CONCATENATE('TBA-Teams'!C46,", ",'TBA-Teams'!D46))</f>
        <v>Buffalo, New York</v>
      </c>
      <c r="D46" s="44" t="str">
        <f t="shared" si="0"/>
        <v>View 5590</v>
      </c>
      <c r="E46" s="44" t="str">
        <f t="shared" si="1"/>
        <v>View 5590</v>
      </c>
      <c r="F46" s="44" t="str">
        <f t="shared" si="2"/>
        <v>View 5590</v>
      </c>
    </row>
    <row r="47" spans="1:6" ht="16" x14ac:dyDescent="0.2">
      <c r="A47" s="4">
        <f>IF(ISBLANK('TBA-Teams'!A47),"",'TBA-Teams'!A47)</f>
        <v>6423</v>
      </c>
      <c r="B47" s="4" t="str">
        <f>IF(ISBLANK('TBA-Teams'!B47),"",'TBA-Teams'!B47)</f>
        <v>Ward Melville Iron Patriots</v>
      </c>
      <c r="C47" s="4" t="str">
        <f>IF(ISBLANK('TBA-Teams'!C47),"",CONCATENATE('TBA-Teams'!C47,", ",'TBA-Teams'!D47))</f>
        <v>East Setauket, New York</v>
      </c>
      <c r="D47" s="44" t="str">
        <f t="shared" si="0"/>
        <v>View 6423</v>
      </c>
      <c r="E47" s="44" t="str">
        <f t="shared" si="1"/>
        <v>View 6423</v>
      </c>
      <c r="F47" s="44" t="str">
        <f t="shared" si="2"/>
        <v>View 6423</v>
      </c>
    </row>
    <row r="48" spans="1:6" ht="16" x14ac:dyDescent="0.2">
      <c r="A48" s="4">
        <f>IF(ISBLANK('TBA-Teams'!A48),"",'TBA-Teams'!A48)</f>
        <v>6868</v>
      </c>
      <c r="B48" s="4" t="str">
        <f>IF(ISBLANK('TBA-Teams'!B48),"",'TBA-Teams'!B48)</f>
        <v>Cadet Robotics</v>
      </c>
      <c r="C48" s="4" t="str">
        <f>IF(ISBLANK('TBA-Teams'!C48),"",CONCATENATE('TBA-Teams'!C48,", ",'TBA-Teams'!D48))</f>
        <v>Hilton, New York</v>
      </c>
      <c r="D48" s="44" t="str">
        <f t="shared" si="0"/>
        <v>View 6868</v>
      </c>
      <c r="E48" s="44" t="str">
        <f t="shared" si="1"/>
        <v>View 6868</v>
      </c>
      <c r="F48" s="44" t="str">
        <f t="shared" si="2"/>
        <v>View 6868</v>
      </c>
    </row>
    <row r="49" spans="1:6" ht="16" x14ac:dyDescent="0.2">
      <c r="A49" s="4">
        <f>IF(ISBLANK('TBA-Teams'!A49),"",'TBA-Teams'!A49)</f>
        <v>6947</v>
      </c>
      <c r="B49" s="4" t="str">
        <f>IF(ISBLANK('TBA-Teams'!B49),"",'TBA-Teams'!B49)</f>
        <v>Savage Tumaz</v>
      </c>
      <c r="C49" s="4" t="str">
        <f>IF(ISBLANK('TBA-Teams'!C49),"",CONCATENATE('TBA-Teams'!C49,", ",'TBA-Teams'!D49))</f>
        <v>Taipei, Taipei Special Municipality</v>
      </c>
      <c r="D49" s="44" t="str">
        <f t="shared" si="0"/>
        <v>View 6947</v>
      </c>
      <c r="E49" s="44" t="str">
        <f t="shared" si="1"/>
        <v>View 6947</v>
      </c>
      <c r="F49" s="44" t="str">
        <f t="shared" si="2"/>
        <v>View 6947</v>
      </c>
    </row>
    <row r="50" spans="1:6" ht="16" x14ac:dyDescent="0.2">
      <c r="A50" s="4">
        <f>IF(ISBLANK('TBA-Teams'!A50),"",'TBA-Teams'!A50)</f>
        <v>7030</v>
      </c>
      <c r="B50" s="4" t="str">
        <f>IF(ISBLANK('TBA-Teams'!B50),"",'TBA-Teams'!B50)</f>
        <v>The ROBOlympians</v>
      </c>
      <c r="C50" s="4" t="str">
        <f>IF(ISBLANK('TBA-Teams'!C50),"",CONCATENATE('TBA-Teams'!C50,", ",'TBA-Teams'!D50))</f>
        <v>Lake Placid, New York</v>
      </c>
      <c r="D50" s="44" t="str">
        <f t="shared" si="0"/>
        <v>View 7030</v>
      </c>
      <c r="E50" s="44" t="str">
        <f t="shared" si="1"/>
        <v>View 7030</v>
      </c>
      <c r="F50" s="44" t="str">
        <f t="shared" si="2"/>
        <v>View 7030</v>
      </c>
    </row>
    <row r="51" spans="1:6" ht="16" x14ac:dyDescent="0.2">
      <c r="A51" s="4">
        <f>IF(ISBLANK('TBA-Teams'!A51),"",'TBA-Teams'!A51)</f>
        <v>7903</v>
      </c>
      <c r="B51" s="4" t="str">
        <f>IF(ISBLANK('TBA-Teams'!B51),"",'TBA-Teams'!B51)</f>
        <v>Tigers</v>
      </c>
      <c r="C51" s="4" t="str">
        <f>IF(ISBLANK('TBA-Teams'!C51),"",CONCATENATE('TBA-Teams'!C51,", ",'TBA-Teams'!D51))</f>
        <v>Rochester, New York</v>
      </c>
      <c r="D51" s="44" t="str">
        <f t="shared" si="0"/>
        <v>View 7903</v>
      </c>
      <c r="E51" s="44" t="str">
        <f t="shared" si="1"/>
        <v>View 7903</v>
      </c>
      <c r="F51" s="44" t="str">
        <f t="shared" si="2"/>
        <v>View 7903</v>
      </c>
    </row>
    <row r="52" spans="1:6" ht="16" x14ac:dyDescent="0.2">
      <c r="A52" s="4">
        <f>IF(ISBLANK('TBA-Teams'!A52),"",'TBA-Teams'!A52)</f>
        <v>8503</v>
      </c>
      <c r="B52" s="4" t="str">
        <f>IF(ISBLANK('TBA-Teams'!B52),"",'TBA-Teams'!B52)</f>
        <v>Raid One</v>
      </c>
      <c r="C52" s="4" t="str">
        <f>IF(ISBLANK('TBA-Teams'!C52),"",CONCATENATE('TBA-Teams'!C52,", ",'TBA-Teams'!D52))</f>
        <v>Taipei City, Taipei Special Municipality</v>
      </c>
      <c r="D52" s="44" t="str">
        <f t="shared" si="0"/>
        <v>View 8503</v>
      </c>
      <c r="E52" s="44" t="str">
        <f t="shared" si="1"/>
        <v>View 8503</v>
      </c>
      <c r="F52" s="44" t="str">
        <f t="shared" si="2"/>
        <v>View 8503</v>
      </c>
    </row>
    <row r="53" spans="1:6" ht="16" x14ac:dyDescent="0.2">
      <c r="A53" s="4">
        <f>IF(ISBLANK('TBA-Teams'!A53),"",'TBA-Teams'!A53)</f>
        <v>9016</v>
      </c>
      <c r="B53" s="4" t="str">
        <f>IF(ISBLANK('TBA-Teams'!B53),"",'TBA-Teams'!B53)</f>
        <v>Syosset SuperSonics</v>
      </c>
      <c r="C53" s="4" t="str">
        <f>IF(ISBLANK('TBA-Teams'!C53),"",CONCATENATE('TBA-Teams'!C53,", ",'TBA-Teams'!D53))</f>
        <v>Syosset, New York</v>
      </c>
      <c r="D53" s="44" t="str">
        <f t="shared" si="0"/>
        <v>View 9016</v>
      </c>
      <c r="E53" s="44" t="str">
        <f t="shared" si="1"/>
        <v>View 9016</v>
      </c>
      <c r="F53" s="44" t="str">
        <f t="shared" si="2"/>
        <v>View 9016</v>
      </c>
    </row>
    <row r="54" spans="1:6" ht="16" x14ac:dyDescent="0.2">
      <c r="A54" s="4">
        <f>IF(ISBLANK('TBA-Teams'!A54),"",'TBA-Teams'!A54)</f>
        <v>9767</v>
      </c>
      <c r="B54" s="4" t="str">
        <f>IF(ISBLANK('TBA-Teams'!B54),"",'TBA-Teams'!B54)</f>
        <v>Magnificat MagnifiBots</v>
      </c>
      <c r="C54" s="4" t="str">
        <f>IF(ISBLANK('TBA-Teams'!C54),"",CONCATENATE('TBA-Teams'!C54,", ",'TBA-Teams'!D54))</f>
        <v>Rocky River, Ohio</v>
      </c>
      <c r="D54" s="44" t="str">
        <f t="shared" si="0"/>
        <v>View 9767</v>
      </c>
      <c r="E54" s="44" t="str">
        <f t="shared" si="1"/>
        <v>View 9767</v>
      </c>
      <c r="F54" s="44" t="str">
        <f t="shared" si="2"/>
        <v>View 9767</v>
      </c>
    </row>
    <row r="55" spans="1:6" ht="16" x14ac:dyDescent="0.2">
      <c r="A55" s="4">
        <f>IF(ISBLANK('TBA-Teams'!A55),"",'TBA-Teams'!A55)</f>
        <v>10223</v>
      </c>
      <c r="B55" s="4" t="str">
        <f>IF(ISBLANK('TBA-Teams'!B55),"",'TBA-Teams'!B55)</f>
        <v>Crimson Jewels</v>
      </c>
      <c r="C55" s="4" t="str">
        <f>IF(ISBLANK('TBA-Teams'!C55),"",CONCATENATE('TBA-Teams'!C55,", ",'TBA-Teams'!D55))</f>
        <v>Rochester, New York</v>
      </c>
      <c r="D55" s="44" t="str">
        <f t="shared" si="0"/>
        <v>View 10223</v>
      </c>
      <c r="E55" s="44" t="str">
        <f t="shared" si="1"/>
        <v>View 10223</v>
      </c>
      <c r="F55" s="44" t="str">
        <f t="shared" si="2"/>
        <v>View 10223</v>
      </c>
    </row>
    <row r="56" spans="1:6" ht="16" x14ac:dyDescent="0.2">
      <c r="A56" s="4">
        <f>IF(ISBLANK('TBA-Teams'!A56),"",'TBA-Teams'!A56)</f>
        <v>10922</v>
      </c>
      <c r="B56" s="4" t="str">
        <f>IF(ISBLANK('TBA-Teams'!B56),"",'TBA-Teams'!B56)</f>
        <v>Amped</v>
      </c>
      <c r="C56" s="4" t="str">
        <f>IF(ISBLANK('TBA-Teams'!C56),"",CONCATENATE('TBA-Teams'!C56,", ",'TBA-Teams'!D56))</f>
        <v>Taipei, Taipei Special Municipality</v>
      </c>
      <c r="D56" s="44" t="str">
        <f t="shared" si="0"/>
        <v>View 10922</v>
      </c>
      <c r="E56" s="44" t="str">
        <f t="shared" si="1"/>
        <v>View 10922</v>
      </c>
      <c r="F56" s="44" t="str">
        <f t="shared" si="2"/>
        <v>View 10922</v>
      </c>
    </row>
    <row r="57" spans="1:6" ht="16" x14ac:dyDescent="0.2">
      <c r="A57" s="4" t="str">
        <f>IF(ISBLANK('TBA-Teams'!A57),"",'TBA-Teams'!A57)</f>
        <v/>
      </c>
      <c r="B57" s="4" t="str">
        <f>IF(ISBLANK('TBA-Teams'!B57),"",'TBA-Teams'!B57)</f>
        <v/>
      </c>
      <c r="C57" s="4" t="str">
        <f>IF(ISBLANK('TBA-Teams'!C57),"",CONCATENATE('TBA-Teams'!C57,", ",'TBA-Teams'!D57))</f>
        <v/>
      </c>
      <c r="D57" s="44" t="str">
        <f t="shared" si="0"/>
        <v/>
      </c>
      <c r="E57" s="44" t="str">
        <f t="shared" si="1"/>
        <v/>
      </c>
      <c r="F57" s="44" t="str">
        <f t="shared" si="2"/>
        <v/>
      </c>
    </row>
    <row r="58" spans="1:6" ht="16" x14ac:dyDescent="0.2">
      <c r="A58" s="4" t="str">
        <f>IF(ISBLANK('TBA-Teams'!A58),"",'TBA-Teams'!A58)</f>
        <v/>
      </c>
      <c r="B58" s="4" t="str">
        <f>IF(ISBLANK('TBA-Teams'!B58),"",'TBA-Teams'!B58)</f>
        <v/>
      </c>
      <c r="C58" s="4" t="str">
        <f>IF(ISBLANK('TBA-Teams'!C58),"",CONCATENATE('TBA-Teams'!C58,", ",'TBA-Teams'!D58))</f>
        <v/>
      </c>
      <c r="D58" s="44" t="str">
        <f t="shared" si="0"/>
        <v/>
      </c>
      <c r="E58" s="44" t="str">
        <f t="shared" si="1"/>
        <v/>
      </c>
      <c r="F58" s="44" t="str">
        <f t="shared" si="2"/>
        <v/>
      </c>
    </row>
    <row r="59" spans="1:6" ht="16" x14ac:dyDescent="0.2">
      <c r="A59" s="4" t="str">
        <f>IF(ISBLANK('TBA-Teams'!A59),"",'TBA-Teams'!A59)</f>
        <v/>
      </c>
      <c r="B59" s="4" t="str">
        <f>IF(ISBLANK('TBA-Teams'!B59),"",'TBA-Teams'!B59)</f>
        <v/>
      </c>
      <c r="C59" s="4" t="str">
        <f>IF(ISBLANK('TBA-Teams'!C59),"",CONCATENATE('TBA-Teams'!C59,", ",'TBA-Teams'!D59))</f>
        <v/>
      </c>
      <c r="D59" s="44" t="str">
        <f t="shared" si="0"/>
        <v/>
      </c>
      <c r="E59" s="44" t="str">
        <f t="shared" si="1"/>
        <v/>
      </c>
      <c r="F59" s="44" t="str">
        <f t="shared" si="2"/>
        <v/>
      </c>
    </row>
    <row r="60" spans="1:6" ht="16" x14ac:dyDescent="0.2">
      <c r="A60" s="4" t="str">
        <f>IF(ISBLANK('TBA-Teams'!A60),"",'TBA-Teams'!A60)</f>
        <v/>
      </c>
      <c r="B60" s="4" t="str">
        <f>IF(ISBLANK('TBA-Teams'!B60),"",'TBA-Teams'!B60)</f>
        <v/>
      </c>
      <c r="C60" s="4" t="str">
        <f>IF(ISBLANK('TBA-Teams'!C60),"",CONCATENATE('TBA-Teams'!C60,", ",'TBA-Teams'!D60))</f>
        <v/>
      </c>
      <c r="D60" s="44" t="str">
        <f t="shared" si="0"/>
        <v/>
      </c>
      <c r="E60" s="44" t="str">
        <f t="shared" si="1"/>
        <v/>
      </c>
      <c r="F60" s="44" t="str">
        <f t="shared" si="2"/>
        <v/>
      </c>
    </row>
    <row r="61" spans="1:6" ht="16" x14ac:dyDescent="0.2">
      <c r="A61" s="4" t="str">
        <f>IF(ISBLANK('TBA-Teams'!A61),"",'TBA-Teams'!A61)</f>
        <v/>
      </c>
      <c r="B61" s="4" t="str">
        <f>IF(ISBLANK('TBA-Teams'!B61),"",'TBA-Teams'!B61)</f>
        <v/>
      </c>
      <c r="C61" s="4" t="str">
        <f>IF(ISBLANK('TBA-Teams'!C61),"",CONCATENATE('TBA-Teams'!C61,", ",'TBA-Teams'!D61))</f>
        <v/>
      </c>
      <c r="D61" s="44" t="str">
        <f t="shared" si="0"/>
        <v/>
      </c>
      <c r="E61" s="44" t="str">
        <f t="shared" si="1"/>
        <v/>
      </c>
      <c r="F61" s="44" t="str">
        <f t="shared" si="2"/>
        <v/>
      </c>
    </row>
    <row r="62" spans="1:6" ht="16" x14ac:dyDescent="0.2">
      <c r="A62" s="4" t="str">
        <f>IF(ISBLANK('TBA-Teams'!A62),"",'TBA-Teams'!A62)</f>
        <v/>
      </c>
      <c r="B62" s="4" t="str">
        <f>IF(ISBLANK('TBA-Teams'!B62),"",'TBA-Teams'!B62)</f>
        <v/>
      </c>
      <c r="C62" s="4" t="str">
        <f>IF(ISBLANK('TBA-Teams'!C62),"",CONCATENATE('TBA-Teams'!C62,", ",'TBA-Teams'!D62))</f>
        <v/>
      </c>
      <c r="D62" s="44" t="str">
        <f t="shared" si="0"/>
        <v/>
      </c>
      <c r="E62" s="44" t="str">
        <f t="shared" si="1"/>
        <v/>
      </c>
      <c r="F62" s="44" t="str">
        <f t="shared" si="2"/>
        <v/>
      </c>
    </row>
    <row r="63" spans="1:6" ht="16" x14ac:dyDescent="0.2">
      <c r="A63" s="4" t="str">
        <f>IF(ISBLANK('TBA-Teams'!A63),"",'TBA-Teams'!A63)</f>
        <v/>
      </c>
      <c r="B63" s="4" t="str">
        <f>IF(ISBLANK('TBA-Teams'!B63),"",'TBA-Teams'!B63)</f>
        <v/>
      </c>
      <c r="C63" s="4" t="str">
        <f>IF(ISBLANK('TBA-Teams'!C63),"",CONCATENATE('TBA-Teams'!C63,", ",'TBA-Teams'!D63))</f>
        <v/>
      </c>
      <c r="D63" s="44" t="str">
        <f t="shared" si="0"/>
        <v/>
      </c>
      <c r="E63" s="44" t="str">
        <f t="shared" si="1"/>
        <v/>
      </c>
      <c r="F63" s="44" t="str">
        <f t="shared" si="2"/>
        <v/>
      </c>
    </row>
    <row r="64" spans="1:6" ht="16" x14ac:dyDescent="0.2">
      <c r="A64" s="4" t="str">
        <f>IF(ISBLANK('TBA-Teams'!A64),"",'TBA-Teams'!A64)</f>
        <v/>
      </c>
      <c r="B64" s="4" t="str">
        <f>IF(ISBLANK('TBA-Teams'!B64),"",'TBA-Teams'!B64)</f>
        <v/>
      </c>
      <c r="C64" s="4" t="str">
        <f>IF(ISBLANK('TBA-Teams'!C64),"",CONCATENATE('TBA-Teams'!C64,", ",'TBA-Teams'!D64))</f>
        <v/>
      </c>
      <c r="D64" s="44" t="str">
        <f t="shared" si="0"/>
        <v/>
      </c>
      <c r="E64" s="44" t="str">
        <f t="shared" si="1"/>
        <v/>
      </c>
      <c r="F64" s="44" t="str">
        <f t="shared" si="2"/>
        <v/>
      </c>
    </row>
    <row r="65" spans="1:6" ht="16" x14ac:dyDescent="0.2">
      <c r="A65" s="4" t="str">
        <f>IF(ISBLANK('TBA-Teams'!A65),"",'TBA-Teams'!A65)</f>
        <v/>
      </c>
      <c r="B65" s="4" t="str">
        <f>IF(ISBLANK('TBA-Teams'!B65),"",'TBA-Teams'!B65)</f>
        <v/>
      </c>
      <c r="C65" s="4" t="str">
        <f>IF(ISBLANK('TBA-Teams'!C65),"",CONCATENATE('TBA-Teams'!C65,", ",'TBA-Teams'!D65))</f>
        <v/>
      </c>
      <c r="D65" s="44" t="str">
        <f t="shared" si="0"/>
        <v/>
      </c>
      <c r="E65" s="44" t="str">
        <f t="shared" si="1"/>
        <v/>
      </c>
      <c r="F65" s="44" t="str">
        <f t="shared" si="2"/>
        <v/>
      </c>
    </row>
    <row r="66" spans="1:6" ht="16" x14ac:dyDescent="0.2">
      <c r="A66" s="4" t="str">
        <f>IF(ISBLANK('TBA-Teams'!A66),"",'TBA-Teams'!A66)</f>
        <v/>
      </c>
      <c r="B66" s="4" t="str">
        <f>IF(ISBLANK('TBA-Teams'!B66),"",'TBA-Teams'!B66)</f>
        <v/>
      </c>
      <c r="C66" s="4" t="str">
        <f>IF(ISBLANK('TBA-Teams'!C66),"",CONCATENATE('TBA-Teams'!C66,", ",'TBA-Teams'!D66))</f>
        <v/>
      </c>
      <c r="D66" s="44" t="str">
        <f t="shared" si="0"/>
        <v/>
      </c>
      <c r="E66" s="44" t="str">
        <f t="shared" si="1"/>
        <v/>
      </c>
      <c r="F66" s="44" t="str">
        <f t="shared" si="2"/>
        <v/>
      </c>
    </row>
    <row r="67" spans="1:6" ht="16" x14ac:dyDescent="0.2">
      <c r="A67" s="4" t="str">
        <f>IF(ISBLANK('TBA-Teams'!A67),"",'TBA-Teams'!A67)</f>
        <v/>
      </c>
      <c r="B67" s="4" t="str">
        <f>IF(ISBLANK('TBA-Teams'!B67),"",'TBA-Teams'!B67)</f>
        <v/>
      </c>
      <c r="C67" s="4" t="str">
        <f>IF(ISBLANK('TBA-Teams'!C67),"",CONCATENATE('TBA-Teams'!C67,", ",'TBA-Teams'!D67))</f>
        <v/>
      </c>
      <c r="D67" s="44" t="str">
        <f t="shared" ref="D67:D100" si="3">IF($A67&lt;&gt;"", HYPERLINK(CONCATENATE("https://www.thebluealliance.com/team/",$A67),CONCATENATE("View ",$A67)), "")</f>
        <v/>
      </c>
      <c r="E67" s="44" t="str">
        <f t="shared" ref="E67:E100" si="4">IF($A67&lt;&gt;"", HYPERLINK(CONCATENATE("https://frc-events.firstinspires.org/team/",$A67),CONCATENATE("View ",$A67)), "")</f>
        <v/>
      </c>
      <c r="F67" s="44" t="str">
        <f t="shared" ref="F67:F100" si="5">IF($A67&lt;&gt;"", HYPERLINK(CONCATENATE("https://www.statbotics.io/team/",$A67),CONCATENATE("View ",$A67)), "")</f>
        <v/>
      </c>
    </row>
    <row r="68" spans="1:6" ht="16" x14ac:dyDescent="0.2">
      <c r="A68" s="4" t="str">
        <f>IF(ISBLANK('TBA-Teams'!A68),"",'TBA-Teams'!A68)</f>
        <v/>
      </c>
      <c r="B68" s="4" t="str">
        <f>IF(ISBLANK('TBA-Teams'!B68),"",'TBA-Teams'!B68)</f>
        <v/>
      </c>
      <c r="C68" s="4" t="str">
        <f>IF(ISBLANK('TBA-Teams'!C68),"",CONCATENATE('TBA-Teams'!C68,", ",'TBA-Teams'!D68))</f>
        <v/>
      </c>
      <c r="D68" s="44" t="str">
        <f t="shared" si="3"/>
        <v/>
      </c>
      <c r="E68" s="44" t="str">
        <f t="shared" si="4"/>
        <v/>
      </c>
      <c r="F68" s="44" t="str">
        <f t="shared" si="5"/>
        <v/>
      </c>
    </row>
    <row r="69" spans="1:6" ht="16" x14ac:dyDescent="0.2">
      <c r="A69" s="4" t="str">
        <f>IF(ISBLANK('TBA-Teams'!A69),"",'TBA-Teams'!A69)</f>
        <v/>
      </c>
      <c r="B69" s="4" t="str">
        <f>IF(ISBLANK('TBA-Teams'!B69),"",'TBA-Teams'!B69)</f>
        <v/>
      </c>
      <c r="C69" s="4" t="str">
        <f>IF(ISBLANK('TBA-Teams'!C69),"",CONCATENATE('TBA-Teams'!C69,", ",'TBA-Teams'!D69))</f>
        <v/>
      </c>
      <c r="D69" s="44" t="str">
        <f t="shared" si="3"/>
        <v/>
      </c>
      <c r="E69" s="44" t="str">
        <f t="shared" si="4"/>
        <v/>
      </c>
      <c r="F69" s="44" t="str">
        <f t="shared" si="5"/>
        <v/>
      </c>
    </row>
    <row r="70" spans="1:6" ht="16" x14ac:dyDescent="0.2">
      <c r="A70" s="4" t="str">
        <f>IF(ISBLANK('TBA-Teams'!A70),"",'TBA-Teams'!A70)</f>
        <v/>
      </c>
      <c r="B70" s="4" t="str">
        <f>IF(ISBLANK('TBA-Teams'!B70),"",'TBA-Teams'!B70)</f>
        <v/>
      </c>
      <c r="C70" s="4" t="str">
        <f>IF(ISBLANK('TBA-Teams'!C70),"",CONCATENATE('TBA-Teams'!C70,", ",'TBA-Teams'!D70))</f>
        <v/>
      </c>
      <c r="D70" s="44" t="str">
        <f t="shared" si="3"/>
        <v/>
      </c>
      <c r="E70" s="44" t="str">
        <f t="shared" si="4"/>
        <v/>
      </c>
      <c r="F70" s="44" t="str">
        <f t="shared" si="5"/>
        <v/>
      </c>
    </row>
    <row r="71" spans="1:6" ht="16" x14ac:dyDescent="0.2">
      <c r="A71" s="4" t="str">
        <f>IF(ISBLANK('TBA-Teams'!A71),"",'TBA-Teams'!A71)</f>
        <v/>
      </c>
      <c r="B71" s="4" t="str">
        <f>IF(ISBLANK('TBA-Teams'!B71),"",'TBA-Teams'!B71)</f>
        <v/>
      </c>
      <c r="C71" s="4" t="str">
        <f>IF(ISBLANK('TBA-Teams'!C71),"",CONCATENATE('TBA-Teams'!C71,", ",'TBA-Teams'!D71))</f>
        <v/>
      </c>
      <c r="D71" s="44" t="str">
        <f t="shared" si="3"/>
        <v/>
      </c>
      <c r="E71" s="44" t="str">
        <f t="shared" si="4"/>
        <v/>
      </c>
      <c r="F71" s="44" t="str">
        <f t="shared" si="5"/>
        <v/>
      </c>
    </row>
    <row r="72" spans="1:6" ht="16" x14ac:dyDescent="0.2">
      <c r="A72" s="4" t="str">
        <f>IF(ISBLANK('TBA-Teams'!A72),"",'TBA-Teams'!A72)</f>
        <v/>
      </c>
      <c r="B72" s="4" t="str">
        <f>IF(ISBLANK('TBA-Teams'!B72),"",'TBA-Teams'!B72)</f>
        <v/>
      </c>
      <c r="C72" s="4" t="str">
        <f>IF(ISBLANK('TBA-Teams'!C72),"",CONCATENATE('TBA-Teams'!C72,", ",'TBA-Teams'!D72))</f>
        <v/>
      </c>
      <c r="D72" s="44" t="str">
        <f t="shared" si="3"/>
        <v/>
      </c>
      <c r="E72" s="44" t="str">
        <f t="shared" si="4"/>
        <v/>
      </c>
      <c r="F72" s="44" t="str">
        <f t="shared" si="5"/>
        <v/>
      </c>
    </row>
    <row r="73" spans="1:6" ht="16" x14ac:dyDescent="0.2">
      <c r="A73" s="4" t="str">
        <f>IF(ISBLANK('TBA-Teams'!A73),"",'TBA-Teams'!A73)</f>
        <v/>
      </c>
      <c r="B73" s="4" t="str">
        <f>IF(ISBLANK('TBA-Teams'!B73),"",'TBA-Teams'!B73)</f>
        <v/>
      </c>
      <c r="C73" s="4" t="str">
        <f>IF(ISBLANK('TBA-Teams'!C73),"",CONCATENATE('TBA-Teams'!C73,", ",'TBA-Teams'!D73))</f>
        <v/>
      </c>
      <c r="D73" s="44" t="str">
        <f t="shared" si="3"/>
        <v/>
      </c>
      <c r="E73" s="44" t="str">
        <f t="shared" si="4"/>
        <v/>
      </c>
      <c r="F73" s="44" t="str">
        <f t="shared" si="5"/>
        <v/>
      </c>
    </row>
    <row r="74" spans="1:6" ht="16" x14ac:dyDescent="0.2">
      <c r="A74" s="4" t="str">
        <f>IF(ISBLANK('TBA-Teams'!A74),"",'TBA-Teams'!A74)</f>
        <v/>
      </c>
      <c r="B74" s="4" t="str">
        <f>IF(ISBLANK('TBA-Teams'!B74),"",'TBA-Teams'!B74)</f>
        <v/>
      </c>
      <c r="C74" s="4" t="str">
        <f>IF(ISBLANK('TBA-Teams'!C74),"",CONCATENATE('TBA-Teams'!C74,", ",'TBA-Teams'!D74))</f>
        <v/>
      </c>
      <c r="D74" s="44" t="str">
        <f t="shared" si="3"/>
        <v/>
      </c>
      <c r="E74" s="44" t="str">
        <f t="shared" si="4"/>
        <v/>
      </c>
      <c r="F74" s="44" t="str">
        <f t="shared" si="5"/>
        <v/>
      </c>
    </row>
    <row r="75" spans="1:6" ht="16" x14ac:dyDescent="0.2">
      <c r="A75" s="4" t="str">
        <f>IF(ISBLANK('TBA-Teams'!A75),"",'TBA-Teams'!A75)</f>
        <v/>
      </c>
      <c r="B75" s="4" t="str">
        <f>IF(ISBLANK('TBA-Teams'!B75),"",'TBA-Teams'!B75)</f>
        <v/>
      </c>
      <c r="C75" s="4" t="str">
        <f>IF(ISBLANK('TBA-Teams'!C75),"",CONCATENATE('TBA-Teams'!C75,", ",'TBA-Teams'!D75))</f>
        <v/>
      </c>
      <c r="D75" s="44" t="str">
        <f t="shared" si="3"/>
        <v/>
      </c>
      <c r="E75" s="44" t="str">
        <f t="shared" si="4"/>
        <v/>
      </c>
      <c r="F75" s="44" t="str">
        <f t="shared" si="5"/>
        <v/>
      </c>
    </row>
    <row r="76" spans="1:6" ht="16" x14ac:dyDescent="0.2">
      <c r="A76" s="4" t="str">
        <f>IF(ISBLANK('TBA-Teams'!A76),"",'TBA-Teams'!A76)</f>
        <v/>
      </c>
      <c r="B76" s="4" t="str">
        <f>IF(ISBLANK('TBA-Teams'!B76),"",'TBA-Teams'!B76)</f>
        <v/>
      </c>
      <c r="C76" s="4" t="str">
        <f>IF(ISBLANK('TBA-Teams'!C76),"",CONCATENATE('TBA-Teams'!C76,", ",'TBA-Teams'!D76))</f>
        <v/>
      </c>
      <c r="D76" s="44" t="str">
        <f t="shared" si="3"/>
        <v/>
      </c>
      <c r="E76" s="44" t="str">
        <f t="shared" si="4"/>
        <v/>
      </c>
      <c r="F76" s="44" t="str">
        <f t="shared" si="5"/>
        <v/>
      </c>
    </row>
    <row r="77" spans="1:6" ht="16" x14ac:dyDescent="0.2">
      <c r="A77" s="4" t="str">
        <f>IF(ISBLANK('TBA-Teams'!A77),"",'TBA-Teams'!A77)</f>
        <v/>
      </c>
      <c r="B77" s="4" t="str">
        <f>IF(ISBLANK('TBA-Teams'!B77),"",'TBA-Teams'!B77)</f>
        <v/>
      </c>
      <c r="C77" s="4" t="str">
        <f>IF(ISBLANK('TBA-Teams'!C77),"",CONCATENATE('TBA-Teams'!C77,", ",'TBA-Teams'!D77))</f>
        <v/>
      </c>
      <c r="D77" s="44" t="str">
        <f t="shared" si="3"/>
        <v/>
      </c>
      <c r="E77" s="44" t="str">
        <f t="shared" si="4"/>
        <v/>
      </c>
      <c r="F77" s="44" t="str">
        <f t="shared" si="5"/>
        <v/>
      </c>
    </row>
    <row r="78" spans="1:6" ht="16" x14ac:dyDescent="0.2">
      <c r="A78" s="4" t="str">
        <f>IF(ISBLANK('TBA-Teams'!A78),"",'TBA-Teams'!A78)</f>
        <v/>
      </c>
      <c r="B78" s="4" t="str">
        <f>IF(ISBLANK('TBA-Teams'!B78),"",'TBA-Teams'!B78)</f>
        <v/>
      </c>
      <c r="C78" s="4" t="str">
        <f>IF(ISBLANK('TBA-Teams'!C78),"",CONCATENATE('TBA-Teams'!C78,", ",'TBA-Teams'!D78))</f>
        <v/>
      </c>
      <c r="D78" s="44" t="str">
        <f t="shared" si="3"/>
        <v/>
      </c>
      <c r="E78" s="44" t="str">
        <f t="shared" si="4"/>
        <v/>
      </c>
      <c r="F78" s="44" t="str">
        <f t="shared" si="5"/>
        <v/>
      </c>
    </row>
    <row r="79" spans="1:6" ht="16" x14ac:dyDescent="0.2">
      <c r="A79" s="4" t="str">
        <f>IF(ISBLANK('TBA-Teams'!A79),"",'TBA-Teams'!A79)</f>
        <v/>
      </c>
      <c r="B79" s="4" t="str">
        <f>IF(ISBLANK('TBA-Teams'!B79),"",'TBA-Teams'!B79)</f>
        <v/>
      </c>
      <c r="C79" s="4" t="str">
        <f>IF(ISBLANK('TBA-Teams'!C79),"",CONCATENATE('TBA-Teams'!C79,", ",'TBA-Teams'!D79))</f>
        <v/>
      </c>
      <c r="D79" s="44" t="str">
        <f t="shared" si="3"/>
        <v/>
      </c>
      <c r="E79" s="44" t="str">
        <f t="shared" si="4"/>
        <v/>
      </c>
      <c r="F79" s="44" t="str">
        <f t="shared" si="5"/>
        <v/>
      </c>
    </row>
    <row r="80" spans="1:6" ht="16" x14ac:dyDescent="0.2">
      <c r="A80" s="4" t="str">
        <f>IF(ISBLANK('TBA-Teams'!A80),"",'TBA-Teams'!A80)</f>
        <v/>
      </c>
      <c r="B80" s="4" t="str">
        <f>IF(ISBLANK('TBA-Teams'!B80),"",'TBA-Teams'!B80)</f>
        <v/>
      </c>
      <c r="C80" s="4" t="str">
        <f>IF(ISBLANK('TBA-Teams'!C80),"",CONCATENATE('TBA-Teams'!C80,", ",'TBA-Teams'!D80))</f>
        <v/>
      </c>
      <c r="D80" s="44" t="str">
        <f t="shared" si="3"/>
        <v/>
      </c>
      <c r="E80" s="44" t="str">
        <f t="shared" si="4"/>
        <v/>
      </c>
      <c r="F80" s="44" t="str">
        <f t="shared" si="5"/>
        <v/>
      </c>
    </row>
    <row r="81" spans="1:6" ht="16" x14ac:dyDescent="0.2">
      <c r="A81" s="4" t="str">
        <f>IF(ISBLANK('TBA-Teams'!A81),"",'TBA-Teams'!A81)</f>
        <v/>
      </c>
      <c r="B81" s="4" t="str">
        <f>IF(ISBLANK('TBA-Teams'!B81),"",'TBA-Teams'!B81)</f>
        <v/>
      </c>
      <c r="C81" s="4" t="str">
        <f>IF(ISBLANK('TBA-Teams'!C81),"",CONCATENATE('TBA-Teams'!C81,", ",'TBA-Teams'!D81))</f>
        <v/>
      </c>
      <c r="D81" s="44" t="str">
        <f t="shared" si="3"/>
        <v/>
      </c>
      <c r="E81" s="44" t="str">
        <f t="shared" si="4"/>
        <v/>
      </c>
      <c r="F81" s="44" t="str">
        <f t="shared" si="5"/>
        <v/>
      </c>
    </row>
    <row r="82" spans="1:6" ht="16" x14ac:dyDescent="0.2">
      <c r="A82" s="4" t="str">
        <f>IF(ISBLANK('TBA-Teams'!A82),"",'TBA-Teams'!A82)</f>
        <v/>
      </c>
      <c r="B82" s="4" t="str">
        <f>IF(ISBLANK('TBA-Teams'!B82),"",'TBA-Teams'!B82)</f>
        <v/>
      </c>
      <c r="C82" s="4" t="str">
        <f>IF(ISBLANK('TBA-Teams'!C82),"",CONCATENATE('TBA-Teams'!C82,", ",'TBA-Teams'!D82))</f>
        <v/>
      </c>
      <c r="D82" s="44" t="str">
        <f t="shared" si="3"/>
        <v/>
      </c>
      <c r="E82" s="44" t="str">
        <f t="shared" si="4"/>
        <v/>
      </c>
      <c r="F82" s="44" t="str">
        <f t="shared" si="5"/>
        <v/>
      </c>
    </row>
    <row r="83" spans="1:6" ht="16" x14ac:dyDescent="0.2">
      <c r="A83" s="4" t="str">
        <f>IF(ISBLANK('TBA-Teams'!A83),"",'TBA-Teams'!A83)</f>
        <v/>
      </c>
      <c r="B83" s="4" t="str">
        <f>IF(ISBLANK('TBA-Teams'!B83),"",'TBA-Teams'!B83)</f>
        <v/>
      </c>
      <c r="C83" s="4" t="str">
        <f>IF(ISBLANK('TBA-Teams'!C83),"",CONCATENATE('TBA-Teams'!C83,", ",'TBA-Teams'!D83))</f>
        <v/>
      </c>
      <c r="D83" s="44" t="str">
        <f t="shared" si="3"/>
        <v/>
      </c>
      <c r="E83" s="44" t="str">
        <f t="shared" si="4"/>
        <v/>
      </c>
      <c r="F83" s="44" t="str">
        <f t="shared" si="5"/>
        <v/>
      </c>
    </row>
    <row r="84" spans="1:6" ht="16" x14ac:dyDescent="0.2">
      <c r="A84" s="4" t="str">
        <f>IF(ISBLANK('TBA-Teams'!A84),"",'TBA-Teams'!A84)</f>
        <v/>
      </c>
      <c r="B84" s="4" t="str">
        <f>IF(ISBLANK('TBA-Teams'!B84),"",'TBA-Teams'!B84)</f>
        <v/>
      </c>
      <c r="C84" s="4" t="str">
        <f>IF(ISBLANK('TBA-Teams'!C84),"",CONCATENATE('TBA-Teams'!C84,", ",'TBA-Teams'!D84))</f>
        <v/>
      </c>
      <c r="D84" s="44" t="str">
        <f t="shared" si="3"/>
        <v/>
      </c>
      <c r="E84" s="44" t="str">
        <f t="shared" si="4"/>
        <v/>
      </c>
      <c r="F84" s="44" t="str">
        <f t="shared" si="5"/>
        <v/>
      </c>
    </row>
    <row r="85" spans="1:6" ht="16" x14ac:dyDescent="0.2">
      <c r="A85" s="4" t="str">
        <f>IF(ISBLANK('TBA-Teams'!A85),"",'TBA-Teams'!A85)</f>
        <v/>
      </c>
      <c r="B85" s="4" t="str">
        <f>IF(ISBLANK('TBA-Teams'!B85),"",'TBA-Teams'!B85)</f>
        <v/>
      </c>
      <c r="C85" s="4" t="str">
        <f>IF(ISBLANK('TBA-Teams'!C85),"",CONCATENATE('TBA-Teams'!C85,", ",'TBA-Teams'!D85))</f>
        <v/>
      </c>
      <c r="D85" s="44" t="str">
        <f t="shared" si="3"/>
        <v/>
      </c>
      <c r="E85" s="44" t="str">
        <f t="shared" si="4"/>
        <v/>
      </c>
      <c r="F85" s="44" t="str">
        <f t="shared" si="5"/>
        <v/>
      </c>
    </row>
    <row r="86" spans="1:6" ht="16" x14ac:dyDescent="0.2">
      <c r="A86" s="4" t="str">
        <f>IF(ISBLANK('TBA-Teams'!A86),"",'TBA-Teams'!A86)</f>
        <v/>
      </c>
      <c r="B86" s="4" t="str">
        <f>IF(ISBLANK('TBA-Teams'!B86),"",'TBA-Teams'!B86)</f>
        <v/>
      </c>
      <c r="C86" s="4" t="str">
        <f>IF(ISBLANK('TBA-Teams'!C86),"",CONCATENATE('TBA-Teams'!C86,", ",'TBA-Teams'!D86))</f>
        <v/>
      </c>
      <c r="D86" s="44" t="str">
        <f t="shared" si="3"/>
        <v/>
      </c>
      <c r="E86" s="44" t="str">
        <f t="shared" si="4"/>
        <v/>
      </c>
      <c r="F86" s="44" t="str">
        <f t="shared" si="5"/>
        <v/>
      </c>
    </row>
    <row r="87" spans="1:6" ht="16" x14ac:dyDescent="0.2">
      <c r="A87" s="4" t="str">
        <f>IF(ISBLANK('TBA-Teams'!A87),"",'TBA-Teams'!A87)</f>
        <v/>
      </c>
      <c r="B87" s="4" t="str">
        <f>IF(ISBLANK('TBA-Teams'!B87),"",'TBA-Teams'!B87)</f>
        <v/>
      </c>
      <c r="C87" s="4" t="str">
        <f>IF(ISBLANK('TBA-Teams'!C87),"",CONCATENATE('TBA-Teams'!C87,", ",'TBA-Teams'!D87))</f>
        <v/>
      </c>
      <c r="D87" s="44" t="str">
        <f t="shared" si="3"/>
        <v/>
      </c>
      <c r="E87" s="44" t="str">
        <f t="shared" si="4"/>
        <v/>
      </c>
      <c r="F87" s="44" t="str">
        <f t="shared" si="5"/>
        <v/>
      </c>
    </row>
    <row r="88" spans="1:6" ht="16" x14ac:dyDescent="0.2">
      <c r="A88" s="4" t="str">
        <f>IF(ISBLANK('TBA-Teams'!A88),"",'TBA-Teams'!A88)</f>
        <v/>
      </c>
      <c r="B88" s="4" t="str">
        <f>IF(ISBLANK('TBA-Teams'!B88),"",'TBA-Teams'!B88)</f>
        <v/>
      </c>
      <c r="C88" s="4" t="str">
        <f>IF(ISBLANK('TBA-Teams'!C88),"",CONCATENATE('TBA-Teams'!C88,", ",'TBA-Teams'!D88))</f>
        <v/>
      </c>
      <c r="D88" s="44" t="str">
        <f t="shared" si="3"/>
        <v/>
      </c>
      <c r="E88" s="44" t="str">
        <f t="shared" si="4"/>
        <v/>
      </c>
      <c r="F88" s="44" t="str">
        <f t="shared" si="5"/>
        <v/>
      </c>
    </row>
    <row r="89" spans="1:6" ht="16" x14ac:dyDescent="0.2">
      <c r="A89" s="4" t="str">
        <f>IF(ISBLANK('TBA-Teams'!A89),"",'TBA-Teams'!A89)</f>
        <v/>
      </c>
      <c r="B89" s="4" t="str">
        <f>IF(ISBLANK('TBA-Teams'!B89),"",'TBA-Teams'!B89)</f>
        <v/>
      </c>
      <c r="C89" s="4" t="str">
        <f>IF(ISBLANK('TBA-Teams'!C89),"",CONCATENATE('TBA-Teams'!C89,", ",'TBA-Teams'!D89))</f>
        <v/>
      </c>
      <c r="D89" s="44" t="str">
        <f t="shared" si="3"/>
        <v/>
      </c>
      <c r="E89" s="44" t="str">
        <f t="shared" si="4"/>
        <v/>
      </c>
      <c r="F89" s="44" t="str">
        <f t="shared" si="5"/>
        <v/>
      </c>
    </row>
    <row r="90" spans="1:6" ht="16" x14ac:dyDescent="0.2">
      <c r="A90" s="4" t="str">
        <f>IF(ISBLANK('TBA-Teams'!A90),"",'TBA-Teams'!A90)</f>
        <v/>
      </c>
      <c r="B90" s="4" t="str">
        <f>IF(ISBLANK('TBA-Teams'!B90),"",'TBA-Teams'!B90)</f>
        <v/>
      </c>
      <c r="C90" s="4" t="str">
        <f>IF(ISBLANK('TBA-Teams'!C90),"",CONCATENATE('TBA-Teams'!C90,", ",'TBA-Teams'!D90))</f>
        <v/>
      </c>
      <c r="D90" s="44" t="str">
        <f t="shared" si="3"/>
        <v/>
      </c>
      <c r="E90" s="44" t="str">
        <f t="shared" si="4"/>
        <v/>
      </c>
      <c r="F90" s="44" t="str">
        <f t="shared" si="5"/>
        <v/>
      </c>
    </row>
    <row r="91" spans="1:6" ht="16" x14ac:dyDescent="0.2">
      <c r="A91" s="4" t="str">
        <f>IF(ISBLANK('TBA-Teams'!A91),"",'TBA-Teams'!A91)</f>
        <v/>
      </c>
      <c r="B91" s="4" t="str">
        <f>IF(ISBLANK('TBA-Teams'!B91),"",'TBA-Teams'!B91)</f>
        <v/>
      </c>
      <c r="C91" s="4" t="str">
        <f>IF(ISBLANK('TBA-Teams'!C91),"",CONCATENATE('TBA-Teams'!C91,", ",'TBA-Teams'!D91))</f>
        <v/>
      </c>
      <c r="D91" s="44" t="str">
        <f t="shared" si="3"/>
        <v/>
      </c>
      <c r="E91" s="44" t="str">
        <f t="shared" si="4"/>
        <v/>
      </c>
      <c r="F91" s="44" t="str">
        <f t="shared" si="5"/>
        <v/>
      </c>
    </row>
    <row r="92" spans="1:6" ht="16" x14ac:dyDescent="0.2">
      <c r="A92" s="4" t="str">
        <f>IF(ISBLANK('TBA-Teams'!A92),"",'TBA-Teams'!A92)</f>
        <v/>
      </c>
      <c r="B92" s="4" t="str">
        <f>IF(ISBLANK('TBA-Teams'!B92),"",'TBA-Teams'!B92)</f>
        <v/>
      </c>
      <c r="C92" s="4" t="str">
        <f>IF(ISBLANK('TBA-Teams'!C92),"",CONCATENATE('TBA-Teams'!C92,", ",'TBA-Teams'!D92))</f>
        <v/>
      </c>
      <c r="D92" s="44" t="str">
        <f t="shared" si="3"/>
        <v/>
      </c>
      <c r="E92" s="44" t="str">
        <f t="shared" si="4"/>
        <v/>
      </c>
      <c r="F92" s="44" t="str">
        <f t="shared" si="5"/>
        <v/>
      </c>
    </row>
    <row r="93" spans="1:6" ht="16" x14ac:dyDescent="0.2">
      <c r="A93" s="4" t="str">
        <f>IF(ISBLANK('TBA-Teams'!A93),"",'TBA-Teams'!A93)</f>
        <v/>
      </c>
      <c r="B93" s="4" t="str">
        <f>IF(ISBLANK('TBA-Teams'!B93),"",'TBA-Teams'!B93)</f>
        <v/>
      </c>
      <c r="C93" s="4" t="str">
        <f>IF(ISBLANK('TBA-Teams'!C93),"",CONCATENATE('TBA-Teams'!C93,", ",'TBA-Teams'!D93))</f>
        <v/>
      </c>
      <c r="D93" s="44" t="str">
        <f t="shared" si="3"/>
        <v/>
      </c>
      <c r="E93" s="44" t="str">
        <f t="shared" si="4"/>
        <v/>
      </c>
      <c r="F93" s="44" t="str">
        <f t="shared" si="5"/>
        <v/>
      </c>
    </row>
    <row r="94" spans="1:6" ht="16" x14ac:dyDescent="0.2">
      <c r="A94" s="4" t="str">
        <f>IF(ISBLANK('TBA-Teams'!A94),"",'TBA-Teams'!A94)</f>
        <v/>
      </c>
      <c r="B94" s="4" t="str">
        <f>IF(ISBLANK('TBA-Teams'!B94),"",'TBA-Teams'!B94)</f>
        <v/>
      </c>
      <c r="C94" s="4" t="str">
        <f>IF(ISBLANK('TBA-Teams'!C94),"",CONCATENATE('TBA-Teams'!C94,", ",'TBA-Teams'!D94))</f>
        <v/>
      </c>
      <c r="D94" s="44" t="str">
        <f t="shared" si="3"/>
        <v/>
      </c>
      <c r="E94" s="44" t="str">
        <f t="shared" si="4"/>
        <v/>
      </c>
      <c r="F94" s="44" t="str">
        <f t="shared" si="5"/>
        <v/>
      </c>
    </row>
    <row r="95" spans="1:6" ht="16" x14ac:dyDescent="0.2">
      <c r="A95" s="4" t="str">
        <f>IF(ISBLANK('TBA-Teams'!A95),"",'TBA-Teams'!A95)</f>
        <v/>
      </c>
      <c r="B95" s="4" t="str">
        <f>IF(ISBLANK('TBA-Teams'!B95),"",'TBA-Teams'!B95)</f>
        <v/>
      </c>
      <c r="C95" s="4" t="str">
        <f>IF(ISBLANK('TBA-Teams'!C95),"",CONCATENATE('TBA-Teams'!C95,", ",'TBA-Teams'!D95))</f>
        <v/>
      </c>
      <c r="D95" s="44" t="str">
        <f t="shared" si="3"/>
        <v/>
      </c>
      <c r="E95" s="44" t="str">
        <f t="shared" si="4"/>
        <v/>
      </c>
      <c r="F95" s="44" t="str">
        <f t="shared" si="5"/>
        <v/>
      </c>
    </row>
    <row r="96" spans="1:6" ht="16" x14ac:dyDescent="0.2">
      <c r="A96" s="4" t="str">
        <f>IF(ISBLANK('TBA-Teams'!A96),"",'TBA-Teams'!A96)</f>
        <v/>
      </c>
      <c r="B96" s="4" t="str">
        <f>IF(ISBLANK('TBA-Teams'!B96),"",'TBA-Teams'!B96)</f>
        <v/>
      </c>
      <c r="C96" s="4" t="str">
        <f>IF(ISBLANK('TBA-Teams'!C96),"",CONCATENATE('TBA-Teams'!C96,", ",'TBA-Teams'!D96))</f>
        <v/>
      </c>
      <c r="D96" s="44" t="str">
        <f t="shared" si="3"/>
        <v/>
      </c>
      <c r="E96" s="44" t="str">
        <f t="shared" si="4"/>
        <v/>
      </c>
      <c r="F96" s="44" t="str">
        <f t="shared" si="5"/>
        <v/>
      </c>
    </row>
    <row r="97" spans="1:6" ht="16" x14ac:dyDescent="0.2">
      <c r="A97" s="4" t="str">
        <f>IF(ISBLANK('TBA-Teams'!A97),"",'TBA-Teams'!A97)</f>
        <v/>
      </c>
      <c r="B97" s="4" t="str">
        <f>IF(ISBLANK('TBA-Teams'!B97),"",'TBA-Teams'!B97)</f>
        <v/>
      </c>
      <c r="C97" s="4" t="str">
        <f>IF(ISBLANK('TBA-Teams'!C97),"",CONCATENATE('TBA-Teams'!C97,", ",'TBA-Teams'!D97))</f>
        <v/>
      </c>
      <c r="D97" s="44" t="str">
        <f t="shared" si="3"/>
        <v/>
      </c>
      <c r="E97" s="44" t="str">
        <f t="shared" si="4"/>
        <v/>
      </c>
      <c r="F97" s="44" t="str">
        <f t="shared" si="5"/>
        <v/>
      </c>
    </row>
    <row r="98" spans="1:6" ht="16" x14ac:dyDescent="0.2">
      <c r="A98" s="4" t="str">
        <f>IF(ISBLANK('TBA-Teams'!A98),"",'TBA-Teams'!A98)</f>
        <v/>
      </c>
      <c r="B98" s="4" t="str">
        <f>IF(ISBLANK('TBA-Teams'!B98),"",'TBA-Teams'!B98)</f>
        <v/>
      </c>
      <c r="C98" s="4" t="str">
        <f>IF(ISBLANK('TBA-Teams'!C98),"",CONCATENATE('TBA-Teams'!C98,", ",'TBA-Teams'!D98))</f>
        <v/>
      </c>
      <c r="D98" s="44" t="str">
        <f t="shared" si="3"/>
        <v/>
      </c>
      <c r="E98" s="44" t="str">
        <f t="shared" si="4"/>
        <v/>
      </c>
      <c r="F98" s="44" t="str">
        <f t="shared" si="5"/>
        <v/>
      </c>
    </row>
    <row r="99" spans="1:6" ht="16" x14ac:dyDescent="0.2">
      <c r="A99" s="4" t="str">
        <f>IF(ISBLANK('TBA-Teams'!A99),"",'TBA-Teams'!A99)</f>
        <v/>
      </c>
      <c r="B99" s="4" t="str">
        <f>IF(ISBLANK('TBA-Teams'!B99),"",'TBA-Teams'!B99)</f>
        <v/>
      </c>
      <c r="C99" s="4" t="str">
        <f>IF(ISBLANK('TBA-Teams'!C99),"",CONCATENATE('TBA-Teams'!C99,", ",'TBA-Teams'!D99))</f>
        <v/>
      </c>
      <c r="D99" s="44" t="str">
        <f t="shared" si="3"/>
        <v/>
      </c>
      <c r="E99" s="44" t="str">
        <f t="shared" si="4"/>
        <v/>
      </c>
      <c r="F99" s="44" t="str">
        <f t="shared" si="5"/>
        <v/>
      </c>
    </row>
    <row r="100" spans="1:6" ht="16" x14ac:dyDescent="0.2">
      <c r="A100" s="4" t="str">
        <f>IF(ISBLANK('TBA-Teams'!A100),"",'TBA-Teams'!A100)</f>
        <v/>
      </c>
      <c r="B100" s="4" t="str">
        <f>IF(ISBLANK('TBA-Teams'!B100),"",'TBA-Teams'!B100)</f>
        <v/>
      </c>
      <c r="C100" s="4" t="str">
        <f>IF(ISBLANK('TBA-Teams'!C100),"",CONCATENATE('TBA-Teams'!C100,", ",'TBA-Teams'!D100))</f>
        <v/>
      </c>
      <c r="D100" s="44" t="str">
        <f t="shared" si="3"/>
        <v/>
      </c>
      <c r="E100" s="44" t="str">
        <f t="shared" si="4"/>
        <v/>
      </c>
      <c r="F100" s="44" t="str">
        <f t="shared" si="5"/>
        <v/>
      </c>
    </row>
  </sheetData>
  <autoFilter ref="A1:F1" xr:uid="{00000000-0001-0000-0200-000000000000}">
    <sortState xmlns:xlrd2="http://schemas.microsoft.com/office/spreadsheetml/2017/richdata2" ref="A2:F100">
      <sortCondition ref="A1:A100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1"/>
  <sheetViews>
    <sheetView zoomScale="150" zoomScaleNormal="15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8.83203125" style="12"/>
    <col min="2" max="2" width="11.33203125" style="12" bestFit="1" customWidth="1"/>
    <col min="3" max="3" width="16" style="12" bestFit="1" customWidth="1"/>
    <col min="4" max="9" width="15" style="12" customWidth="1"/>
    <col min="11" max="11" width="35.83203125" customWidth="1"/>
  </cols>
  <sheetData>
    <row r="1" spans="1:11" ht="20" customHeight="1" x14ac:dyDescent="0.2">
      <c r="A1" s="13" t="s">
        <v>630</v>
      </c>
      <c r="B1" s="5" t="s">
        <v>1</v>
      </c>
      <c r="C1" s="13" t="s">
        <v>97</v>
      </c>
      <c r="D1" s="8" t="s">
        <v>34</v>
      </c>
      <c r="E1" s="8" t="s">
        <v>35</v>
      </c>
      <c r="F1" s="8" t="s">
        <v>36</v>
      </c>
      <c r="G1" s="7" t="s">
        <v>31</v>
      </c>
      <c r="H1" s="7" t="s">
        <v>32</v>
      </c>
      <c r="I1" s="7" t="s">
        <v>33</v>
      </c>
    </row>
    <row r="2" spans="1:11" ht="16" x14ac:dyDescent="0.2">
      <c r="A2" s="79" t="str" cm="1">
        <f t="array" ref="A2">IF('TBA-Matches'!D2&lt;&gt;"", _xlfn.SWITCH('TBA-Matches'!D2, "qm", "Qualies", "sf", "Semis", "f", "Finals"), "")</f>
        <v>Qualies</v>
      </c>
      <c r="B2" s="79">
        <f>IF('TBA-Matches'!E2 &lt;&gt; "", 'TBA-Matches'!E2, "")</f>
        <v>1</v>
      </c>
      <c r="C2" s="80" t="str">
        <f>IF('TBA-Matches'!B2 &lt;&gt; "", CONCATENATE(TEXT('TBA-Matches'!B2,"ddd"),": ",TEXT('TBA-Matches'!C3, "HH:MM")), "")</f>
        <v>Fri: 08:59</v>
      </c>
      <c r="D2" s="45">
        <f>IF('TBA-Matches'!G2 &lt;&gt; "", 'TBA-Matches'!G2, "")</f>
        <v>810</v>
      </c>
      <c r="E2" s="45">
        <f>IF('TBA-Matches'!H2 &lt;&gt; "", 'TBA-Matches'!H2, "")</f>
        <v>564</v>
      </c>
      <c r="F2" s="45">
        <f>IF('TBA-Matches'!I2 &lt;&gt; "", 'TBA-Matches'!I2, "")</f>
        <v>10922</v>
      </c>
      <c r="G2" s="45">
        <f>IF('TBA-Matches'!J2 &lt;&gt; "", 'TBA-Matches'!J2, "")</f>
        <v>5528</v>
      </c>
      <c r="H2" s="45">
        <f>IF('TBA-Matches'!K2 &lt;&gt; "", 'TBA-Matches'!K2, "")</f>
        <v>1405</v>
      </c>
      <c r="I2" s="45">
        <f>IF('TBA-Matches'!L2 &lt;&gt; "", 'TBA-Matches'!L2, "")</f>
        <v>7030</v>
      </c>
      <c r="K2" t="s">
        <v>37</v>
      </c>
    </row>
    <row r="3" spans="1:11" ht="16" x14ac:dyDescent="0.2">
      <c r="A3" s="79" t="str" cm="1">
        <f t="array" ref="A3">IF('TBA-Matches'!D3&lt;&gt;"", _xlfn.SWITCH('TBA-Matches'!D3, "qm", "Qualies", "sf", "Semis", "f", "Finals"), "")</f>
        <v>Qualies</v>
      </c>
      <c r="B3" s="79">
        <f>IF('TBA-Matches'!E3 &lt;&gt; "", 'TBA-Matches'!E3, "")</f>
        <v>2</v>
      </c>
      <c r="C3" s="80" t="str">
        <f>IF('TBA-Matches'!B3 &lt;&gt; "", CONCATENATE(TEXT('TBA-Matches'!B3,"ddd"),": ",TEXT('TBA-Matches'!C4, "HH:MM")), "")</f>
        <v>Fri: 09:08</v>
      </c>
      <c r="D3" s="45">
        <f>IF('TBA-Matches'!G3 &lt;&gt; "", 'TBA-Matches'!G3, "")</f>
        <v>1559</v>
      </c>
      <c r="E3" s="45">
        <f>IF('TBA-Matches'!H3 &lt;&gt; "", 'TBA-Matches'!H3, "")</f>
        <v>4253</v>
      </c>
      <c r="F3" s="45">
        <f>IF('TBA-Matches'!I3 &lt;&gt; "", 'TBA-Matches'!I3, "")</f>
        <v>271</v>
      </c>
      <c r="G3" s="45">
        <f>IF('TBA-Matches'!J3 &lt;&gt; "", 'TBA-Matches'!J3, "")</f>
        <v>1591</v>
      </c>
      <c r="H3" s="45">
        <f>IF('TBA-Matches'!K3 &lt;&gt; "", 'TBA-Matches'!K3, "")</f>
        <v>432</v>
      </c>
      <c r="I3" s="45">
        <f>IF('TBA-Matches'!L3 &lt;&gt; "", 'TBA-Matches'!L3, "")</f>
        <v>1468</v>
      </c>
      <c r="K3" s="46" t="s">
        <v>38</v>
      </c>
    </row>
    <row r="4" spans="1:11" ht="16" x14ac:dyDescent="0.2">
      <c r="A4" s="79" t="str" cm="1">
        <f t="array" ref="A4">IF('TBA-Matches'!D4&lt;&gt;"", _xlfn.SWITCH('TBA-Matches'!D4, "qm", "Qualies", "sf", "Semis", "f", "Finals"), "")</f>
        <v>Qualies</v>
      </c>
      <c r="B4" s="79">
        <f>IF('TBA-Matches'!E4 &lt;&gt; "", 'TBA-Matches'!E4, "")</f>
        <v>3</v>
      </c>
      <c r="C4" s="80" t="str">
        <f>IF('TBA-Matches'!B4 &lt;&gt; "", CONCATENATE(TEXT('TBA-Matches'!B4,"ddd"),": ",TEXT('TBA-Matches'!C5, "HH:MM")), "")</f>
        <v>Fri: 09:17</v>
      </c>
      <c r="D4" s="45">
        <f>IF('TBA-Matches'!G4 &lt;&gt; "", 'TBA-Matches'!G4, "")</f>
        <v>3173</v>
      </c>
      <c r="E4" s="45">
        <f>IF('TBA-Matches'!H4 &lt;&gt; "", 'TBA-Matches'!H4, "")</f>
        <v>7903</v>
      </c>
      <c r="F4" s="45">
        <f>IF('TBA-Matches'!I4 &lt;&gt; "", 'TBA-Matches'!I4, "")</f>
        <v>3015</v>
      </c>
      <c r="G4" s="45">
        <f>IF('TBA-Matches'!J4 &lt;&gt; "", 'TBA-Matches'!J4, "")</f>
        <v>10223</v>
      </c>
      <c r="H4" s="45">
        <f>IF('TBA-Matches'!K4 &lt;&gt; "", 'TBA-Matches'!K4, "")</f>
        <v>191</v>
      </c>
      <c r="I4" s="45">
        <f>IF('TBA-Matches'!L4 &lt;&gt; "", 'TBA-Matches'!L4, "")</f>
        <v>578</v>
      </c>
      <c r="K4" s="47" t="s">
        <v>39</v>
      </c>
    </row>
    <row r="5" spans="1:11" ht="16" x14ac:dyDescent="0.2">
      <c r="A5" s="79" t="str" cm="1">
        <f t="array" ref="A5">IF('TBA-Matches'!D5&lt;&gt;"", _xlfn.SWITCH('TBA-Matches'!D5, "qm", "Qualies", "sf", "Semis", "f", "Finals"), "")</f>
        <v>Qualies</v>
      </c>
      <c r="B5" s="79">
        <f>IF('TBA-Matches'!E5 &lt;&gt; "", 'TBA-Matches'!E5, "")</f>
        <v>4</v>
      </c>
      <c r="C5" s="80" t="str">
        <f>IF('TBA-Matches'!B5 &lt;&gt; "", CONCATENATE(TEXT('TBA-Matches'!B5,"ddd"),": ",TEXT('TBA-Matches'!C6, "HH:MM")), "")</f>
        <v>Fri: 09:26</v>
      </c>
      <c r="D5" s="45">
        <f>IF('TBA-Matches'!G5 &lt;&gt; "", 'TBA-Matches'!G5, "")</f>
        <v>1518</v>
      </c>
      <c r="E5" s="45">
        <f>IF('TBA-Matches'!H5 &lt;&gt; "", 'TBA-Matches'!H5, "")</f>
        <v>3799</v>
      </c>
      <c r="F5" s="45">
        <f>IF('TBA-Matches'!I5 &lt;&gt; "", 'TBA-Matches'!I5, "")</f>
        <v>378</v>
      </c>
      <c r="G5" s="45">
        <f>IF('TBA-Matches'!J5 &lt;&gt; "", 'TBA-Matches'!J5, "")</f>
        <v>1511</v>
      </c>
      <c r="H5" s="45">
        <f>IF('TBA-Matches'!K5 &lt;&gt; "", 'TBA-Matches'!K5, "")</f>
        <v>3951</v>
      </c>
      <c r="I5" s="45">
        <f>IF('TBA-Matches'!L5 &lt;&gt; "", 'TBA-Matches'!L5, "")</f>
        <v>4458</v>
      </c>
      <c r="K5" s="48" t="s">
        <v>40</v>
      </c>
    </row>
    <row r="6" spans="1:11" ht="16" x14ac:dyDescent="0.2">
      <c r="A6" s="79" t="str" cm="1">
        <f t="array" ref="A6">IF('TBA-Matches'!D6&lt;&gt;"", _xlfn.SWITCH('TBA-Matches'!D6, "qm", "Qualies", "sf", "Semis", "f", "Finals"), "")</f>
        <v>Qualies</v>
      </c>
      <c r="B6" s="79">
        <f>IF('TBA-Matches'!E6 &lt;&gt; "", 'TBA-Matches'!E6, "")</f>
        <v>5</v>
      </c>
      <c r="C6" s="80" t="str">
        <f>IF('TBA-Matches'!B6 &lt;&gt; "", CONCATENATE(TEXT('TBA-Matches'!B6,"ddd"),": ",TEXT('TBA-Matches'!C7, "HH:MM")), "")</f>
        <v>Fri: 09:35</v>
      </c>
      <c r="D6" s="45">
        <f>IF('TBA-Matches'!G6 &lt;&gt; "", 'TBA-Matches'!G6, "")</f>
        <v>3181</v>
      </c>
      <c r="E6" s="45">
        <f>IF('TBA-Matches'!H6 &lt;&gt; "", 'TBA-Matches'!H6, "")</f>
        <v>1126</v>
      </c>
      <c r="F6" s="45">
        <f>IF('TBA-Matches'!I6 &lt;&gt; "", 'TBA-Matches'!I6, "")</f>
        <v>20</v>
      </c>
      <c r="G6" s="45">
        <f>IF('TBA-Matches'!J6 &lt;&gt; "", 'TBA-Matches'!J6, "")</f>
        <v>5590</v>
      </c>
      <c r="H6" s="45">
        <f>IF('TBA-Matches'!K6 &lt;&gt; "", 'TBA-Matches'!K6, "")</f>
        <v>6423</v>
      </c>
      <c r="I6" s="45">
        <f>IF('TBA-Matches'!L6 &lt;&gt; "", 'TBA-Matches'!L6, "")</f>
        <v>325</v>
      </c>
    </row>
    <row r="7" spans="1:11" ht="16" x14ac:dyDescent="0.2">
      <c r="A7" s="79" t="str" cm="1">
        <f t="array" ref="A7">IF('TBA-Matches'!D7&lt;&gt;"", _xlfn.SWITCH('TBA-Matches'!D7, "qm", "Qualies", "sf", "Semis", "f", "Finals"), "")</f>
        <v>Qualies</v>
      </c>
      <c r="B7" s="79">
        <f>IF('TBA-Matches'!E7 &lt;&gt; "", 'TBA-Matches'!E7, "")</f>
        <v>6</v>
      </c>
      <c r="C7" s="80" t="str">
        <f>IF('TBA-Matches'!B7 &lt;&gt; "", CONCATENATE(TEXT('TBA-Matches'!B7,"ddd"),": ",TEXT('TBA-Matches'!C8, "HH:MM")), "")</f>
        <v>Fri: 09:44</v>
      </c>
      <c r="D7" s="45">
        <f>IF('TBA-Matches'!G7 &lt;&gt; "", 'TBA-Matches'!G7, "")</f>
        <v>3003</v>
      </c>
      <c r="E7" s="45">
        <f>IF('TBA-Matches'!H7 &lt;&gt; "", 'TBA-Matches'!H7, "")</f>
        <v>4093</v>
      </c>
      <c r="F7" s="45">
        <f>IF('TBA-Matches'!I7 &lt;&gt; "", 'TBA-Matches'!I7, "")</f>
        <v>9767</v>
      </c>
      <c r="G7" s="45">
        <f>IF('TBA-Matches'!J7 &lt;&gt; "", 'TBA-Matches'!J7, "")</f>
        <v>1507</v>
      </c>
      <c r="H7" s="45">
        <f>IF('TBA-Matches'!K7 &lt;&gt; "", 'TBA-Matches'!K7, "")</f>
        <v>144</v>
      </c>
      <c r="I7" s="45">
        <f>IF('TBA-Matches'!L7 &lt;&gt; "", 'TBA-Matches'!L7, "")</f>
        <v>424</v>
      </c>
    </row>
    <row r="8" spans="1:11" ht="16" x14ac:dyDescent="0.2">
      <c r="A8" s="79" t="str" cm="1">
        <f t="array" ref="A8">IF('TBA-Matches'!D8&lt;&gt;"", _xlfn.SWITCH('TBA-Matches'!D8, "qm", "Qualies", "sf", "Semis", "f", "Finals"), "")</f>
        <v>Qualies</v>
      </c>
      <c r="B8" s="79">
        <f>IF('TBA-Matches'!E8 &lt;&gt; "", 'TBA-Matches'!E8, "")</f>
        <v>7</v>
      </c>
      <c r="C8" s="80" t="str">
        <f>IF('TBA-Matches'!B8 &lt;&gt; "", CONCATENATE(TEXT('TBA-Matches'!B8,"ddd"),": ",TEXT('TBA-Matches'!C9, "HH:MM")), "")</f>
        <v>Fri: 09:53</v>
      </c>
      <c r="D8" s="45">
        <f>IF('TBA-Matches'!G8 &lt;&gt; "", 'TBA-Matches'!G8, "")</f>
        <v>1781</v>
      </c>
      <c r="E8" s="45">
        <f>IF('TBA-Matches'!H8 &lt;&gt; "", 'TBA-Matches'!H8, "")</f>
        <v>1450</v>
      </c>
      <c r="F8" s="45">
        <f>IF('TBA-Matches'!I8 &lt;&gt; "", 'TBA-Matches'!I8, "")</f>
        <v>8503</v>
      </c>
      <c r="G8" s="45">
        <f>IF('TBA-Matches'!J8 &lt;&gt; "", 'TBA-Matches'!J8, "")</f>
        <v>4930</v>
      </c>
      <c r="H8" s="45">
        <f>IF('TBA-Matches'!K8 &lt;&gt; "", 'TBA-Matches'!K8, "")</f>
        <v>1056</v>
      </c>
      <c r="I8" s="45">
        <f>IF('TBA-Matches'!L8 &lt;&gt; "", 'TBA-Matches'!L8, "")</f>
        <v>3044</v>
      </c>
      <c r="K8" s="11"/>
    </row>
    <row r="9" spans="1:11" ht="16" x14ac:dyDescent="0.2">
      <c r="A9" s="79" t="str" cm="1">
        <f t="array" ref="A9">IF('TBA-Matches'!D9&lt;&gt;"", _xlfn.SWITCH('TBA-Matches'!D9, "qm", "Qualies", "sf", "Semis", "f", "Finals"), "")</f>
        <v>Qualies</v>
      </c>
      <c r="B9" s="79">
        <f>IF('TBA-Matches'!E9 &lt;&gt; "", 'TBA-Matches'!E9, "")</f>
        <v>8</v>
      </c>
      <c r="C9" s="80" t="str">
        <f>IF('TBA-Matches'!B9 &lt;&gt; "", CONCATENATE(TEXT('TBA-Matches'!B9,"ddd"),": ",TEXT('TBA-Matches'!C10, "HH:MM")), "")</f>
        <v>Fri: 10:02</v>
      </c>
      <c r="D9" s="45">
        <f>IF('TBA-Matches'!G9 &lt;&gt; "", 'TBA-Matches'!G9, "")</f>
        <v>340</v>
      </c>
      <c r="E9" s="45">
        <f>IF('TBA-Matches'!H9 &lt;&gt; "", 'TBA-Matches'!H9, "")</f>
        <v>1787</v>
      </c>
      <c r="F9" s="45">
        <f>IF('TBA-Matches'!I9 &lt;&gt; "", 'TBA-Matches'!I9, "")</f>
        <v>3838</v>
      </c>
      <c r="G9" s="45">
        <f>IF('TBA-Matches'!J9 &lt;&gt; "", 'TBA-Matches'!J9, "")</f>
        <v>9016</v>
      </c>
      <c r="H9" s="45">
        <f>IF('TBA-Matches'!K9 &lt;&gt; "", 'TBA-Matches'!K9, "")</f>
        <v>6947</v>
      </c>
      <c r="I9" s="45">
        <f>IF('TBA-Matches'!L9 &lt;&gt; "", 'TBA-Matches'!L9, "")</f>
        <v>6868</v>
      </c>
    </row>
    <row r="10" spans="1:11" ht="16" x14ac:dyDescent="0.2">
      <c r="A10" s="79" t="str" cm="1">
        <f t="array" ref="A10">IF('TBA-Matches'!D10&lt;&gt;"", _xlfn.SWITCH('TBA-Matches'!D10, "qm", "Qualies", "sf", "Semis", "f", "Finals"), "")</f>
        <v>Qualies</v>
      </c>
      <c r="B10" s="79">
        <f>IF('TBA-Matches'!E10 &lt;&gt; "", 'TBA-Matches'!E10, "")</f>
        <v>9</v>
      </c>
      <c r="C10" s="80" t="str">
        <f>IF('TBA-Matches'!B10 &lt;&gt; "", CONCATENATE(TEXT('TBA-Matches'!B10,"ddd"),": ",TEXT('TBA-Matches'!C11, "HH:MM")), "")</f>
        <v>Fri: 10:11</v>
      </c>
      <c r="D10" s="45">
        <f>IF('TBA-Matches'!G10 &lt;&gt; "", 'TBA-Matches'!G10, "")</f>
        <v>1585</v>
      </c>
      <c r="E10" s="45">
        <f>IF('TBA-Matches'!H10 &lt;&gt; "", 'TBA-Matches'!H10, "")</f>
        <v>353</v>
      </c>
      <c r="F10" s="45">
        <f>IF('TBA-Matches'!I10 &lt;&gt; "", 'TBA-Matches'!I10, "")</f>
        <v>694</v>
      </c>
      <c r="G10" s="45">
        <f>IF('TBA-Matches'!J10 &lt;&gt; "", 'TBA-Matches'!J10, "")</f>
        <v>2340</v>
      </c>
      <c r="H10" s="45">
        <f>IF('TBA-Matches'!K10 &lt;&gt; "", 'TBA-Matches'!K10, "")</f>
        <v>639</v>
      </c>
      <c r="I10" s="45">
        <f>IF('TBA-Matches'!L10 &lt;&gt; "", 'TBA-Matches'!L10, "")</f>
        <v>2228</v>
      </c>
    </row>
    <row r="11" spans="1:11" ht="16" x14ac:dyDescent="0.2">
      <c r="A11" s="79" t="str" cm="1">
        <f t="array" ref="A11">IF('TBA-Matches'!D11&lt;&gt;"", _xlfn.SWITCH('TBA-Matches'!D11, "qm", "Qualies", "sf", "Semis", "f", "Finals"), "")</f>
        <v>Qualies</v>
      </c>
      <c r="B11" s="79">
        <f>IF('TBA-Matches'!E11 &lt;&gt; "", 'TBA-Matches'!E11, "")</f>
        <v>10</v>
      </c>
      <c r="C11" s="80" t="str">
        <f>IF('TBA-Matches'!B11 &lt;&gt; "", CONCATENATE(TEXT('TBA-Matches'!B11,"ddd"),": ",TEXT('TBA-Matches'!C12, "HH:MM")), "")</f>
        <v>Fri: 10:20</v>
      </c>
      <c r="D11" s="45">
        <f>IF('TBA-Matches'!G11 &lt;&gt; "", 'TBA-Matches'!G11, "")</f>
        <v>271</v>
      </c>
      <c r="E11" s="45">
        <f>IF('TBA-Matches'!H11 &lt;&gt; "", 'TBA-Matches'!H11, "")</f>
        <v>1405</v>
      </c>
      <c r="F11" s="45">
        <f>IF('TBA-Matches'!I11 &lt;&gt; "", 'TBA-Matches'!I11, "")</f>
        <v>4458</v>
      </c>
      <c r="G11" s="45">
        <f>IF('TBA-Matches'!J11 &lt;&gt; "", 'TBA-Matches'!J11, "")</f>
        <v>48</v>
      </c>
      <c r="H11" s="45">
        <f>IF('TBA-Matches'!K11 &lt;&gt; "", 'TBA-Matches'!K11, "")</f>
        <v>7030</v>
      </c>
      <c r="I11" s="45">
        <f>IF('TBA-Matches'!L11 &lt;&gt; "", 'TBA-Matches'!L11, "")</f>
        <v>7903</v>
      </c>
    </row>
    <row r="12" spans="1:11" ht="16" x14ac:dyDescent="0.2">
      <c r="A12" s="79" t="str" cm="1">
        <f t="array" ref="A12">IF('TBA-Matches'!D12&lt;&gt;"", _xlfn.SWITCH('TBA-Matches'!D12, "qm", "Qualies", "sf", "Semis", "f", "Finals"), "")</f>
        <v>Qualies</v>
      </c>
      <c r="B12" s="79">
        <f>IF('TBA-Matches'!E12 &lt;&gt; "", 'TBA-Matches'!E12, "")</f>
        <v>11</v>
      </c>
      <c r="C12" s="80" t="str">
        <f>IF('TBA-Matches'!B12 &lt;&gt; "", CONCATENATE(TEXT('TBA-Matches'!B12,"ddd"),": ",TEXT('TBA-Matches'!C13, "HH:MM")), "")</f>
        <v>Fri: 10:28</v>
      </c>
      <c r="D12" s="45">
        <f>IF('TBA-Matches'!G12 &lt;&gt; "", 'TBA-Matches'!G12, "")</f>
        <v>20</v>
      </c>
      <c r="E12" s="45">
        <f>IF('TBA-Matches'!H12 &lt;&gt; "", 'TBA-Matches'!H12, "")</f>
        <v>10922</v>
      </c>
      <c r="F12" s="45">
        <f>IF('TBA-Matches'!I12 &lt;&gt; "", 'TBA-Matches'!I12, "")</f>
        <v>1468</v>
      </c>
      <c r="G12" s="45">
        <f>IF('TBA-Matches'!J12 &lt;&gt; "", 'TBA-Matches'!J12, "")</f>
        <v>3173</v>
      </c>
      <c r="H12" s="45">
        <f>IF('TBA-Matches'!K12 &lt;&gt; "", 'TBA-Matches'!K12, "")</f>
        <v>578</v>
      </c>
      <c r="I12" s="45">
        <f>IF('TBA-Matches'!L12 &lt;&gt; "", 'TBA-Matches'!L12, "")</f>
        <v>432</v>
      </c>
    </row>
    <row r="13" spans="1:11" ht="16" x14ac:dyDescent="0.2">
      <c r="A13" s="79" t="str" cm="1">
        <f t="array" ref="A13">IF('TBA-Matches'!D13&lt;&gt;"", _xlfn.SWITCH('TBA-Matches'!D13, "qm", "Qualies", "sf", "Semis", "f", "Finals"), "")</f>
        <v>Qualies</v>
      </c>
      <c r="B13" s="79">
        <f>IF('TBA-Matches'!E13 &lt;&gt; "", 'TBA-Matches'!E13, "")</f>
        <v>12</v>
      </c>
      <c r="C13" s="80" t="str">
        <f>IF('TBA-Matches'!B13 &lt;&gt; "", CONCATENATE(TEXT('TBA-Matches'!B13,"ddd"),": ",TEXT('TBA-Matches'!C14, "HH:MM")), "")</f>
        <v>Fri: 10:36</v>
      </c>
      <c r="D13" s="45">
        <f>IF('TBA-Matches'!G13 &lt;&gt; "", 'TBA-Matches'!G13, "")</f>
        <v>564</v>
      </c>
      <c r="E13" s="45">
        <f>IF('TBA-Matches'!H13 &lt;&gt; "", 'TBA-Matches'!H13, "")</f>
        <v>4093</v>
      </c>
      <c r="F13" s="45">
        <f>IF('TBA-Matches'!I13 &lt;&gt; "", 'TBA-Matches'!I13, "")</f>
        <v>1518</v>
      </c>
      <c r="G13" s="45">
        <f>IF('TBA-Matches'!J13 &lt;&gt; "", 'TBA-Matches'!J13, "")</f>
        <v>9767</v>
      </c>
      <c r="H13" s="45">
        <f>IF('TBA-Matches'!K13 &lt;&gt; "", 'TBA-Matches'!K13, "")</f>
        <v>6423</v>
      </c>
      <c r="I13" s="45">
        <f>IF('TBA-Matches'!L13 &lt;&gt; "", 'TBA-Matches'!L13, "")</f>
        <v>1126</v>
      </c>
    </row>
    <row r="14" spans="1:11" ht="16" x14ac:dyDescent="0.2">
      <c r="A14" s="79" t="str" cm="1">
        <f t="array" ref="A14">IF('TBA-Matches'!D14&lt;&gt;"", _xlfn.SWITCH('TBA-Matches'!D14, "qm", "Qualies", "sf", "Semis", "f", "Finals"), "")</f>
        <v>Qualies</v>
      </c>
      <c r="B14" s="79">
        <f>IF('TBA-Matches'!E14 &lt;&gt; "", 'TBA-Matches'!E14, "")</f>
        <v>13</v>
      </c>
      <c r="C14" s="80" t="str">
        <f>IF('TBA-Matches'!B14 &lt;&gt; "", CONCATENATE(TEXT('TBA-Matches'!B14,"ddd"),": ",TEXT('TBA-Matches'!C15, "HH:MM")), "")</f>
        <v>Fri: 10:44</v>
      </c>
      <c r="D14" s="45">
        <f>IF('TBA-Matches'!G14 &lt;&gt; "", 'TBA-Matches'!G14, "")</f>
        <v>1056</v>
      </c>
      <c r="E14" s="45">
        <f>IF('TBA-Matches'!H14 &lt;&gt; "", 'TBA-Matches'!H14, "")</f>
        <v>10223</v>
      </c>
      <c r="F14" s="45">
        <f>IF('TBA-Matches'!I14 &lt;&gt; "", 'TBA-Matches'!I14, "")</f>
        <v>3181</v>
      </c>
      <c r="G14" s="45">
        <f>IF('TBA-Matches'!J14 &lt;&gt; "", 'TBA-Matches'!J14, "")</f>
        <v>3799</v>
      </c>
      <c r="H14" s="45">
        <f>IF('TBA-Matches'!K14 &lt;&gt; "", 'TBA-Matches'!K14, "")</f>
        <v>3003</v>
      </c>
      <c r="I14" s="45">
        <f>IF('TBA-Matches'!L14 &lt;&gt; "", 'TBA-Matches'!L14, "")</f>
        <v>4253</v>
      </c>
    </row>
    <row r="15" spans="1:11" ht="16" x14ac:dyDescent="0.2">
      <c r="A15" s="79" t="str" cm="1">
        <f t="array" ref="A15">IF('TBA-Matches'!D15&lt;&gt;"", _xlfn.SWITCH('TBA-Matches'!D15, "qm", "Qualies", "sf", "Semis", "f", "Finals"), "")</f>
        <v>Qualies</v>
      </c>
      <c r="B15" s="79">
        <f>IF('TBA-Matches'!E15 &lt;&gt; "", 'TBA-Matches'!E15, "")</f>
        <v>14</v>
      </c>
      <c r="C15" s="80" t="str">
        <f>IF('TBA-Matches'!B15 &lt;&gt; "", CONCATENATE(TEXT('TBA-Matches'!B15,"ddd"),": ",TEXT('TBA-Matches'!C16, "HH:MM")), "")</f>
        <v>Fri: 10:52</v>
      </c>
      <c r="D15" s="45">
        <f>IF('TBA-Matches'!G15 &lt;&gt; "", 'TBA-Matches'!G15, "")</f>
        <v>810</v>
      </c>
      <c r="E15" s="45">
        <f>IF('TBA-Matches'!H15 &lt;&gt; "", 'TBA-Matches'!H15, "")</f>
        <v>144</v>
      </c>
      <c r="F15" s="45">
        <f>IF('TBA-Matches'!I15 &lt;&gt; "", 'TBA-Matches'!I15, "")</f>
        <v>5590</v>
      </c>
      <c r="G15" s="45">
        <f>IF('TBA-Matches'!J15 &lt;&gt; "", 'TBA-Matches'!J15, "")</f>
        <v>3838</v>
      </c>
      <c r="H15" s="45">
        <f>IF('TBA-Matches'!K15 &lt;&gt; "", 'TBA-Matches'!K15, "")</f>
        <v>3951</v>
      </c>
      <c r="I15" s="45">
        <f>IF('TBA-Matches'!L15 &lt;&gt; "", 'TBA-Matches'!L15, "")</f>
        <v>8503</v>
      </c>
    </row>
    <row r="16" spans="1:11" ht="16" x14ac:dyDescent="0.2">
      <c r="A16" s="79" t="str" cm="1">
        <f t="array" ref="A16">IF('TBA-Matches'!D16&lt;&gt;"", _xlfn.SWITCH('TBA-Matches'!D16, "qm", "Qualies", "sf", "Semis", "f", "Finals"), "")</f>
        <v>Qualies</v>
      </c>
      <c r="B16" s="79">
        <f>IF('TBA-Matches'!E16 &lt;&gt; "", 'TBA-Matches'!E16, "")</f>
        <v>15</v>
      </c>
      <c r="C16" s="80" t="str">
        <f>IF('TBA-Matches'!B16 &lt;&gt; "", CONCATENATE(TEXT('TBA-Matches'!B16,"ddd"),": ",TEXT('TBA-Matches'!C17, "HH:MM")), "")</f>
        <v>Fri: 11:00</v>
      </c>
      <c r="D16" s="45">
        <f>IF('TBA-Matches'!G16 &lt;&gt; "", 'TBA-Matches'!G16, "")</f>
        <v>639</v>
      </c>
      <c r="E16" s="45">
        <f>IF('TBA-Matches'!H16 &lt;&gt; "", 'TBA-Matches'!H16, "")</f>
        <v>5528</v>
      </c>
      <c r="F16" s="45">
        <f>IF('TBA-Matches'!I16 &lt;&gt; "", 'TBA-Matches'!I16, "")</f>
        <v>1591</v>
      </c>
      <c r="G16" s="45">
        <f>IF('TBA-Matches'!J16 &lt;&gt; "", 'TBA-Matches'!J16, "")</f>
        <v>1450</v>
      </c>
      <c r="H16" s="45">
        <f>IF('TBA-Matches'!K16 &lt;&gt; "", 'TBA-Matches'!K16, "")</f>
        <v>3015</v>
      </c>
      <c r="I16" s="45">
        <f>IF('TBA-Matches'!L16 &lt;&gt; "", 'TBA-Matches'!L16, "")</f>
        <v>9016</v>
      </c>
    </row>
    <row r="17" spans="1:9" ht="16" x14ac:dyDescent="0.2">
      <c r="A17" s="79" t="str" cm="1">
        <f t="array" ref="A17">IF('TBA-Matches'!D17&lt;&gt;"", _xlfn.SWITCH('TBA-Matches'!D17, "qm", "Qualies", "sf", "Semis", "f", "Finals"), "")</f>
        <v>Qualies</v>
      </c>
      <c r="B17" s="79">
        <f>IF('TBA-Matches'!E17 &lt;&gt; "", 'TBA-Matches'!E17, "")</f>
        <v>16</v>
      </c>
      <c r="C17" s="80" t="str">
        <f>IF('TBA-Matches'!B17 &lt;&gt; "", CONCATENATE(TEXT('TBA-Matches'!B17,"ddd"),": ",TEXT('TBA-Matches'!C18, "HH:MM")), "")</f>
        <v>Fri: 11:08</v>
      </c>
      <c r="D17" s="45">
        <f>IF('TBA-Matches'!G17 &lt;&gt; "", 'TBA-Matches'!G17, "")</f>
        <v>353</v>
      </c>
      <c r="E17" s="45">
        <f>IF('TBA-Matches'!H17 &lt;&gt; "", 'TBA-Matches'!H17, "")</f>
        <v>4930</v>
      </c>
      <c r="F17" s="45">
        <f>IF('TBA-Matches'!I17 &lt;&gt; "", 'TBA-Matches'!I17, "")</f>
        <v>48</v>
      </c>
      <c r="G17" s="45">
        <f>IF('TBA-Matches'!J17 &lt;&gt; "", 'TBA-Matches'!J17, "")</f>
        <v>378</v>
      </c>
      <c r="H17" s="45">
        <f>IF('TBA-Matches'!K17 &lt;&gt; "", 'TBA-Matches'!K17, "")</f>
        <v>1585</v>
      </c>
      <c r="I17" s="45">
        <f>IF('TBA-Matches'!L17 &lt;&gt; "", 'TBA-Matches'!L17, "")</f>
        <v>6947</v>
      </c>
    </row>
    <row r="18" spans="1:9" ht="16" x14ac:dyDescent="0.2">
      <c r="A18" s="79" t="str" cm="1">
        <f t="array" ref="A18">IF('TBA-Matches'!D18&lt;&gt;"", _xlfn.SWITCH('TBA-Matches'!D18, "qm", "Qualies", "sf", "Semis", "f", "Finals"), "")</f>
        <v>Qualies</v>
      </c>
      <c r="B18" s="79">
        <f>IF('TBA-Matches'!E18 &lt;&gt; "", 'TBA-Matches'!E18, "")</f>
        <v>17</v>
      </c>
      <c r="C18" s="80" t="str">
        <f>IF('TBA-Matches'!B18 &lt;&gt; "", CONCATENATE(TEXT('TBA-Matches'!B18,"ddd"),": ",TEXT('TBA-Matches'!C19, "HH:MM")), "")</f>
        <v>Fri: 11:16</v>
      </c>
      <c r="D18" s="45">
        <f>IF('TBA-Matches'!G18 &lt;&gt; "", 'TBA-Matches'!G18, "")</f>
        <v>1781</v>
      </c>
      <c r="E18" s="45">
        <f>IF('TBA-Matches'!H18 &lt;&gt; "", 'TBA-Matches'!H18, "")</f>
        <v>1507</v>
      </c>
      <c r="F18" s="45">
        <f>IF('TBA-Matches'!I18 &lt;&gt; "", 'TBA-Matches'!I18, "")</f>
        <v>2340</v>
      </c>
      <c r="G18" s="45">
        <f>IF('TBA-Matches'!J18 &lt;&gt; "", 'TBA-Matches'!J18, "")</f>
        <v>424</v>
      </c>
      <c r="H18" s="45">
        <f>IF('TBA-Matches'!K18 &lt;&gt; "", 'TBA-Matches'!K18, "")</f>
        <v>2228</v>
      </c>
      <c r="I18" s="45">
        <f>IF('TBA-Matches'!L18 &lt;&gt; "", 'TBA-Matches'!L18, "")</f>
        <v>1787</v>
      </c>
    </row>
    <row r="19" spans="1:9" ht="16" x14ac:dyDescent="0.2">
      <c r="A19" s="79" t="str" cm="1">
        <f t="array" ref="A19">IF('TBA-Matches'!D19&lt;&gt;"", _xlfn.SWITCH('TBA-Matches'!D19, "qm", "Qualies", "sf", "Semis", "f", "Finals"), "")</f>
        <v>Qualies</v>
      </c>
      <c r="B19" s="79">
        <f>IF('TBA-Matches'!E19 &lt;&gt; "", 'TBA-Matches'!E19, "")</f>
        <v>18</v>
      </c>
      <c r="C19" s="80" t="str">
        <f>IF('TBA-Matches'!B19 &lt;&gt; "", CONCATENATE(TEXT('TBA-Matches'!B19,"ddd"),": ",TEXT('TBA-Matches'!C20, "HH:MM")), "")</f>
        <v>Fri: 11:24</v>
      </c>
      <c r="D19" s="45">
        <f>IF('TBA-Matches'!G19 &lt;&gt; "", 'TBA-Matches'!G19, "")</f>
        <v>191</v>
      </c>
      <c r="E19" s="45">
        <f>IF('TBA-Matches'!H19 &lt;&gt; "", 'TBA-Matches'!H19, "")</f>
        <v>340</v>
      </c>
      <c r="F19" s="45">
        <f>IF('TBA-Matches'!I19 &lt;&gt; "", 'TBA-Matches'!I19, "")</f>
        <v>3044</v>
      </c>
      <c r="G19" s="45">
        <f>IF('TBA-Matches'!J19 &lt;&gt; "", 'TBA-Matches'!J19, "")</f>
        <v>325</v>
      </c>
      <c r="H19" s="45">
        <f>IF('TBA-Matches'!K19 &lt;&gt; "", 'TBA-Matches'!K19, "")</f>
        <v>694</v>
      </c>
      <c r="I19" s="45">
        <f>IF('TBA-Matches'!L19 &lt;&gt; "", 'TBA-Matches'!L19, "")</f>
        <v>1559</v>
      </c>
    </row>
    <row r="20" spans="1:9" ht="16" x14ac:dyDescent="0.2">
      <c r="A20" s="79" t="str" cm="1">
        <f t="array" ref="A20">IF('TBA-Matches'!D20&lt;&gt;"", _xlfn.SWITCH('TBA-Matches'!D20, "qm", "Qualies", "sf", "Semis", "f", "Finals"), "")</f>
        <v>Qualies</v>
      </c>
      <c r="B20" s="79">
        <f>IF('TBA-Matches'!E20 &lt;&gt; "", 'TBA-Matches'!E20, "")</f>
        <v>19</v>
      </c>
      <c r="C20" s="80" t="str">
        <f>IF('TBA-Matches'!B20 &lt;&gt; "", CONCATENATE(TEXT('TBA-Matches'!B20,"ddd"),": ",TEXT('TBA-Matches'!C21, "HH:MM")), "")</f>
        <v>Fri: 11:32</v>
      </c>
      <c r="D20" s="45">
        <f>IF('TBA-Matches'!G20 &lt;&gt; "", 'TBA-Matches'!G20, "")</f>
        <v>1511</v>
      </c>
      <c r="E20" s="45">
        <f>IF('TBA-Matches'!H20 &lt;&gt; "", 'TBA-Matches'!H20, "")</f>
        <v>1126</v>
      </c>
      <c r="F20" s="45">
        <f>IF('TBA-Matches'!I20 &lt;&gt; "", 'TBA-Matches'!I20, "")</f>
        <v>1405</v>
      </c>
      <c r="G20" s="45">
        <f>IF('TBA-Matches'!J20 &lt;&gt; "", 'TBA-Matches'!J20, "")</f>
        <v>4253</v>
      </c>
      <c r="H20" s="45">
        <f>IF('TBA-Matches'!K20 &lt;&gt; "", 'TBA-Matches'!K20, "")</f>
        <v>3173</v>
      </c>
      <c r="I20" s="45">
        <f>IF('TBA-Matches'!L20 &lt;&gt; "", 'TBA-Matches'!L20, "")</f>
        <v>6868</v>
      </c>
    </row>
    <row r="21" spans="1:9" ht="16" x14ac:dyDescent="0.2">
      <c r="A21" s="79" t="str" cm="1">
        <f t="array" ref="A21">IF('TBA-Matches'!D21&lt;&gt;"", _xlfn.SWITCH('TBA-Matches'!D21, "qm", "Qualies", "sf", "Semis", "f", "Finals"), "")</f>
        <v>Qualies</v>
      </c>
      <c r="B21" s="79">
        <f>IF('TBA-Matches'!E21 &lt;&gt; "", 'TBA-Matches'!E21, "")</f>
        <v>20</v>
      </c>
      <c r="C21" s="80" t="str">
        <f>IF('TBA-Matches'!B21 &lt;&gt; "", CONCATENATE(TEXT('TBA-Matches'!B21,"ddd"),": ",TEXT('TBA-Matches'!C22, "HH:MM")), "")</f>
        <v>Fri: 11:40</v>
      </c>
      <c r="D21" s="45">
        <f>IF('TBA-Matches'!G21 &lt;&gt; "", 'TBA-Matches'!G21, "")</f>
        <v>9767</v>
      </c>
      <c r="E21" s="45">
        <f>IF('TBA-Matches'!H21 &lt;&gt; "", 'TBA-Matches'!H21, "")</f>
        <v>10922</v>
      </c>
      <c r="F21" s="45">
        <f>IF('TBA-Matches'!I21 &lt;&gt; "", 'TBA-Matches'!I21, "")</f>
        <v>3838</v>
      </c>
      <c r="G21" s="45">
        <f>IF('TBA-Matches'!J21 &lt;&gt; "", 'TBA-Matches'!J21, "")</f>
        <v>7903</v>
      </c>
      <c r="H21" s="45">
        <f>IF('TBA-Matches'!K21 &lt;&gt; "", 'TBA-Matches'!K21, "")</f>
        <v>3003</v>
      </c>
      <c r="I21" s="45">
        <f>IF('TBA-Matches'!L21 &lt;&gt; "", 'TBA-Matches'!L21, "")</f>
        <v>3181</v>
      </c>
    </row>
    <row r="22" spans="1:9" ht="16" x14ac:dyDescent="0.2">
      <c r="A22" s="79" t="str" cm="1">
        <f t="array" ref="A22">IF('TBA-Matches'!D22&lt;&gt;"", _xlfn.SWITCH('TBA-Matches'!D22, "qm", "Qualies", "sf", "Semis", "f", "Finals"), "")</f>
        <v>Qualies</v>
      </c>
      <c r="B22" s="79">
        <f>IF('TBA-Matches'!E22 &lt;&gt; "", 'TBA-Matches'!E22, "")</f>
        <v>21</v>
      </c>
      <c r="C22" s="80" t="str">
        <f>IF('TBA-Matches'!B22 &lt;&gt; "", CONCATENATE(TEXT('TBA-Matches'!B22,"ddd"),": ",TEXT('TBA-Matches'!C23, "HH:MM")), "")</f>
        <v>Fri: 11:48</v>
      </c>
      <c r="D22" s="45">
        <f>IF('TBA-Matches'!G22 &lt;&gt; "", 'TBA-Matches'!G22, "")</f>
        <v>7030</v>
      </c>
      <c r="E22" s="45">
        <f>IF('TBA-Matches'!H22 &lt;&gt; "", 'TBA-Matches'!H22, "")</f>
        <v>20</v>
      </c>
      <c r="F22" s="45">
        <f>IF('TBA-Matches'!I22 &lt;&gt; "", 'TBA-Matches'!I22, "")</f>
        <v>3015</v>
      </c>
      <c r="G22" s="45">
        <f>IF('TBA-Matches'!J22 &lt;&gt; "", 'TBA-Matches'!J22, "")</f>
        <v>9016</v>
      </c>
      <c r="H22" s="45">
        <f>IF('TBA-Matches'!K22 &lt;&gt; "", 'TBA-Matches'!K22, "")</f>
        <v>144</v>
      </c>
      <c r="I22" s="45">
        <f>IF('TBA-Matches'!L22 &lt;&gt; "", 'TBA-Matches'!L22, "")</f>
        <v>3799</v>
      </c>
    </row>
    <row r="23" spans="1:9" ht="16" x14ac:dyDescent="0.2">
      <c r="A23" s="79" t="str" cm="1">
        <f t="array" ref="A23">IF('TBA-Matches'!D23&lt;&gt;"", _xlfn.SWITCH('TBA-Matches'!D23, "qm", "Qualies", "sf", "Semis", "f", "Finals"), "")</f>
        <v>Qualies</v>
      </c>
      <c r="B23" s="79">
        <f>IF('TBA-Matches'!E23 &lt;&gt; "", 'TBA-Matches'!E23, "")</f>
        <v>22</v>
      </c>
      <c r="C23" s="80" t="str">
        <f>IF('TBA-Matches'!B23 &lt;&gt; "", CONCATENATE(TEXT('TBA-Matches'!B23,"ddd"),": ",TEXT('TBA-Matches'!C24, "HH:MM")), "")</f>
        <v>Fri: 11:56</v>
      </c>
      <c r="D23" s="45">
        <f>IF('TBA-Matches'!G23 &lt;&gt; "", 'TBA-Matches'!G23, "")</f>
        <v>3951</v>
      </c>
      <c r="E23" s="45">
        <f>IF('TBA-Matches'!H23 &lt;&gt; "", 'TBA-Matches'!H23, "")</f>
        <v>1450</v>
      </c>
      <c r="F23" s="45">
        <f>IF('TBA-Matches'!I23 &lt;&gt; "", 'TBA-Matches'!I23, "")</f>
        <v>6947</v>
      </c>
      <c r="G23" s="45">
        <f>IF('TBA-Matches'!J23 &lt;&gt; "", 'TBA-Matches'!J23, "")</f>
        <v>1585</v>
      </c>
      <c r="H23" s="45">
        <f>IF('TBA-Matches'!K23 &lt;&gt; "", 'TBA-Matches'!K23, "")</f>
        <v>432</v>
      </c>
      <c r="I23" s="45">
        <f>IF('TBA-Matches'!L23 &lt;&gt; "", 'TBA-Matches'!L23, "")</f>
        <v>564</v>
      </c>
    </row>
    <row r="24" spans="1:9" ht="16" x14ac:dyDescent="0.2">
      <c r="A24" s="79" t="str" cm="1">
        <f t="array" ref="A24">IF('TBA-Matches'!D24&lt;&gt;"", _xlfn.SWITCH('TBA-Matches'!D24, "qm", "Qualies", "sf", "Semis", "f", "Finals"), "")</f>
        <v>Qualies</v>
      </c>
      <c r="B24" s="79">
        <f>IF('TBA-Matches'!E24 &lt;&gt; "", 'TBA-Matches'!E24, "")</f>
        <v>23</v>
      </c>
      <c r="C24" s="80" t="str">
        <f>IF('TBA-Matches'!B24 &lt;&gt; "", CONCATENATE(TEXT('TBA-Matches'!B24,"ddd"),": ",TEXT('TBA-Matches'!C25, "HH:MM")), "")</f>
        <v>Fri: 13:00</v>
      </c>
      <c r="D24" s="45">
        <f>IF('TBA-Matches'!G24 &lt;&gt; "", 'TBA-Matches'!G24, "")</f>
        <v>1787</v>
      </c>
      <c r="E24" s="45">
        <f>IF('TBA-Matches'!H24 &lt;&gt; "", 'TBA-Matches'!H24, "")</f>
        <v>378</v>
      </c>
      <c r="F24" s="45">
        <f>IF('TBA-Matches'!I24 &lt;&gt; "", 'TBA-Matches'!I24, "")</f>
        <v>1056</v>
      </c>
      <c r="G24" s="45">
        <f>IF('TBA-Matches'!J24 &lt;&gt; "", 'TBA-Matches'!J24, "")</f>
        <v>4093</v>
      </c>
      <c r="H24" s="45">
        <f>IF('TBA-Matches'!K24 &lt;&gt; "", 'TBA-Matches'!K24, "")</f>
        <v>2228</v>
      </c>
      <c r="I24" s="45">
        <f>IF('TBA-Matches'!L24 &lt;&gt; "", 'TBA-Matches'!L24, "")</f>
        <v>578</v>
      </c>
    </row>
    <row r="25" spans="1:9" ht="16" x14ac:dyDescent="0.2">
      <c r="A25" s="79" t="str" cm="1">
        <f t="array" ref="A25">IF('TBA-Matches'!D25&lt;&gt;"", _xlfn.SWITCH('TBA-Matches'!D25, "qm", "Qualies", "sf", "Semis", "f", "Finals"), "")</f>
        <v>Qualies</v>
      </c>
      <c r="B25" s="79">
        <f>IF('TBA-Matches'!E25 &lt;&gt; "", 'TBA-Matches'!E25, "")</f>
        <v>24</v>
      </c>
      <c r="C25" s="80" t="str">
        <f>IF('TBA-Matches'!B25 &lt;&gt; "", CONCATENATE(TEXT('TBA-Matches'!B25,"ddd"),": ",TEXT('TBA-Matches'!C26, "HH:MM")), "")</f>
        <v>Fri: 13:08</v>
      </c>
      <c r="D25" s="45">
        <f>IF('TBA-Matches'!G25 &lt;&gt; "", 'TBA-Matches'!G25, "")</f>
        <v>639</v>
      </c>
      <c r="E25" s="45">
        <f>IF('TBA-Matches'!H25 &lt;&gt; "", 'TBA-Matches'!H25, "")</f>
        <v>325</v>
      </c>
      <c r="F25" s="45">
        <f>IF('TBA-Matches'!I25 &lt;&gt; "", 'TBA-Matches'!I25, "")</f>
        <v>1518</v>
      </c>
      <c r="G25" s="45">
        <f>IF('TBA-Matches'!J25 &lt;&gt; "", 'TBA-Matches'!J25, "")</f>
        <v>48</v>
      </c>
      <c r="H25" s="45">
        <f>IF('TBA-Matches'!K25 &lt;&gt; "", 'TBA-Matches'!K25, "")</f>
        <v>1781</v>
      </c>
      <c r="I25" s="45">
        <f>IF('TBA-Matches'!L25 &lt;&gt; "", 'TBA-Matches'!L25, "")</f>
        <v>810</v>
      </c>
    </row>
    <row r="26" spans="1:9" ht="16" x14ac:dyDescent="0.2">
      <c r="A26" s="79" t="str" cm="1">
        <f t="array" ref="A26">IF('TBA-Matches'!D26&lt;&gt;"", _xlfn.SWITCH('TBA-Matches'!D26, "qm", "Qualies", "sf", "Semis", "f", "Finals"), "")</f>
        <v>Qualies</v>
      </c>
      <c r="B26" s="79">
        <f>IF('TBA-Matches'!E26 &lt;&gt; "", 'TBA-Matches'!E26, "")</f>
        <v>25</v>
      </c>
      <c r="C26" s="80" t="str">
        <f>IF('TBA-Matches'!B26 &lt;&gt; "", CONCATENATE(TEXT('TBA-Matches'!B26,"ddd"),": ",TEXT('TBA-Matches'!C27, "HH:MM")), "")</f>
        <v>Fri: 13:16</v>
      </c>
      <c r="D26" s="45">
        <f>IF('TBA-Matches'!G26 &lt;&gt; "", 'TBA-Matches'!G26, "")</f>
        <v>1559</v>
      </c>
      <c r="E26" s="45">
        <f>IF('TBA-Matches'!H26 &lt;&gt; "", 'TBA-Matches'!H26, "")</f>
        <v>1507</v>
      </c>
      <c r="F26" s="45">
        <f>IF('TBA-Matches'!I26 &lt;&gt; "", 'TBA-Matches'!I26, "")</f>
        <v>4930</v>
      </c>
      <c r="G26" s="45">
        <f>IF('TBA-Matches'!J26 &lt;&gt; "", 'TBA-Matches'!J26, "")</f>
        <v>2340</v>
      </c>
      <c r="H26" s="45">
        <f>IF('TBA-Matches'!K26 &lt;&gt; "", 'TBA-Matches'!K26, "")</f>
        <v>5590</v>
      </c>
      <c r="I26" s="45">
        <f>IF('TBA-Matches'!L26 &lt;&gt; "", 'TBA-Matches'!L26, "")</f>
        <v>191</v>
      </c>
    </row>
    <row r="27" spans="1:9" ht="16" x14ac:dyDescent="0.2">
      <c r="A27" s="79" t="str" cm="1">
        <f t="array" ref="A27">IF('TBA-Matches'!D27&lt;&gt;"", _xlfn.SWITCH('TBA-Matches'!D27, "qm", "Qualies", "sf", "Semis", "f", "Finals"), "")</f>
        <v>Qualies</v>
      </c>
      <c r="B27" s="79">
        <f>IF('TBA-Matches'!E27 &lt;&gt; "", 'TBA-Matches'!E27, "")</f>
        <v>26</v>
      </c>
      <c r="C27" s="80" t="str">
        <f>IF('TBA-Matches'!B27 &lt;&gt; "", CONCATENATE(TEXT('TBA-Matches'!B27,"ddd"),": ",TEXT('TBA-Matches'!C28, "HH:MM")), "")</f>
        <v>Fri: 13:24</v>
      </c>
      <c r="D27" s="45">
        <f>IF('TBA-Matches'!G27 &lt;&gt; "", 'TBA-Matches'!G27, "")</f>
        <v>6868</v>
      </c>
      <c r="E27" s="45">
        <f>IF('TBA-Matches'!H27 &lt;&gt; "", 'TBA-Matches'!H27, "")</f>
        <v>8503</v>
      </c>
      <c r="F27" s="45">
        <f>IF('TBA-Matches'!I27 &lt;&gt; "", 'TBA-Matches'!I27, "")</f>
        <v>424</v>
      </c>
      <c r="G27" s="45">
        <f>IF('TBA-Matches'!J27 &lt;&gt; "", 'TBA-Matches'!J27, "")</f>
        <v>694</v>
      </c>
      <c r="H27" s="45">
        <f>IF('TBA-Matches'!K27 &lt;&gt; "", 'TBA-Matches'!K27, "")</f>
        <v>271</v>
      </c>
      <c r="I27" s="45">
        <f>IF('TBA-Matches'!L27 &lt;&gt; "", 'TBA-Matches'!L27, "")</f>
        <v>1591</v>
      </c>
    </row>
    <row r="28" spans="1:9" ht="16" x14ac:dyDescent="0.2">
      <c r="A28" s="79" t="str" cm="1">
        <f t="array" ref="A28">IF('TBA-Matches'!D28&lt;&gt;"", _xlfn.SWITCH('TBA-Matches'!D28, "qm", "Qualies", "sf", "Semis", "f", "Finals"), "")</f>
        <v>Qualies</v>
      </c>
      <c r="B28" s="79">
        <f>IF('TBA-Matches'!E28 &lt;&gt; "", 'TBA-Matches'!E28, "")</f>
        <v>27</v>
      </c>
      <c r="C28" s="80" t="str">
        <f>IF('TBA-Matches'!B28 &lt;&gt; "", CONCATENATE(TEXT('TBA-Matches'!B28,"ddd"),": ",TEXT('TBA-Matches'!C29, "HH:MM")), "")</f>
        <v>Fri: 13:32</v>
      </c>
      <c r="D28" s="45">
        <f>IF('TBA-Matches'!G28 &lt;&gt; "", 'TBA-Matches'!G28, "")</f>
        <v>4458</v>
      </c>
      <c r="E28" s="45">
        <f>IF('TBA-Matches'!H28 &lt;&gt; "", 'TBA-Matches'!H28, "")</f>
        <v>3044</v>
      </c>
      <c r="F28" s="45">
        <f>IF('TBA-Matches'!I28 &lt;&gt; "", 'TBA-Matches'!I28, "")</f>
        <v>10223</v>
      </c>
      <c r="G28" s="45">
        <f>IF('TBA-Matches'!J28 &lt;&gt; "", 'TBA-Matches'!J28, "")</f>
        <v>353</v>
      </c>
      <c r="H28" s="45">
        <f>IF('TBA-Matches'!K28 &lt;&gt; "", 'TBA-Matches'!K28, "")</f>
        <v>1511</v>
      </c>
      <c r="I28" s="45">
        <f>IF('TBA-Matches'!L28 &lt;&gt; "", 'TBA-Matches'!L28, "")</f>
        <v>340</v>
      </c>
    </row>
    <row r="29" spans="1:9" ht="16" x14ac:dyDescent="0.2">
      <c r="A29" s="79" t="str" cm="1">
        <f t="array" ref="A29">IF('TBA-Matches'!D29&lt;&gt;"", _xlfn.SWITCH('TBA-Matches'!D29, "qm", "Qualies", "sf", "Semis", "f", "Finals"), "")</f>
        <v>Qualies</v>
      </c>
      <c r="B29" s="79">
        <f>IF('TBA-Matches'!E29 &lt;&gt; "", 'TBA-Matches'!E29, "")</f>
        <v>28</v>
      </c>
      <c r="C29" s="80" t="str">
        <f>IF('TBA-Matches'!B29 &lt;&gt; "", CONCATENATE(TEXT('TBA-Matches'!B29,"ddd"),": ",TEXT('TBA-Matches'!C30, "HH:MM")), "")</f>
        <v>Fri: 13:40</v>
      </c>
      <c r="D29" s="45">
        <f>IF('TBA-Matches'!G29 &lt;&gt; "", 'TBA-Matches'!G29, "")</f>
        <v>5528</v>
      </c>
      <c r="E29" s="45">
        <f>IF('TBA-Matches'!H29 &lt;&gt; "", 'TBA-Matches'!H29, "")</f>
        <v>1468</v>
      </c>
      <c r="F29" s="45">
        <f>IF('TBA-Matches'!I29 &lt;&gt; "", 'TBA-Matches'!I29, "")</f>
        <v>144</v>
      </c>
      <c r="G29" s="45">
        <f>IF('TBA-Matches'!J29 &lt;&gt; "", 'TBA-Matches'!J29, "")</f>
        <v>7903</v>
      </c>
      <c r="H29" s="45">
        <f>IF('TBA-Matches'!K29 &lt;&gt; "", 'TBA-Matches'!K29, "")</f>
        <v>6947</v>
      </c>
      <c r="I29" s="45">
        <f>IF('TBA-Matches'!L29 &lt;&gt; "", 'TBA-Matches'!L29, "")</f>
        <v>6423</v>
      </c>
    </row>
    <row r="30" spans="1:9" ht="16" x14ac:dyDescent="0.2">
      <c r="A30" s="79" t="str" cm="1">
        <f t="array" ref="A30">IF('TBA-Matches'!D30&lt;&gt;"", _xlfn.SWITCH('TBA-Matches'!D30, "qm", "Qualies", "sf", "Semis", "f", "Finals"), "")</f>
        <v>Qualies</v>
      </c>
      <c r="B30" s="79">
        <f>IF('TBA-Matches'!E30 &lt;&gt; "", 'TBA-Matches'!E30, "")</f>
        <v>29</v>
      </c>
      <c r="C30" s="80" t="str">
        <f>IF('TBA-Matches'!B30 &lt;&gt; "", CONCATENATE(TEXT('TBA-Matches'!B30,"ddd"),": ",TEXT('TBA-Matches'!C31, "HH:MM")), "")</f>
        <v>Fri: 13:48</v>
      </c>
      <c r="D30" s="45">
        <f>IF('TBA-Matches'!G30 &lt;&gt; "", 'TBA-Matches'!G30, "")</f>
        <v>3951</v>
      </c>
      <c r="E30" s="45">
        <f>IF('TBA-Matches'!H30 &lt;&gt; "", 'TBA-Matches'!H30, "")</f>
        <v>3015</v>
      </c>
      <c r="F30" s="45">
        <f>IF('TBA-Matches'!I30 &lt;&gt; "", 'TBA-Matches'!I30, "")</f>
        <v>2228</v>
      </c>
      <c r="G30" s="45">
        <f>IF('TBA-Matches'!J30 &lt;&gt; "", 'TBA-Matches'!J30, "")</f>
        <v>20</v>
      </c>
      <c r="H30" s="45">
        <f>IF('TBA-Matches'!K30 &lt;&gt; "", 'TBA-Matches'!K30, "")</f>
        <v>1405</v>
      </c>
      <c r="I30" s="45">
        <f>IF('TBA-Matches'!L30 &lt;&gt; "", 'TBA-Matches'!L30, "")</f>
        <v>4093</v>
      </c>
    </row>
    <row r="31" spans="1:9" ht="16" x14ac:dyDescent="0.2">
      <c r="A31" s="79" t="str" cm="1">
        <f t="array" ref="A31">IF('TBA-Matches'!D31&lt;&gt;"", _xlfn.SWITCH('TBA-Matches'!D31, "qm", "Qualies", "sf", "Semis", "f", "Finals"), "")</f>
        <v>Qualies</v>
      </c>
      <c r="B31" s="79">
        <f>IF('TBA-Matches'!E31 &lt;&gt; "", 'TBA-Matches'!E31, "")</f>
        <v>30</v>
      </c>
      <c r="C31" s="80" t="str">
        <f>IF('TBA-Matches'!B31 &lt;&gt; "", CONCATENATE(TEXT('TBA-Matches'!B31,"ddd"),": ",TEXT('TBA-Matches'!C32, "HH:MM")), "")</f>
        <v>Fri: 13:56</v>
      </c>
      <c r="D31" s="45">
        <f>IF('TBA-Matches'!G31 &lt;&gt; "", 'TBA-Matches'!G31, "")</f>
        <v>1450</v>
      </c>
      <c r="E31" s="45">
        <f>IF('TBA-Matches'!H31 &lt;&gt; "", 'TBA-Matches'!H31, "")</f>
        <v>578</v>
      </c>
      <c r="F31" s="45">
        <f>IF('TBA-Matches'!I31 &lt;&gt; "", 'TBA-Matches'!I31, "")</f>
        <v>3003</v>
      </c>
      <c r="G31" s="45">
        <f>IF('TBA-Matches'!J31 &lt;&gt; "", 'TBA-Matches'!J31, "")</f>
        <v>1126</v>
      </c>
      <c r="H31" s="45">
        <f>IF('TBA-Matches'!K31 &lt;&gt; "", 'TBA-Matches'!K31, "")</f>
        <v>7030</v>
      </c>
      <c r="I31" s="45">
        <f>IF('TBA-Matches'!L31 &lt;&gt; "", 'TBA-Matches'!L31, "")</f>
        <v>1781</v>
      </c>
    </row>
    <row r="32" spans="1:9" ht="16" x14ac:dyDescent="0.2">
      <c r="A32" s="79" t="str" cm="1">
        <f t="array" ref="A32">IF('TBA-Matches'!D32&lt;&gt;"", _xlfn.SWITCH('TBA-Matches'!D32, "qm", "Qualies", "sf", "Semis", "f", "Finals"), "")</f>
        <v>Qualies</v>
      </c>
      <c r="B32" s="79">
        <f>IF('TBA-Matches'!E32 &lt;&gt; "", 'TBA-Matches'!E32, "")</f>
        <v>31</v>
      </c>
      <c r="C32" s="80" t="str">
        <f>IF('TBA-Matches'!B32 &lt;&gt; "", CONCATENATE(TEXT('TBA-Matches'!B32,"ddd"),": ",TEXT('TBA-Matches'!C33, "HH:MM")), "")</f>
        <v>Fri: 14:04</v>
      </c>
      <c r="D32" s="45">
        <f>IF('TBA-Matches'!G32 &lt;&gt; "", 'TBA-Matches'!G32, "")</f>
        <v>1559</v>
      </c>
      <c r="E32" s="45">
        <f>IF('TBA-Matches'!H32 &lt;&gt; "", 'TBA-Matches'!H32, "")</f>
        <v>639</v>
      </c>
      <c r="F32" s="45">
        <f>IF('TBA-Matches'!I32 &lt;&gt; "", 'TBA-Matches'!I32, "")</f>
        <v>191</v>
      </c>
      <c r="G32" s="45">
        <f>IF('TBA-Matches'!J32 &lt;&gt; "", 'TBA-Matches'!J32, "")</f>
        <v>9767</v>
      </c>
      <c r="H32" s="45">
        <f>IF('TBA-Matches'!K32 &lt;&gt; "", 'TBA-Matches'!K32, "")</f>
        <v>1787</v>
      </c>
      <c r="I32" s="45">
        <f>IF('TBA-Matches'!L32 &lt;&gt; "", 'TBA-Matches'!L32, "")</f>
        <v>564</v>
      </c>
    </row>
    <row r="33" spans="1:9" ht="16" x14ac:dyDescent="0.2">
      <c r="A33" s="79" t="str" cm="1">
        <f t="array" ref="A33">IF('TBA-Matches'!D33&lt;&gt;"", _xlfn.SWITCH('TBA-Matches'!D33, "qm", "Qualies", "sf", "Semis", "f", "Finals"), "")</f>
        <v>Qualies</v>
      </c>
      <c r="B33" s="79">
        <f>IF('TBA-Matches'!E33 &lt;&gt; "", 'TBA-Matches'!E33, "")</f>
        <v>32</v>
      </c>
      <c r="C33" s="80" t="str">
        <f>IF('TBA-Matches'!B33 &lt;&gt; "", CONCATENATE(TEXT('TBA-Matches'!B33,"ddd"),": ",TEXT('TBA-Matches'!C34, "HH:MM")), "")</f>
        <v>Fri: 14:12</v>
      </c>
      <c r="D33" s="45">
        <f>IF('TBA-Matches'!G33 &lt;&gt; "", 'TBA-Matches'!G33, "")</f>
        <v>271</v>
      </c>
      <c r="E33" s="45">
        <f>IF('TBA-Matches'!H33 &lt;&gt; "", 'TBA-Matches'!H33, "")</f>
        <v>5590</v>
      </c>
      <c r="F33" s="45">
        <f>IF('TBA-Matches'!I33 &lt;&gt; "", 'TBA-Matches'!I33, "")</f>
        <v>10922</v>
      </c>
      <c r="G33" s="45">
        <f>IF('TBA-Matches'!J33 &lt;&gt; "", 'TBA-Matches'!J33, "")</f>
        <v>1518</v>
      </c>
      <c r="H33" s="45">
        <f>IF('TBA-Matches'!K33 &lt;&gt; "", 'TBA-Matches'!K33, "")</f>
        <v>4253</v>
      </c>
      <c r="I33" s="45">
        <f>IF('TBA-Matches'!L33 &lt;&gt; "", 'TBA-Matches'!L33, "")</f>
        <v>1585</v>
      </c>
    </row>
    <row r="34" spans="1:9" ht="16" x14ac:dyDescent="0.2">
      <c r="A34" s="79" t="str" cm="1">
        <f t="array" ref="A34">IF('TBA-Matches'!D34&lt;&gt;"", _xlfn.SWITCH('TBA-Matches'!D34, "qm", "Qualies", "sf", "Semis", "f", "Finals"), "")</f>
        <v>Qualies</v>
      </c>
      <c r="B34" s="79">
        <f>IF('TBA-Matches'!E34 &lt;&gt; "", 'TBA-Matches'!E34, "")</f>
        <v>33</v>
      </c>
      <c r="C34" s="80" t="str">
        <f>IF('TBA-Matches'!B34 &lt;&gt; "", CONCATENATE(TEXT('TBA-Matches'!B34,"ddd"),": ",TEXT('TBA-Matches'!C35, "HH:MM")), "")</f>
        <v>Fri: 14:20</v>
      </c>
      <c r="D34" s="45">
        <f>IF('TBA-Matches'!G34 &lt;&gt; "", 'TBA-Matches'!G34, "")</f>
        <v>3044</v>
      </c>
      <c r="E34" s="45">
        <f>IF('TBA-Matches'!H34 &lt;&gt; "", 'TBA-Matches'!H34, "")</f>
        <v>424</v>
      </c>
      <c r="F34" s="45">
        <f>IF('TBA-Matches'!I34 &lt;&gt; "", 'TBA-Matches'!I34, "")</f>
        <v>1511</v>
      </c>
      <c r="G34" s="45">
        <f>IF('TBA-Matches'!J34 &lt;&gt; "", 'TBA-Matches'!J34, "")</f>
        <v>3181</v>
      </c>
      <c r="H34" s="45">
        <f>IF('TBA-Matches'!K34 &lt;&gt; "", 'TBA-Matches'!K34, "")</f>
        <v>3838</v>
      </c>
      <c r="I34" s="45">
        <f>IF('TBA-Matches'!L34 &lt;&gt; "", 'TBA-Matches'!L34, "")</f>
        <v>810</v>
      </c>
    </row>
    <row r="35" spans="1:9" ht="16" x14ac:dyDescent="0.2">
      <c r="A35" s="79" t="str" cm="1">
        <f t="array" ref="A35">IF('TBA-Matches'!D35&lt;&gt;"", _xlfn.SWITCH('TBA-Matches'!D35, "qm", "Qualies", "sf", "Semis", "f", "Finals"), "")</f>
        <v>Qualies</v>
      </c>
      <c r="B35" s="79">
        <f>IF('TBA-Matches'!E35 &lt;&gt; "", 'TBA-Matches'!E35, "")</f>
        <v>34</v>
      </c>
      <c r="C35" s="80" t="str">
        <f>IF('TBA-Matches'!B35 &lt;&gt; "", CONCATENATE(TEXT('TBA-Matches'!B35,"ddd"),": ",TEXT('TBA-Matches'!C36, "HH:MM")), "")</f>
        <v>Fri: 14:28</v>
      </c>
      <c r="D35" s="45">
        <f>IF('TBA-Matches'!G35 &lt;&gt; "", 'TBA-Matches'!G35, "")</f>
        <v>2340</v>
      </c>
      <c r="E35" s="45">
        <f>IF('TBA-Matches'!H35 &lt;&gt; "", 'TBA-Matches'!H35, "")</f>
        <v>10223</v>
      </c>
      <c r="F35" s="45">
        <f>IF('TBA-Matches'!I35 &lt;&gt; "", 'TBA-Matches'!I35, "")</f>
        <v>9016</v>
      </c>
      <c r="G35" s="45">
        <f>IF('TBA-Matches'!J35 &lt;&gt; "", 'TBA-Matches'!J35, "")</f>
        <v>1468</v>
      </c>
      <c r="H35" s="45">
        <f>IF('TBA-Matches'!K35 &lt;&gt; "", 'TBA-Matches'!K35, "")</f>
        <v>4458</v>
      </c>
      <c r="I35" s="45">
        <f>IF('TBA-Matches'!L35 &lt;&gt; "", 'TBA-Matches'!L35, "")</f>
        <v>8503</v>
      </c>
    </row>
    <row r="36" spans="1:9" ht="16" x14ac:dyDescent="0.2">
      <c r="A36" s="79" t="str" cm="1">
        <f t="array" ref="A36">IF('TBA-Matches'!D36&lt;&gt;"", _xlfn.SWITCH('TBA-Matches'!D36, "qm", "Qualies", "sf", "Semis", "f", "Finals"), "")</f>
        <v>Qualies</v>
      </c>
      <c r="B36" s="79">
        <f>IF('TBA-Matches'!E36 &lt;&gt; "", 'TBA-Matches'!E36, "")</f>
        <v>35</v>
      </c>
      <c r="C36" s="80" t="str">
        <f>IF('TBA-Matches'!B36 &lt;&gt; "", CONCATENATE(TEXT('TBA-Matches'!B36,"ddd"),": ",TEXT('TBA-Matches'!C37, "HH:MM")), "")</f>
        <v>Fri: 14:36</v>
      </c>
      <c r="D36" s="45">
        <f>IF('TBA-Matches'!G36 &lt;&gt; "", 'TBA-Matches'!G36, "")</f>
        <v>48</v>
      </c>
      <c r="E36" s="45">
        <f>IF('TBA-Matches'!H36 &lt;&gt; "", 'TBA-Matches'!H36, "")</f>
        <v>378</v>
      </c>
      <c r="F36" s="45">
        <f>IF('TBA-Matches'!I36 &lt;&gt; "", 'TBA-Matches'!I36, "")</f>
        <v>1591</v>
      </c>
      <c r="G36" s="45">
        <f>IF('TBA-Matches'!J36 &lt;&gt; "", 'TBA-Matches'!J36, "")</f>
        <v>694</v>
      </c>
      <c r="H36" s="45">
        <f>IF('TBA-Matches'!K36 &lt;&gt; "", 'TBA-Matches'!K36, "")</f>
        <v>6423</v>
      </c>
      <c r="I36" s="45">
        <f>IF('TBA-Matches'!L36 &lt;&gt; "", 'TBA-Matches'!L36, "")</f>
        <v>1056</v>
      </c>
    </row>
    <row r="37" spans="1:9" ht="16" x14ac:dyDescent="0.2">
      <c r="A37" s="79" t="str" cm="1">
        <f t="array" ref="A37">IF('TBA-Matches'!D37&lt;&gt;"", _xlfn.SWITCH('TBA-Matches'!D37, "qm", "Qualies", "sf", "Semis", "f", "Finals"), "")</f>
        <v>Qualies</v>
      </c>
      <c r="B37" s="79">
        <f>IF('TBA-Matches'!E37 &lt;&gt; "", 'TBA-Matches'!E37, "")</f>
        <v>36</v>
      </c>
      <c r="C37" s="80" t="str">
        <f>IF('TBA-Matches'!B37 &lt;&gt; "", CONCATENATE(TEXT('TBA-Matches'!B37,"ddd"),": ",TEXT('TBA-Matches'!C38, "HH:MM")), "")</f>
        <v>Fri: 14:44</v>
      </c>
      <c r="D37" s="45">
        <f>IF('TBA-Matches'!G37 &lt;&gt; "", 'TBA-Matches'!G37, "")</f>
        <v>1507</v>
      </c>
      <c r="E37" s="45">
        <f>IF('TBA-Matches'!H37 &lt;&gt; "", 'TBA-Matches'!H37, "")</f>
        <v>353</v>
      </c>
      <c r="F37" s="45">
        <f>IF('TBA-Matches'!I37 &lt;&gt; "", 'TBA-Matches'!I37, "")</f>
        <v>5528</v>
      </c>
      <c r="G37" s="45">
        <f>IF('TBA-Matches'!J37 &lt;&gt; "", 'TBA-Matches'!J37, "")</f>
        <v>340</v>
      </c>
      <c r="H37" s="45">
        <f>IF('TBA-Matches'!K37 &lt;&gt; "", 'TBA-Matches'!K37, "")</f>
        <v>3173</v>
      </c>
      <c r="I37" s="45">
        <f>IF('TBA-Matches'!L37 &lt;&gt; "", 'TBA-Matches'!L37, "")</f>
        <v>3799</v>
      </c>
    </row>
    <row r="38" spans="1:9" ht="16" x14ac:dyDescent="0.2">
      <c r="A38" s="79" t="str" cm="1">
        <f t="array" ref="A38">IF('TBA-Matches'!D38&lt;&gt;"", _xlfn.SWITCH('TBA-Matches'!D38, "qm", "Qualies", "sf", "Semis", "f", "Finals"), "")</f>
        <v>Qualies</v>
      </c>
      <c r="B38" s="79">
        <f>IF('TBA-Matches'!E38 &lt;&gt; "", 'TBA-Matches'!E38, "")</f>
        <v>37</v>
      </c>
      <c r="C38" s="80" t="str">
        <f>IF('TBA-Matches'!B38 &lt;&gt; "", CONCATENATE(TEXT('TBA-Matches'!B38,"ddd"),": ",TEXT('TBA-Matches'!C39, "HH:MM")), "")</f>
        <v>Fri: 14:52</v>
      </c>
      <c r="D38" s="45">
        <f>IF('TBA-Matches'!G38 &lt;&gt; "", 'TBA-Matches'!G38, "")</f>
        <v>432</v>
      </c>
      <c r="E38" s="45">
        <f>IF('TBA-Matches'!H38 &lt;&gt; "", 'TBA-Matches'!H38, "")</f>
        <v>7030</v>
      </c>
      <c r="F38" s="45">
        <f>IF('TBA-Matches'!I38 &lt;&gt; "", 'TBA-Matches'!I38, "")</f>
        <v>325</v>
      </c>
      <c r="G38" s="45">
        <f>IF('TBA-Matches'!J38 &lt;&gt; "", 'TBA-Matches'!J38, "")</f>
        <v>6868</v>
      </c>
      <c r="H38" s="45">
        <f>IF('TBA-Matches'!K38 &lt;&gt; "", 'TBA-Matches'!K38, "")</f>
        <v>4930</v>
      </c>
      <c r="I38" s="45">
        <f>IF('TBA-Matches'!L38 &lt;&gt; "", 'TBA-Matches'!L38, "")</f>
        <v>4093</v>
      </c>
    </row>
    <row r="39" spans="1:9" ht="16" x14ac:dyDescent="0.2">
      <c r="A39" s="79" t="str" cm="1">
        <f t="array" ref="A39">IF('TBA-Matches'!D39&lt;&gt;"", _xlfn.SWITCH('TBA-Matches'!D39, "qm", "Qualies", "sf", "Semis", "f", "Finals"), "")</f>
        <v>Qualies</v>
      </c>
      <c r="B39" s="79">
        <f>IF('TBA-Matches'!E39 &lt;&gt; "", 'TBA-Matches'!E39, "")</f>
        <v>38</v>
      </c>
      <c r="C39" s="80" t="str">
        <f>IF('TBA-Matches'!B39 &lt;&gt; "", CONCATENATE(TEXT('TBA-Matches'!B39,"ddd"),": ",TEXT('TBA-Matches'!C40, "HH:MM")), "")</f>
        <v>Fri: 15:00</v>
      </c>
      <c r="D39" s="45">
        <f>IF('TBA-Matches'!G39 &lt;&gt; "", 'TBA-Matches'!G39, "")</f>
        <v>10922</v>
      </c>
      <c r="E39" s="45">
        <f>IF('TBA-Matches'!H39 &lt;&gt; "", 'TBA-Matches'!H39, "")</f>
        <v>3951</v>
      </c>
      <c r="F39" s="45">
        <f>IF('TBA-Matches'!I39 &lt;&gt; "", 'TBA-Matches'!I39, "")</f>
        <v>1585</v>
      </c>
      <c r="G39" s="45">
        <f>IF('TBA-Matches'!J39 &lt;&gt; "", 'TBA-Matches'!J39, "")</f>
        <v>3015</v>
      </c>
      <c r="H39" s="45">
        <f>IF('TBA-Matches'!K39 &lt;&gt; "", 'TBA-Matches'!K39, "")</f>
        <v>1559</v>
      </c>
      <c r="I39" s="45">
        <f>IF('TBA-Matches'!L39 &lt;&gt; "", 'TBA-Matches'!L39, "")</f>
        <v>1787</v>
      </c>
    </row>
    <row r="40" spans="1:9" ht="16" x14ac:dyDescent="0.2">
      <c r="A40" s="79" t="str" cm="1">
        <f t="array" ref="A40">IF('TBA-Matches'!D40&lt;&gt;"", _xlfn.SWITCH('TBA-Matches'!D40, "qm", "Qualies", "sf", "Semis", "f", "Finals"), "")</f>
        <v>Qualies</v>
      </c>
      <c r="B40" s="79">
        <f>IF('TBA-Matches'!E40 &lt;&gt; "", 'TBA-Matches'!E40, "")</f>
        <v>39</v>
      </c>
      <c r="C40" s="80" t="str">
        <f>IF('TBA-Matches'!B40 &lt;&gt; "", CONCATENATE(TEXT('TBA-Matches'!B40,"ddd"),": ",TEXT('TBA-Matches'!C41, "HH:MM")), "")</f>
        <v>Fri: 15:08</v>
      </c>
      <c r="D40" s="45">
        <f>IF('TBA-Matches'!G40 &lt;&gt; "", 'TBA-Matches'!G40, "")</f>
        <v>191</v>
      </c>
      <c r="E40" s="45">
        <f>IF('TBA-Matches'!H40 &lt;&gt; "", 'TBA-Matches'!H40, "")</f>
        <v>1511</v>
      </c>
      <c r="F40" s="45">
        <f>IF('TBA-Matches'!I40 &lt;&gt; "", 'TBA-Matches'!I40, "")</f>
        <v>271</v>
      </c>
      <c r="G40" s="45">
        <f>IF('TBA-Matches'!J40 &lt;&gt; "", 'TBA-Matches'!J40, "")</f>
        <v>578</v>
      </c>
      <c r="H40" s="45">
        <f>IF('TBA-Matches'!K40 &lt;&gt; "", 'TBA-Matches'!K40, "")</f>
        <v>1781</v>
      </c>
      <c r="I40" s="45">
        <f>IF('TBA-Matches'!L40 &lt;&gt; "", 'TBA-Matches'!L40, "")</f>
        <v>144</v>
      </c>
    </row>
    <row r="41" spans="1:9" ht="16" x14ac:dyDescent="0.2">
      <c r="A41" s="79" t="str" cm="1">
        <f t="array" ref="A41">IF('TBA-Matches'!D41&lt;&gt;"", _xlfn.SWITCH('TBA-Matches'!D41, "qm", "Qualies", "sf", "Semis", "f", "Finals"), "")</f>
        <v>Qualies</v>
      </c>
      <c r="B41" s="79">
        <f>IF('TBA-Matches'!E41 &lt;&gt; "", 'TBA-Matches'!E41, "")</f>
        <v>40</v>
      </c>
      <c r="C41" s="80" t="str">
        <f>IF('TBA-Matches'!B41 &lt;&gt; "", CONCATENATE(TEXT('TBA-Matches'!B41,"ddd"),": ",TEXT('TBA-Matches'!C42, "HH:MM")), "")</f>
        <v>Fri: 15:16</v>
      </c>
      <c r="D41" s="45">
        <f>IF('TBA-Matches'!G41 &lt;&gt; "", 'TBA-Matches'!G41, "")</f>
        <v>3003</v>
      </c>
      <c r="E41" s="45">
        <f>IF('TBA-Matches'!H41 &lt;&gt; "", 'TBA-Matches'!H41, "")</f>
        <v>20</v>
      </c>
      <c r="F41" s="45">
        <f>IF('TBA-Matches'!I41 &lt;&gt; "", 'TBA-Matches'!I41, "")</f>
        <v>9016</v>
      </c>
      <c r="G41" s="45">
        <f>IF('TBA-Matches'!J41 &lt;&gt; "", 'TBA-Matches'!J41, "")</f>
        <v>4253</v>
      </c>
      <c r="H41" s="45">
        <f>IF('TBA-Matches'!K41 &lt;&gt; "", 'TBA-Matches'!K41, "")</f>
        <v>3044</v>
      </c>
      <c r="I41" s="45">
        <f>IF('TBA-Matches'!L41 &lt;&gt; "", 'TBA-Matches'!L41, "")</f>
        <v>2340</v>
      </c>
    </row>
    <row r="42" spans="1:9" ht="16" x14ac:dyDescent="0.2">
      <c r="A42" s="79" t="str" cm="1">
        <f t="array" ref="A42">IF('TBA-Matches'!D42&lt;&gt;"", _xlfn.SWITCH('TBA-Matches'!D42, "qm", "Qualies", "sf", "Semis", "f", "Finals"), "")</f>
        <v>Qualies</v>
      </c>
      <c r="B42" s="79">
        <f>IF('TBA-Matches'!E42 &lt;&gt; "", 'TBA-Matches'!E42, "")</f>
        <v>41</v>
      </c>
      <c r="C42" s="80" t="str">
        <f>IF('TBA-Matches'!B42 &lt;&gt; "", CONCATENATE(TEXT('TBA-Matches'!B42,"ddd"),": ",TEXT('TBA-Matches'!C43, "HH:MM")), "")</f>
        <v>Fri: 15:24</v>
      </c>
      <c r="D42" s="45">
        <f>IF('TBA-Matches'!G42 &lt;&gt; "", 'TBA-Matches'!G42, "")</f>
        <v>3838</v>
      </c>
      <c r="E42" s="45">
        <f>IF('TBA-Matches'!H42 &lt;&gt; "", 'TBA-Matches'!H42, "")</f>
        <v>1468</v>
      </c>
      <c r="F42" s="45">
        <f>IF('TBA-Matches'!I42 &lt;&gt; "", 'TBA-Matches'!I42, "")</f>
        <v>5590</v>
      </c>
      <c r="G42" s="45">
        <f>IF('TBA-Matches'!J42 &lt;&gt; "", 'TBA-Matches'!J42, "")</f>
        <v>2228</v>
      </c>
      <c r="H42" s="45">
        <f>IF('TBA-Matches'!K42 &lt;&gt; "", 'TBA-Matches'!K42, "")</f>
        <v>9767</v>
      </c>
      <c r="I42" s="45">
        <f>IF('TBA-Matches'!L42 &lt;&gt; "", 'TBA-Matches'!L42, "")</f>
        <v>48</v>
      </c>
    </row>
    <row r="43" spans="1:9" ht="16" x14ac:dyDescent="0.2">
      <c r="A43" s="79" t="str" cm="1">
        <f t="array" ref="A43">IF('TBA-Matches'!D43&lt;&gt;"", _xlfn.SWITCH('TBA-Matches'!D43, "qm", "Qualies", "sf", "Semis", "f", "Finals"), "")</f>
        <v>Qualies</v>
      </c>
      <c r="B43" s="79">
        <f>IF('TBA-Matches'!E43 &lt;&gt; "", 'TBA-Matches'!E43, "")</f>
        <v>42</v>
      </c>
      <c r="C43" s="80" t="str">
        <f>IF('TBA-Matches'!B43 &lt;&gt; "", CONCATENATE(TEXT('TBA-Matches'!B43,"ddd"),": ",TEXT('TBA-Matches'!C44, "HH:MM")), "")</f>
        <v>Fri: 15:32</v>
      </c>
      <c r="D43" s="45">
        <f>IF('TBA-Matches'!G43 &lt;&gt; "", 'TBA-Matches'!G43, "")</f>
        <v>1450</v>
      </c>
      <c r="E43" s="45">
        <f>IF('TBA-Matches'!H43 &lt;&gt; "", 'TBA-Matches'!H43, "")</f>
        <v>564</v>
      </c>
      <c r="F43" s="45">
        <f>IF('TBA-Matches'!I43 &lt;&gt; "", 'TBA-Matches'!I43, "")</f>
        <v>1056</v>
      </c>
      <c r="G43" s="45">
        <f>IF('TBA-Matches'!J43 &lt;&gt; "", 'TBA-Matches'!J43, "")</f>
        <v>424</v>
      </c>
      <c r="H43" s="45">
        <f>IF('TBA-Matches'!K43 &lt;&gt; "", 'TBA-Matches'!K43, "")</f>
        <v>340</v>
      </c>
      <c r="I43" s="45">
        <f>IF('TBA-Matches'!L43 &lt;&gt; "", 'TBA-Matches'!L43, "")</f>
        <v>4458</v>
      </c>
    </row>
    <row r="44" spans="1:9" ht="16" x14ac:dyDescent="0.2">
      <c r="A44" s="79" t="str" cm="1">
        <f t="array" ref="A44">IF('TBA-Matches'!D44&lt;&gt;"", _xlfn.SWITCH('TBA-Matches'!D44, "qm", "Qualies", "sf", "Semis", "f", "Finals"), "")</f>
        <v>Qualies</v>
      </c>
      <c r="B44" s="79">
        <f>IF('TBA-Matches'!E44 &lt;&gt; "", 'TBA-Matches'!E44, "")</f>
        <v>43</v>
      </c>
      <c r="C44" s="80" t="str">
        <f>IF('TBA-Matches'!B44 &lt;&gt; "", CONCATENATE(TEXT('TBA-Matches'!B44,"ddd"),": ",TEXT('TBA-Matches'!C45, "HH:MM")), "")</f>
        <v>Fri: 15:40</v>
      </c>
      <c r="D44" s="45">
        <f>IF('TBA-Matches'!G44 &lt;&gt; "", 'TBA-Matches'!G44, "")</f>
        <v>6868</v>
      </c>
      <c r="E44" s="45">
        <f>IF('TBA-Matches'!H44 &lt;&gt; "", 'TBA-Matches'!H44, "")</f>
        <v>5528</v>
      </c>
      <c r="F44" s="45">
        <f>IF('TBA-Matches'!I44 &lt;&gt; "", 'TBA-Matches'!I44, "")</f>
        <v>432</v>
      </c>
      <c r="G44" s="45">
        <f>IF('TBA-Matches'!J44 &lt;&gt; "", 'TBA-Matches'!J44, "")</f>
        <v>378</v>
      </c>
      <c r="H44" s="45">
        <f>IF('TBA-Matches'!K44 &lt;&gt; "", 'TBA-Matches'!K44, "")</f>
        <v>1507</v>
      </c>
      <c r="I44" s="45">
        <f>IF('TBA-Matches'!L44 &lt;&gt; "", 'TBA-Matches'!L44, "")</f>
        <v>10223</v>
      </c>
    </row>
    <row r="45" spans="1:9" ht="16" x14ac:dyDescent="0.2">
      <c r="A45" s="79" t="str" cm="1">
        <f t="array" ref="A45">IF('TBA-Matches'!D45&lt;&gt;"", _xlfn.SWITCH('TBA-Matches'!D45, "qm", "Qualies", "sf", "Semis", "f", "Finals"), "")</f>
        <v>Qualies</v>
      </c>
      <c r="B45" s="79">
        <f>IF('TBA-Matches'!E45 &lt;&gt; "", 'TBA-Matches'!E45, "")</f>
        <v>44</v>
      </c>
      <c r="C45" s="80" t="str">
        <f>IF('TBA-Matches'!B45 &lt;&gt; "", CONCATENATE(TEXT('TBA-Matches'!B45,"ddd"),": ",TEXT('TBA-Matches'!C46, "HH:MM")), "")</f>
        <v>Fri: 15:48</v>
      </c>
      <c r="D45" s="45">
        <f>IF('TBA-Matches'!G45 &lt;&gt; "", 'TBA-Matches'!G45, "")</f>
        <v>1518</v>
      </c>
      <c r="E45" s="45">
        <f>IF('TBA-Matches'!H45 &lt;&gt; "", 'TBA-Matches'!H45, "")</f>
        <v>6947</v>
      </c>
      <c r="F45" s="45">
        <f>IF('TBA-Matches'!I45 &lt;&gt; "", 'TBA-Matches'!I45, "")</f>
        <v>694</v>
      </c>
      <c r="G45" s="45">
        <f>IF('TBA-Matches'!J45 &lt;&gt; "", 'TBA-Matches'!J45, "")</f>
        <v>3173</v>
      </c>
      <c r="H45" s="45">
        <f>IF('TBA-Matches'!K45 &lt;&gt; "", 'TBA-Matches'!K45, "")</f>
        <v>3181</v>
      </c>
      <c r="I45" s="45">
        <f>IF('TBA-Matches'!L45 &lt;&gt; "", 'TBA-Matches'!L45, "")</f>
        <v>325</v>
      </c>
    </row>
    <row r="46" spans="1:9" ht="16" x14ac:dyDescent="0.2">
      <c r="A46" s="79" t="str" cm="1">
        <f t="array" ref="A46">IF('TBA-Matches'!D46&lt;&gt;"", _xlfn.SWITCH('TBA-Matches'!D46, "qm", "Qualies", "sf", "Semis", "f", "Finals"), "")</f>
        <v>Qualies</v>
      </c>
      <c r="B46" s="79">
        <f>IF('TBA-Matches'!E46 &lt;&gt; "", 'TBA-Matches'!E46, "")</f>
        <v>45</v>
      </c>
      <c r="C46" s="80" t="str">
        <f>IF('TBA-Matches'!B46 &lt;&gt; "", CONCATENATE(TEXT('TBA-Matches'!B46,"ddd"),": ",TEXT('TBA-Matches'!C47, "HH:MM")), "")</f>
        <v>Fri: 15:56</v>
      </c>
      <c r="D46" s="45">
        <f>IF('TBA-Matches'!G46 &lt;&gt; "", 'TBA-Matches'!G46, "")</f>
        <v>1126</v>
      </c>
      <c r="E46" s="45">
        <f>IF('TBA-Matches'!H46 &lt;&gt; "", 'TBA-Matches'!H46, "")</f>
        <v>3799</v>
      </c>
      <c r="F46" s="45">
        <f>IF('TBA-Matches'!I46 &lt;&gt; "", 'TBA-Matches'!I46, "")</f>
        <v>810</v>
      </c>
      <c r="G46" s="45">
        <f>IF('TBA-Matches'!J46 &lt;&gt; "", 'TBA-Matches'!J46, "")</f>
        <v>4930</v>
      </c>
      <c r="H46" s="45">
        <f>IF('TBA-Matches'!K46 &lt;&gt; "", 'TBA-Matches'!K46, "")</f>
        <v>1591</v>
      </c>
      <c r="I46" s="45">
        <f>IF('TBA-Matches'!L46 &lt;&gt; "", 'TBA-Matches'!L46, "")</f>
        <v>7903</v>
      </c>
    </row>
    <row r="47" spans="1:9" ht="16" x14ac:dyDescent="0.2">
      <c r="A47" s="79" t="str" cm="1">
        <f t="array" ref="A47">IF('TBA-Matches'!D47&lt;&gt;"", _xlfn.SWITCH('TBA-Matches'!D47, "qm", "Qualies", "sf", "Semis", "f", "Finals"), "")</f>
        <v>Qualies</v>
      </c>
      <c r="B47" s="79">
        <f>IF('TBA-Matches'!E47 &lt;&gt; "", 'TBA-Matches'!E47, "")</f>
        <v>46</v>
      </c>
      <c r="C47" s="80" t="str">
        <f>IF('TBA-Matches'!B47 &lt;&gt; "", CONCATENATE(TEXT('TBA-Matches'!B47,"ddd"),": ",TEXT('TBA-Matches'!C48, "HH:MM")), "")</f>
        <v>Fri: 16:04</v>
      </c>
      <c r="D47" s="45">
        <f>IF('TBA-Matches'!G47 &lt;&gt; "", 'TBA-Matches'!G47, "")</f>
        <v>1405</v>
      </c>
      <c r="E47" s="45">
        <f>IF('TBA-Matches'!H47 &lt;&gt; "", 'TBA-Matches'!H47, "")</f>
        <v>8503</v>
      </c>
      <c r="F47" s="45">
        <f>IF('TBA-Matches'!I47 &lt;&gt; "", 'TBA-Matches'!I47, "")</f>
        <v>6423</v>
      </c>
      <c r="G47" s="45">
        <f>IF('TBA-Matches'!J47 &lt;&gt; "", 'TBA-Matches'!J47, "")</f>
        <v>639</v>
      </c>
      <c r="H47" s="45">
        <f>IF('TBA-Matches'!K47 &lt;&gt; "", 'TBA-Matches'!K47, "")</f>
        <v>353</v>
      </c>
      <c r="I47" s="45">
        <f>IF('TBA-Matches'!L47 &lt;&gt; "", 'TBA-Matches'!L47, "")</f>
        <v>3003</v>
      </c>
    </row>
    <row r="48" spans="1:9" ht="16" x14ac:dyDescent="0.2">
      <c r="A48" s="79" t="str" cm="1">
        <f t="array" ref="A48">IF('TBA-Matches'!D48&lt;&gt;"", _xlfn.SWITCH('TBA-Matches'!D48, "qm", "Qualies", "sf", "Semis", "f", "Finals"), "")</f>
        <v>Qualies</v>
      </c>
      <c r="B48" s="79">
        <f>IF('TBA-Matches'!E48 &lt;&gt; "", 'TBA-Matches'!E48, "")</f>
        <v>47</v>
      </c>
      <c r="C48" s="80" t="str">
        <f>IF('TBA-Matches'!B48 &lt;&gt; "", CONCATENATE(TEXT('TBA-Matches'!B48,"ddd"),": ",TEXT('TBA-Matches'!C49, "HH:MM")), "")</f>
        <v>Fri: 16:12</v>
      </c>
      <c r="D48" s="45">
        <f>IF('TBA-Matches'!G48 &lt;&gt; "", 'TBA-Matches'!G48, "")</f>
        <v>4253</v>
      </c>
      <c r="E48" s="45">
        <f>IF('TBA-Matches'!H48 &lt;&gt; "", 'TBA-Matches'!H48, "")</f>
        <v>4093</v>
      </c>
      <c r="F48" s="45">
        <f>IF('TBA-Matches'!I48 &lt;&gt; "", 'TBA-Matches'!I48, "")</f>
        <v>7030</v>
      </c>
      <c r="G48" s="45">
        <f>IF('TBA-Matches'!J48 &lt;&gt; "", 'TBA-Matches'!J48, "")</f>
        <v>191</v>
      </c>
      <c r="H48" s="45">
        <f>IF('TBA-Matches'!K48 &lt;&gt; "", 'TBA-Matches'!K48, "")</f>
        <v>1585</v>
      </c>
      <c r="I48" s="45">
        <f>IF('TBA-Matches'!L48 &lt;&gt; "", 'TBA-Matches'!L48, "")</f>
        <v>3838</v>
      </c>
    </row>
    <row r="49" spans="1:9" ht="16" x14ac:dyDescent="0.2">
      <c r="A49" s="79" t="str" cm="1">
        <f t="array" ref="A49">IF('TBA-Matches'!D49&lt;&gt;"", _xlfn.SWITCH('TBA-Matches'!D49, "qm", "Qualies", "sf", "Semis", "f", "Finals"), "")</f>
        <v>Qualies</v>
      </c>
      <c r="B49" s="79">
        <f>IF('TBA-Matches'!E49 &lt;&gt; "", 'TBA-Matches'!E49, "")</f>
        <v>48</v>
      </c>
      <c r="C49" s="80" t="str">
        <f>IF('TBA-Matches'!B49 &lt;&gt; "", CONCATENATE(TEXT('TBA-Matches'!B49,"ddd"),": ",TEXT('TBA-Matches'!C50, "HH:MM")), "")</f>
        <v>Fri: 16:20</v>
      </c>
      <c r="D49" s="45">
        <f>IF('TBA-Matches'!G49 &lt;&gt; "", 'TBA-Matches'!G49, "")</f>
        <v>144</v>
      </c>
      <c r="E49" s="45">
        <f>IF('TBA-Matches'!H49 &lt;&gt; "", 'TBA-Matches'!H49, "")</f>
        <v>20</v>
      </c>
      <c r="F49" s="45">
        <f>IF('TBA-Matches'!I49 &lt;&gt; "", 'TBA-Matches'!I49, "")</f>
        <v>3044</v>
      </c>
      <c r="G49" s="45">
        <f>IF('TBA-Matches'!J49 &lt;&gt; "", 'TBA-Matches'!J49, "")</f>
        <v>1787</v>
      </c>
      <c r="H49" s="45">
        <f>IF('TBA-Matches'!K49 &lt;&gt; "", 'TBA-Matches'!K49, "")</f>
        <v>10922</v>
      </c>
      <c r="I49" s="45">
        <f>IF('TBA-Matches'!L49 &lt;&gt; "", 'TBA-Matches'!L49, "")</f>
        <v>48</v>
      </c>
    </row>
    <row r="50" spans="1:9" ht="16" x14ac:dyDescent="0.2">
      <c r="A50" s="79" t="str" cm="1">
        <f t="array" ref="A50">IF('TBA-Matches'!D50&lt;&gt;"", _xlfn.SWITCH('TBA-Matches'!D50, "qm", "Qualies", "sf", "Semis", "f", "Finals"), "")</f>
        <v>Qualies</v>
      </c>
      <c r="B50" s="79">
        <f>IF('TBA-Matches'!E50 &lt;&gt; "", 'TBA-Matches'!E50, "")</f>
        <v>49</v>
      </c>
      <c r="C50" s="80" t="str">
        <f>IF('TBA-Matches'!B50 &lt;&gt; "", CONCATENATE(TEXT('TBA-Matches'!B50,"ddd"),": ",TEXT('TBA-Matches'!C51, "HH:MM")), "")</f>
        <v>Fri: 16:28</v>
      </c>
      <c r="D50" s="45">
        <f>IF('TBA-Matches'!G50 &lt;&gt; "", 'TBA-Matches'!G50, "")</f>
        <v>5590</v>
      </c>
      <c r="E50" s="45">
        <f>IF('TBA-Matches'!H50 &lt;&gt; "", 'TBA-Matches'!H50, "")</f>
        <v>6868</v>
      </c>
      <c r="F50" s="45">
        <f>IF('TBA-Matches'!I50 &lt;&gt; "", 'TBA-Matches'!I50, "")</f>
        <v>9767</v>
      </c>
      <c r="G50" s="45">
        <f>IF('TBA-Matches'!J50 &lt;&gt; "", 'TBA-Matches'!J50, "")</f>
        <v>4458</v>
      </c>
      <c r="H50" s="45">
        <f>IF('TBA-Matches'!K50 &lt;&gt; "", 'TBA-Matches'!K50, "")</f>
        <v>5528</v>
      </c>
      <c r="I50" s="45">
        <f>IF('TBA-Matches'!L50 &lt;&gt; "", 'TBA-Matches'!L50, "")</f>
        <v>1781</v>
      </c>
    </row>
    <row r="51" spans="1:9" ht="16" x14ac:dyDescent="0.2">
      <c r="A51" s="79" t="str" cm="1">
        <f t="array" ref="A51">IF('TBA-Matches'!D51&lt;&gt;"", _xlfn.SWITCH('TBA-Matches'!D51, "qm", "Qualies", "sf", "Semis", "f", "Finals"), "")</f>
        <v>Qualies</v>
      </c>
      <c r="B51" s="79">
        <f>IF('TBA-Matches'!E51 &lt;&gt; "", 'TBA-Matches'!E51, "")</f>
        <v>50</v>
      </c>
      <c r="C51" s="80" t="str">
        <f>IF('TBA-Matches'!B51 &lt;&gt; "", CONCATENATE(TEXT('TBA-Matches'!B51,"ddd"),": ",TEXT('TBA-Matches'!C52, "HH:MM")), "")</f>
        <v>Fri: 16:36</v>
      </c>
      <c r="D51" s="45">
        <f>IF('TBA-Matches'!G51 &lt;&gt; "", 'TBA-Matches'!G51, "")</f>
        <v>6947</v>
      </c>
      <c r="E51" s="45">
        <f>IF('TBA-Matches'!H51 &lt;&gt; "", 'TBA-Matches'!H51, "")</f>
        <v>2228</v>
      </c>
      <c r="F51" s="45">
        <f>IF('TBA-Matches'!I51 &lt;&gt; "", 'TBA-Matches'!I51, "")</f>
        <v>1559</v>
      </c>
      <c r="G51" s="45">
        <f>IF('TBA-Matches'!J51 &lt;&gt; "", 'TBA-Matches'!J51, "")</f>
        <v>10223</v>
      </c>
      <c r="H51" s="45">
        <f>IF('TBA-Matches'!K51 &lt;&gt; "", 'TBA-Matches'!K51, "")</f>
        <v>1518</v>
      </c>
      <c r="I51" s="45">
        <f>IF('TBA-Matches'!L51 &lt;&gt; "", 'TBA-Matches'!L51, "")</f>
        <v>1450</v>
      </c>
    </row>
    <row r="52" spans="1:9" ht="16" x14ac:dyDescent="0.2">
      <c r="A52" s="79" t="str" cm="1">
        <f t="array" ref="A52">IF('TBA-Matches'!D52&lt;&gt;"", _xlfn.SWITCH('TBA-Matches'!D52, "qm", "Qualies", "sf", "Semis", "f", "Finals"), "")</f>
        <v>Qualies</v>
      </c>
      <c r="B52" s="79">
        <f>IF('TBA-Matches'!E52 &lt;&gt; "", 'TBA-Matches'!E52, "")</f>
        <v>51</v>
      </c>
      <c r="C52" s="80" t="str">
        <f>IF('TBA-Matches'!B52 &lt;&gt; "", CONCATENATE(TEXT('TBA-Matches'!B52,"ddd"),": ",TEXT('TBA-Matches'!C53, "HH:MM")), "")</f>
        <v>Fri: 16:44</v>
      </c>
      <c r="D52" s="45">
        <f>IF('TBA-Matches'!G52 &lt;&gt; "", 'TBA-Matches'!G52, "")</f>
        <v>3015</v>
      </c>
      <c r="E52" s="45">
        <f>IF('TBA-Matches'!H52 &lt;&gt; "", 'TBA-Matches'!H52, "")</f>
        <v>3181</v>
      </c>
      <c r="F52" s="45">
        <f>IF('TBA-Matches'!I52 &lt;&gt; "", 'TBA-Matches'!I52, "")</f>
        <v>1507</v>
      </c>
      <c r="G52" s="45">
        <f>IF('TBA-Matches'!J52 &lt;&gt; "", 'TBA-Matches'!J52, "")</f>
        <v>1126</v>
      </c>
      <c r="H52" s="45">
        <f>IF('TBA-Matches'!K52 &lt;&gt; "", 'TBA-Matches'!K52, "")</f>
        <v>1056</v>
      </c>
      <c r="I52" s="45">
        <f>IF('TBA-Matches'!L52 &lt;&gt; "", 'TBA-Matches'!L52, "")</f>
        <v>271</v>
      </c>
    </row>
    <row r="53" spans="1:9" ht="16" x14ac:dyDescent="0.2">
      <c r="A53" s="79" t="str" cm="1">
        <f t="array" ref="A53">IF('TBA-Matches'!D53&lt;&gt;"", _xlfn.SWITCH('TBA-Matches'!D53, "qm", "Qualies", "sf", "Semis", "f", "Finals"), "")</f>
        <v>Qualies</v>
      </c>
      <c r="B53" s="79">
        <f>IF('TBA-Matches'!E53 &lt;&gt; "", 'TBA-Matches'!E53, "")</f>
        <v>52</v>
      </c>
      <c r="C53" s="80" t="str">
        <f>IF('TBA-Matches'!B53 &lt;&gt; "", CONCATENATE(TEXT('TBA-Matches'!B53,"ddd"),": ",TEXT('TBA-Matches'!C54, "HH:MM")), "")</f>
        <v>Fri: 16:52</v>
      </c>
      <c r="D53" s="45">
        <f>IF('TBA-Matches'!G53 &lt;&gt; "", 'TBA-Matches'!G53, "")</f>
        <v>4930</v>
      </c>
      <c r="E53" s="45">
        <f>IF('TBA-Matches'!H53 &lt;&gt; "", 'TBA-Matches'!H53, "")</f>
        <v>694</v>
      </c>
      <c r="F53" s="45">
        <f>IF('TBA-Matches'!I53 &lt;&gt; "", 'TBA-Matches'!I53, "")</f>
        <v>1511</v>
      </c>
      <c r="G53" s="45">
        <f>IF('TBA-Matches'!J53 &lt;&gt; "", 'TBA-Matches'!J53, "")</f>
        <v>1468</v>
      </c>
      <c r="H53" s="45">
        <f>IF('TBA-Matches'!K53 &lt;&gt; "", 'TBA-Matches'!K53, "")</f>
        <v>9016</v>
      </c>
      <c r="I53" s="45">
        <f>IF('TBA-Matches'!L53 &lt;&gt; "", 'TBA-Matches'!L53, "")</f>
        <v>1405</v>
      </c>
    </row>
    <row r="54" spans="1:9" ht="16" x14ac:dyDescent="0.2">
      <c r="A54" s="79" t="str" cm="1">
        <f t="array" ref="A54">IF('TBA-Matches'!D54&lt;&gt;"", _xlfn.SWITCH('TBA-Matches'!D54, "qm", "Qualies", "sf", "Semis", "f", "Finals"), "")</f>
        <v>Qualies</v>
      </c>
      <c r="B54" s="79">
        <f>IF('TBA-Matches'!E54 &lt;&gt; "", 'TBA-Matches'!E54, "")</f>
        <v>53</v>
      </c>
      <c r="C54" s="80" t="str">
        <f>IF('TBA-Matches'!B54 &lt;&gt; "", CONCATENATE(TEXT('TBA-Matches'!B54,"ddd"),": ",TEXT('TBA-Matches'!C55, "HH:MM")), "")</f>
        <v>Fri: 17:00</v>
      </c>
      <c r="D54" s="45">
        <f>IF('TBA-Matches'!G54 &lt;&gt; "", 'TBA-Matches'!G54, "")</f>
        <v>7903</v>
      </c>
      <c r="E54" s="45">
        <f>IF('TBA-Matches'!H54 &lt;&gt; "", 'TBA-Matches'!H54, "")</f>
        <v>564</v>
      </c>
      <c r="F54" s="45">
        <f>IF('TBA-Matches'!I54 &lt;&gt; "", 'TBA-Matches'!I54, "")</f>
        <v>3951</v>
      </c>
      <c r="G54" s="45">
        <f>IF('TBA-Matches'!J54 &lt;&gt; "", 'TBA-Matches'!J54, "")</f>
        <v>1591</v>
      </c>
      <c r="H54" s="45">
        <f>IF('TBA-Matches'!K54 &lt;&gt; "", 'TBA-Matches'!K54, "")</f>
        <v>2340</v>
      </c>
      <c r="I54" s="45">
        <f>IF('TBA-Matches'!L54 &lt;&gt; "", 'TBA-Matches'!L54, "")</f>
        <v>353</v>
      </c>
    </row>
    <row r="55" spans="1:9" ht="16" x14ac:dyDescent="0.2">
      <c r="A55" s="79" t="str" cm="1">
        <f t="array" ref="A55">IF('TBA-Matches'!D55&lt;&gt;"", _xlfn.SWITCH('TBA-Matches'!D55, "qm", "Qualies", "sf", "Semis", "f", "Finals"), "")</f>
        <v>Qualies</v>
      </c>
      <c r="B55" s="79">
        <f>IF('TBA-Matches'!E55 &lt;&gt; "", 'TBA-Matches'!E55, "")</f>
        <v>54</v>
      </c>
      <c r="C55" s="80" t="str">
        <f>IF('TBA-Matches'!B55 &lt;&gt; "", CONCATENATE(TEXT('TBA-Matches'!B55,"ddd"),": ",TEXT('TBA-Matches'!C56, "HH:MM")), "")</f>
        <v>Fri: 17:08</v>
      </c>
      <c r="D55" s="45">
        <f>IF('TBA-Matches'!G55 &lt;&gt; "", 'TBA-Matches'!G55, "")</f>
        <v>6423</v>
      </c>
      <c r="E55" s="45">
        <f>IF('TBA-Matches'!H55 &lt;&gt; "", 'TBA-Matches'!H55, "")</f>
        <v>340</v>
      </c>
      <c r="F55" s="45">
        <f>IF('TBA-Matches'!I55 &lt;&gt; "", 'TBA-Matches'!I55, "")</f>
        <v>432</v>
      </c>
      <c r="G55" s="45">
        <f>IF('TBA-Matches'!J55 &lt;&gt; "", 'TBA-Matches'!J55, "")</f>
        <v>8503</v>
      </c>
      <c r="H55" s="45">
        <f>IF('TBA-Matches'!K55 &lt;&gt; "", 'TBA-Matches'!K55, "")</f>
        <v>810</v>
      </c>
      <c r="I55" s="45">
        <f>IF('TBA-Matches'!L55 &lt;&gt; "", 'TBA-Matches'!L55, "")</f>
        <v>3173</v>
      </c>
    </row>
    <row r="56" spans="1:9" ht="16" x14ac:dyDescent="0.2">
      <c r="A56" s="79" t="str" cm="1">
        <f t="array" ref="A56">IF('TBA-Matches'!D56&lt;&gt;"", _xlfn.SWITCH('TBA-Matches'!D56, "qm", "Qualies", "sf", "Semis", "f", "Finals"), "")</f>
        <v>Qualies</v>
      </c>
      <c r="B56" s="79">
        <f>IF('TBA-Matches'!E56 &lt;&gt; "", 'TBA-Matches'!E56, "")</f>
        <v>55</v>
      </c>
      <c r="C56" s="80" t="str">
        <f>IF('TBA-Matches'!B56 &lt;&gt; "", CONCATENATE(TEXT('TBA-Matches'!B56,"ddd"),": ",TEXT('TBA-Matches'!C57, "HH:MM")), "")</f>
        <v>Fri: 17:16</v>
      </c>
      <c r="D56" s="45">
        <f>IF('TBA-Matches'!G56 &lt;&gt; "", 'TBA-Matches'!G56, "")</f>
        <v>325</v>
      </c>
      <c r="E56" s="45">
        <f>IF('TBA-Matches'!H56 &lt;&gt; "", 'TBA-Matches'!H56, "")</f>
        <v>424</v>
      </c>
      <c r="F56" s="45">
        <f>IF('TBA-Matches'!I56 &lt;&gt; "", 'TBA-Matches'!I56, "")</f>
        <v>3799</v>
      </c>
      <c r="G56" s="45">
        <f>IF('TBA-Matches'!J56 &lt;&gt; "", 'TBA-Matches'!J56, "")</f>
        <v>578</v>
      </c>
      <c r="H56" s="45">
        <f>IF('TBA-Matches'!K56 &lt;&gt; "", 'TBA-Matches'!K56, "")</f>
        <v>378</v>
      </c>
      <c r="I56" s="45">
        <f>IF('TBA-Matches'!L56 &lt;&gt; "", 'TBA-Matches'!L56, "")</f>
        <v>639</v>
      </c>
    </row>
    <row r="57" spans="1:9" ht="16" x14ac:dyDescent="0.2">
      <c r="A57" s="79" t="str" cm="1">
        <f t="array" ref="A57">IF('TBA-Matches'!D57&lt;&gt;"", _xlfn.SWITCH('TBA-Matches'!D57, "qm", "Qualies", "sf", "Semis", "f", "Finals"), "")</f>
        <v>Qualies</v>
      </c>
      <c r="B57" s="79">
        <f>IF('TBA-Matches'!E57 &lt;&gt; "", 'TBA-Matches'!E57, "")</f>
        <v>56</v>
      </c>
      <c r="C57" s="80" t="str">
        <f>IF('TBA-Matches'!B57 &lt;&gt; "", CONCATENATE(TEXT('TBA-Matches'!B57,"ddd"),": ",TEXT('TBA-Matches'!C58, "HH:MM")), "")</f>
        <v>Fri: 17:24</v>
      </c>
      <c r="D57" s="45">
        <f>IF('TBA-Matches'!G57 &lt;&gt; "", 'TBA-Matches'!G57, "")</f>
        <v>2228</v>
      </c>
      <c r="E57" s="45">
        <f>IF('TBA-Matches'!H57 &lt;&gt; "", 'TBA-Matches'!H57, "")</f>
        <v>3838</v>
      </c>
      <c r="F57" s="45">
        <f>IF('TBA-Matches'!I57 &lt;&gt; "", 'TBA-Matches'!I57, "")</f>
        <v>3003</v>
      </c>
      <c r="G57" s="45">
        <f>IF('TBA-Matches'!J57 &lt;&gt; "", 'TBA-Matches'!J57, "")</f>
        <v>5528</v>
      </c>
      <c r="H57" s="45">
        <f>IF('TBA-Matches'!K57 &lt;&gt; "", 'TBA-Matches'!K57, "")</f>
        <v>1518</v>
      </c>
      <c r="I57" s="45">
        <f>IF('TBA-Matches'!L57 &lt;&gt; "", 'TBA-Matches'!L57, "")</f>
        <v>1559</v>
      </c>
    </row>
    <row r="58" spans="1:9" ht="16" x14ac:dyDescent="0.2">
      <c r="A58" s="79" t="str" cm="1">
        <f t="array" ref="A58">IF('TBA-Matches'!D58&lt;&gt;"", _xlfn.SWITCH('TBA-Matches'!D58, "qm", "Qualies", "sf", "Semis", "f", "Finals"), "")</f>
        <v>Qualies</v>
      </c>
      <c r="B58" s="79">
        <f>IF('TBA-Matches'!E58 &lt;&gt; "", 'TBA-Matches'!E58, "")</f>
        <v>57</v>
      </c>
      <c r="C58" s="80" t="str">
        <f>IF('TBA-Matches'!B58 &lt;&gt; "", CONCATENATE(TEXT('TBA-Matches'!B58,"ddd"),": ",TEXT('TBA-Matches'!C59, "HH:MM")), "")</f>
        <v>Fri: 17:32</v>
      </c>
      <c r="D58" s="45">
        <f>IF('TBA-Matches'!G58 &lt;&gt; "", 'TBA-Matches'!G58, "")</f>
        <v>10223</v>
      </c>
      <c r="E58" s="45">
        <f>IF('TBA-Matches'!H58 &lt;&gt; "", 'TBA-Matches'!H58, "")</f>
        <v>5590</v>
      </c>
      <c r="F58" s="45">
        <f>IF('TBA-Matches'!I58 &lt;&gt; "", 'TBA-Matches'!I58, "")</f>
        <v>1787</v>
      </c>
      <c r="G58" s="45">
        <f>IF('TBA-Matches'!J58 &lt;&gt; "", 'TBA-Matches'!J58, "")</f>
        <v>7030</v>
      </c>
      <c r="H58" s="45">
        <f>IF('TBA-Matches'!K58 &lt;&gt; "", 'TBA-Matches'!K58, "")</f>
        <v>271</v>
      </c>
      <c r="I58" s="45">
        <f>IF('TBA-Matches'!L58 &lt;&gt; "", 'TBA-Matches'!L58, "")</f>
        <v>1450</v>
      </c>
    </row>
    <row r="59" spans="1:9" ht="16" x14ac:dyDescent="0.2">
      <c r="A59" s="79" t="str" cm="1">
        <f t="array" ref="A59">IF('TBA-Matches'!D59&lt;&gt;"", _xlfn.SWITCH('TBA-Matches'!D59, "qm", "Qualies", "sf", "Semis", "f", "Finals"), "")</f>
        <v>Qualies</v>
      </c>
      <c r="B59" s="79">
        <f>IF('TBA-Matches'!E59 &lt;&gt; "", 'TBA-Matches'!E59, "")</f>
        <v>58</v>
      </c>
      <c r="C59" s="80" t="str">
        <f>IF('TBA-Matches'!B59 &lt;&gt; "", CONCATENATE(TEXT('TBA-Matches'!B59,"ddd"),": ",TEXT('TBA-Matches'!C60, "HH:MM")), "")</f>
        <v>Fri: 17:40</v>
      </c>
      <c r="D59" s="45">
        <f>IF('TBA-Matches'!G59 &lt;&gt; "", 'TBA-Matches'!G59, "")</f>
        <v>694</v>
      </c>
      <c r="E59" s="45">
        <f>IF('TBA-Matches'!H59 &lt;&gt; "", 'TBA-Matches'!H59, "")</f>
        <v>191</v>
      </c>
      <c r="F59" s="45">
        <f>IF('TBA-Matches'!I59 &lt;&gt; "", 'TBA-Matches'!I59, "")</f>
        <v>1126</v>
      </c>
      <c r="G59" s="45">
        <f>IF('TBA-Matches'!J59 &lt;&gt; "", 'TBA-Matches'!J59, "")</f>
        <v>10922</v>
      </c>
      <c r="H59" s="45">
        <f>IF('TBA-Matches'!K59 &lt;&gt; "", 'TBA-Matches'!K59, "")</f>
        <v>4458</v>
      </c>
      <c r="I59" s="45">
        <f>IF('TBA-Matches'!L59 &lt;&gt; "", 'TBA-Matches'!L59, "")</f>
        <v>6947</v>
      </c>
    </row>
    <row r="60" spans="1:9" ht="16" x14ac:dyDescent="0.2">
      <c r="A60" s="79" t="str" cm="1">
        <f t="array" ref="A60">IF('TBA-Matches'!D60&lt;&gt;"", _xlfn.SWITCH('TBA-Matches'!D60, "qm", "Qualies", "sf", "Semis", "f", "Finals"), "")</f>
        <v>Qualies</v>
      </c>
      <c r="B60" s="79">
        <f>IF('TBA-Matches'!E60 &lt;&gt; "", 'TBA-Matches'!E60, "")</f>
        <v>59</v>
      </c>
      <c r="C60" s="80" t="str">
        <f>IF('TBA-Matches'!B60 &lt;&gt; "", CONCATENATE(TEXT('TBA-Matches'!B60,"ddd"),": ",TEXT('TBA-Matches'!C61, "HH:MM")), "")</f>
        <v>Fri: 17:48</v>
      </c>
      <c r="D60" s="45">
        <f>IF('TBA-Matches'!G60 &lt;&gt; "", 'TBA-Matches'!G60, "")</f>
        <v>1507</v>
      </c>
      <c r="E60" s="45">
        <f>IF('TBA-Matches'!H60 &lt;&gt; "", 'TBA-Matches'!H60, "")</f>
        <v>1591</v>
      </c>
      <c r="F60" s="45">
        <f>IF('TBA-Matches'!I60 &lt;&gt; "", 'TBA-Matches'!I60, "")</f>
        <v>1585</v>
      </c>
      <c r="G60" s="45">
        <f>IF('TBA-Matches'!J60 &lt;&gt; "", 'TBA-Matches'!J60, "")</f>
        <v>20</v>
      </c>
      <c r="H60" s="45">
        <f>IF('TBA-Matches'!K60 &lt;&gt; "", 'TBA-Matches'!K60, "")</f>
        <v>7903</v>
      </c>
      <c r="I60" s="45">
        <f>IF('TBA-Matches'!L60 &lt;&gt; "", 'TBA-Matches'!L60, "")</f>
        <v>1511</v>
      </c>
    </row>
    <row r="61" spans="1:9" ht="16" x14ac:dyDescent="0.2">
      <c r="A61" s="79" t="str" cm="1">
        <f t="array" ref="A61">IF('TBA-Matches'!D61&lt;&gt;"", _xlfn.SWITCH('TBA-Matches'!D61, "qm", "Qualies", "sf", "Semis", "f", "Finals"), "")</f>
        <v>Qualies</v>
      </c>
      <c r="B61" s="79">
        <f>IF('TBA-Matches'!E61 &lt;&gt; "", 'TBA-Matches'!E61, "")</f>
        <v>60</v>
      </c>
      <c r="C61" s="80" t="str">
        <f>IF('TBA-Matches'!B61 &lt;&gt; "", CONCATENATE(TEXT('TBA-Matches'!B61,"ddd"),": ",TEXT('TBA-Matches'!C62, "HH:MM")), "")</f>
        <v>Fri: 08:50</v>
      </c>
      <c r="D61" s="45">
        <f>IF('TBA-Matches'!G61 &lt;&gt; "", 'TBA-Matches'!G61, "")</f>
        <v>3015</v>
      </c>
      <c r="E61" s="45">
        <f>IF('TBA-Matches'!H61 &lt;&gt; "", 'TBA-Matches'!H61, "")</f>
        <v>48</v>
      </c>
      <c r="F61" s="45">
        <f>IF('TBA-Matches'!I61 &lt;&gt; "", 'TBA-Matches'!I61, "")</f>
        <v>4253</v>
      </c>
      <c r="G61" s="45">
        <f>IF('TBA-Matches'!J61 &lt;&gt; "", 'TBA-Matches'!J61, "")</f>
        <v>340</v>
      </c>
      <c r="H61" s="45">
        <f>IF('TBA-Matches'!K61 &lt;&gt; "", 'TBA-Matches'!K61, "")</f>
        <v>9767</v>
      </c>
      <c r="I61" s="45">
        <f>IF('TBA-Matches'!L61 &lt;&gt; "", 'TBA-Matches'!L61, "")</f>
        <v>4930</v>
      </c>
    </row>
    <row r="62" spans="1:9" ht="16" x14ac:dyDescent="0.2">
      <c r="A62" s="79" t="str" cm="1">
        <f t="array" ref="A62">IF('TBA-Matches'!D62&lt;&gt;"", _xlfn.SWITCH('TBA-Matches'!D62, "qm", "Qualies", "sf", "Semis", "f", "Finals"), "")</f>
        <v>Qualies</v>
      </c>
      <c r="B62" s="79">
        <f>IF('TBA-Matches'!E62 &lt;&gt; "", 'TBA-Matches'!E62, "")</f>
        <v>61</v>
      </c>
      <c r="C62" s="80" t="str">
        <f>IF('TBA-Matches'!B62 &lt;&gt; "", CONCATENATE(TEXT('TBA-Matches'!B62,"ddd"),": ",TEXT('TBA-Matches'!C63, "HH:MM")), "")</f>
        <v>Sat: 08:58</v>
      </c>
      <c r="D62" s="45">
        <f>IF('TBA-Matches'!G62 &lt;&gt; "", 'TBA-Matches'!G62, "")</f>
        <v>6423</v>
      </c>
      <c r="E62" s="45">
        <f>IF('TBA-Matches'!H62 &lt;&gt; "", 'TBA-Matches'!H62, "")</f>
        <v>1781</v>
      </c>
      <c r="F62" s="45">
        <f>IF('TBA-Matches'!I62 &lt;&gt; "", 'TBA-Matches'!I62, "")</f>
        <v>424</v>
      </c>
      <c r="G62" s="45">
        <f>IF('TBA-Matches'!J62 &lt;&gt; "", 'TBA-Matches'!J62, "")</f>
        <v>3799</v>
      </c>
      <c r="H62" s="45">
        <f>IF('TBA-Matches'!K62 &lt;&gt; "", 'TBA-Matches'!K62, "")</f>
        <v>432</v>
      </c>
      <c r="I62" s="45">
        <f>IF('TBA-Matches'!L62 &lt;&gt; "", 'TBA-Matches'!L62, "")</f>
        <v>3951</v>
      </c>
    </row>
    <row r="63" spans="1:9" ht="16" x14ac:dyDescent="0.2">
      <c r="A63" s="79" t="str" cm="1">
        <f t="array" ref="A63">IF('TBA-Matches'!D63&lt;&gt;"", _xlfn.SWITCH('TBA-Matches'!D63, "qm", "Qualies", "sf", "Semis", "f", "Finals"), "")</f>
        <v>Qualies</v>
      </c>
      <c r="B63" s="79">
        <f>IF('TBA-Matches'!E63 &lt;&gt; "", 'TBA-Matches'!E63, "")</f>
        <v>62</v>
      </c>
      <c r="C63" s="80" t="str">
        <f>IF('TBA-Matches'!B63 &lt;&gt; "", CONCATENATE(TEXT('TBA-Matches'!B63,"ddd"),": ",TEXT('TBA-Matches'!C64, "HH:MM")), "")</f>
        <v>Sat: 09:06</v>
      </c>
      <c r="D63" s="45">
        <f>IF('TBA-Matches'!G63 &lt;&gt; "", 'TBA-Matches'!G63, "")</f>
        <v>3181</v>
      </c>
      <c r="E63" s="45">
        <f>IF('TBA-Matches'!H63 &lt;&gt; "", 'TBA-Matches'!H63, "")</f>
        <v>6868</v>
      </c>
      <c r="F63" s="45">
        <f>IF('TBA-Matches'!I63 &lt;&gt; "", 'TBA-Matches'!I63, "")</f>
        <v>578</v>
      </c>
      <c r="G63" s="45">
        <f>IF('TBA-Matches'!J63 &lt;&gt; "", 'TBA-Matches'!J63, "")</f>
        <v>353</v>
      </c>
      <c r="H63" s="45">
        <f>IF('TBA-Matches'!K63 &lt;&gt; "", 'TBA-Matches'!K63, "")</f>
        <v>9016</v>
      </c>
      <c r="I63" s="45">
        <f>IF('TBA-Matches'!L63 &lt;&gt; "", 'TBA-Matches'!L63, "")</f>
        <v>564</v>
      </c>
    </row>
    <row r="64" spans="1:9" ht="16" x14ac:dyDescent="0.2">
      <c r="A64" s="79" t="str" cm="1">
        <f t="array" ref="A64">IF('TBA-Matches'!D64&lt;&gt;"", _xlfn.SWITCH('TBA-Matches'!D64, "qm", "Qualies", "sf", "Semis", "f", "Finals"), "")</f>
        <v>Qualies</v>
      </c>
      <c r="B64" s="79">
        <f>IF('TBA-Matches'!E64 &lt;&gt; "", 'TBA-Matches'!E64, "")</f>
        <v>63</v>
      </c>
      <c r="C64" s="80" t="str">
        <f>IF('TBA-Matches'!B64 &lt;&gt; "", CONCATENATE(TEXT('TBA-Matches'!B64,"ddd"),": ",TEXT('TBA-Matches'!C65, "HH:MM")), "")</f>
        <v>Sat: 09:14</v>
      </c>
      <c r="D64" s="45">
        <f>IF('TBA-Matches'!G64 &lt;&gt; "", 'TBA-Matches'!G64, "")</f>
        <v>1405</v>
      </c>
      <c r="E64" s="45">
        <f>IF('TBA-Matches'!H64 &lt;&gt; "", 'TBA-Matches'!H64, "")</f>
        <v>3173</v>
      </c>
      <c r="F64" s="45">
        <f>IF('TBA-Matches'!I64 &lt;&gt; "", 'TBA-Matches'!I64, "")</f>
        <v>2340</v>
      </c>
      <c r="G64" s="45">
        <f>IF('TBA-Matches'!J64 &lt;&gt; "", 'TBA-Matches'!J64, "")</f>
        <v>1056</v>
      </c>
      <c r="H64" s="45">
        <f>IF('TBA-Matches'!K64 &lt;&gt; "", 'TBA-Matches'!K64, "")</f>
        <v>325</v>
      </c>
      <c r="I64" s="45">
        <f>IF('TBA-Matches'!L64 &lt;&gt; "", 'TBA-Matches'!L64, "")</f>
        <v>144</v>
      </c>
    </row>
    <row r="65" spans="1:9" ht="16" x14ac:dyDescent="0.2">
      <c r="A65" s="79" t="str" cm="1">
        <f t="array" ref="A65">IF('TBA-Matches'!D65&lt;&gt;"", _xlfn.SWITCH('TBA-Matches'!D65, "qm", "Qualies", "sf", "Semis", "f", "Finals"), "")</f>
        <v>Qualies</v>
      </c>
      <c r="B65" s="79">
        <f>IF('TBA-Matches'!E65 &lt;&gt; "", 'TBA-Matches'!E65, "")</f>
        <v>64</v>
      </c>
      <c r="C65" s="80" t="str">
        <f>IF('TBA-Matches'!B65 &lt;&gt; "", CONCATENATE(TEXT('TBA-Matches'!B65,"ddd"),": ",TEXT('TBA-Matches'!C66, "HH:MM")), "")</f>
        <v>Sat: 09:22</v>
      </c>
      <c r="D65" s="45">
        <f>IF('TBA-Matches'!G65 &lt;&gt; "", 'TBA-Matches'!G65, "")</f>
        <v>4093</v>
      </c>
      <c r="E65" s="45">
        <f>IF('TBA-Matches'!H65 &lt;&gt; "", 'TBA-Matches'!H65, "")</f>
        <v>1468</v>
      </c>
      <c r="F65" s="45">
        <f>IF('TBA-Matches'!I65 &lt;&gt; "", 'TBA-Matches'!I65, "")</f>
        <v>378</v>
      </c>
      <c r="G65" s="45">
        <f>IF('TBA-Matches'!J65 &lt;&gt; "", 'TBA-Matches'!J65, "")</f>
        <v>3044</v>
      </c>
      <c r="H65" s="45">
        <f>IF('TBA-Matches'!K65 &lt;&gt; "", 'TBA-Matches'!K65, "")</f>
        <v>810</v>
      </c>
      <c r="I65" s="45">
        <f>IF('TBA-Matches'!L65 &lt;&gt; "", 'TBA-Matches'!L65, "")</f>
        <v>639</v>
      </c>
    </row>
    <row r="66" spans="1:9" ht="16" x14ac:dyDescent="0.2">
      <c r="A66" s="79" t="str" cm="1">
        <f t="array" ref="A66">IF('TBA-Matches'!D66&lt;&gt;"", _xlfn.SWITCH('TBA-Matches'!D66, "qm", "Qualies", "sf", "Semis", "f", "Finals"), "")</f>
        <v>Qualies</v>
      </c>
      <c r="B66" s="79">
        <f>IF('TBA-Matches'!E66 &lt;&gt; "", 'TBA-Matches'!E66, "")</f>
        <v>65</v>
      </c>
      <c r="C66" s="80" t="str">
        <f>IF('TBA-Matches'!B66 &lt;&gt; "", CONCATENATE(TEXT('TBA-Matches'!B66,"ddd"),": ",TEXT('TBA-Matches'!C67, "HH:MM")), "")</f>
        <v>Sat: 09:30</v>
      </c>
      <c r="D66" s="45">
        <f>IF('TBA-Matches'!G66 &lt;&gt; "", 'TBA-Matches'!G66, "")</f>
        <v>8503</v>
      </c>
      <c r="E66" s="45">
        <f>IF('TBA-Matches'!H66 &lt;&gt; "", 'TBA-Matches'!H66, "")</f>
        <v>1559</v>
      </c>
      <c r="F66" s="45">
        <f>IF('TBA-Matches'!I66 &lt;&gt; "", 'TBA-Matches'!I66, "")</f>
        <v>7030</v>
      </c>
      <c r="G66" s="45">
        <f>IF('TBA-Matches'!J66 &lt;&gt; "", 'TBA-Matches'!J66, "")</f>
        <v>7903</v>
      </c>
      <c r="H66" s="45">
        <f>IF('TBA-Matches'!K66 &lt;&gt; "", 'TBA-Matches'!K66, "")</f>
        <v>1126</v>
      </c>
      <c r="I66" s="45">
        <f>IF('TBA-Matches'!L66 &lt;&gt; "", 'TBA-Matches'!L66, "")</f>
        <v>1518</v>
      </c>
    </row>
    <row r="67" spans="1:9" ht="16" x14ac:dyDescent="0.2">
      <c r="A67" s="79" t="str" cm="1">
        <f t="array" ref="A67">IF('TBA-Matches'!D67&lt;&gt;"", _xlfn.SWITCH('TBA-Matches'!D67, "qm", "Qualies", "sf", "Semis", "f", "Finals"), "")</f>
        <v>Qualies</v>
      </c>
      <c r="B67" s="79">
        <f>IF('TBA-Matches'!E67 &lt;&gt; "", 'TBA-Matches'!E67, "")</f>
        <v>66</v>
      </c>
      <c r="C67" s="80" t="str">
        <f>IF('TBA-Matches'!B67 &lt;&gt; "", CONCATENATE(TEXT('TBA-Matches'!B67,"ddd"),": ",TEXT('TBA-Matches'!C68, "HH:MM")), "")</f>
        <v>Sat: 09:38</v>
      </c>
      <c r="D67" s="45">
        <f>IF('TBA-Matches'!G67 &lt;&gt; "", 'TBA-Matches'!G67, "")</f>
        <v>1591</v>
      </c>
      <c r="E67" s="45">
        <f>IF('TBA-Matches'!H67 &lt;&gt; "", 'TBA-Matches'!H67, "")</f>
        <v>20</v>
      </c>
      <c r="F67" s="45">
        <f>IF('TBA-Matches'!I67 &lt;&gt; "", 'TBA-Matches'!I67, "")</f>
        <v>2228</v>
      </c>
      <c r="G67" s="45">
        <f>IF('TBA-Matches'!J67 &lt;&gt; "", 'TBA-Matches'!J67, "")</f>
        <v>6947</v>
      </c>
      <c r="H67" s="45">
        <f>IF('TBA-Matches'!K67 &lt;&gt; "", 'TBA-Matches'!K67, "")</f>
        <v>3003</v>
      </c>
      <c r="I67" s="45">
        <f>IF('TBA-Matches'!L67 &lt;&gt; "", 'TBA-Matches'!L67, "")</f>
        <v>340</v>
      </c>
    </row>
    <row r="68" spans="1:9" ht="16" x14ac:dyDescent="0.2">
      <c r="A68" s="79" t="str" cm="1">
        <f t="array" ref="A68">IF('TBA-Matches'!D68&lt;&gt;"", _xlfn.SWITCH('TBA-Matches'!D68, "qm", "Qualies", "sf", "Semis", "f", "Finals"), "")</f>
        <v>Qualies</v>
      </c>
      <c r="B68" s="79">
        <f>IF('TBA-Matches'!E68 &lt;&gt; "", 'TBA-Matches'!E68, "")</f>
        <v>67</v>
      </c>
      <c r="C68" s="80" t="str">
        <f>IF('TBA-Matches'!B68 &lt;&gt; "", CONCATENATE(TEXT('TBA-Matches'!B68,"ddd"),": ",TEXT('TBA-Matches'!C69, "HH:MM")), "")</f>
        <v>Sat: 09:46</v>
      </c>
      <c r="D68" s="45">
        <f>IF('TBA-Matches'!G68 &lt;&gt; "", 'TBA-Matches'!G68, "")</f>
        <v>432</v>
      </c>
      <c r="E68" s="45">
        <f>IF('TBA-Matches'!H68 &lt;&gt; "", 'TBA-Matches'!H68, "")</f>
        <v>424</v>
      </c>
      <c r="F68" s="45">
        <f>IF('TBA-Matches'!I68 &lt;&gt; "", 'TBA-Matches'!I68, "")</f>
        <v>694</v>
      </c>
      <c r="G68" s="45">
        <f>IF('TBA-Matches'!J68 &lt;&gt; "", 'TBA-Matches'!J68, "")</f>
        <v>1511</v>
      </c>
      <c r="H68" s="45">
        <f>IF('TBA-Matches'!K68 &lt;&gt; "", 'TBA-Matches'!K68, "")</f>
        <v>3015</v>
      </c>
      <c r="I68" s="45">
        <f>IF('TBA-Matches'!L68 &lt;&gt; "", 'TBA-Matches'!L68, "")</f>
        <v>5590</v>
      </c>
    </row>
    <row r="69" spans="1:9" ht="16" x14ac:dyDescent="0.2">
      <c r="A69" s="79" t="str" cm="1">
        <f t="array" ref="A69">IF('TBA-Matches'!D69&lt;&gt;"", _xlfn.SWITCH('TBA-Matches'!D69, "qm", "Qualies", "sf", "Semis", "f", "Finals"), "")</f>
        <v>Qualies</v>
      </c>
      <c r="B69" s="79">
        <f>IF('TBA-Matches'!E69 &lt;&gt; "", 'TBA-Matches'!E69, "")</f>
        <v>68</v>
      </c>
      <c r="C69" s="80" t="str">
        <f>IF('TBA-Matches'!B69 &lt;&gt; "", CONCATENATE(TEXT('TBA-Matches'!B69,"ddd"),": ",TEXT('TBA-Matches'!C70, "HH:MM")), "")</f>
        <v>Sat: 09:54</v>
      </c>
      <c r="D69" s="45">
        <f>IF('TBA-Matches'!G69 &lt;&gt; "", 'TBA-Matches'!G69, "")</f>
        <v>6423</v>
      </c>
      <c r="E69" s="45">
        <f>IF('TBA-Matches'!H69 &lt;&gt; "", 'TBA-Matches'!H69, "")</f>
        <v>1585</v>
      </c>
      <c r="F69" s="45">
        <f>IF('TBA-Matches'!I69 &lt;&gt; "", 'TBA-Matches'!I69, "")</f>
        <v>10223</v>
      </c>
      <c r="G69" s="45">
        <f>IF('TBA-Matches'!J69 &lt;&gt; "", 'TBA-Matches'!J69, "")</f>
        <v>3838</v>
      </c>
      <c r="H69" s="45">
        <f>IF('TBA-Matches'!K69 &lt;&gt; "", 'TBA-Matches'!K69, "")</f>
        <v>578</v>
      </c>
      <c r="I69" s="45">
        <f>IF('TBA-Matches'!L69 &lt;&gt; "", 'TBA-Matches'!L69, "")</f>
        <v>1507</v>
      </c>
    </row>
    <row r="70" spans="1:9" ht="16" x14ac:dyDescent="0.2">
      <c r="A70" s="79" t="str" cm="1">
        <f t="array" ref="A70">IF('TBA-Matches'!D70&lt;&gt;"", _xlfn.SWITCH('TBA-Matches'!D70, "qm", "Qualies", "sf", "Semis", "f", "Finals"), "")</f>
        <v>Qualies</v>
      </c>
      <c r="B70" s="79">
        <f>IF('TBA-Matches'!E70 &lt;&gt; "", 'TBA-Matches'!E70, "")</f>
        <v>69</v>
      </c>
      <c r="C70" s="80" t="str">
        <f>IF('TBA-Matches'!B70 &lt;&gt; "", CONCATENATE(TEXT('TBA-Matches'!B70,"ddd"),": ",TEXT('TBA-Matches'!C71, "HH:MM")), "")</f>
        <v>Sat: 10:02</v>
      </c>
      <c r="D70" s="45">
        <f>IF('TBA-Matches'!G70 &lt;&gt; "", 'TBA-Matches'!G70, "")</f>
        <v>3799</v>
      </c>
      <c r="E70" s="45">
        <f>IF('TBA-Matches'!H70 &lt;&gt; "", 'TBA-Matches'!H70, "")</f>
        <v>2340</v>
      </c>
      <c r="F70" s="45">
        <f>IF('TBA-Matches'!I70 &lt;&gt; "", 'TBA-Matches'!I70, "")</f>
        <v>1450</v>
      </c>
      <c r="G70" s="45">
        <f>IF('TBA-Matches'!J70 &lt;&gt; "", 'TBA-Matches'!J70, "")</f>
        <v>1405</v>
      </c>
      <c r="H70" s="45">
        <f>IF('TBA-Matches'!K70 &lt;&gt; "", 'TBA-Matches'!K70, "")</f>
        <v>6868</v>
      </c>
      <c r="I70" s="45">
        <f>IF('TBA-Matches'!L70 &lt;&gt; "", 'TBA-Matches'!L70, "")</f>
        <v>10922</v>
      </c>
    </row>
    <row r="71" spans="1:9" ht="16" x14ac:dyDescent="0.2">
      <c r="A71" s="79" t="str" cm="1">
        <f t="array" ref="A71">IF('TBA-Matches'!D71&lt;&gt;"", _xlfn.SWITCH('TBA-Matches'!D71, "qm", "Qualies", "sf", "Semis", "f", "Finals"), "")</f>
        <v>Qualies</v>
      </c>
      <c r="B71" s="79">
        <f>IF('TBA-Matches'!E71 &lt;&gt; "", 'TBA-Matches'!E71, "")</f>
        <v>70</v>
      </c>
      <c r="C71" s="80" t="str">
        <f>IF('TBA-Matches'!B71 &lt;&gt; "", CONCATENATE(TEXT('TBA-Matches'!B71,"ddd"),": ",TEXT('TBA-Matches'!C72, "HH:MM")), "")</f>
        <v>Sat: 10:10</v>
      </c>
      <c r="D71" s="45">
        <f>IF('TBA-Matches'!G71 &lt;&gt; "", 'TBA-Matches'!G71, "")</f>
        <v>9016</v>
      </c>
      <c r="E71" s="45">
        <f>IF('TBA-Matches'!H71 &lt;&gt; "", 'TBA-Matches'!H71, "")</f>
        <v>271</v>
      </c>
      <c r="F71" s="45">
        <f>IF('TBA-Matches'!I71 &lt;&gt; "", 'TBA-Matches'!I71, "")</f>
        <v>3173</v>
      </c>
      <c r="G71" s="45">
        <f>IF('TBA-Matches'!J71 &lt;&gt; "", 'TBA-Matches'!J71, "")</f>
        <v>810</v>
      </c>
      <c r="H71" s="45">
        <f>IF('TBA-Matches'!K71 &lt;&gt; "", 'TBA-Matches'!K71, "")</f>
        <v>9767</v>
      </c>
      <c r="I71" s="45">
        <f>IF('TBA-Matches'!L71 &lt;&gt; "", 'TBA-Matches'!L71, "")</f>
        <v>378</v>
      </c>
    </row>
    <row r="72" spans="1:9" ht="16" x14ac:dyDescent="0.2">
      <c r="A72" s="79" t="str" cm="1">
        <f t="array" ref="A72">IF('TBA-Matches'!D72&lt;&gt;"", _xlfn.SWITCH('TBA-Matches'!D72, "qm", "Qualies", "sf", "Semis", "f", "Finals"), "")</f>
        <v>Qualies</v>
      </c>
      <c r="B72" s="79">
        <f>IF('TBA-Matches'!E72 &lt;&gt; "", 'TBA-Matches'!E72, "")</f>
        <v>71</v>
      </c>
      <c r="C72" s="80" t="str">
        <f>IF('TBA-Matches'!B72 &lt;&gt; "", CONCATENATE(TEXT('TBA-Matches'!B72,"ddd"),": ",TEXT('TBA-Matches'!C73, "HH:MM")), "")</f>
        <v>Sat: 10:18</v>
      </c>
      <c r="D72" s="45">
        <f>IF('TBA-Matches'!G72 &lt;&gt; "", 'TBA-Matches'!G72, "")</f>
        <v>4458</v>
      </c>
      <c r="E72" s="45">
        <f>IF('TBA-Matches'!H72 &lt;&gt; "", 'TBA-Matches'!H72, "")</f>
        <v>4253</v>
      </c>
      <c r="F72" s="45">
        <f>IF('TBA-Matches'!I72 &lt;&gt; "", 'TBA-Matches'!I72, "")</f>
        <v>4930</v>
      </c>
      <c r="G72" s="45">
        <f>IF('TBA-Matches'!J72 &lt;&gt; "", 'TBA-Matches'!J72, "")</f>
        <v>144</v>
      </c>
      <c r="H72" s="45">
        <f>IF('TBA-Matches'!K72 &lt;&gt; "", 'TBA-Matches'!K72, "")</f>
        <v>1787</v>
      </c>
      <c r="I72" s="45">
        <f>IF('TBA-Matches'!L72 &lt;&gt; "", 'TBA-Matches'!L72, "")</f>
        <v>639</v>
      </c>
    </row>
    <row r="73" spans="1:9" ht="16" x14ac:dyDescent="0.2">
      <c r="A73" s="79" t="str" cm="1">
        <f t="array" ref="A73">IF('TBA-Matches'!D73&lt;&gt;"", _xlfn.SWITCH('TBA-Matches'!D73, "qm", "Qualies", "sf", "Semis", "f", "Finals"), "")</f>
        <v>Qualies</v>
      </c>
      <c r="B73" s="79">
        <f>IF('TBA-Matches'!E73 &lt;&gt; "", 'TBA-Matches'!E73, "")</f>
        <v>72</v>
      </c>
      <c r="C73" s="80" t="str">
        <f>IF('TBA-Matches'!B73 &lt;&gt; "", CONCATENATE(TEXT('TBA-Matches'!B73,"ddd"),": ",TEXT('TBA-Matches'!C74, "HH:MM")), "")</f>
        <v>Sat: 10:26</v>
      </c>
      <c r="D73" s="45">
        <f>IF('TBA-Matches'!G73 &lt;&gt; "", 'TBA-Matches'!G73, "")</f>
        <v>8503</v>
      </c>
      <c r="E73" s="45">
        <f>IF('TBA-Matches'!H73 &lt;&gt; "", 'TBA-Matches'!H73, "")</f>
        <v>48</v>
      </c>
      <c r="F73" s="45">
        <f>IF('TBA-Matches'!I73 &lt;&gt; "", 'TBA-Matches'!I73, "")</f>
        <v>5528</v>
      </c>
      <c r="G73" s="45">
        <f>IF('TBA-Matches'!J73 &lt;&gt; "", 'TBA-Matches'!J73, "")</f>
        <v>3044</v>
      </c>
      <c r="H73" s="45">
        <f>IF('TBA-Matches'!K73 &lt;&gt; "", 'TBA-Matches'!K73, "")</f>
        <v>3181</v>
      </c>
      <c r="I73" s="45">
        <f>IF('TBA-Matches'!L73 &lt;&gt; "", 'TBA-Matches'!L73, "")</f>
        <v>4093</v>
      </c>
    </row>
    <row r="74" spans="1:9" ht="16" x14ac:dyDescent="0.2">
      <c r="A74" s="79" t="str" cm="1">
        <f t="array" ref="A74">IF('TBA-Matches'!D74&lt;&gt;"", _xlfn.SWITCH('TBA-Matches'!D74, "qm", "Qualies", "sf", "Semis", "f", "Finals"), "")</f>
        <v>Qualies</v>
      </c>
      <c r="B74" s="79">
        <f>IF('TBA-Matches'!E74 &lt;&gt; "", 'TBA-Matches'!E74, "")</f>
        <v>73</v>
      </c>
      <c r="C74" s="80" t="str">
        <f>IF('TBA-Matches'!B74 &lt;&gt; "", CONCATENATE(TEXT('TBA-Matches'!B74,"ddd"),": ",TEXT('TBA-Matches'!C75, "HH:MM")), "")</f>
        <v>Sat: 10:34</v>
      </c>
      <c r="D74" s="45">
        <f>IF('TBA-Matches'!G74 &lt;&gt; "", 'TBA-Matches'!G74, "")</f>
        <v>3951</v>
      </c>
      <c r="E74" s="45">
        <f>IF('TBA-Matches'!H74 &lt;&gt; "", 'TBA-Matches'!H74, "")</f>
        <v>1056</v>
      </c>
      <c r="F74" s="45">
        <f>IF('TBA-Matches'!I74 &lt;&gt; "", 'TBA-Matches'!I74, "")</f>
        <v>353</v>
      </c>
      <c r="G74" s="45">
        <f>IF('TBA-Matches'!J74 &lt;&gt; "", 'TBA-Matches'!J74, "")</f>
        <v>325</v>
      </c>
      <c r="H74" s="45">
        <f>IF('TBA-Matches'!K74 &lt;&gt; "", 'TBA-Matches'!K74, "")</f>
        <v>191</v>
      </c>
      <c r="I74" s="45">
        <f>IF('TBA-Matches'!L74 &lt;&gt; "", 'TBA-Matches'!L74, "")</f>
        <v>1468</v>
      </c>
    </row>
    <row r="75" spans="1:9" ht="16" x14ac:dyDescent="0.2">
      <c r="A75" s="79" t="str" cm="1">
        <f t="array" ref="A75">IF('TBA-Matches'!D75&lt;&gt;"", _xlfn.SWITCH('TBA-Matches'!D75, "qm", "Qualies", "sf", "Semis", "f", "Finals"), "")</f>
        <v>Qualies</v>
      </c>
      <c r="B75" s="79">
        <f>IF('TBA-Matches'!E75 &lt;&gt; "", 'TBA-Matches'!E75, "")</f>
        <v>74</v>
      </c>
      <c r="C75" s="80" t="str">
        <f>IF('TBA-Matches'!B75 &lt;&gt; "", CONCATENATE(TEXT('TBA-Matches'!B75,"ddd"),": ",TEXT('TBA-Matches'!C76, "HH:MM")), "")</f>
        <v>Sat: 10:42</v>
      </c>
      <c r="D75" s="45">
        <f>IF('TBA-Matches'!G75 &lt;&gt; "", 'TBA-Matches'!G75, "")</f>
        <v>1781</v>
      </c>
      <c r="E75" s="45">
        <f>IF('TBA-Matches'!H75 &lt;&gt; "", 'TBA-Matches'!H75, "")</f>
        <v>7903</v>
      </c>
      <c r="F75" s="45">
        <f>IF('TBA-Matches'!I75 &lt;&gt; "", 'TBA-Matches'!I75, "")</f>
        <v>3838</v>
      </c>
      <c r="G75" s="45">
        <f>IF('TBA-Matches'!J75 &lt;&gt; "", 'TBA-Matches'!J75, "")</f>
        <v>564</v>
      </c>
      <c r="H75" s="45">
        <f>IF('TBA-Matches'!K75 &lt;&gt; "", 'TBA-Matches'!K75, "")</f>
        <v>694</v>
      </c>
      <c r="I75" s="45">
        <f>IF('TBA-Matches'!L75 &lt;&gt; "", 'TBA-Matches'!L75, "")</f>
        <v>20</v>
      </c>
    </row>
    <row r="76" spans="1:9" ht="16" x14ac:dyDescent="0.2">
      <c r="A76" s="79" t="str" cm="1">
        <f t="array" ref="A76">IF('TBA-Matches'!D76&lt;&gt;"", _xlfn.SWITCH('TBA-Matches'!D76, "qm", "Qualies", "sf", "Semis", "f", "Finals"), "")</f>
        <v>Qualies</v>
      </c>
      <c r="B76" s="79">
        <f>IF('TBA-Matches'!E76 &lt;&gt; "", 'TBA-Matches'!E76, "")</f>
        <v>75</v>
      </c>
      <c r="C76" s="80" t="str">
        <f>IF('TBA-Matches'!B76 &lt;&gt; "", CONCATENATE(TEXT('TBA-Matches'!B76,"ddd"),": ",TEXT('TBA-Matches'!C77, "HH:MM")), "")</f>
        <v>Sat: 10:50</v>
      </c>
      <c r="D76" s="45">
        <f>IF('TBA-Matches'!G76 &lt;&gt; "", 'TBA-Matches'!G76, "")</f>
        <v>578</v>
      </c>
      <c r="E76" s="45">
        <f>IF('TBA-Matches'!H76 &lt;&gt; "", 'TBA-Matches'!H76, "")</f>
        <v>1591</v>
      </c>
      <c r="F76" s="45">
        <f>IF('TBA-Matches'!I76 &lt;&gt; "", 'TBA-Matches'!I76, "")</f>
        <v>340</v>
      </c>
      <c r="G76" s="45">
        <f>IF('TBA-Matches'!J76 &lt;&gt; "", 'TBA-Matches'!J76, "")</f>
        <v>5590</v>
      </c>
      <c r="H76" s="45">
        <f>IF('TBA-Matches'!K76 &lt;&gt; "", 'TBA-Matches'!K76, "")</f>
        <v>1518</v>
      </c>
      <c r="I76" s="45">
        <f>IF('TBA-Matches'!L76 &lt;&gt; "", 'TBA-Matches'!L76, "")</f>
        <v>1405</v>
      </c>
    </row>
    <row r="77" spans="1:9" ht="16" x14ac:dyDescent="0.2">
      <c r="A77" s="79" t="str" cm="1">
        <f t="array" ref="A77">IF('TBA-Matches'!D77&lt;&gt;"", _xlfn.SWITCH('TBA-Matches'!D77, "qm", "Qualies", "sf", "Semis", "f", "Finals"), "")</f>
        <v>Qualies</v>
      </c>
      <c r="B77" s="79">
        <f>IF('TBA-Matches'!E77 &lt;&gt; "", 'TBA-Matches'!E77, "")</f>
        <v>76</v>
      </c>
      <c r="C77" s="80" t="str">
        <f>IF('TBA-Matches'!B77 &lt;&gt; "", CONCATENATE(TEXT('TBA-Matches'!B77,"ddd"),": ",TEXT('TBA-Matches'!C78, "HH:MM")), "")</f>
        <v>Sat: 10:58</v>
      </c>
      <c r="D77" s="45">
        <f>IF('TBA-Matches'!G77 &lt;&gt; "", 'TBA-Matches'!G77, "")</f>
        <v>6947</v>
      </c>
      <c r="E77" s="45">
        <f>IF('TBA-Matches'!H77 &lt;&gt; "", 'TBA-Matches'!H77, "")</f>
        <v>1511</v>
      </c>
      <c r="F77" s="45">
        <f>IF('TBA-Matches'!I77 &lt;&gt; "", 'TBA-Matches'!I77, "")</f>
        <v>9767</v>
      </c>
      <c r="G77" s="45">
        <f>IF('TBA-Matches'!J77 &lt;&gt; "", 'TBA-Matches'!J77, "")</f>
        <v>7030</v>
      </c>
      <c r="H77" s="45">
        <f>IF('TBA-Matches'!K77 &lt;&gt; "", 'TBA-Matches'!K77, "")</f>
        <v>2340</v>
      </c>
      <c r="I77" s="45">
        <f>IF('TBA-Matches'!L77 &lt;&gt; "", 'TBA-Matches'!L77, "")</f>
        <v>6423</v>
      </c>
    </row>
    <row r="78" spans="1:9" ht="16" x14ac:dyDescent="0.2">
      <c r="A78" s="79" t="str" cm="1">
        <f t="array" ref="A78">IF('TBA-Matches'!D78&lt;&gt;"", _xlfn.SWITCH('TBA-Matches'!D78, "qm", "Qualies", "sf", "Semis", "f", "Finals"), "")</f>
        <v>Qualies</v>
      </c>
      <c r="B78" s="79">
        <f>IF('TBA-Matches'!E78 &lt;&gt; "", 'TBA-Matches'!E78, "")</f>
        <v>77</v>
      </c>
      <c r="C78" s="80" t="str">
        <f>IF('TBA-Matches'!B78 &lt;&gt; "", CONCATENATE(TEXT('TBA-Matches'!B78,"ddd"),": ",TEXT('TBA-Matches'!C79, "HH:MM")), "")</f>
        <v>Sat: 11:06</v>
      </c>
      <c r="D78" s="45">
        <f>IF('TBA-Matches'!G78 &lt;&gt; "", 'TBA-Matches'!G78, "")</f>
        <v>3003</v>
      </c>
      <c r="E78" s="45">
        <f>IF('TBA-Matches'!H78 &lt;&gt; "", 'TBA-Matches'!H78, "")</f>
        <v>4458</v>
      </c>
      <c r="F78" s="45">
        <f>IF('TBA-Matches'!I78 &lt;&gt; "", 'TBA-Matches'!I78, "")</f>
        <v>6868</v>
      </c>
      <c r="G78" s="45">
        <f>IF('TBA-Matches'!J78 &lt;&gt; "", 'TBA-Matches'!J78, "")</f>
        <v>1585</v>
      </c>
      <c r="H78" s="45">
        <f>IF('TBA-Matches'!K78 &lt;&gt; "", 'TBA-Matches'!K78, "")</f>
        <v>810</v>
      </c>
      <c r="I78" s="45">
        <f>IF('TBA-Matches'!L78 &lt;&gt; "", 'TBA-Matches'!L78, "")</f>
        <v>3015</v>
      </c>
    </row>
    <row r="79" spans="1:9" ht="16" x14ac:dyDescent="0.2">
      <c r="A79" s="79" t="str" cm="1">
        <f t="array" ref="A79">IF('TBA-Matches'!D79&lt;&gt;"", _xlfn.SWITCH('TBA-Matches'!D79, "qm", "Qualies", "sf", "Semis", "f", "Finals"), "")</f>
        <v>Qualies</v>
      </c>
      <c r="B79" s="79">
        <f>IF('TBA-Matches'!E79 &lt;&gt; "", 'TBA-Matches'!E79, "")</f>
        <v>78</v>
      </c>
      <c r="C79" s="80" t="str">
        <f>IF('TBA-Matches'!B79 &lt;&gt; "", CONCATENATE(TEXT('TBA-Matches'!B79,"ddd"),": ",TEXT('TBA-Matches'!C80, "HH:MM")), "")</f>
        <v>Sat: 11:14</v>
      </c>
      <c r="D79" s="45">
        <f>IF('TBA-Matches'!G79 &lt;&gt; "", 'TBA-Matches'!G79, "")</f>
        <v>144</v>
      </c>
      <c r="E79" s="45">
        <f>IF('TBA-Matches'!H79 &lt;&gt; "", 'TBA-Matches'!H79, "")</f>
        <v>48</v>
      </c>
      <c r="F79" s="45">
        <f>IF('TBA-Matches'!I79 &lt;&gt; "", 'TBA-Matches'!I79, "")</f>
        <v>1126</v>
      </c>
      <c r="G79" s="45">
        <f>IF('TBA-Matches'!J79 &lt;&gt; "", 'TBA-Matches'!J79, "")</f>
        <v>424</v>
      </c>
      <c r="H79" s="45">
        <f>IF('TBA-Matches'!K79 &lt;&gt; "", 'TBA-Matches'!K79, "")</f>
        <v>10223</v>
      </c>
      <c r="I79" s="45">
        <f>IF('TBA-Matches'!L79 &lt;&gt; "", 'TBA-Matches'!L79, "")</f>
        <v>5528</v>
      </c>
    </row>
    <row r="80" spans="1:9" ht="16" x14ac:dyDescent="0.2">
      <c r="A80" s="79" t="str" cm="1">
        <f t="array" ref="A80">IF('TBA-Matches'!D80&lt;&gt;"", _xlfn.SWITCH('TBA-Matches'!D80, "qm", "Qualies", "sf", "Semis", "f", "Finals"), "")</f>
        <v>Qualies</v>
      </c>
      <c r="B80" s="79">
        <f>IF('TBA-Matches'!E80 &lt;&gt; "", 'TBA-Matches'!E80, "")</f>
        <v>79</v>
      </c>
      <c r="C80" s="80" t="str">
        <f>IF('TBA-Matches'!B80 &lt;&gt; "", CONCATENATE(TEXT('TBA-Matches'!B80,"ddd"),": ",TEXT('TBA-Matches'!C81, "HH:MM")), "")</f>
        <v>Sat: 11:22</v>
      </c>
      <c r="D80" s="45">
        <f>IF('TBA-Matches'!G80 &lt;&gt; "", 'TBA-Matches'!G80, "")</f>
        <v>1787</v>
      </c>
      <c r="E80" s="45">
        <f>IF('TBA-Matches'!H80 &lt;&gt; "", 'TBA-Matches'!H80, "")</f>
        <v>1450</v>
      </c>
      <c r="F80" s="45">
        <f>IF('TBA-Matches'!I80 &lt;&gt; "", 'TBA-Matches'!I80, "")</f>
        <v>191</v>
      </c>
      <c r="G80" s="45">
        <f>IF('TBA-Matches'!J80 &lt;&gt; "", 'TBA-Matches'!J80, "")</f>
        <v>1468</v>
      </c>
      <c r="H80" s="45">
        <f>IF('TBA-Matches'!K80 &lt;&gt; "", 'TBA-Matches'!K80, "")</f>
        <v>3799</v>
      </c>
      <c r="I80" s="45">
        <f>IF('TBA-Matches'!L80 &lt;&gt; "", 'TBA-Matches'!L80, "")</f>
        <v>3181</v>
      </c>
    </row>
    <row r="81" spans="1:9" ht="16" x14ac:dyDescent="0.2">
      <c r="A81" s="79" t="str" cm="1">
        <f t="array" ref="A81">IF('TBA-Matches'!D81&lt;&gt;"", _xlfn.SWITCH('TBA-Matches'!D81, "qm", "Qualies", "sf", "Semis", "f", "Finals"), "")</f>
        <v>Qualies</v>
      </c>
      <c r="B81" s="79">
        <f>IF('TBA-Matches'!E81 &lt;&gt; "", 'TBA-Matches'!E81, "")</f>
        <v>80</v>
      </c>
      <c r="C81" s="80" t="str">
        <f>IF('TBA-Matches'!B81 &lt;&gt; "", CONCATENATE(TEXT('TBA-Matches'!B81,"ddd"),": ",TEXT('TBA-Matches'!C82, "HH:MM")), "")</f>
        <v>Sat: 11:30</v>
      </c>
      <c r="D81" s="45">
        <f>IF('TBA-Matches'!G81 &lt;&gt; "", 'TBA-Matches'!G81, "")</f>
        <v>4093</v>
      </c>
      <c r="E81" s="45">
        <f>IF('TBA-Matches'!H81 &lt;&gt; "", 'TBA-Matches'!H81, "")</f>
        <v>9016</v>
      </c>
      <c r="F81" s="45">
        <f>IF('TBA-Matches'!I81 &lt;&gt; "", 'TBA-Matches'!I81, "")</f>
        <v>1781</v>
      </c>
      <c r="G81" s="45">
        <f>IF('TBA-Matches'!J81 &lt;&gt; "", 'TBA-Matches'!J81, "")</f>
        <v>10922</v>
      </c>
      <c r="H81" s="45">
        <f>IF('TBA-Matches'!K81 &lt;&gt; "", 'TBA-Matches'!K81, "")</f>
        <v>1559</v>
      </c>
      <c r="I81" s="45">
        <f>IF('TBA-Matches'!L81 &lt;&gt; "", 'TBA-Matches'!L81, "")</f>
        <v>353</v>
      </c>
    </row>
    <row r="82" spans="1:9" ht="16" x14ac:dyDescent="0.2">
      <c r="A82" s="79" t="str" cm="1">
        <f t="array" ref="A82">IF('TBA-Matches'!D82&lt;&gt;"", _xlfn.SWITCH('TBA-Matches'!D82, "qm", "Qualies", "sf", "Semis", "f", "Finals"), "")</f>
        <v>Qualies</v>
      </c>
      <c r="B82" s="79">
        <f>IF('TBA-Matches'!E82 &lt;&gt; "", 'TBA-Matches'!E82, "")</f>
        <v>81</v>
      </c>
      <c r="C82" s="80" t="str">
        <f>IF('TBA-Matches'!B82 &lt;&gt; "", CONCATENATE(TEXT('TBA-Matches'!B82,"ddd"),": ",TEXT('TBA-Matches'!C83, "HH:MM")), "")</f>
        <v>Sat: 11:38</v>
      </c>
      <c r="D82" s="45">
        <f>IF('TBA-Matches'!G82 &lt;&gt; "", 'TBA-Matches'!G82, "")</f>
        <v>2228</v>
      </c>
      <c r="E82" s="45">
        <f>IF('TBA-Matches'!H82 &lt;&gt; "", 'TBA-Matches'!H82, "")</f>
        <v>4930</v>
      </c>
      <c r="F82" s="45">
        <f>IF('TBA-Matches'!I82 &lt;&gt; "", 'TBA-Matches'!I82, "")</f>
        <v>3173</v>
      </c>
      <c r="G82" s="45">
        <f>IF('TBA-Matches'!J82 &lt;&gt; "", 'TBA-Matches'!J82, "")</f>
        <v>271</v>
      </c>
      <c r="H82" s="45">
        <f>IF('TBA-Matches'!K82 &lt;&gt; "", 'TBA-Matches'!K82, "")</f>
        <v>3044</v>
      </c>
      <c r="I82" s="45">
        <f>IF('TBA-Matches'!L82 &lt;&gt; "", 'TBA-Matches'!L82, "")</f>
        <v>3951</v>
      </c>
    </row>
    <row r="83" spans="1:9" ht="16" x14ac:dyDescent="0.2">
      <c r="A83" s="79" t="str" cm="1">
        <f t="array" ref="A83">IF('TBA-Matches'!D83&lt;&gt;"", _xlfn.SWITCH('TBA-Matches'!D83, "qm", "Qualies", "sf", "Semis", "f", "Finals"), "")</f>
        <v>Qualies</v>
      </c>
      <c r="B83" s="79">
        <f>IF('TBA-Matches'!E83 &lt;&gt; "", 'TBA-Matches'!E83, "")</f>
        <v>82</v>
      </c>
      <c r="C83" s="80" t="str">
        <f>IF('TBA-Matches'!B83 &lt;&gt; "", CONCATENATE(TEXT('TBA-Matches'!B83,"ddd"),": ",TEXT('TBA-Matches'!C84, "HH:MM")), "")</f>
        <v>Sat: 11:46</v>
      </c>
      <c r="D83" s="45">
        <f>IF('TBA-Matches'!G83 &lt;&gt; "", 'TBA-Matches'!G83, "")</f>
        <v>378</v>
      </c>
      <c r="E83" s="45">
        <f>IF('TBA-Matches'!H83 &lt;&gt; "", 'TBA-Matches'!H83, "")</f>
        <v>325</v>
      </c>
      <c r="F83" s="45">
        <f>IF('TBA-Matches'!I83 &lt;&gt; "", 'TBA-Matches'!I83, "")</f>
        <v>4253</v>
      </c>
      <c r="G83" s="45">
        <f>IF('TBA-Matches'!J83 &lt;&gt; "", 'TBA-Matches'!J83, "")</f>
        <v>564</v>
      </c>
      <c r="H83" s="45">
        <f>IF('TBA-Matches'!K83 &lt;&gt; "", 'TBA-Matches'!K83, "")</f>
        <v>8503</v>
      </c>
      <c r="I83" s="45">
        <f>IF('TBA-Matches'!L83 &lt;&gt; "", 'TBA-Matches'!L83, "")</f>
        <v>1507</v>
      </c>
    </row>
    <row r="84" spans="1:9" ht="16" x14ac:dyDescent="0.2">
      <c r="A84" s="79" t="str" cm="1">
        <f t="array" ref="A84">IF('TBA-Matches'!D84&lt;&gt;"", _xlfn.SWITCH('TBA-Matches'!D84, "qm", "Qualies", "sf", "Semis", "f", "Finals"), "")</f>
        <v>Qualies</v>
      </c>
      <c r="B84" s="79">
        <f>IF('TBA-Matches'!E84 &lt;&gt; "", 'TBA-Matches'!E84, "")</f>
        <v>83</v>
      </c>
      <c r="C84" s="80" t="str">
        <f>IF('TBA-Matches'!B84 &lt;&gt; "", CONCATENATE(TEXT('TBA-Matches'!B84,"ddd"),": ",TEXT('TBA-Matches'!C85, "HH:MM")), "")</f>
        <v>Sat: 13:30</v>
      </c>
      <c r="D84" s="45">
        <f>IF('TBA-Matches'!G84 &lt;&gt; "", 'TBA-Matches'!G84, "")</f>
        <v>1056</v>
      </c>
      <c r="E84" s="45">
        <f>IF('TBA-Matches'!H84 &lt;&gt; "", 'TBA-Matches'!H84, "")</f>
        <v>639</v>
      </c>
      <c r="F84" s="45">
        <f>IF('TBA-Matches'!I84 &lt;&gt; "", 'TBA-Matches'!I84, "")</f>
        <v>7903</v>
      </c>
      <c r="G84" s="45">
        <f>IF('TBA-Matches'!J84 &lt;&gt; "", 'TBA-Matches'!J84, "")</f>
        <v>432</v>
      </c>
      <c r="H84" s="45">
        <f>IF('TBA-Matches'!K84 &lt;&gt; "", 'TBA-Matches'!K84, "")</f>
        <v>3838</v>
      </c>
      <c r="I84" s="45">
        <f>IF('TBA-Matches'!L84 &lt;&gt; "", 'TBA-Matches'!L84, "")</f>
        <v>20</v>
      </c>
    </row>
    <row r="85" spans="1:9" ht="16" x14ac:dyDescent="0.2">
      <c r="A85" s="79" t="str" cm="1">
        <f t="array" ref="A85">IF('TBA-Matches'!D85&lt;&gt;"", _xlfn.SWITCH('TBA-Matches'!D85, "qm", "Qualies", "sf", "Semis", "f", "Finals"), "")</f>
        <v>Semis</v>
      </c>
      <c r="B85" s="79">
        <f>IF('TBA-Matches'!E85 &lt;&gt; "", 'TBA-Matches'!E85, "")</f>
        <v>1</v>
      </c>
      <c r="C85" s="80" t="str">
        <f>IF('TBA-Matches'!B85 &lt;&gt; "", CONCATENATE(TEXT('TBA-Matches'!B85,"ddd"),": ",TEXT('TBA-Matches'!C86, "HH:MM")), "")</f>
        <v>Sat: 13:39</v>
      </c>
      <c r="D85" s="45">
        <f>IF('TBA-Matches'!G85 &lt;&gt; "", 'TBA-Matches'!G85, "")</f>
        <v>340</v>
      </c>
      <c r="E85" s="45">
        <f>IF('TBA-Matches'!H85 &lt;&gt; "", 'TBA-Matches'!H85, "")</f>
        <v>424</v>
      </c>
      <c r="F85" s="45">
        <f>IF('TBA-Matches'!I85 &lt;&gt; "", 'TBA-Matches'!I85, "")</f>
        <v>1468</v>
      </c>
      <c r="G85" s="45">
        <f>IF('TBA-Matches'!J85 &lt;&gt; "", 'TBA-Matches'!J85, "")</f>
        <v>353</v>
      </c>
      <c r="H85" s="45">
        <f>IF('TBA-Matches'!K85 &lt;&gt; "", 'TBA-Matches'!K85, "")</f>
        <v>1559</v>
      </c>
      <c r="I85" s="45">
        <f>IF('TBA-Matches'!L85 &lt;&gt; "", 'TBA-Matches'!L85, "")</f>
        <v>2340</v>
      </c>
    </row>
    <row r="86" spans="1:9" ht="16" x14ac:dyDescent="0.2">
      <c r="A86" s="79" t="str" cm="1">
        <f t="array" ref="A86">IF('TBA-Matches'!D86&lt;&gt;"", _xlfn.SWITCH('TBA-Matches'!D86, "qm", "Qualies", "sf", "Semis", "f", "Finals"), "")</f>
        <v>Semis</v>
      </c>
      <c r="B86" s="79">
        <f>IF('TBA-Matches'!E86 &lt;&gt; "", 'TBA-Matches'!E86, "")</f>
        <v>1</v>
      </c>
      <c r="C86" s="80" t="str">
        <f>IF('TBA-Matches'!B86 &lt;&gt; "", CONCATENATE(TEXT('TBA-Matches'!B86,"ddd"),": ",TEXT('TBA-Matches'!C87, "HH:MM")), "")</f>
        <v>Sat: 13:48</v>
      </c>
      <c r="D86" s="45">
        <f>IF('TBA-Matches'!G86 &lt;&gt; "", 'TBA-Matches'!G86, "")</f>
        <v>1507</v>
      </c>
      <c r="E86" s="45">
        <f>IF('TBA-Matches'!H86 &lt;&gt; "", 'TBA-Matches'!H86, "")</f>
        <v>8503</v>
      </c>
      <c r="F86" s="45">
        <f>IF('TBA-Matches'!I86 &lt;&gt; "", 'TBA-Matches'!I86, "")</f>
        <v>1511</v>
      </c>
      <c r="G86" s="45">
        <f>IF('TBA-Matches'!J86 &lt;&gt; "", 'TBA-Matches'!J86, "")</f>
        <v>1405</v>
      </c>
      <c r="H86" s="45">
        <f>IF('TBA-Matches'!K86 &lt;&gt; "", 'TBA-Matches'!K86, "")</f>
        <v>3044</v>
      </c>
      <c r="I86" s="45">
        <f>IF('TBA-Matches'!L86 &lt;&gt; "", 'TBA-Matches'!L86, "")</f>
        <v>1591</v>
      </c>
    </row>
    <row r="87" spans="1:9" ht="16" x14ac:dyDescent="0.2">
      <c r="A87" s="79" t="str" cm="1">
        <f t="array" ref="A87">IF('TBA-Matches'!D87&lt;&gt;"", _xlfn.SWITCH('TBA-Matches'!D87, "qm", "Qualies", "sf", "Semis", "f", "Finals"), "")</f>
        <v>Semis</v>
      </c>
      <c r="B87" s="79">
        <f>IF('TBA-Matches'!E87 &lt;&gt; "", 'TBA-Matches'!E87, "")</f>
        <v>1</v>
      </c>
      <c r="C87" s="80" t="str">
        <f>IF('TBA-Matches'!B87 &lt;&gt; "", CONCATENATE(TEXT('TBA-Matches'!B87,"ddd"),": ",TEXT('TBA-Matches'!C88, "HH:MM")), "")</f>
        <v>Sat: 13:57</v>
      </c>
      <c r="D87" s="45">
        <f>IF('TBA-Matches'!G87 &lt;&gt; "", 'TBA-Matches'!G87, "")</f>
        <v>694</v>
      </c>
      <c r="E87" s="45">
        <f>IF('TBA-Matches'!H87 &lt;&gt; "", 'TBA-Matches'!H87, "")</f>
        <v>48</v>
      </c>
      <c r="F87" s="45">
        <f>IF('TBA-Matches'!I87 &lt;&gt; "", 'TBA-Matches'!I87, "")</f>
        <v>3015</v>
      </c>
      <c r="G87" s="45">
        <f>IF('TBA-Matches'!J87 &lt;&gt; "", 'TBA-Matches'!J87, "")</f>
        <v>1056</v>
      </c>
      <c r="H87" s="45">
        <f>IF('TBA-Matches'!K87 &lt;&gt; "", 'TBA-Matches'!K87, "")</f>
        <v>2228</v>
      </c>
      <c r="I87" s="45">
        <f>IF('TBA-Matches'!L87 &lt;&gt; "", 'TBA-Matches'!L87, "")</f>
        <v>6868</v>
      </c>
    </row>
    <row r="88" spans="1:9" ht="16" x14ac:dyDescent="0.2">
      <c r="A88" s="79" t="str" cm="1">
        <f t="array" ref="A88">IF('TBA-Matches'!D88&lt;&gt;"", _xlfn.SWITCH('TBA-Matches'!D88, "qm", "Qualies", "sf", "Semis", "f", "Finals"), "")</f>
        <v>Semis</v>
      </c>
      <c r="B88" s="79">
        <f>IF('TBA-Matches'!E88 &lt;&gt; "", 'TBA-Matches'!E88, "")</f>
        <v>1</v>
      </c>
      <c r="C88" s="80" t="str">
        <f>IF('TBA-Matches'!B88 &lt;&gt; "", CONCATENATE(TEXT('TBA-Matches'!B88,"ddd"),": ",TEXT('TBA-Matches'!C89, "HH:MM")), "")</f>
        <v>Sat: 14:06</v>
      </c>
      <c r="D88" s="45">
        <f>IF('TBA-Matches'!G88 &lt;&gt; "", 'TBA-Matches'!G88, "")</f>
        <v>3181</v>
      </c>
      <c r="E88" s="45">
        <f>IF('TBA-Matches'!H88 &lt;&gt; "", 'TBA-Matches'!H88, "")</f>
        <v>10922</v>
      </c>
      <c r="F88" s="45">
        <f>IF('TBA-Matches'!I88 &lt;&gt; "", 'TBA-Matches'!I88, "")</f>
        <v>1787</v>
      </c>
      <c r="G88" s="45">
        <f>IF('TBA-Matches'!J88 &lt;&gt; "", 'TBA-Matches'!J88, "")</f>
        <v>3173</v>
      </c>
      <c r="H88" s="45">
        <f>IF('TBA-Matches'!K88 &lt;&gt; "", 'TBA-Matches'!K88, "")</f>
        <v>3951</v>
      </c>
      <c r="I88" s="45">
        <f>IF('TBA-Matches'!L88 &lt;&gt; "", 'TBA-Matches'!L88, "")</f>
        <v>5528</v>
      </c>
    </row>
    <row r="89" spans="1:9" ht="16" x14ac:dyDescent="0.2">
      <c r="A89" s="79" t="str" cm="1">
        <f t="array" ref="A89">IF('TBA-Matches'!D89&lt;&gt;"", _xlfn.SWITCH('TBA-Matches'!D89, "qm", "Qualies", "sf", "Semis", "f", "Finals"), "")</f>
        <v>Semis</v>
      </c>
      <c r="B89" s="79">
        <f>IF('TBA-Matches'!E89 &lt;&gt; "", 'TBA-Matches'!E89, "")</f>
        <v>1</v>
      </c>
      <c r="C89" s="80" t="str">
        <f>IF('TBA-Matches'!B89 &lt;&gt; "", CONCATENATE(TEXT('TBA-Matches'!B89,"ddd"),": ",TEXT('TBA-Matches'!C90, "HH:MM")), "")</f>
        <v>Sat: 14:15</v>
      </c>
      <c r="D89" s="45">
        <f>IF('TBA-Matches'!G89 &lt;&gt; "", 'TBA-Matches'!G89, "")</f>
        <v>353</v>
      </c>
      <c r="E89" s="45">
        <f>IF('TBA-Matches'!H89 &lt;&gt; "", 'TBA-Matches'!H89, "")</f>
        <v>1559</v>
      </c>
      <c r="F89" s="45">
        <f>IF('TBA-Matches'!I89 &lt;&gt; "", 'TBA-Matches'!I89, "")</f>
        <v>2340</v>
      </c>
      <c r="G89" s="45">
        <f>IF('TBA-Matches'!J89 &lt;&gt; "", 'TBA-Matches'!J89, "")</f>
        <v>1511</v>
      </c>
      <c r="H89" s="45">
        <f>IF('TBA-Matches'!K89 &lt;&gt; "", 'TBA-Matches'!K89, "")</f>
        <v>8503</v>
      </c>
      <c r="I89" s="45">
        <f>IF('TBA-Matches'!L89 &lt;&gt; "", 'TBA-Matches'!L89, "")</f>
        <v>1507</v>
      </c>
    </row>
    <row r="90" spans="1:9" ht="16" x14ac:dyDescent="0.2">
      <c r="A90" s="79" t="str" cm="1">
        <f t="array" ref="A90">IF('TBA-Matches'!D90&lt;&gt;"", _xlfn.SWITCH('TBA-Matches'!D90, "qm", "Qualies", "sf", "Semis", "f", "Finals"), "")</f>
        <v>Semis</v>
      </c>
      <c r="B90" s="79">
        <f>IF('TBA-Matches'!E90 &lt;&gt; "", 'TBA-Matches'!E90, "")</f>
        <v>1</v>
      </c>
      <c r="C90" s="80" t="str">
        <f>IF('TBA-Matches'!B90 &lt;&gt; "", CONCATENATE(TEXT('TBA-Matches'!B90,"ddd"),": ",TEXT('TBA-Matches'!C91, "HH:MM")), "")</f>
        <v>Sat: 14:24</v>
      </c>
      <c r="D90" s="45">
        <f>IF('TBA-Matches'!G90 &lt;&gt; "", 'TBA-Matches'!G90, "")</f>
        <v>1056</v>
      </c>
      <c r="E90" s="45">
        <f>IF('TBA-Matches'!H90 &lt;&gt; "", 'TBA-Matches'!H90, "")</f>
        <v>2228</v>
      </c>
      <c r="F90" s="45">
        <f>IF('TBA-Matches'!I90 &lt;&gt; "", 'TBA-Matches'!I90, "")</f>
        <v>6868</v>
      </c>
      <c r="G90" s="45">
        <f>IF('TBA-Matches'!J90 &lt;&gt; "", 'TBA-Matches'!J90, "")</f>
        <v>3173</v>
      </c>
      <c r="H90" s="45">
        <f>IF('TBA-Matches'!K90 &lt;&gt; "", 'TBA-Matches'!K90, "")</f>
        <v>3951</v>
      </c>
      <c r="I90" s="45">
        <f>IF('TBA-Matches'!L90 &lt;&gt; "", 'TBA-Matches'!L90, "")</f>
        <v>5528</v>
      </c>
    </row>
    <row r="91" spans="1:9" ht="16" x14ac:dyDescent="0.2">
      <c r="A91" s="79" t="str" cm="1">
        <f t="array" ref="A91">IF('TBA-Matches'!D91&lt;&gt;"", _xlfn.SWITCH('TBA-Matches'!D91, "qm", "Qualies", "sf", "Semis", "f", "Finals"), "")</f>
        <v>Semis</v>
      </c>
      <c r="B91" s="79">
        <f>IF('TBA-Matches'!E91 &lt;&gt; "", 'TBA-Matches'!E91, "")</f>
        <v>1</v>
      </c>
      <c r="C91" s="80" t="str">
        <f>IF('TBA-Matches'!B91 &lt;&gt; "", CONCATENATE(TEXT('TBA-Matches'!B91,"ddd"),": ",TEXT('TBA-Matches'!C92, "HH:MM")), "")</f>
        <v>Sat: 14:33</v>
      </c>
      <c r="D91" s="45">
        <f>IF('TBA-Matches'!G91 &lt;&gt; "", 'TBA-Matches'!G91, "")</f>
        <v>1468</v>
      </c>
      <c r="E91" s="45">
        <f>IF('TBA-Matches'!H91 &lt;&gt; "", 'TBA-Matches'!H91, "")</f>
        <v>424</v>
      </c>
      <c r="F91" s="45">
        <f>IF('TBA-Matches'!I91 &lt;&gt; "", 'TBA-Matches'!I91, "")</f>
        <v>340</v>
      </c>
      <c r="G91" s="45">
        <f>IF('TBA-Matches'!J91 &lt;&gt; "", 'TBA-Matches'!J91, "")</f>
        <v>1405</v>
      </c>
      <c r="H91" s="45">
        <f>IF('TBA-Matches'!K91 &lt;&gt; "", 'TBA-Matches'!K91, "")</f>
        <v>3044</v>
      </c>
      <c r="I91" s="45">
        <f>IF('TBA-Matches'!L91 &lt;&gt; "", 'TBA-Matches'!L91, "")</f>
        <v>1591</v>
      </c>
    </row>
    <row r="92" spans="1:9" ht="16" x14ac:dyDescent="0.2">
      <c r="A92" s="79" t="str" cm="1">
        <f t="array" ref="A92">IF('TBA-Matches'!D92&lt;&gt;"", _xlfn.SWITCH('TBA-Matches'!D92, "qm", "Qualies", "sf", "Semis", "f", "Finals"), "")</f>
        <v>Semis</v>
      </c>
      <c r="B92" s="79">
        <f>IF('TBA-Matches'!E92 &lt;&gt; "", 'TBA-Matches'!E92, "")</f>
        <v>1</v>
      </c>
      <c r="C92" s="80" t="str">
        <f>IF('TBA-Matches'!B92 &lt;&gt; "", CONCATENATE(TEXT('TBA-Matches'!B92,"ddd"),": ",TEXT('TBA-Matches'!C93, "HH:MM")), "")</f>
        <v>Sat: 14:42</v>
      </c>
      <c r="D92" s="45">
        <f>IF('TBA-Matches'!G92 &lt;&gt; "", 'TBA-Matches'!G92, "")</f>
        <v>694</v>
      </c>
      <c r="E92" s="45">
        <f>IF('TBA-Matches'!H92 &lt;&gt; "", 'TBA-Matches'!H92, "")</f>
        <v>3015</v>
      </c>
      <c r="F92" s="45">
        <f>IF('TBA-Matches'!I92 &lt;&gt; "", 'TBA-Matches'!I92, "")</f>
        <v>48</v>
      </c>
      <c r="G92" s="45">
        <f>IF('TBA-Matches'!J92 &lt;&gt; "", 'TBA-Matches'!J92, "")</f>
        <v>3181</v>
      </c>
      <c r="H92" s="45">
        <f>IF('TBA-Matches'!K92 &lt;&gt; "", 'TBA-Matches'!K92, "")</f>
        <v>10922</v>
      </c>
      <c r="I92" s="45">
        <f>IF('TBA-Matches'!L92 &lt;&gt; "", 'TBA-Matches'!L92, "")</f>
        <v>1787</v>
      </c>
    </row>
    <row r="93" spans="1:9" ht="16" x14ac:dyDescent="0.2">
      <c r="A93" s="79" t="str" cm="1">
        <f t="array" ref="A93">IF('TBA-Matches'!D93&lt;&gt;"", _xlfn.SWITCH('TBA-Matches'!D93, "qm", "Qualies", "sf", "Semis", "f", "Finals"), "")</f>
        <v>Semis</v>
      </c>
      <c r="B93" s="79">
        <f>IF('TBA-Matches'!E93 &lt;&gt; "", 'TBA-Matches'!E93, "")</f>
        <v>1</v>
      </c>
      <c r="C93" s="80" t="str">
        <f>IF('TBA-Matches'!B93 &lt;&gt; "", CONCATENATE(TEXT('TBA-Matches'!B93,"ddd"),": ",TEXT('TBA-Matches'!C94, "HH:MM")), "")</f>
        <v>Sat: 14:51</v>
      </c>
      <c r="D93" s="45">
        <f>IF('TBA-Matches'!G93 &lt;&gt; "", 'TBA-Matches'!G93, "")</f>
        <v>1405</v>
      </c>
      <c r="E93" s="45">
        <f>IF('TBA-Matches'!H93 &lt;&gt; "", 'TBA-Matches'!H93, "")</f>
        <v>3044</v>
      </c>
      <c r="F93" s="45">
        <f>IF('TBA-Matches'!I93 &lt;&gt; "", 'TBA-Matches'!I93, "")</f>
        <v>1591</v>
      </c>
      <c r="G93" s="45">
        <f>IF('TBA-Matches'!J93 &lt;&gt; "", 'TBA-Matches'!J93, "")</f>
        <v>1126</v>
      </c>
      <c r="H93" s="45">
        <f>IF('TBA-Matches'!K93 &lt;&gt; "", 'TBA-Matches'!K93, "")</f>
        <v>3951</v>
      </c>
      <c r="I93" s="45">
        <f>IF('TBA-Matches'!L93 &lt;&gt; "", 'TBA-Matches'!L93, "")</f>
        <v>5528</v>
      </c>
    </row>
    <row r="94" spans="1:9" ht="16" x14ac:dyDescent="0.2">
      <c r="A94" s="79" t="str" cm="1">
        <f t="array" ref="A94">IF('TBA-Matches'!D94&lt;&gt;"", _xlfn.SWITCH('TBA-Matches'!D94, "qm", "Qualies", "sf", "Semis", "f", "Finals"), "")</f>
        <v>Semis</v>
      </c>
      <c r="B94" s="79">
        <f>IF('TBA-Matches'!E94 &lt;&gt; "", 'TBA-Matches'!E94, "")</f>
        <v>1</v>
      </c>
      <c r="C94" s="80" t="str">
        <f>IF('TBA-Matches'!B94 &lt;&gt; "", CONCATENATE(TEXT('TBA-Matches'!B94,"ddd"),": ",TEXT('TBA-Matches'!C95, "HH:MM")), "")</f>
        <v>Sat: 15:03</v>
      </c>
      <c r="D94" s="45">
        <f>IF('TBA-Matches'!G94 &lt;&gt; "", 'TBA-Matches'!G94, "")</f>
        <v>3181</v>
      </c>
      <c r="E94" s="45">
        <f>IF('TBA-Matches'!H94 &lt;&gt; "", 'TBA-Matches'!H94, "")</f>
        <v>10922</v>
      </c>
      <c r="F94" s="45">
        <f>IF('TBA-Matches'!I94 &lt;&gt; "", 'TBA-Matches'!I94, "")</f>
        <v>1787</v>
      </c>
      <c r="G94" s="45">
        <f>IF('TBA-Matches'!J94 &lt;&gt; "", 'TBA-Matches'!J94, "")</f>
        <v>1511</v>
      </c>
      <c r="H94" s="45">
        <f>IF('TBA-Matches'!K94 &lt;&gt; "", 'TBA-Matches'!K94, "")</f>
        <v>8503</v>
      </c>
      <c r="I94" s="45">
        <f>IF('TBA-Matches'!L94 &lt;&gt; "", 'TBA-Matches'!L94, "")</f>
        <v>1507</v>
      </c>
    </row>
    <row r="95" spans="1:9" ht="16" x14ac:dyDescent="0.2">
      <c r="A95" s="79" t="str" cm="1">
        <f t="array" ref="A95">IF('TBA-Matches'!D95&lt;&gt;"", _xlfn.SWITCH('TBA-Matches'!D95, "qm", "Qualies", "sf", "Semis", "f", "Finals"), "")</f>
        <v>Semis</v>
      </c>
      <c r="B95" s="79">
        <f>IF('TBA-Matches'!E95 &lt;&gt; "", 'TBA-Matches'!E95, "")</f>
        <v>1</v>
      </c>
      <c r="C95" s="80" t="str">
        <f>IF('TBA-Matches'!B95 &lt;&gt; "", CONCATENATE(TEXT('TBA-Matches'!B95,"ddd"),": ",TEXT('TBA-Matches'!C96, "HH:MM")), "")</f>
        <v>Sat: 15:12</v>
      </c>
      <c r="D95" s="45">
        <f>IF('TBA-Matches'!G95 &lt;&gt; "", 'TBA-Matches'!G95, "")</f>
        <v>340</v>
      </c>
      <c r="E95" s="45">
        <f>IF('TBA-Matches'!H95 &lt;&gt; "", 'TBA-Matches'!H95, "")</f>
        <v>424</v>
      </c>
      <c r="F95" s="45">
        <f>IF('TBA-Matches'!I95 &lt;&gt; "", 'TBA-Matches'!I95, "")</f>
        <v>1468</v>
      </c>
      <c r="G95" s="45">
        <f>IF('TBA-Matches'!J95 &lt;&gt; "", 'TBA-Matches'!J95, "")</f>
        <v>694</v>
      </c>
      <c r="H95" s="45">
        <f>IF('TBA-Matches'!K95 &lt;&gt; "", 'TBA-Matches'!K95, "")</f>
        <v>3015</v>
      </c>
      <c r="I95" s="45">
        <f>IF('TBA-Matches'!L95 &lt;&gt; "", 'TBA-Matches'!L95, "")</f>
        <v>48</v>
      </c>
    </row>
    <row r="96" spans="1:9" ht="16" x14ac:dyDescent="0.2">
      <c r="A96" s="79" t="str" cm="1">
        <f t="array" ref="A96">IF('TBA-Matches'!D96&lt;&gt;"", _xlfn.SWITCH('TBA-Matches'!D96, "qm", "Qualies", "sf", "Semis", "f", "Finals"), "")</f>
        <v>Semis</v>
      </c>
      <c r="B96" s="79">
        <f>IF('TBA-Matches'!E96 &lt;&gt; "", 'TBA-Matches'!E96, "")</f>
        <v>1</v>
      </c>
      <c r="C96" s="80" t="str">
        <f>IF('TBA-Matches'!B96 &lt;&gt; "", CONCATENATE(TEXT('TBA-Matches'!B96,"ddd"),": ",TEXT('TBA-Matches'!C97, "HH:MM")), "")</f>
        <v>Sat: 15:33</v>
      </c>
      <c r="D96" s="45">
        <f>IF('TBA-Matches'!G96 &lt;&gt; "", 'TBA-Matches'!G96, "")</f>
        <v>3181</v>
      </c>
      <c r="E96" s="45">
        <f>IF('TBA-Matches'!H96 &lt;&gt; "", 'TBA-Matches'!H96, "")</f>
        <v>10922</v>
      </c>
      <c r="F96" s="45">
        <f>IF('TBA-Matches'!I96 &lt;&gt; "", 'TBA-Matches'!I96, "")</f>
        <v>1787</v>
      </c>
      <c r="G96" s="45">
        <f>IF('TBA-Matches'!J96 &lt;&gt; "", 'TBA-Matches'!J96, "")</f>
        <v>3173</v>
      </c>
      <c r="H96" s="45">
        <f>IF('TBA-Matches'!K96 &lt;&gt; "", 'TBA-Matches'!K96, "")</f>
        <v>3951</v>
      </c>
      <c r="I96" s="45">
        <f>IF('TBA-Matches'!L96 &lt;&gt; "", 'TBA-Matches'!L96, "")</f>
        <v>5528</v>
      </c>
    </row>
    <row r="97" spans="1:9" ht="16" x14ac:dyDescent="0.2">
      <c r="A97" s="79" t="str" cm="1">
        <f t="array" ref="A97">IF('TBA-Matches'!D97&lt;&gt;"", _xlfn.SWITCH('TBA-Matches'!D97, "qm", "Qualies", "sf", "Semis", "f", "Finals"), "")</f>
        <v>Semis</v>
      </c>
      <c r="B97" s="79">
        <f>IF('TBA-Matches'!E97 &lt;&gt; "", 'TBA-Matches'!E97, "")</f>
        <v>1</v>
      </c>
      <c r="C97" s="80" t="str">
        <f>IF('TBA-Matches'!B97 &lt;&gt; "", CONCATENATE(TEXT('TBA-Matches'!B97,"ddd"),": ",TEXT('TBA-Matches'!C98, "HH:MM")), "")</f>
        <v>Sat: 15:54</v>
      </c>
      <c r="D97" s="45">
        <f>IF('TBA-Matches'!G97 &lt;&gt; "", 'TBA-Matches'!G97, "")</f>
        <v>6423</v>
      </c>
      <c r="E97" s="45">
        <f>IF('TBA-Matches'!H97 &lt;&gt; "", 'TBA-Matches'!H97, "")</f>
        <v>424</v>
      </c>
      <c r="F97" s="45">
        <f>IF('TBA-Matches'!I97 &lt;&gt; "", 'TBA-Matches'!I97, "")</f>
        <v>340</v>
      </c>
      <c r="G97" s="45">
        <f>IF('TBA-Matches'!J97 &lt;&gt; "", 'TBA-Matches'!J97, "")</f>
        <v>3181</v>
      </c>
      <c r="H97" s="45">
        <f>IF('TBA-Matches'!K97 &lt;&gt; "", 'TBA-Matches'!K97, "")</f>
        <v>10922</v>
      </c>
      <c r="I97" s="45">
        <f>IF('TBA-Matches'!L97 &lt;&gt; "", 'TBA-Matches'!L97, "")</f>
        <v>1787</v>
      </c>
    </row>
    <row r="98" spans="1:9" ht="16" x14ac:dyDescent="0.2">
      <c r="A98" s="79" t="str" cm="1">
        <f t="array" ref="A98">IF('TBA-Matches'!D98&lt;&gt;"", _xlfn.SWITCH('TBA-Matches'!D98, "qm", "Qualies", "sf", "Semis", "f", "Finals"), "")</f>
        <v>Finals</v>
      </c>
      <c r="B98" s="79">
        <f>IF('TBA-Matches'!E98 &lt;&gt; "", 'TBA-Matches'!E98, "")</f>
        <v>1</v>
      </c>
      <c r="C98" s="80" t="str">
        <f>IF('TBA-Matches'!B98 &lt;&gt; "", CONCATENATE(TEXT('TBA-Matches'!B98,"ddd"),": ",TEXT('TBA-Matches'!C99, "HH:MM")), "")</f>
        <v>Sat: 16:15</v>
      </c>
      <c r="D98" s="45">
        <f>IF('TBA-Matches'!G98 &lt;&gt; "", 'TBA-Matches'!G98, "")</f>
        <v>694</v>
      </c>
      <c r="E98" s="45">
        <f>IF('TBA-Matches'!H98 &lt;&gt; "", 'TBA-Matches'!H98, "")</f>
        <v>3015</v>
      </c>
      <c r="F98" s="45">
        <f>IF('TBA-Matches'!I98 &lt;&gt; "", 'TBA-Matches'!I98, "")</f>
        <v>48</v>
      </c>
      <c r="G98" s="45">
        <f>IF('TBA-Matches'!J98 &lt;&gt; "", 'TBA-Matches'!J98, "")</f>
        <v>3181</v>
      </c>
      <c r="H98" s="45">
        <f>IF('TBA-Matches'!K98 &lt;&gt; "", 'TBA-Matches'!K98, "")</f>
        <v>10922</v>
      </c>
      <c r="I98" s="45">
        <f>IF('TBA-Matches'!L98 &lt;&gt; "", 'TBA-Matches'!L98, "")</f>
        <v>1787</v>
      </c>
    </row>
    <row r="99" spans="1:9" ht="16" x14ac:dyDescent="0.2">
      <c r="A99" s="79" t="str" cm="1">
        <f t="array" ref="A99">IF('TBA-Matches'!D99&lt;&gt;"", _xlfn.SWITCH('TBA-Matches'!D99, "qm", "Qualies", "sf", "Semis", "f", "Finals"), "")</f>
        <v>Finals</v>
      </c>
      <c r="B99" s="79">
        <f>IF('TBA-Matches'!E99 &lt;&gt; "", 'TBA-Matches'!E99, "")</f>
        <v>2</v>
      </c>
      <c r="C99" s="80" t="str">
        <f>IF('TBA-Matches'!B99 &lt;&gt; "", CONCATENATE(TEXT('TBA-Matches'!B99,"ddd"),": ",TEXT('TBA-Matches'!C100, "HH:MM")), "")</f>
        <v>Sat: 16:36</v>
      </c>
      <c r="D99" s="45">
        <f>IF('TBA-Matches'!G99 &lt;&gt; "", 'TBA-Matches'!G99, "")</f>
        <v>48</v>
      </c>
      <c r="E99" s="45">
        <f>IF('TBA-Matches'!H99 &lt;&gt; "", 'TBA-Matches'!H99, "")</f>
        <v>3015</v>
      </c>
      <c r="F99" s="45">
        <f>IF('TBA-Matches'!I99 &lt;&gt; "", 'TBA-Matches'!I99, "")</f>
        <v>694</v>
      </c>
      <c r="G99" s="45">
        <f>IF('TBA-Matches'!J99 &lt;&gt; "", 'TBA-Matches'!J99, "")</f>
        <v>3181</v>
      </c>
      <c r="H99" s="45">
        <f>IF('TBA-Matches'!K99 &lt;&gt; "", 'TBA-Matches'!K99, "")</f>
        <v>10922</v>
      </c>
      <c r="I99" s="45">
        <f>IF('TBA-Matches'!L99 &lt;&gt; "", 'TBA-Matches'!L99, "")</f>
        <v>1787</v>
      </c>
    </row>
    <row r="100" spans="1:9" ht="16" x14ac:dyDescent="0.2">
      <c r="A100" s="79" t="str" cm="1">
        <f t="array" ref="A100">IF('TBA-Matches'!D100&lt;&gt;"", _xlfn.SWITCH('TBA-Matches'!D100, "qm", "Qualies", "sf", "Semis", "f", "Finals"), "")</f>
        <v>Finals</v>
      </c>
      <c r="B100" s="79">
        <f>IF('TBA-Matches'!E100 &lt;&gt; "", 'TBA-Matches'!E100, "")</f>
        <v>3</v>
      </c>
      <c r="C100" s="80" t="str">
        <f>IF('TBA-Matches'!B100 &lt;&gt; "", CONCATENATE(TEXT('TBA-Matches'!B100,"ddd"),": ",TEXT('TBA-Matches'!C101, "HH:MM")), "")</f>
        <v>Sat: 00:00</v>
      </c>
      <c r="D100" s="45">
        <f>IF('TBA-Matches'!G100 &lt;&gt; "", 'TBA-Matches'!G100, "")</f>
        <v>48</v>
      </c>
      <c r="E100" s="45">
        <f>IF('TBA-Matches'!H100 &lt;&gt; "", 'TBA-Matches'!H100, "")</f>
        <v>3015</v>
      </c>
      <c r="F100" s="45">
        <f>IF('TBA-Matches'!I100 &lt;&gt; "", 'TBA-Matches'!I100, "")</f>
        <v>694</v>
      </c>
      <c r="G100" s="45">
        <f>IF('TBA-Matches'!J100 &lt;&gt; "", 'TBA-Matches'!J100, "")</f>
        <v>3181</v>
      </c>
      <c r="H100" s="45">
        <f>IF('TBA-Matches'!K100 &lt;&gt; "", 'TBA-Matches'!K100, "")</f>
        <v>10922</v>
      </c>
      <c r="I100" s="45">
        <f>IF('TBA-Matches'!L100 &lt;&gt; "", 'TBA-Matches'!L100, "")</f>
        <v>1787</v>
      </c>
    </row>
    <row r="101" spans="1:9" ht="16" x14ac:dyDescent="0.2">
      <c r="D101" s="45"/>
      <c r="E101" s="45"/>
      <c r="F101" s="45"/>
      <c r="G101" s="45"/>
      <c r="H101" s="45"/>
      <c r="I101" s="45"/>
    </row>
  </sheetData>
  <autoFilter ref="A1:I100" xr:uid="{00000000-0001-0000-0300-000000000000}"/>
  <pageMargins left="0.75" right="0.75" top="1" bottom="1" header="0.5" footer="0.5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3" stopIfTrue="1" id="{B8DDA522-7693-0D45-8E85-2D6024B91D51}">
            <xm:f>IF(VLOOKUP(CONCATENATE($B2, ".", D$1), MatchScoutingData!$A$2:$E$996, 5, FALSE) = D2, FALSE, TRUE)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4" stopIfTrue="1" id="{956939A1-3075-1C4B-BEB8-FFB0EB30E087}">
            <xm:f>COUNTIF(MatchScoutingData!$A$2:$A$996, CONCATENATE($B2,".",D$1)) &gt; 1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15" stopIfTrue="1" id="{BB9C96DB-A2CA-604B-A0CE-63A456AC3801}">
            <xm:f>COUNTIF(MatchScoutingData!$A$2:$A$996, CONCATENATE($B2,".",D$1)) = 1</xm:f>
            <x14:dxf>
              <fill>
                <patternFill>
                  <bgColor theme="6" tint="0.59996337778862885"/>
                </patternFill>
              </fill>
            </x14:dxf>
          </x14:cfRule>
          <xm:sqref>D2:I101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254"/>
  <sheetViews>
    <sheetView zoomScale="150" zoomScaleNormal="150" workbookViewId="0">
      <pane xSplit="1" ySplit="2" topLeftCell="B3" activePane="bottomRight" state="frozen"/>
      <selection pane="topRight"/>
      <selection pane="bottomLeft"/>
      <selection pane="bottomRight" activeCell="A3" sqref="A3"/>
    </sheetView>
  </sheetViews>
  <sheetFormatPr baseColWidth="10" defaultColWidth="8.83203125" defaultRowHeight="15" x14ac:dyDescent="0.2"/>
  <cols>
    <col min="2" max="27" width="6.83203125" customWidth="1"/>
  </cols>
  <sheetData>
    <row r="1" spans="1:27" ht="17" thickBot="1" x14ac:dyDescent="0.25">
      <c r="A1" s="6"/>
      <c r="B1" s="6"/>
      <c r="C1" s="73" t="s">
        <v>46</v>
      </c>
      <c r="D1" s="74"/>
      <c r="E1" s="74"/>
      <c r="F1" s="75" t="s">
        <v>13</v>
      </c>
      <c r="G1" s="76"/>
      <c r="H1" s="76"/>
      <c r="I1" s="76"/>
      <c r="J1" s="76"/>
      <c r="K1" s="76"/>
      <c r="L1" s="76"/>
      <c r="M1" s="77"/>
      <c r="N1" s="62" t="s">
        <v>14</v>
      </c>
      <c r="O1" s="63"/>
      <c r="P1" s="64"/>
      <c r="Q1" s="70" t="s">
        <v>28</v>
      </c>
      <c r="R1" s="71"/>
      <c r="S1" s="71"/>
      <c r="T1" s="71"/>
      <c r="U1" s="71"/>
      <c r="V1" s="72"/>
      <c r="W1" s="54" t="s">
        <v>15</v>
      </c>
      <c r="X1" s="55"/>
      <c r="Y1" s="55"/>
      <c r="Z1" s="55"/>
      <c r="AA1" s="56"/>
    </row>
    <row r="2" spans="1:27" ht="158" thickBot="1" x14ac:dyDescent="0.25">
      <c r="A2" s="10" t="s">
        <v>3</v>
      </c>
      <c r="B2" s="22" t="s">
        <v>29</v>
      </c>
      <c r="C2" s="16" t="s">
        <v>44</v>
      </c>
      <c r="D2" s="17" t="s">
        <v>17</v>
      </c>
      <c r="E2" s="17" t="s">
        <v>18</v>
      </c>
      <c r="F2" s="18" t="s">
        <v>19</v>
      </c>
      <c r="G2" s="19" t="s">
        <v>20</v>
      </c>
      <c r="H2" s="19" t="s">
        <v>45</v>
      </c>
      <c r="I2" s="19" t="s">
        <v>21</v>
      </c>
      <c r="J2" s="19" t="s">
        <v>835</v>
      </c>
      <c r="K2" s="19" t="s">
        <v>836</v>
      </c>
      <c r="L2" s="19" t="s">
        <v>837</v>
      </c>
      <c r="M2" s="19" t="s">
        <v>22</v>
      </c>
      <c r="N2" s="20" t="s">
        <v>23</v>
      </c>
      <c r="O2" s="21" t="s">
        <v>26</v>
      </c>
      <c r="P2" s="21" t="s">
        <v>24</v>
      </c>
      <c r="Q2" s="23" t="s">
        <v>47</v>
      </c>
      <c r="R2" s="24" t="s">
        <v>50</v>
      </c>
      <c r="S2" s="24" t="s">
        <v>48</v>
      </c>
      <c r="T2" s="24" t="s">
        <v>49</v>
      </c>
      <c r="U2" s="24" t="s">
        <v>25</v>
      </c>
      <c r="V2" s="25" t="s">
        <v>27</v>
      </c>
      <c r="W2" s="22" t="s">
        <v>12</v>
      </c>
      <c r="X2" s="26" t="s">
        <v>13</v>
      </c>
      <c r="Y2" s="26" t="s">
        <v>14</v>
      </c>
      <c r="Z2" s="26" t="s">
        <v>28</v>
      </c>
      <c r="AA2" s="27" t="s">
        <v>30</v>
      </c>
    </row>
    <row r="3" spans="1:27" x14ac:dyDescent="0.2">
      <c r="A3" s="78">
        <f>IF('TBA-Teams'!A2 &lt;&gt; "", 'TBA-Teams'!A2, "")</f>
        <v>20</v>
      </c>
      <c r="B3" s="9">
        <f>IF(A3 &lt;&gt; "", COUNTIF(MatchScoutingData!E$2:E$996, $A3), "")</f>
        <v>10</v>
      </c>
      <c r="C3" s="9">
        <f>IF($A3&lt;&gt; "", SUMIF(MatchScoutingData!$E$2:$E$996, $A3, MatchScoutingData!F$2:F$996), "")</f>
        <v>6</v>
      </c>
      <c r="D3" s="9">
        <f>IF($A3&lt;&gt; "", SUMIF(MatchScoutingData!$E$2:$E$996, $A3, MatchScoutingData!G$2:G$996), "")</f>
        <v>-2</v>
      </c>
      <c r="E3" s="9">
        <f>IF($A3&lt;&gt; "", SUMIF(MatchScoutingData!$E$2:$E$996, $A3, MatchScoutingData!H$2:H$996), "")</f>
        <v>29</v>
      </c>
      <c r="F3" s="9">
        <f>IF($A3&lt;&gt; "", SUMIF(MatchScoutingData!$E$2:$E$996, $A3, MatchScoutingData!I$2:I$996), "")</f>
        <v>21</v>
      </c>
      <c r="G3" s="9">
        <f>IF($A3&lt;&gt; "", SUMIF(MatchScoutingData!$E$2:$E$996, $A3, MatchScoutingData!J$2:J$996), "")</f>
        <v>14</v>
      </c>
      <c r="H3" s="9">
        <f>IF($A3&lt;&gt; "", SUMIF(MatchScoutingData!$E$2:$E$996, $A3, MatchScoutingData!K$2:K$996), "")</f>
        <v>33</v>
      </c>
      <c r="I3" s="9">
        <f>IF($A3&lt;&gt; "", SUMIF(MatchScoutingData!$E$2:$E$996, $A3, MatchScoutingData!L$2:L$996), "")</f>
        <v>5</v>
      </c>
      <c r="J3" s="9">
        <f>IF($A3&lt;&gt; "", SUMIF(MatchScoutingData!$E$2:$E$996, $A3, MatchScoutingData!M$2:M$996), "")</f>
        <v>7</v>
      </c>
      <c r="K3" s="9">
        <f>IF($A3&lt;&gt; "", SUMIF(MatchScoutingData!$E$2:$E$996, $A3, MatchScoutingData!N$2:N$996), "")</f>
        <v>4</v>
      </c>
      <c r="L3" s="9">
        <f>IF($A3&lt;&gt; "", SUMIF(MatchScoutingData!$E$2:$E$996, $A3, MatchScoutingData!O$2:O$996), "")</f>
        <v>4</v>
      </c>
      <c r="M3" s="9">
        <f>IF($A3&lt;&gt; "", SUMIF(MatchScoutingData!$E$2:$E$996, $A3, MatchScoutingData!P$2:P$996), "")</f>
        <v>8</v>
      </c>
      <c r="N3" s="9">
        <f>IF($A3&lt;&gt; "", SUMIF(MatchScoutingData!$E$2:$E$996, $A3, MatchScoutingData!Q$2:Q$996), "")</f>
        <v>7</v>
      </c>
      <c r="O3" s="9">
        <f>IF($A3&lt;&gt; "", SUMIF(MatchScoutingData!$E$2:$E$996, $A3, MatchScoutingData!R$2:R$996), "")</f>
        <v>4</v>
      </c>
      <c r="P3" s="9">
        <f>IF($A3&lt;&gt; "", SUMIF(MatchScoutingData!$E$2:$E$996, $A3, MatchScoutingData!S$2:S$996), "")</f>
        <v>12</v>
      </c>
      <c r="Q3" s="9">
        <f>IF($A3&lt;&gt; "", SUMIF(MatchScoutingData!$E$2:$E$996, $A3, MatchScoutingData!T$2:T$996), "")</f>
        <v>-1</v>
      </c>
      <c r="R3" s="9">
        <f>IF($A3&lt;&gt; "", SUMIF(MatchScoutingData!$E$2:$E$996, $A3, MatchScoutingData!U$2:U$996), "")</f>
        <v>4</v>
      </c>
      <c r="S3" s="9">
        <f>IF($A3&lt;&gt; "", SUMIF(MatchScoutingData!$E$2:$E$996, $A3, MatchScoutingData!V$2:V$996), "")</f>
        <v>5</v>
      </c>
      <c r="T3" s="9">
        <f>IF($A3&lt;&gt; "", SUMIF(MatchScoutingData!$E$2:$E$996, $A3, MatchScoutingData!W$2:W$996), "")</f>
        <v>6</v>
      </c>
      <c r="U3" s="9">
        <f>IF($A3&lt;&gt; "", SUMIF(MatchScoutingData!$E$2:$E$996, $A3, MatchScoutingData!X$2:X$996), "")</f>
        <v>2209</v>
      </c>
      <c r="V3" s="9">
        <f>SUM(R3:T3)</f>
        <v>15</v>
      </c>
      <c r="W3" s="9">
        <f>IF($A3&lt;&gt; "", SUM(C3:E3), "")</f>
        <v>33</v>
      </c>
      <c r="X3" s="9">
        <f>IF($A3&lt;&gt; "", SUM(F3:M3), "")</f>
        <v>96</v>
      </c>
      <c r="Y3" s="9">
        <f>IF($A3&lt;&gt; "", SUM(N3:P3), "")</f>
        <v>23</v>
      </c>
      <c r="Z3" s="9">
        <f>IF($A3&lt;&gt; "", SUM(Q3:V3), "")</f>
        <v>2238</v>
      </c>
      <c r="AA3" s="9">
        <f>IF($A3&lt;&gt; "", SUM(C3:V3), "")</f>
        <v>2390</v>
      </c>
    </row>
    <row r="4" spans="1:27" x14ac:dyDescent="0.2">
      <c r="A4" s="78">
        <f>IF('TBA-Teams'!A3 &lt;&gt; "", 'TBA-Teams'!A3, "")</f>
        <v>48</v>
      </c>
      <c r="B4" s="9">
        <f>IF(A4 &lt;&gt; "", COUNTIF(MatchScoutingData!E$2:E$996, $A4), "")</f>
        <v>9</v>
      </c>
      <c r="C4" s="9">
        <f>IF($A4&lt;&gt; "", SUMIF(MatchScoutingData!$E$2:$E$996, $A4, MatchScoutingData!F$2:F$996), "")</f>
        <v>5</v>
      </c>
      <c r="D4" s="9">
        <f>IF($A4&lt;&gt; "", SUMIF(MatchScoutingData!$E$2:$E$996, $A4, MatchScoutingData!G$2:G$996), "")</f>
        <v>-1</v>
      </c>
      <c r="E4" s="9">
        <f>IF($A4&lt;&gt; "", SUMIF(MatchScoutingData!$E$2:$E$996, $A4, MatchScoutingData!H$2:H$996), "")</f>
        <v>25</v>
      </c>
      <c r="F4" s="9">
        <f>IF($A4&lt;&gt; "", SUMIF(MatchScoutingData!$E$2:$E$996, $A4, MatchScoutingData!I$2:I$996), "")</f>
        <v>19</v>
      </c>
      <c r="G4" s="9">
        <f>IF($A4&lt;&gt; "", SUMIF(MatchScoutingData!$E$2:$E$996, $A4, MatchScoutingData!J$2:J$996), "")</f>
        <v>20</v>
      </c>
      <c r="H4" s="9">
        <f>IF($A4&lt;&gt; "", SUMIF(MatchScoutingData!$E$2:$E$996, $A4, MatchScoutingData!K$2:K$996), "")</f>
        <v>24</v>
      </c>
      <c r="I4" s="9">
        <f>IF($A4&lt;&gt; "", SUMIF(MatchScoutingData!$E$2:$E$996, $A4, MatchScoutingData!L$2:L$996), "")</f>
        <v>3</v>
      </c>
      <c r="J4" s="9">
        <f>IF($A4&lt;&gt; "", SUMIF(MatchScoutingData!$E$2:$E$996, $A4, MatchScoutingData!M$2:M$996), "")</f>
        <v>5</v>
      </c>
      <c r="K4" s="9">
        <f>IF($A4&lt;&gt; "", SUMIF(MatchScoutingData!$E$2:$E$996, $A4, MatchScoutingData!N$2:N$996), "")</f>
        <v>3</v>
      </c>
      <c r="L4" s="9">
        <f>IF($A4&lt;&gt; "", SUMIF(MatchScoutingData!$E$2:$E$996, $A4, MatchScoutingData!O$2:O$996), "")</f>
        <v>7</v>
      </c>
      <c r="M4" s="9">
        <f>IF($A4&lt;&gt; "", SUMIF(MatchScoutingData!$E$2:$E$996, $A4, MatchScoutingData!P$2:P$996), "")</f>
        <v>6</v>
      </c>
      <c r="N4" s="9">
        <f>IF($A4&lt;&gt; "", SUMIF(MatchScoutingData!$E$2:$E$996, $A4, MatchScoutingData!Q$2:Q$996), "")</f>
        <v>7</v>
      </c>
      <c r="O4" s="9">
        <f>IF($A4&lt;&gt; "", SUMIF(MatchScoutingData!$E$2:$E$996, $A4, MatchScoutingData!R$2:R$996), "")</f>
        <v>5</v>
      </c>
      <c r="P4" s="9">
        <f>IF($A4&lt;&gt; "", SUMIF(MatchScoutingData!$E$2:$E$996, $A4, MatchScoutingData!S$2:S$996), "")</f>
        <v>14</v>
      </c>
      <c r="Q4" s="9">
        <f>IF($A4&lt;&gt; "", SUMIF(MatchScoutingData!$E$2:$E$996, $A4, MatchScoutingData!T$2:T$996), "")</f>
        <v>2</v>
      </c>
      <c r="R4" s="9">
        <f>IF($A4&lt;&gt; "", SUMIF(MatchScoutingData!$E$2:$E$996, $A4, MatchScoutingData!U$2:U$996), "")</f>
        <v>4</v>
      </c>
      <c r="S4" s="9">
        <f>IF($A4&lt;&gt; "", SUMIF(MatchScoutingData!$E$2:$E$996, $A4, MatchScoutingData!V$2:V$996), "")</f>
        <v>5</v>
      </c>
      <c r="T4" s="9">
        <f>IF($A4&lt;&gt; "", SUMIF(MatchScoutingData!$E$2:$E$996, $A4, MatchScoutingData!W$2:W$996), "")</f>
        <v>6</v>
      </c>
      <c r="U4" s="9">
        <f>IF($A4&lt;&gt; "", SUMIF(MatchScoutingData!$E$2:$E$996, $A4, MatchScoutingData!X$2:X$996), "")</f>
        <v>2331</v>
      </c>
      <c r="V4" s="9">
        <f t="shared" ref="V4:V57" si="0">SUM(R4:T4)</f>
        <v>15</v>
      </c>
      <c r="W4" s="9">
        <f t="shared" ref="W4:W57" si="1">IF($A4&lt;&gt; "", SUM(C4:E4), "")</f>
        <v>29</v>
      </c>
      <c r="X4" s="9">
        <f t="shared" ref="X4:X57" si="2">IF($A4&lt;&gt; "", SUM(F4:M4), "")</f>
        <v>87</v>
      </c>
      <c r="Y4" s="9">
        <f t="shared" ref="Y4:Y57" si="3">IF($A4&lt;&gt; "", SUM(N4:P4), "")</f>
        <v>26</v>
      </c>
      <c r="Z4" s="9">
        <f t="shared" ref="Z4:Z57" si="4">IF($A4&lt;&gt; "", SUM(Q4:V4), "")</f>
        <v>2363</v>
      </c>
      <c r="AA4" s="9">
        <f t="shared" ref="AA4:AA57" si="5">IF($A4&lt;&gt; "", SUM(C4:V4), "")</f>
        <v>2505</v>
      </c>
    </row>
    <row r="5" spans="1:27" x14ac:dyDescent="0.2">
      <c r="A5" s="78">
        <f>IF('TBA-Teams'!A4 &lt;&gt; "", 'TBA-Teams'!A4, "")</f>
        <v>144</v>
      </c>
      <c r="B5" s="9">
        <f>IF(A5 &lt;&gt; "", COUNTIF(MatchScoutingData!E$2:E$996, $A5), "")</f>
        <v>9</v>
      </c>
      <c r="C5" s="9">
        <f>IF($A5&lt;&gt; "", SUMIF(MatchScoutingData!$E$2:$E$996, $A5, MatchScoutingData!F$2:F$996), "")</f>
        <v>7</v>
      </c>
      <c r="D5" s="9">
        <f>IF($A5&lt;&gt; "", SUMIF(MatchScoutingData!$E$2:$E$996, $A5, MatchScoutingData!G$2:G$996), "")</f>
        <v>2</v>
      </c>
      <c r="E5" s="9">
        <f>IF($A5&lt;&gt; "", SUMIF(MatchScoutingData!$E$2:$E$996, $A5, MatchScoutingData!H$2:H$996), "")</f>
        <v>21</v>
      </c>
      <c r="F5" s="9">
        <f>IF($A5&lt;&gt; "", SUMIF(MatchScoutingData!$E$2:$E$996, $A5, MatchScoutingData!I$2:I$996), "")</f>
        <v>15</v>
      </c>
      <c r="G5" s="9">
        <f>IF($A5&lt;&gt; "", SUMIF(MatchScoutingData!$E$2:$E$996, $A5, MatchScoutingData!J$2:J$996), "")</f>
        <v>18</v>
      </c>
      <c r="H5" s="9">
        <f>IF($A5&lt;&gt; "", SUMIF(MatchScoutingData!$E$2:$E$996, $A5, MatchScoutingData!K$2:K$996), "")</f>
        <v>26</v>
      </c>
      <c r="I5" s="9">
        <f>IF($A5&lt;&gt; "", SUMIF(MatchScoutingData!$E$2:$E$996, $A5, MatchScoutingData!L$2:L$996), "")</f>
        <v>4</v>
      </c>
      <c r="J5" s="9">
        <f>IF($A5&lt;&gt; "", SUMIF(MatchScoutingData!$E$2:$E$996, $A5, MatchScoutingData!M$2:M$996), "")</f>
        <v>6</v>
      </c>
      <c r="K5" s="9">
        <f>IF($A5&lt;&gt; "", SUMIF(MatchScoutingData!$E$2:$E$996, $A5, MatchScoutingData!N$2:N$996), "")</f>
        <v>6</v>
      </c>
      <c r="L5" s="9">
        <f>IF($A5&lt;&gt; "", SUMIF(MatchScoutingData!$E$2:$E$996, $A5, MatchScoutingData!O$2:O$996), "")</f>
        <v>5</v>
      </c>
      <c r="M5" s="9">
        <f>IF($A5&lt;&gt; "", SUMIF(MatchScoutingData!$E$2:$E$996, $A5, MatchScoutingData!P$2:P$996), "")</f>
        <v>5</v>
      </c>
      <c r="N5" s="9">
        <f>IF($A5&lt;&gt; "", SUMIF(MatchScoutingData!$E$2:$E$996, $A5, MatchScoutingData!Q$2:Q$996), "")</f>
        <v>3</v>
      </c>
      <c r="O5" s="9">
        <f>IF($A5&lt;&gt; "", SUMIF(MatchScoutingData!$E$2:$E$996, $A5, MatchScoutingData!R$2:R$996), "")</f>
        <v>3</v>
      </c>
      <c r="P5" s="9">
        <f>IF($A5&lt;&gt; "", SUMIF(MatchScoutingData!$E$2:$E$996, $A5, MatchScoutingData!S$2:S$996), "")</f>
        <v>17</v>
      </c>
      <c r="Q5" s="9">
        <f>IF($A5&lt;&gt; "", SUMIF(MatchScoutingData!$E$2:$E$996, $A5, MatchScoutingData!T$2:T$996), "")</f>
        <v>-1</v>
      </c>
      <c r="R5" s="9">
        <f>IF($A5&lt;&gt; "", SUMIF(MatchScoutingData!$E$2:$E$996, $A5, MatchScoutingData!U$2:U$996), "")</f>
        <v>5</v>
      </c>
      <c r="S5" s="9">
        <f>IF($A5&lt;&gt; "", SUMIF(MatchScoutingData!$E$2:$E$996, $A5, MatchScoutingData!V$2:V$996), "")</f>
        <v>5</v>
      </c>
      <c r="T5" s="9">
        <f>IF($A5&lt;&gt; "", SUMIF(MatchScoutingData!$E$2:$E$996, $A5, MatchScoutingData!W$2:W$996), "")</f>
        <v>4</v>
      </c>
      <c r="U5" s="9">
        <f>IF($A5&lt;&gt; "", SUMIF(MatchScoutingData!$E$2:$E$996, $A5, MatchScoutingData!X$2:X$996), "")</f>
        <v>1905</v>
      </c>
      <c r="V5" s="9">
        <f t="shared" si="0"/>
        <v>14</v>
      </c>
      <c r="W5" s="9">
        <f t="shared" si="1"/>
        <v>30</v>
      </c>
      <c r="X5" s="9">
        <f t="shared" si="2"/>
        <v>85</v>
      </c>
      <c r="Y5" s="9">
        <f t="shared" si="3"/>
        <v>23</v>
      </c>
      <c r="Z5" s="9">
        <f t="shared" si="4"/>
        <v>1932</v>
      </c>
      <c r="AA5" s="9">
        <f t="shared" si="5"/>
        <v>2070</v>
      </c>
    </row>
    <row r="6" spans="1:27" x14ac:dyDescent="0.2">
      <c r="A6" s="78">
        <f>IF('TBA-Teams'!A5 &lt;&gt; "", 'TBA-Teams'!A5, "")</f>
        <v>191</v>
      </c>
      <c r="B6" s="9">
        <f>IF(A6 &lt;&gt; "", COUNTIF(MatchScoutingData!E$2:E$996, $A6), "")</f>
        <v>9</v>
      </c>
      <c r="C6" s="9">
        <f>IF($A6&lt;&gt; "", SUMIF(MatchScoutingData!$E$2:$E$996, $A6, MatchScoutingData!F$2:F$996), "")</f>
        <v>2</v>
      </c>
      <c r="D6" s="9">
        <f>IF($A6&lt;&gt; "", SUMIF(MatchScoutingData!$E$2:$E$996, $A6, MatchScoutingData!G$2:G$996), "")</f>
        <v>-1</v>
      </c>
      <c r="E6" s="9">
        <f>IF($A6&lt;&gt; "", SUMIF(MatchScoutingData!$E$2:$E$996, $A6, MatchScoutingData!H$2:H$996), "")</f>
        <v>29</v>
      </c>
      <c r="F6" s="9">
        <f>IF($A6&lt;&gt; "", SUMIF(MatchScoutingData!$E$2:$E$996, $A6, MatchScoutingData!I$2:I$996), "")</f>
        <v>23</v>
      </c>
      <c r="G6" s="9">
        <f>IF($A6&lt;&gt; "", SUMIF(MatchScoutingData!$E$2:$E$996, $A6, MatchScoutingData!J$2:J$996), "")</f>
        <v>16</v>
      </c>
      <c r="H6" s="9">
        <f>IF($A6&lt;&gt; "", SUMIF(MatchScoutingData!$E$2:$E$996, $A6, MatchScoutingData!K$2:K$996), "")</f>
        <v>24</v>
      </c>
      <c r="I6" s="9">
        <f>IF($A6&lt;&gt; "", SUMIF(MatchScoutingData!$E$2:$E$996, $A6, MatchScoutingData!L$2:L$996), "")</f>
        <v>1</v>
      </c>
      <c r="J6" s="9">
        <f>IF($A6&lt;&gt; "", SUMIF(MatchScoutingData!$E$2:$E$996, $A6, MatchScoutingData!M$2:M$996), "")</f>
        <v>4</v>
      </c>
      <c r="K6" s="9">
        <f>IF($A6&lt;&gt; "", SUMIF(MatchScoutingData!$E$2:$E$996, $A6, MatchScoutingData!N$2:N$996), "")</f>
        <v>4</v>
      </c>
      <c r="L6" s="9">
        <f>IF($A6&lt;&gt; "", SUMIF(MatchScoutingData!$E$2:$E$996, $A6, MatchScoutingData!O$2:O$996), "")</f>
        <v>4</v>
      </c>
      <c r="M6" s="9">
        <f>IF($A6&lt;&gt; "", SUMIF(MatchScoutingData!$E$2:$E$996, $A6, MatchScoutingData!P$2:P$996), "")</f>
        <v>6</v>
      </c>
      <c r="N6" s="9">
        <f>IF($A6&lt;&gt; "", SUMIF(MatchScoutingData!$E$2:$E$996, $A6, MatchScoutingData!Q$2:Q$996), "")</f>
        <v>5</v>
      </c>
      <c r="O6" s="9">
        <f>IF($A6&lt;&gt; "", SUMIF(MatchScoutingData!$E$2:$E$996, $A6, MatchScoutingData!R$2:R$996), "")</f>
        <v>8</v>
      </c>
      <c r="P6" s="9">
        <f>IF($A6&lt;&gt; "", SUMIF(MatchScoutingData!$E$2:$E$996, $A6, MatchScoutingData!S$2:S$996), "")</f>
        <v>22</v>
      </c>
      <c r="Q6" s="9">
        <f>IF($A6&lt;&gt; "", SUMIF(MatchScoutingData!$E$2:$E$996, $A6, MatchScoutingData!T$2:T$996), "")</f>
        <v>1</v>
      </c>
      <c r="R6" s="9">
        <f>IF($A6&lt;&gt; "", SUMIF(MatchScoutingData!$E$2:$E$996, $A6, MatchScoutingData!U$2:U$996), "")</f>
        <v>5</v>
      </c>
      <c r="S6" s="9">
        <f>IF($A6&lt;&gt; "", SUMIF(MatchScoutingData!$E$2:$E$996, $A6, MatchScoutingData!V$2:V$996), "")</f>
        <v>4</v>
      </c>
      <c r="T6" s="9">
        <f>IF($A6&lt;&gt; "", SUMIF(MatchScoutingData!$E$2:$E$996, $A6, MatchScoutingData!W$2:W$996), "")</f>
        <v>5</v>
      </c>
      <c r="U6" s="9">
        <f>IF($A6&lt;&gt; "", SUMIF(MatchScoutingData!$E$2:$E$996, $A6, MatchScoutingData!X$2:X$996), "")</f>
        <v>2242</v>
      </c>
      <c r="V6" s="9">
        <f t="shared" si="0"/>
        <v>14</v>
      </c>
      <c r="W6" s="9">
        <f t="shared" si="1"/>
        <v>30</v>
      </c>
      <c r="X6" s="9">
        <f t="shared" si="2"/>
        <v>82</v>
      </c>
      <c r="Y6" s="9">
        <f t="shared" si="3"/>
        <v>35</v>
      </c>
      <c r="Z6" s="9">
        <f t="shared" si="4"/>
        <v>2271</v>
      </c>
      <c r="AA6" s="9">
        <f t="shared" si="5"/>
        <v>2418</v>
      </c>
    </row>
    <row r="7" spans="1:27" x14ac:dyDescent="0.2">
      <c r="A7" s="78">
        <f>IF('TBA-Teams'!A6 &lt;&gt; "", 'TBA-Teams'!A6, "")</f>
        <v>271</v>
      </c>
      <c r="B7" s="9">
        <f>IF(A7 &lt;&gt; "", COUNTIF(MatchScoutingData!E$2:E$996, $A7), "")</f>
        <v>9</v>
      </c>
      <c r="C7" s="9">
        <f>IF($A7&lt;&gt; "", SUMIF(MatchScoutingData!$E$2:$E$996, $A7, MatchScoutingData!F$2:F$996), "")</f>
        <v>4</v>
      </c>
      <c r="D7" s="9">
        <f>IF($A7&lt;&gt; "", SUMIF(MatchScoutingData!$E$2:$E$996, $A7, MatchScoutingData!G$2:G$996), "")</f>
        <v>0</v>
      </c>
      <c r="E7" s="9">
        <f>IF($A7&lt;&gt; "", SUMIF(MatchScoutingData!$E$2:$E$996, $A7, MatchScoutingData!H$2:H$996), "")</f>
        <v>21</v>
      </c>
      <c r="F7" s="9">
        <f>IF($A7&lt;&gt; "", SUMIF(MatchScoutingData!$E$2:$E$996, $A7, MatchScoutingData!I$2:I$996), "")</f>
        <v>15</v>
      </c>
      <c r="G7" s="9">
        <f>IF($A7&lt;&gt; "", SUMIF(MatchScoutingData!$E$2:$E$996, $A7, MatchScoutingData!J$2:J$996), "")</f>
        <v>16</v>
      </c>
      <c r="H7" s="9">
        <f>IF($A7&lt;&gt; "", SUMIF(MatchScoutingData!$E$2:$E$996, $A7, MatchScoutingData!K$2:K$996), "")</f>
        <v>31</v>
      </c>
      <c r="I7" s="9">
        <f>IF($A7&lt;&gt; "", SUMIF(MatchScoutingData!$E$2:$E$996, $A7, MatchScoutingData!L$2:L$996), "")</f>
        <v>4</v>
      </c>
      <c r="J7" s="9">
        <f>IF($A7&lt;&gt; "", SUMIF(MatchScoutingData!$E$2:$E$996, $A7, MatchScoutingData!M$2:M$996), "")</f>
        <v>4</v>
      </c>
      <c r="K7" s="9">
        <f>IF($A7&lt;&gt; "", SUMIF(MatchScoutingData!$E$2:$E$996, $A7, MatchScoutingData!N$2:N$996), "")</f>
        <v>5</v>
      </c>
      <c r="L7" s="9">
        <f>IF($A7&lt;&gt; "", SUMIF(MatchScoutingData!$E$2:$E$996, $A7, MatchScoutingData!O$2:O$996), "")</f>
        <v>4</v>
      </c>
      <c r="M7" s="9">
        <f>IF($A7&lt;&gt; "", SUMIF(MatchScoutingData!$E$2:$E$996, $A7, MatchScoutingData!P$2:P$996), "")</f>
        <v>0</v>
      </c>
      <c r="N7" s="9">
        <f>IF($A7&lt;&gt; "", SUMIF(MatchScoutingData!$E$2:$E$996, $A7, MatchScoutingData!Q$2:Q$996), "")</f>
        <v>6</v>
      </c>
      <c r="O7" s="9">
        <f>IF($A7&lt;&gt; "", SUMIF(MatchScoutingData!$E$2:$E$996, $A7, MatchScoutingData!R$2:R$996), "")</f>
        <v>5</v>
      </c>
      <c r="P7" s="9">
        <f>IF($A7&lt;&gt; "", SUMIF(MatchScoutingData!$E$2:$E$996, $A7, MatchScoutingData!S$2:S$996), "")</f>
        <v>18</v>
      </c>
      <c r="Q7" s="9">
        <f>IF($A7&lt;&gt; "", SUMIF(MatchScoutingData!$E$2:$E$996, $A7, MatchScoutingData!T$2:T$996), "")</f>
        <v>1</v>
      </c>
      <c r="R7" s="9">
        <f>IF($A7&lt;&gt; "", SUMIF(MatchScoutingData!$E$2:$E$996, $A7, MatchScoutingData!U$2:U$996), "")</f>
        <v>6</v>
      </c>
      <c r="S7" s="9">
        <f>IF($A7&lt;&gt; "", SUMIF(MatchScoutingData!$E$2:$E$996, $A7, MatchScoutingData!V$2:V$996), "")</f>
        <v>4</v>
      </c>
      <c r="T7" s="9">
        <f>IF($A7&lt;&gt; "", SUMIF(MatchScoutingData!$E$2:$E$996, $A7, MatchScoutingData!W$2:W$996), "")</f>
        <v>4</v>
      </c>
      <c r="U7" s="9">
        <f>IF($A7&lt;&gt; "", SUMIF(MatchScoutingData!$E$2:$E$996, $A7, MatchScoutingData!X$2:X$996), "")</f>
        <v>2467</v>
      </c>
      <c r="V7" s="9">
        <f t="shared" si="0"/>
        <v>14</v>
      </c>
      <c r="W7" s="9">
        <f t="shared" si="1"/>
        <v>25</v>
      </c>
      <c r="X7" s="9">
        <f t="shared" si="2"/>
        <v>79</v>
      </c>
      <c r="Y7" s="9">
        <f t="shared" si="3"/>
        <v>29</v>
      </c>
      <c r="Z7" s="9">
        <f t="shared" si="4"/>
        <v>2496</v>
      </c>
      <c r="AA7" s="9">
        <f t="shared" si="5"/>
        <v>2629</v>
      </c>
    </row>
    <row r="8" spans="1:27" x14ac:dyDescent="0.2">
      <c r="A8" s="78">
        <f>IF('TBA-Teams'!A7 &lt;&gt; "", 'TBA-Teams'!A7, "")</f>
        <v>325</v>
      </c>
      <c r="B8" s="9">
        <f>IF(A8 &lt;&gt; "", COUNTIF(MatchScoutingData!E$2:E$996, $A8), "")</f>
        <v>9</v>
      </c>
      <c r="C8" s="9">
        <f>IF($A8&lt;&gt; "", SUMIF(MatchScoutingData!$E$2:$E$996, $A8, MatchScoutingData!F$2:F$996), "")</f>
        <v>6</v>
      </c>
      <c r="D8" s="9">
        <f>IF($A8&lt;&gt; "", SUMIF(MatchScoutingData!$E$2:$E$996, $A8, MatchScoutingData!G$2:G$996), "")</f>
        <v>1</v>
      </c>
      <c r="E8" s="9">
        <f>IF($A8&lt;&gt; "", SUMIF(MatchScoutingData!$E$2:$E$996, $A8, MatchScoutingData!H$2:H$996), "")</f>
        <v>25</v>
      </c>
      <c r="F8" s="9">
        <f>IF($A8&lt;&gt; "", SUMIF(MatchScoutingData!$E$2:$E$996, $A8, MatchScoutingData!I$2:I$996), "")</f>
        <v>15</v>
      </c>
      <c r="G8" s="9">
        <f>IF($A8&lt;&gt; "", SUMIF(MatchScoutingData!$E$2:$E$996, $A8, MatchScoutingData!J$2:J$996), "")</f>
        <v>19</v>
      </c>
      <c r="H8" s="9">
        <f>IF($A8&lt;&gt; "", SUMIF(MatchScoutingData!$E$2:$E$996, $A8, MatchScoutingData!K$2:K$996), "")</f>
        <v>28</v>
      </c>
      <c r="I8" s="9">
        <f>IF($A8&lt;&gt; "", SUMIF(MatchScoutingData!$E$2:$E$996, $A8, MatchScoutingData!L$2:L$996), "")</f>
        <v>2</v>
      </c>
      <c r="J8" s="9">
        <f>IF($A8&lt;&gt; "", SUMIF(MatchScoutingData!$E$2:$E$996, $A8, MatchScoutingData!M$2:M$996), "")</f>
        <v>6</v>
      </c>
      <c r="K8" s="9">
        <f>IF($A8&lt;&gt; "", SUMIF(MatchScoutingData!$E$2:$E$996, $A8, MatchScoutingData!N$2:N$996), "")</f>
        <v>2</v>
      </c>
      <c r="L8" s="9">
        <f>IF($A8&lt;&gt; "", SUMIF(MatchScoutingData!$E$2:$E$996, $A8, MatchScoutingData!O$2:O$996), "")</f>
        <v>3</v>
      </c>
      <c r="M8" s="9">
        <f>IF($A8&lt;&gt; "", SUMIF(MatchScoutingData!$E$2:$E$996, $A8, MatchScoutingData!P$2:P$996), "")</f>
        <v>8</v>
      </c>
      <c r="N8" s="9">
        <f>IF($A8&lt;&gt; "", SUMIF(MatchScoutingData!$E$2:$E$996, $A8, MatchScoutingData!Q$2:Q$996), "")</f>
        <v>5</v>
      </c>
      <c r="O8" s="9">
        <f>IF($A8&lt;&gt; "", SUMIF(MatchScoutingData!$E$2:$E$996, $A8, MatchScoutingData!R$2:R$996), "")</f>
        <v>4</v>
      </c>
      <c r="P8" s="9">
        <f>IF($A8&lt;&gt; "", SUMIF(MatchScoutingData!$E$2:$E$996, $A8, MatchScoutingData!S$2:S$996), "")</f>
        <v>11</v>
      </c>
      <c r="Q8" s="9">
        <f>IF($A8&lt;&gt; "", SUMIF(MatchScoutingData!$E$2:$E$996, $A8, MatchScoutingData!T$2:T$996), "")</f>
        <v>5</v>
      </c>
      <c r="R8" s="9">
        <f>IF($A8&lt;&gt; "", SUMIF(MatchScoutingData!$E$2:$E$996, $A8, MatchScoutingData!U$2:U$996), "")</f>
        <v>5</v>
      </c>
      <c r="S8" s="9">
        <f>IF($A8&lt;&gt; "", SUMIF(MatchScoutingData!$E$2:$E$996, $A8, MatchScoutingData!V$2:V$996), "")</f>
        <v>3</v>
      </c>
      <c r="T8" s="9">
        <f>IF($A8&lt;&gt; "", SUMIF(MatchScoutingData!$E$2:$E$996, $A8, MatchScoutingData!W$2:W$996), "")</f>
        <v>5</v>
      </c>
      <c r="U8" s="9">
        <f>IF($A8&lt;&gt; "", SUMIF(MatchScoutingData!$E$2:$E$996, $A8, MatchScoutingData!X$2:X$996), "")</f>
        <v>1807</v>
      </c>
      <c r="V8" s="9">
        <f t="shared" si="0"/>
        <v>13</v>
      </c>
      <c r="W8" s="9">
        <f t="shared" si="1"/>
        <v>32</v>
      </c>
      <c r="X8" s="9">
        <f t="shared" si="2"/>
        <v>83</v>
      </c>
      <c r="Y8" s="9">
        <f t="shared" si="3"/>
        <v>20</v>
      </c>
      <c r="Z8" s="9">
        <f t="shared" si="4"/>
        <v>1838</v>
      </c>
      <c r="AA8" s="9">
        <f t="shared" si="5"/>
        <v>1973</v>
      </c>
    </row>
    <row r="9" spans="1:27" x14ac:dyDescent="0.2">
      <c r="A9" s="78">
        <f>IF('TBA-Teams'!A8 &lt;&gt; "", 'TBA-Teams'!A8, "")</f>
        <v>340</v>
      </c>
      <c r="B9" s="9">
        <f>IF(A9 &lt;&gt; "", COUNTIF(MatchScoutingData!E$2:E$996, $A9), "")</f>
        <v>9</v>
      </c>
      <c r="C9" s="9">
        <f>IF($A9&lt;&gt; "", SUMIF(MatchScoutingData!$E$2:$E$996, $A9, MatchScoutingData!F$2:F$996), "")</f>
        <v>7</v>
      </c>
      <c r="D9" s="9">
        <f>IF($A9&lt;&gt; "", SUMIF(MatchScoutingData!$E$2:$E$996, $A9, MatchScoutingData!G$2:G$996), "")</f>
        <v>-1</v>
      </c>
      <c r="E9" s="9">
        <f>IF($A9&lt;&gt; "", SUMIF(MatchScoutingData!$E$2:$E$996, $A9, MatchScoutingData!H$2:H$996), "")</f>
        <v>28</v>
      </c>
      <c r="F9" s="9">
        <f>IF($A9&lt;&gt; "", SUMIF(MatchScoutingData!$E$2:$E$996, $A9, MatchScoutingData!I$2:I$996), "")</f>
        <v>21</v>
      </c>
      <c r="G9" s="9">
        <f>IF($A9&lt;&gt; "", SUMIF(MatchScoutingData!$E$2:$E$996, $A9, MatchScoutingData!J$2:J$996), "")</f>
        <v>23</v>
      </c>
      <c r="H9" s="9">
        <f>IF($A9&lt;&gt; "", SUMIF(MatchScoutingData!$E$2:$E$996, $A9, MatchScoutingData!K$2:K$996), "")</f>
        <v>25</v>
      </c>
      <c r="I9" s="9">
        <f>IF($A9&lt;&gt; "", SUMIF(MatchScoutingData!$E$2:$E$996, $A9, MatchScoutingData!L$2:L$996), "")</f>
        <v>7</v>
      </c>
      <c r="J9" s="9">
        <f>IF($A9&lt;&gt; "", SUMIF(MatchScoutingData!$E$2:$E$996, $A9, MatchScoutingData!M$2:M$996), "")</f>
        <v>3</v>
      </c>
      <c r="K9" s="9">
        <f>IF($A9&lt;&gt; "", SUMIF(MatchScoutingData!$E$2:$E$996, $A9, MatchScoutingData!N$2:N$996), "")</f>
        <v>3</v>
      </c>
      <c r="L9" s="9">
        <f>IF($A9&lt;&gt; "", SUMIF(MatchScoutingData!$E$2:$E$996, $A9, MatchScoutingData!O$2:O$996), "")</f>
        <v>5</v>
      </c>
      <c r="M9" s="9">
        <f>IF($A9&lt;&gt; "", SUMIF(MatchScoutingData!$E$2:$E$996, $A9, MatchScoutingData!P$2:P$996), "")</f>
        <v>7</v>
      </c>
      <c r="N9" s="9">
        <f>IF($A9&lt;&gt; "", SUMIF(MatchScoutingData!$E$2:$E$996, $A9, MatchScoutingData!Q$2:Q$996), "")</f>
        <v>6</v>
      </c>
      <c r="O9" s="9">
        <f>IF($A9&lt;&gt; "", SUMIF(MatchScoutingData!$E$2:$E$996, $A9, MatchScoutingData!R$2:R$996), "")</f>
        <v>3</v>
      </c>
      <c r="P9" s="9">
        <f>IF($A9&lt;&gt; "", SUMIF(MatchScoutingData!$E$2:$E$996, $A9, MatchScoutingData!S$2:S$996), "")</f>
        <v>19</v>
      </c>
      <c r="Q9" s="9">
        <f>IF($A9&lt;&gt; "", SUMIF(MatchScoutingData!$E$2:$E$996, $A9, MatchScoutingData!T$2:T$996), "")</f>
        <v>2</v>
      </c>
      <c r="R9" s="9">
        <f>IF($A9&lt;&gt; "", SUMIF(MatchScoutingData!$E$2:$E$996, $A9, MatchScoutingData!U$2:U$996), "")</f>
        <v>4</v>
      </c>
      <c r="S9" s="9">
        <f>IF($A9&lt;&gt; "", SUMIF(MatchScoutingData!$E$2:$E$996, $A9, MatchScoutingData!V$2:V$996), "")</f>
        <v>5</v>
      </c>
      <c r="T9" s="9">
        <f>IF($A9&lt;&gt; "", SUMIF(MatchScoutingData!$E$2:$E$996, $A9, MatchScoutingData!W$2:W$996), "")</f>
        <v>3</v>
      </c>
      <c r="U9" s="9">
        <f>IF($A9&lt;&gt; "", SUMIF(MatchScoutingData!$E$2:$E$996, $A9, MatchScoutingData!X$2:X$996), "")</f>
        <v>3109</v>
      </c>
      <c r="V9" s="9">
        <f t="shared" si="0"/>
        <v>12</v>
      </c>
      <c r="W9" s="9">
        <f t="shared" si="1"/>
        <v>34</v>
      </c>
      <c r="X9" s="9">
        <f t="shared" si="2"/>
        <v>94</v>
      </c>
      <c r="Y9" s="9">
        <f t="shared" si="3"/>
        <v>28</v>
      </c>
      <c r="Z9" s="9">
        <f t="shared" si="4"/>
        <v>3135</v>
      </c>
      <c r="AA9" s="9">
        <f t="shared" si="5"/>
        <v>3291</v>
      </c>
    </row>
    <row r="10" spans="1:27" x14ac:dyDescent="0.2">
      <c r="A10" s="78">
        <f>IF('TBA-Teams'!A9 &lt;&gt; "", 'TBA-Teams'!A9, "")</f>
        <v>353</v>
      </c>
      <c r="B10" s="9">
        <f>IF(A10 &lt;&gt; "", COUNTIF(MatchScoutingData!E$2:E$996, $A10), "")</f>
        <v>9</v>
      </c>
      <c r="C10" s="9">
        <f>IF($A10&lt;&gt; "", SUMIF(MatchScoutingData!$E$2:$E$996, $A10, MatchScoutingData!F$2:F$996), "")</f>
        <v>5</v>
      </c>
      <c r="D10" s="9">
        <f>IF($A10&lt;&gt; "", SUMIF(MatchScoutingData!$E$2:$E$996, $A10, MatchScoutingData!G$2:G$996), "")</f>
        <v>-3</v>
      </c>
      <c r="E10" s="9">
        <f>IF($A10&lt;&gt; "", SUMIF(MatchScoutingData!$E$2:$E$996, $A10, MatchScoutingData!H$2:H$996), "")</f>
        <v>26</v>
      </c>
      <c r="F10" s="9">
        <f>IF($A10&lt;&gt; "", SUMIF(MatchScoutingData!$E$2:$E$996, $A10, MatchScoutingData!I$2:I$996), "")</f>
        <v>19</v>
      </c>
      <c r="G10" s="9">
        <f>IF($A10&lt;&gt; "", SUMIF(MatchScoutingData!$E$2:$E$996, $A10, MatchScoutingData!J$2:J$996), "")</f>
        <v>15</v>
      </c>
      <c r="H10" s="9">
        <f>IF($A10&lt;&gt; "", SUMIF(MatchScoutingData!$E$2:$E$996, $A10, MatchScoutingData!K$2:K$996), "")</f>
        <v>25</v>
      </c>
      <c r="I10" s="9">
        <f>IF($A10&lt;&gt; "", SUMIF(MatchScoutingData!$E$2:$E$996, $A10, MatchScoutingData!L$2:L$996), "")</f>
        <v>5</v>
      </c>
      <c r="J10" s="9">
        <f>IF($A10&lt;&gt; "", SUMIF(MatchScoutingData!$E$2:$E$996, $A10, MatchScoutingData!M$2:M$996), "")</f>
        <v>3</v>
      </c>
      <c r="K10" s="9">
        <f>IF($A10&lt;&gt; "", SUMIF(MatchScoutingData!$E$2:$E$996, $A10, MatchScoutingData!N$2:N$996), "")</f>
        <v>6</v>
      </c>
      <c r="L10" s="9">
        <f>IF($A10&lt;&gt; "", SUMIF(MatchScoutingData!$E$2:$E$996, $A10, MatchScoutingData!O$2:O$996), "")</f>
        <v>5</v>
      </c>
      <c r="M10" s="9">
        <f>IF($A10&lt;&gt; "", SUMIF(MatchScoutingData!$E$2:$E$996, $A10, MatchScoutingData!P$2:P$996), "")</f>
        <v>5</v>
      </c>
      <c r="N10" s="9">
        <f>IF($A10&lt;&gt; "", SUMIF(MatchScoutingData!$E$2:$E$996, $A10, MatchScoutingData!Q$2:Q$996), "")</f>
        <v>6</v>
      </c>
      <c r="O10" s="9">
        <f>IF($A10&lt;&gt; "", SUMIF(MatchScoutingData!$E$2:$E$996, $A10, MatchScoutingData!R$2:R$996), "")</f>
        <v>4</v>
      </c>
      <c r="P10" s="9">
        <f>IF($A10&lt;&gt; "", SUMIF(MatchScoutingData!$E$2:$E$996, $A10, MatchScoutingData!S$2:S$996), "")</f>
        <v>19</v>
      </c>
      <c r="Q10" s="9">
        <f>IF($A10&lt;&gt; "", SUMIF(MatchScoutingData!$E$2:$E$996, $A10, MatchScoutingData!T$2:T$996), "")</f>
        <v>-2</v>
      </c>
      <c r="R10" s="9">
        <f>IF($A10&lt;&gt; "", SUMIF(MatchScoutingData!$E$2:$E$996, $A10, MatchScoutingData!U$2:U$996), "")</f>
        <v>3</v>
      </c>
      <c r="S10" s="9">
        <f>IF($A10&lt;&gt; "", SUMIF(MatchScoutingData!$E$2:$E$996, $A10, MatchScoutingData!V$2:V$996), "")</f>
        <v>6</v>
      </c>
      <c r="T10" s="9">
        <f>IF($A10&lt;&gt; "", SUMIF(MatchScoutingData!$E$2:$E$996, $A10, MatchScoutingData!W$2:W$996), "")</f>
        <v>7</v>
      </c>
      <c r="U10" s="9">
        <f>IF($A10&lt;&gt; "", SUMIF(MatchScoutingData!$E$2:$E$996, $A10, MatchScoutingData!X$2:X$996), "")</f>
        <v>2322</v>
      </c>
      <c r="V10" s="9">
        <f t="shared" si="0"/>
        <v>16</v>
      </c>
      <c r="W10" s="9">
        <f t="shared" si="1"/>
        <v>28</v>
      </c>
      <c r="X10" s="9">
        <f t="shared" si="2"/>
        <v>83</v>
      </c>
      <c r="Y10" s="9">
        <f t="shared" si="3"/>
        <v>29</v>
      </c>
      <c r="Z10" s="9">
        <f t="shared" si="4"/>
        <v>2352</v>
      </c>
      <c r="AA10" s="9">
        <f t="shared" si="5"/>
        <v>2492</v>
      </c>
    </row>
    <row r="11" spans="1:27" x14ac:dyDescent="0.2">
      <c r="A11" s="78">
        <f>IF('TBA-Teams'!A10 &lt;&gt; "", 'TBA-Teams'!A10, "")</f>
        <v>378</v>
      </c>
      <c r="B11" s="9">
        <f>IF(A11 &lt;&gt; "", COUNTIF(MatchScoutingData!E$2:E$996, $A11), "")</f>
        <v>9</v>
      </c>
      <c r="C11" s="9">
        <f>IF($A11&lt;&gt; "", SUMIF(MatchScoutingData!$E$2:$E$996, $A11, MatchScoutingData!F$2:F$996), "")</f>
        <v>3</v>
      </c>
      <c r="D11" s="9">
        <f>IF($A11&lt;&gt; "", SUMIF(MatchScoutingData!$E$2:$E$996, $A11, MatchScoutingData!G$2:G$996), "")</f>
        <v>-1</v>
      </c>
      <c r="E11" s="9">
        <f>IF($A11&lt;&gt; "", SUMIF(MatchScoutingData!$E$2:$E$996, $A11, MatchScoutingData!H$2:H$996), "")</f>
        <v>33</v>
      </c>
      <c r="F11" s="9">
        <f>IF($A11&lt;&gt; "", SUMIF(MatchScoutingData!$E$2:$E$996, $A11, MatchScoutingData!I$2:I$996), "")</f>
        <v>19</v>
      </c>
      <c r="G11" s="9">
        <f>IF($A11&lt;&gt; "", SUMIF(MatchScoutingData!$E$2:$E$996, $A11, MatchScoutingData!J$2:J$996), "")</f>
        <v>19</v>
      </c>
      <c r="H11" s="9">
        <f>IF($A11&lt;&gt; "", SUMIF(MatchScoutingData!$E$2:$E$996, $A11, MatchScoutingData!K$2:K$996), "")</f>
        <v>27</v>
      </c>
      <c r="I11" s="9">
        <f>IF($A11&lt;&gt; "", SUMIF(MatchScoutingData!$E$2:$E$996, $A11, MatchScoutingData!L$2:L$996), "")</f>
        <v>6</v>
      </c>
      <c r="J11" s="9">
        <f>IF($A11&lt;&gt; "", SUMIF(MatchScoutingData!$E$2:$E$996, $A11, MatchScoutingData!M$2:M$996), "")</f>
        <v>7</v>
      </c>
      <c r="K11" s="9">
        <f>IF($A11&lt;&gt; "", SUMIF(MatchScoutingData!$E$2:$E$996, $A11, MatchScoutingData!N$2:N$996), "")</f>
        <v>5</v>
      </c>
      <c r="L11" s="9">
        <f>IF($A11&lt;&gt; "", SUMIF(MatchScoutingData!$E$2:$E$996, $A11, MatchScoutingData!O$2:O$996), "")</f>
        <v>5</v>
      </c>
      <c r="M11" s="9">
        <f>IF($A11&lt;&gt; "", SUMIF(MatchScoutingData!$E$2:$E$996, $A11, MatchScoutingData!P$2:P$996), "")</f>
        <v>3</v>
      </c>
      <c r="N11" s="9">
        <f>IF($A11&lt;&gt; "", SUMIF(MatchScoutingData!$E$2:$E$996, $A11, MatchScoutingData!Q$2:Q$996), "")</f>
        <v>5</v>
      </c>
      <c r="O11" s="9">
        <f>IF($A11&lt;&gt; "", SUMIF(MatchScoutingData!$E$2:$E$996, $A11, MatchScoutingData!R$2:R$996), "")</f>
        <v>7</v>
      </c>
      <c r="P11" s="9">
        <f>IF($A11&lt;&gt; "", SUMIF(MatchScoutingData!$E$2:$E$996, $A11, MatchScoutingData!S$2:S$996), "")</f>
        <v>9</v>
      </c>
      <c r="Q11" s="9">
        <f>IF($A11&lt;&gt; "", SUMIF(MatchScoutingData!$E$2:$E$996, $A11, MatchScoutingData!T$2:T$996), "")</f>
        <v>0</v>
      </c>
      <c r="R11" s="9">
        <f>IF($A11&lt;&gt; "", SUMIF(MatchScoutingData!$E$2:$E$996, $A11, MatchScoutingData!U$2:U$996), "")</f>
        <v>4</v>
      </c>
      <c r="S11" s="9">
        <f>IF($A11&lt;&gt; "", SUMIF(MatchScoutingData!$E$2:$E$996, $A11, MatchScoutingData!V$2:V$996), "")</f>
        <v>4</v>
      </c>
      <c r="T11" s="9">
        <f>IF($A11&lt;&gt; "", SUMIF(MatchScoutingData!$E$2:$E$996, $A11, MatchScoutingData!W$2:W$996), "")</f>
        <v>3</v>
      </c>
      <c r="U11" s="9">
        <f>IF($A11&lt;&gt; "", SUMIF(MatchScoutingData!$E$2:$E$996, $A11, MatchScoutingData!X$2:X$996), "")</f>
        <v>2516</v>
      </c>
      <c r="V11" s="9">
        <f t="shared" si="0"/>
        <v>11</v>
      </c>
      <c r="W11" s="9">
        <f t="shared" si="1"/>
        <v>35</v>
      </c>
      <c r="X11" s="9">
        <f t="shared" si="2"/>
        <v>91</v>
      </c>
      <c r="Y11" s="9">
        <f t="shared" si="3"/>
        <v>21</v>
      </c>
      <c r="Z11" s="9">
        <f t="shared" si="4"/>
        <v>2538</v>
      </c>
      <c r="AA11" s="9">
        <f t="shared" si="5"/>
        <v>2685</v>
      </c>
    </row>
    <row r="12" spans="1:27" x14ac:dyDescent="0.2">
      <c r="A12" s="78">
        <f>IF('TBA-Teams'!A11 &lt;&gt; "", 'TBA-Teams'!A11, "")</f>
        <v>424</v>
      </c>
      <c r="B12" s="9">
        <f>IF(A12 &lt;&gt; "", COUNTIF(MatchScoutingData!E$2:E$996, $A12), "")</f>
        <v>9</v>
      </c>
      <c r="C12" s="9">
        <f>IF($A12&lt;&gt; "", SUMIF(MatchScoutingData!$E$2:$E$996, $A12, MatchScoutingData!F$2:F$996), "")</f>
        <v>5</v>
      </c>
      <c r="D12" s="9">
        <f>IF($A12&lt;&gt; "", SUMIF(MatchScoutingData!$E$2:$E$996, $A12, MatchScoutingData!G$2:G$996), "")</f>
        <v>0</v>
      </c>
      <c r="E12" s="9">
        <f>IF($A12&lt;&gt; "", SUMIF(MatchScoutingData!$E$2:$E$996, $A12, MatchScoutingData!H$2:H$996), "")</f>
        <v>23</v>
      </c>
      <c r="F12" s="9">
        <f>IF($A12&lt;&gt; "", SUMIF(MatchScoutingData!$E$2:$E$996, $A12, MatchScoutingData!I$2:I$996), "")</f>
        <v>21</v>
      </c>
      <c r="G12" s="9">
        <f>IF($A12&lt;&gt; "", SUMIF(MatchScoutingData!$E$2:$E$996, $A12, MatchScoutingData!J$2:J$996), "")</f>
        <v>15</v>
      </c>
      <c r="H12" s="9">
        <f>IF($A12&lt;&gt; "", SUMIF(MatchScoutingData!$E$2:$E$996, $A12, MatchScoutingData!K$2:K$996), "")</f>
        <v>33</v>
      </c>
      <c r="I12" s="9">
        <f>IF($A12&lt;&gt; "", SUMIF(MatchScoutingData!$E$2:$E$996, $A12, MatchScoutingData!L$2:L$996), "")</f>
        <v>8</v>
      </c>
      <c r="J12" s="9">
        <f>IF($A12&lt;&gt; "", SUMIF(MatchScoutingData!$E$2:$E$996, $A12, MatchScoutingData!M$2:M$996), "")</f>
        <v>3</v>
      </c>
      <c r="K12" s="9">
        <f>IF($A12&lt;&gt; "", SUMIF(MatchScoutingData!$E$2:$E$996, $A12, MatchScoutingData!N$2:N$996), "")</f>
        <v>2</v>
      </c>
      <c r="L12" s="9">
        <f>IF($A12&lt;&gt; "", SUMIF(MatchScoutingData!$E$2:$E$996, $A12, MatchScoutingData!O$2:O$996), "")</f>
        <v>4</v>
      </c>
      <c r="M12" s="9">
        <f>IF($A12&lt;&gt; "", SUMIF(MatchScoutingData!$E$2:$E$996, $A12, MatchScoutingData!P$2:P$996), "")</f>
        <v>4</v>
      </c>
      <c r="N12" s="9">
        <f>IF($A12&lt;&gt; "", SUMIF(MatchScoutingData!$E$2:$E$996, $A12, MatchScoutingData!Q$2:Q$996), "")</f>
        <v>3</v>
      </c>
      <c r="O12" s="9">
        <f>IF($A12&lt;&gt; "", SUMIF(MatchScoutingData!$E$2:$E$996, $A12, MatchScoutingData!R$2:R$996), "")</f>
        <v>3</v>
      </c>
      <c r="P12" s="9">
        <f>IF($A12&lt;&gt; "", SUMIF(MatchScoutingData!$E$2:$E$996, $A12, MatchScoutingData!S$2:S$996), "")</f>
        <v>17</v>
      </c>
      <c r="Q12" s="9">
        <f>IF($A12&lt;&gt; "", SUMIF(MatchScoutingData!$E$2:$E$996, $A12, MatchScoutingData!T$2:T$996), "")</f>
        <v>0</v>
      </c>
      <c r="R12" s="9">
        <f>IF($A12&lt;&gt; "", SUMIF(MatchScoutingData!$E$2:$E$996, $A12, MatchScoutingData!U$2:U$996), "")</f>
        <v>1</v>
      </c>
      <c r="S12" s="9">
        <f>IF($A12&lt;&gt; "", SUMIF(MatchScoutingData!$E$2:$E$996, $A12, MatchScoutingData!V$2:V$996), "")</f>
        <v>4</v>
      </c>
      <c r="T12" s="9">
        <f>IF($A12&lt;&gt; "", SUMIF(MatchScoutingData!$E$2:$E$996, $A12, MatchScoutingData!W$2:W$996), "")</f>
        <v>6</v>
      </c>
      <c r="U12" s="9">
        <f>IF($A12&lt;&gt; "", SUMIF(MatchScoutingData!$E$2:$E$996, $A12, MatchScoutingData!X$2:X$996), "")</f>
        <v>1250</v>
      </c>
      <c r="V12" s="9">
        <f t="shared" si="0"/>
        <v>11</v>
      </c>
      <c r="W12" s="9">
        <f t="shared" si="1"/>
        <v>28</v>
      </c>
      <c r="X12" s="9">
        <f t="shared" si="2"/>
        <v>90</v>
      </c>
      <c r="Y12" s="9">
        <f t="shared" si="3"/>
        <v>23</v>
      </c>
      <c r="Z12" s="9">
        <f t="shared" si="4"/>
        <v>1272</v>
      </c>
      <c r="AA12" s="9">
        <f t="shared" si="5"/>
        <v>1413</v>
      </c>
    </row>
    <row r="13" spans="1:27" x14ac:dyDescent="0.2">
      <c r="A13" s="78">
        <f>IF('TBA-Teams'!A12 &lt;&gt; "", 'TBA-Teams'!A12, "")</f>
        <v>432</v>
      </c>
      <c r="B13" s="9">
        <f>IF(A13 &lt;&gt; "", COUNTIF(MatchScoutingData!E$2:E$996, $A13), "")</f>
        <v>9</v>
      </c>
      <c r="C13" s="9">
        <f>IF($A13&lt;&gt; "", SUMIF(MatchScoutingData!$E$2:$E$996, $A13, MatchScoutingData!F$2:F$996), "")</f>
        <v>3</v>
      </c>
      <c r="D13" s="9">
        <f>IF($A13&lt;&gt; "", SUMIF(MatchScoutingData!$E$2:$E$996, $A13, MatchScoutingData!G$2:G$996), "")</f>
        <v>4</v>
      </c>
      <c r="E13" s="9">
        <f>IF($A13&lt;&gt; "", SUMIF(MatchScoutingData!$E$2:$E$996, $A13, MatchScoutingData!H$2:H$996), "")</f>
        <v>35</v>
      </c>
      <c r="F13" s="9">
        <f>IF($A13&lt;&gt; "", SUMIF(MatchScoutingData!$E$2:$E$996, $A13, MatchScoutingData!I$2:I$996), "")</f>
        <v>17</v>
      </c>
      <c r="G13" s="9">
        <f>IF($A13&lt;&gt; "", SUMIF(MatchScoutingData!$E$2:$E$996, $A13, MatchScoutingData!J$2:J$996), "")</f>
        <v>19</v>
      </c>
      <c r="H13" s="9">
        <f>IF($A13&lt;&gt; "", SUMIF(MatchScoutingData!$E$2:$E$996, $A13, MatchScoutingData!K$2:K$996), "")</f>
        <v>23</v>
      </c>
      <c r="I13" s="9">
        <f>IF($A13&lt;&gt; "", SUMIF(MatchScoutingData!$E$2:$E$996, $A13, MatchScoutingData!L$2:L$996), "")</f>
        <v>5</v>
      </c>
      <c r="J13" s="9">
        <f>IF($A13&lt;&gt; "", SUMIF(MatchScoutingData!$E$2:$E$996, $A13, MatchScoutingData!M$2:M$996), "")</f>
        <v>6</v>
      </c>
      <c r="K13" s="9">
        <f>IF($A13&lt;&gt; "", SUMIF(MatchScoutingData!$E$2:$E$996, $A13, MatchScoutingData!N$2:N$996), "")</f>
        <v>5</v>
      </c>
      <c r="L13" s="9">
        <f>IF($A13&lt;&gt; "", SUMIF(MatchScoutingData!$E$2:$E$996, $A13, MatchScoutingData!O$2:O$996), "")</f>
        <v>6</v>
      </c>
      <c r="M13" s="9">
        <f>IF($A13&lt;&gt; "", SUMIF(MatchScoutingData!$E$2:$E$996, $A13, MatchScoutingData!P$2:P$996), "")</f>
        <v>5</v>
      </c>
      <c r="N13" s="9">
        <f>IF($A13&lt;&gt; "", SUMIF(MatchScoutingData!$E$2:$E$996, $A13, MatchScoutingData!Q$2:Q$996), "")</f>
        <v>2</v>
      </c>
      <c r="O13" s="9">
        <f>IF($A13&lt;&gt; "", SUMIF(MatchScoutingData!$E$2:$E$996, $A13, MatchScoutingData!R$2:R$996), "")</f>
        <v>6</v>
      </c>
      <c r="P13" s="9">
        <f>IF($A13&lt;&gt; "", SUMIF(MatchScoutingData!$E$2:$E$996, $A13, MatchScoutingData!S$2:S$996), "")</f>
        <v>17</v>
      </c>
      <c r="Q13" s="9">
        <f>IF($A13&lt;&gt; "", SUMIF(MatchScoutingData!$E$2:$E$996, $A13, MatchScoutingData!T$2:T$996), "")</f>
        <v>-3</v>
      </c>
      <c r="R13" s="9">
        <f>IF($A13&lt;&gt; "", SUMIF(MatchScoutingData!$E$2:$E$996, $A13, MatchScoutingData!U$2:U$996), "")</f>
        <v>3</v>
      </c>
      <c r="S13" s="9">
        <f>IF($A13&lt;&gt; "", SUMIF(MatchScoutingData!$E$2:$E$996, $A13, MatchScoutingData!V$2:V$996), "")</f>
        <v>4</v>
      </c>
      <c r="T13" s="9">
        <f>IF($A13&lt;&gt; "", SUMIF(MatchScoutingData!$E$2:$E$996, $A13, MatchScoutingData!W$2:W$996), "")</f>
        <v>6</v>
      </c>
      <c r="U13" s="9">
        <f>IF($A13&lt;&gt; "", SUMIF(MatchScoutingData!$E$2:$E$996, $A13, MatchScoutingData!X$2:X$996), "")</f>
        <v>2912</v>
      </c>
      <c r="V13" s="9">
        <f t="shared" si="0"/>
        <v>13</v>
      </c>
      <c r="W13" s="9">
        <f t="shared" si="1"/>
        <v>42</v>
      </c>
      <c r="X13" s="9">
        <f t="shared" si="2"/>
        <v>86</v>
      </c>
      <c r="Y13" s="9">
        <f t="shared" si="3"/>
        <v>25</v>
      </c>
      <c r="Z13" s="9">
        <f t="shared" si="4"/>
        <v>2935</v>
      </c>
      <c r="AA13" s="9">
        <f t="shared" si="5"/>
        <v>3088</v>
      </c>
    </row>
    <row r="14" spans="1:27" x14ac:dyDescent="0.2">
      <c r="A14" s="78">
        <f>IF('TBA-Teams'!A13 &lt;&gt; "", 'TBA-Teams'!A13, "")</f>
        <v>564</v>
      </c>
      <c r="B14" s="9">
        <f>IF(A14 &lt;&gt; "", COUNTIF(MatchScoutingData!E$2:E$996, $A14), "")</f>
        <v>9</v>
      </c>
      <c r="C14" s="9">
        <f>IF($A14&lt;&gt; "", SUMIF(MatchScoutingData!$E$2:$E$996, $A14, MatchScoutingData!F$2:F$996), "")</f>
        <v>1</v>
      </c>
      <c r="D14" s="9">
        <f>IF($A14&lt;&gt; "", SUMIF(MatchScoutingData!$E$2:$E$996, $A14, MatchScoutingData!G$2:G$996), "")</f>
        <v>-2</v>
      </c>
      <c r="E14" s="9">
        <f>IF($A14&lt;&gt; "", SUMIF(MatchScoutingData!$E$2:$E$996, $A14, MatchScoutingData!H$2:H$996), "")</f>
        <v>32</v>
      </c>
      <c r="F14" s="9">
        <f>IF($A14&lt;&gt; "", SUMIF(MatchScoutingData!$E$2:$E$996, $A14, MatchScoutingData!I$2:I$996), "")</f>
        <v>23</v>
      </c>
      <c r="G14" s="9">
        <f>IF($A14&lt;&gt; "", SUMIF(MatchScoutingData!$E$2:$E$996, $A14, MatchScoutingData!J$2:J$996), "")</f>
        <v>15</v>
      </c>
      <c r="H14" s="9">
        <f>IF($A14&lt;&gt; "", SUMIF(MatchScoutingData!$E$2:$E$996, $A14, MatchScoutingData!K$2:K$996), "")</f>
        <v>25</v>
      </c>
      <c r="I14" s="9">
        <f>IF($A14&lt;&gt; "", SUMIF(MatchScoutingData!$E$2:$E$996, $A14, MatchScoutingData!L$2:L$996), "")</f>
        <v>2</v>
      </c>
      <c r="J14" s="9">
        <f>IF($A14&lt;&gt; "", SUMIF(MatchScoutingData!$E$2:$E$996, $A14, MatchScoutingData!M$2:M$996), "")</f>
        <v>4</v>
      </c>
      <c r="K14" s="9">
        <f>IF($A14&lt;&gt; "", SUMIF(MatchScoutingData!$E$2:$E$996, $A14, MatchScoutingData!N$2:N$996), "")</f>
        <v>3</v>
      </c>
      <c r="L14" s="9">
        <f>IF($A14&lt;&gt; "", SUMIF(MatchScoutingData!$E$2:$E$996, $A14, MatchScoutingData!O$2:O$996), "")</f>
        <v>7</v>
      </c>
      <c r="M14" s="9">
        <f>IF($A14&lt;&gt; "", SUMIF(MatchScoutingData!$E$2:$E$996, $A14, MatchScoutingData!P$2:P$996), "")</f>
        <v>3</v>
      </c>
      <c r="N14" s="9">
        <f>IF($A14&lt;&gt; "", SUMIF(MatchScoutingData!$E$2:$E$996, $A14, MatchScoutingData!Q$2:Q$996), "")</f>
        <v>5</v>
      </c>
      <c r="O14" s="9">
        <f>IF($A14&lt;&gt; "", SUMIF(MatchScoutingData!$E$2:$E$996, $A14, MatchScoutingData!R$2:R$996), "")</f>
        <v>4</v>
      </c>
      <c r="P14" s="9">
        <f>IF($A14&lt;&gt; "", SUMIF(MatchScoutingData!$E$2:$E$996, $A14, MatchScoutingData!S$2:S$996), "")</f>
        <v>11</v>
      </c>
      <c r="Q14" s="9">
        <f>IF($A14&lt;&gt; "", SUMIF(MatchScoutingData!$E$2:$E$996, $A14, MatchScoutingData!T$2:T$996), "")</f>
        <v>-5</v>
      </c>
      <c r="R14" s="9">
        <f>IF($A14&lt;&gt; "", SUMIF(MatchScoutingData!$E$2:$E$996, $A14, MatchScoutingData!U$2:U$996), "")</f>
        <v>3</v>
      </c>
      <c r="S14" s="9">
        <f>IF($A14&lt;&gt; "", SUMIF(MatchScoutingData!$E$2:$E$996, $A14, MatchScoutingData!V$2:V$996), "")</f>
        <v>3</v>
      </c>
      <c r="T14" s="9">
        <f>IF($A14&lt;&gt; "", SUMIF(MatchScoutingData!$E$2:$E$996, $A14, MatchScoutingData!W$2:W$996), "")</f>
        <v>5</v>
      </c>
      <c r="U14" s="9">
        <f>IF($A14&lt;&gt; "", SUMIF(MatchScoutingData!$E$2:$E$996, $A14, MatchScoutingData!X$2:X$996), "")</f>
        <v>2825</v>
      </c>
      <c r="V14" s="9">
        <f t="shared" si="0"/>
        <v>11</v>
      </c>
      <c r="W14" s="9">
        <f t="shared" si="1"/>
        <v>31</v>
      </c>
      <c r="X14" s="9">
        <f t="shared" si="2"/>
        <v>82</v>
      </c>
      <c r="Y14" s="9">
        <f t="shared" si="3"/>
        <v>20</v>
      </c>
      <c r="Z14" s="9">
        <f t="shared" si="4"/>
        <v>2842</v>
      </c>
      <c r="AA14" s="9">
        <f t="shared" si="5"/>
        <v>2975</v>
      </c>
    </row>
    <row r="15" spans="1:27" x14ac:dyDescent="0.2">
      <c r="A15" s="78">
        <f>IF('TBA-Teams'!A14 &lt;&gt; "", 'TBA-Teams'!A14, "")</f>
        <v>578</v>
      </c>
      <c r="B15" s="9">
        <f>IF(A15 &lt;&gt; "", COUNTIF(MatchScoutingData!E$2:E$996, $A15), "")</f>
        <v>9</v>
      </c>
      <c r="C15" s="9">
        <f>IF($A15&lt;&gt; "", SUMIF(MatchScoutingData!$E$2:$E$996, $A15, MatchScoutingData!F$2:F$996), "")</f>
        <v>6</v>
      </c>
      <c r="D15" s="9">
        <f>IF($A15&lt;&gt; "", SUMIF(MatchScoutingData!$E$2:$E$996, $A15, MatchScoutingData!G$2:G$996), "")</f>
        <v>2</v>
      </c>
      <c r="E15" s="9">
        <f>IF($A15&lt;&gt; "", SUMIF(MatchScoutingData!$E$2:$E$996, $A15, MatchScoutingData!H$2:H$996), "")</f>
        <v>28</v>
      </c>
      <c r="F15" s="9">
        <f>IF($A15&lt;&gt; "", SUMIF(MatchScoutingData!$E$2:$E$996, $A15, MatchScoutingData!I$2:I$996), "")</f>
        <v>16</v>
      </c>
      <c r="G15" s="9">
        <f>IF($A15&lt;&gt; "", SUMIF(MatchScoutingData!$E$2:$E$996, $A15, MatchScoutingData!J$2:J$996), "")</f>
        <v>18</v>
      </c>
      <c r="H15" s="9">
        <f>IF($A15&lt;&gt; "", SUMIF(MatchScoutingData!$E$2:$E$996, $A15, MatchScoutingData!K$2:K$996), "")</f>
        <v>27</v>
      </c>
      <c r="I15" s="9">
        <f>IF($A15&lt;&gt; "", SUMIF(MatchScoutingData!$E$2:$E$996, $A15, MatchScoutingData!L$2:L$996), "")</f>
        <v>6</v>
      </c>
      <c r="J15" s="9">
        <f>IF($A15&lt;&gt; "", SUMIF(MatchScoutingData!$E$2:$E$996, $A15, MatchScoutingData!M$2:M$996), "")</f>
        <v>1</v>
      </c>
      <c r="K15" s="9">
        <f>IF($A15&lt;&gt; "", SUMIF(MatchScoutingData!$E$2:$E$996, $A15, MatchScoutingData!N$2:N$996), "")</f>
        <v>4</v>
      </c>
      <c r="L15" s="9">
        <f>IF($A15&lt;&gt; "", SUMIF(MatchScoutingData!$E$2:$E$996, $A15, MatchScoutingData!O$2:O$996), "")</f>
        <v>4</v>
      </c>
      <c r="M15" s="9">
        <f>IF($A15&lt;&gt; "", SUMIF(MatchScoutingData!$E$2:$E$996, $A15, MatchScoutingData!P$2:P$996), "")</f>
        <v>6</v>
      </c>
      <c r="N15" s="9">
        <f>IF($A15&lt;&gt; "", SUMIF(MatchScoutingData!$E$2:$E$996, $A15, MatchScoutingData!Q$2:Q$996), "")</f>
        <v>8</v>
      </c>
      <c r="O15" s="9">
        <f>IF($A15&lt;&gt; "", SUMIF(MatchScoutingData!$E$2:$E$996, $A15, MatchScoutingData!R$2:R$996), "")</f>
        <v>2</v>
      </c>
      <c r="P15" s="9">
        <f>IF($A15&lt;&gt; "", SUMIF(MatchScoutingData!$E$2:$E$996, $A15, MatchScoutingData!S$2:S$996), "")</f>
        <v>17</v>
      </c>
      <c r="Q15" s="9">
        <f>IF($A15&lt;&gt; "", SUMIF(MatchScoutingData!$E$2:$E$996, $A15, MatchScoutingData!T$2:T$996), "")</f>
        <v>-1</v>
      </c>
      <c r="R15" s="9">
        <f>IF($A15&lt;&gt; "", SUMIF(MatchScoutingData!$E$2:$E$996, $A15, MatchScoutingData!U$2:U$996), "")</f>
        <v>2</v>
      </c>
      <c r="S15" s="9">
        <f>IF($A15&lt;&gt; "", SUMIF(MatchScoutingData!$E$2:$E$996, $A15, MatchScoutingData!V$2:V$996), "")</f>
        <v>4</v>
      </c>
      <c r="T15" s="9">
        <f>IF($A15&lt;&gt; "", SUMIF(MatchScoutingData!$E$2:$E$996, $A15, MatchScoutingData!W$2:W$996), "")</f>
        <v>5</v>
      </c>
      <c r="U15" s="9">
        <f>IF($A15&lt;&gt; "", SUMIF(MatchScoutingData!$E$2:$E$996, $A15, MatchScoutingData!X$2:X$996), "")</f>
        <v>3191</v>
      </c>
      <c r="V15" s="9">
        <f t="shared" si="0"/>
        <v>11</v>
      </c>
      <c r="W15" s="9">
        <f t="shared" si="1"/>
        <v>36</v>
      </c>
      <c r="X15" s="9">
        <f t="shared" si="2"/>
        <v>82</v>
      </c>
      <c r="Y15" s="9">
        <f t="shared" si="3"/>
        <v>27</v>
      </c>
      <c r="Z15" s="9">
        <f t="shared" si="4"/>
        <v>3212</v>
      </c>
      <c r="AA15" s="9">
        <f t="shared" si="5"/>
        <v>3357</v>
      </c>
    </row>
    <row r="16" spans="1:27" x14ac:dyDescent="0.2">
      <c r="A16" s="78">
        <f>IF('TBA-Teams'!A15 &lt;&gt; "", 'TBA-Teams'!A15, "")</f>
        <v>639</v>
      </c>
      <c r="B16" s="9">
        <f>IF(A16 &lt;&gt; "", COUNTIF(MatchScoutingData!E$2:E$996, $A16), "")</f>
        <v>9</v>
      </c>
      <c r="C16" s="9">
        <f>IF($A16&lt;&gt; "", SUMIF(MatchScoutingData!$E$2:$E$996, $A16, MatchScoutingData!F$2:F$996), "")</f>
        <v>4</v>
      </c>
      <c r="D16" s="9">
        <f>IF($A16&lt;&gt; "", SUMIF(MatchScoutingData!$E$2:$E$996, $A16, MatchScoutingData!G$2:G$996), "")</f>
        <v>6</v>
      </c>
      <c r="E16" s="9">
        <f>IF($A16&lt;&gt; "", SUMIF(MatchScoutingData!$E$2:$E$996, $A16, MatchScoutingData!H$2:H$996), "")</f>
        <v>33</v>
      </c>
      <c r="F16" s="9">
        <f>IF($A16&lt;&gt; "", SUMIF(MatchScoutingData!$E$2:$E$996, $A16, MatchScoutingData!I$2:I$996), "")</f>
        <v>17</v>
      </c>
      <c r="G16" s="9">
        <f>IF($A16&lt;&gt; "", SUMIF(MatchScoutingData!$E$2:$E$996, $A16, MatchScoutingData!J$2:J$996), "")</f>
        <v>18</v>
      </c>
      <c r="H16" s="9">
        <f>IF($A16&lt;&gt; "", SUMIF(MatchScoutingData!$E$2:$E$996, $A16, MatchScoutingData!K$2:K$996), "")</f>
        <v>31</v>
      </c>
      <c r="I16" s="9">
        <f>IF($A16&lt;&gt; "", SUMIF(MatchScoutingData!$E$2:$E$996, $A16, MatchScoutingData!L$2:L$996), "")</f>
        <v>6</v>
      </c>
      <c r="J16" s="9">
        <f>IF($A16&lt;&gt; "", SUMIF(MatchScoutingData!$E$2:$E$996, $A16, MatchScoutingData!M$2:M$996), "")</f>
        <v>4</v>
      </c>
      <c r="K16" s="9">
        <f>IF($A16&lt;&gt; "", SUMIF(MatchScoutingData!$E$2:$E$996, $A16, MatchScoutingData!N$2:N$996), "")</f>
        <v>4</v>
      </c>
      <c r="L16" s="9">
        <f>IF($A16&lt;&gt; "", SUMIF(MatchScoutingData!$E$2:$E$996, $A16, MatchScoutingData!O$2:O$996), "")</f>
        <v>3</v>
      </c>
      <c r="M16" s="9">
        <f>IF($A16&lt;&gt; "", SUMIF(MatchScoutingData!$E$2:$E$996, $A16, MatchScoutingData!P$2:P$996), "")</f>
        <v>7</v>
      </c>
      <c r="N16" s="9">
        <f>IF($A16&lt;&gt; "", SUMIF(MatchScoutingData!$E$2:$E$996, $A16, MatchScoutingData!Q$2:Q$996), "")</f>
        <v>2</v>
      </c>
      <c r="O16" s="9">
        <f>IF($A16&lt;&gt; "", SUMIF(MatchScoutingData!$E$2:$E$996, $A16, MatchScoutingData!R$2:R$996), "")</f>
        <v>3</v>
      </c>
      <c r="P16" s="9">
        <f>IF($A16&lt;&gt; "", SUMIF(MatchScoutingData!$E$2:$E$996, $A16, MatchScoutingData!S$2:S$996), "")</f>
        <v>12</v>
      </c>
      <c r="Q16" s="9">
        <f>IF($A16&lt;&gt; "", SUMIF(MatchScoutingData!$E$2:$E$996, $A16, MatchScoutingData!T$2:T$996), "")</f>
        <v>-6</v>
      </c>
      <c r="R16" s="9">
        <f>IF($A16&lt;&gt; "", SUMIF(MatchScoutingData!$E$2:$E$996, $A16, MatchScoutingData!U$2:U$996), "")</f>
        <v>6</v>
      </c>
      <c r="S16" s="9">
        <f>IF($A16&lt;&gt; "", SUMIF(MatchScoutingData!$E$2:$E$996, $A16, MatchScoutingData!V$2:V$996), "")</f>
        <v>2</v>
      </c>
      <c r="T16" s="9">
        <f>IF($A16&lt;&gt; "", SUMIF(MatchScoutingData!$E$2:$E$996, $A16, MatchScoutingData!W$2:W$996), "")</f>
        <v>4</v>
      </c>
      <c r="U16" s="9">
        <f>IF($A16&lt;&gt; "", SUMIF(MatchScoutingData!$E$2:$E$996, $A16, MatchScoutingData!X$2:X$996), "")</f>
        <v>2063</v>
      </c>
      <c r="V16" s="9">
        <f t="shared" si="0"/>
        <v>12</v>
      </c>
      <c r="W16" s="9">
        <f t="shared" si="1"/>
        <v>43</v>
      </c>
      <c r="X16" s="9">
        <f t="shared" si="2"/>
        <v>90</v>
      </c>
      <c r="Y16" s="9">
        <f t="shared" si="3"/>
        <v>17</v>
      </c>
      <c r="Z16" s="9">
        <f t="shared" si="4"/>
        <v>2081</v>
      </c>
      <c r="AA16" s="9">
        <f t="shared" si="5"/>
        <v>2231</v>
      </c>
    </row>
    <row r="17" spans="1:27" x14ac:dyDescent="0.2">
      <c r="A17" s="78">
        <f>IF('TBA-Teams'!A16 &lt;&gt; "", 'TBA-Teams'!A16, "")</f>
        <v>694</v>
      </c>
      <c r="B17" s="9">
        <f>IF(A17 &lt;&gt; "", COUNTIF(MatchScoutingData!E$2:E$996, $A17), "")</f>
        <v>9</v>
      </c>
      <c r="C17" s="9">
        <f>IF($A17&lt;&gt; "", SUMIF(MatchScoutingData!$E$2:$E$996, $A17, MatchScoutingData!F$2:F$996), "")</f>
        <v>3</v>
      </c>
      <c r="D17" s="9">
        <f>IF($A17&lt;&gt; "", SUMIF(MatchScoutingData!$E$2:$E$996, $A17, MatchScoutingData!G$2:G$996), "")</f>
        <v>3</v>
      </c>
      <c r="E17" s="9">
        <f>IF($A17&lt;&gt; "", SUMIF(MatchScoutingData!$E$2:$E$996, $A17, MatchScoutingData!H$2:H$996), "")</f>
        <v>26</v>
      </c>
      <c r="F17" s="9">
        <f>IF($A17&lt;&gt; "", SUMIF(MatchScoutingData!$E$2:$E$996, $A17, MatchScoutingData!I$2:I$996), "")</f>
        <v>16</v>
      </c>
      <c r="G17" s="9">
        <f>IF($A17&lt;&gt; "", SUMIF(MatchScoutingData!$E$2:$E$996, $A17, MatchScoutingData!J$2:J$996), "")</f>
        <v>17</v>
      </c>
      <c r="H17" s="9">
        <f>IF($A17&lt;&gt; "", SUMIF(MatchScoutingData!$E$2:$E$996, $A17, MatchScoutingData!K$2:K$996), "")</f>
        <v>30</v>
      </c>
      <c r="I17" s="9">
        <f>IF($A17&lt;&gt; "", SUMIF(MatchScoutingData!$E$2:$E$996, $A17, MatchScoutingData!L$2:L$996), "")</f>
        <v>6</v>
      </c>
      <c r="J17" s="9">
        <f>IF($A17&lt;&gt; "", SUMIF(MatchScoutingData!$E$2:$E$996, $A17, MatchScoutingData!M$2:M$996), "")</f>
        <v>6</v>
      </c>
      <c r="K17" s="9">
        <f>IF($A17&lt;&gt; "", SUMIF(MatchScoutingData!$E$2:$E$996, $A17, MatchScoutingData!N$2:N$996), "")</f>
        <v>5</v>
      </c>
      <c r="L17" s="9">
        <f>IF($A17&lt;&gt; "", SUMIF(MatchScoutingData!$E$2:$E$996, $A17, MatchScoutingData!O$2:O$996), "")</f>
        <v>5</v>
      </c>
      <c r="M17" s="9">
        <f>IF($A17&lt;&gt; "", SUMIF(MatchScoutingData!$E$2:$E$996, $A17, MatchScoutingData!P$2:P$996), "")</f>
        <v>3</v>
      </c>
      <c r="N17" s="9">
        <f>IF($A17&lt;&gt; "", SUMIF(MatchScoutingData!$E$2:$E$996, $A17, MatchScoutingData!Q$2:Q$996), "")</f>
        <v>5</v>
      </c>
      <c r="O17" s="9">
        <f>IF($A17&lt;&gt; "", SUMIF(MatchScoutingData!$E$2:$E$996, $A17, MatchScoutingData!R$2:R$996), "")</f>
        <v>5</v>
      </c>
      <c r="P17" s="9">
        <f>IF($A17&lt;&gt; "", SUMIF(MatchScoutingData!$E$2:$E$996, $A17, MatchScoutingData!S$2:S$996), "")</f>
        <v>25</v>
      </c>
      <c r="Q17" s="9">
        <f>IF($A17&lt;&gt; "", SUMIF(MatchScoutingData!$E$2:$E$996, $A17, MatchScoutingData!T$2:T$996), "")</f>
        <v>3</v>
      </c>
      <c r="R17" s="9">
        <f>IF($A17&lt;&gt; "", SUMIF(MatchScoutingData!$E$2:$E$996, $A17, MatchScoutingData!U$2:U$996), "")</f>
        <v>4</v>
      </c>
      <c r="S17" s="9">
        <f>IF($A17&lt;&gt; "", SUMIF(MatchScoutingData!$E$2:$E$996, $A17, MatchScoutingData!V$2:V$996), "")</f>
        <v>5</v>
      </c>
      <c r="T17" s="9">
        <f>IF($A17&lt;&gt; "", SUMIF(MatchScoutingData!$E$2:$E$996, $A17, MatchScoutingData!W$2:W$996), "")</f>
        <v>4</v>
      </c>
      <c r="U17" s="9">
        <f>IF($A17&lt;&gt; "", SUMIF(MatchScoutingData!$E$2:$E$996, $A17, MatchScoutingData!X$2:X$996), "")</f>
        <v>2601</v>
      </c>
      <c r="V17" s="9">
        <f t="shared" si="0"/>
        <v>13</v>
      </c>
      <c r="W17" s="9">
        <f t="shared" si="1"/>
        <v>32</v>
      </c>
      <c r="X17" s="9">
        <f t="shared" si="2"/>
        <v>88</v>
      </c>
      <c r="Y17" s="9">
        <f t="shared" si="3"/>
        <v>35</v>
      </c>
      <c r="Z17" s="9">
        <f t="shared" si="4"/>
        <v>2630</v>
      </c>
      <c r="AA17" s="9">
        <f t="shared" si="5"/>
        <v>2785</v>
      </c>
    </row>
    <row r="18" spans="1:27" x14ac:dyDescent="0.2">
      <c r="A18" s="78">
        <f>IF('TBA-Teams'!A17 &lt;&gt; "", 'TBA-Teams'!A17, "")</f>
        <v>810</v>
      </c>
      <c r="B18" s="9">
        <f>IF(A18 &lt;&gt; "", COUNTIF(MatchScoutingData!E$2:E$996, $A18), "")</f>
        <v>9</v>
      </c>
      <c r="C18" s="9">
        <f>IF($A18&lt;&gt; "", SUMIF(MatchScoutingData!$E$2:$E$996, $A18, MatchScoutingData!F$2:F$996), "")</f>
        <v>2</v>
      </c>
      <c r="D18" s="9">
        <f>IF($A18&lt;&gt; "", SUMIF(MatchScoutingData!$E$2:$E$996, $A18, MatchScoutingData!G$2:G$996), "")</f>
        <v>-3</v>
      </c>
      <c r="E18" s="9">
        <f>IF($A18&lt;&gt; "", SUMIF(MatchScoutingData!$E$2:$E$996, $A18, MatchScoutingData!H$2:H$996), "")</f>
        <v>25</v>
      </c>
      <c r="F18" s="9">
        <f>IF($A18&lt;&gt; "", SUMIF(MatchScoutingData!$E$2:$E$996, $A18, MatchScoutingData!I$2:I$996), "")</f>
        <v>18</v>
      </c>
      <c r="G18" s="9">
        <f>IF($A18&lt;&gt; "", SUMIF(MatchScoutingData!$E$2:$E$996, $A18, MatchScoutingData!J$2:J$996), "")</f>
        <v>16</v>
      </c>
      <c r="H18" s="9">
        <f>IF($A18&lt;&gt; "", SUMIF(MatchScoutingData!$E$2:$E$996, $A18, MatchScoutingData!K$2:K$996), "")</f>
        <v>32</v>
      </c>
      <c r="I18" s="9">
        <f>IF($A18&lt;&gt; "", SUMIF(MatchScoutingData!$E$2:$E$996, $A18, MatchScoutingData!L$2:L$996), "")</f>
        <v>4</v>
      </c>
      <c r="J18" s="9">
        <f>IF($A18&lt;&gt; "", SUMIF(MatchScoutingData!$E$2:$E$996, $A18, MatchScoutingData!M$2:M$996), "")</f>
        <v>5</v>
      </c>
      <c r="K18" s="9">
        <f>IF($A18&lt;&gt; "", SUMIF(MatchScoutingData!$E$2:$E$996, $A18, MatchScoutingData!N$2:N$996), "")</f>
        <v>5</v>
      </c>
      <c r="L18" s="9">
        <f>IF($A18&lt;&gt; "", SUMIF(MatchScoutingData!$E$2:$E$996, $A18, MatchScoutingData!O$2:O$996), "")</f>
        <v>5</v>
      </c>
      <c r="M18" s="9">
        <f>IF($A18&lt;&gt; "", SUMIF(MatchScoutingData!$E$2:$E$996, $A18, MatchScoutingData!P$2:P$996), "")</f>
        <v>5</v>
      </c>
      <c r="N18" s="9">
        <f>IF($A18&lt;&gt; "", SUMIF(MatchScoutingData!$E$2:$E$996, $A18, MatchScoutingData!Q$2:Q$996), "")</f>
        <v>4</v>
      </c>
      <c r="O18" s="9">
        <f>IF($A18&lt;&gt; "", SUMIF(MatchScoutingData!$E$2:$E$996, $A18, MatchScoutingData!R$2:R$996), "")</f>
        <v>4</v>
      </c>
      <c r="P18" s="9">
        <f>IF($A18&lt;&gt; "", SUMIF(MatchScoutingData!$E$2:$E$996, $A18, MatchScoutingData!S$2:S$996), "")</f>
        <v>12</v>
      </c>
      <c r="Q18" s="9">
        <f>IF($A18&lt;&gt; "", SUMIF(MatchScoutingData!$E$2:$E$996, $A18, MatchScoutingData!T$2:T$996), "")</f>
        <v>2</v>
      </c>
      <c r="R18" s="9">
        <f>IF($A18&lt;&gt; "", SUMIF(MatchScoutingData!$E$2:$E$996, $A18, MatchScoutingData!U$2:U$996), "")</f>
        <v>1</v>
      </c>
      <c r="S18" s="9">
        <f>IF($A18&lt;&gt; "", SUMIF(MatchScoutingData!$E$2:$E$996, $A18, MatchScoutingData!V$2:V$996), "")</f>
        <v>5</v>
      </c>
      <c r="T18" s="9">
        <f>IF($A18&lt;&gt; "", SUMIF(MatchScoutingData!$E$2:$E$996, $A18, MatchScoutingData!W$2:W$996), "")</f>
        <v>6</v>
      </c>
      <c r="U18" s="9">
        <f>IF($A18&lt;&gt; "", SUMIF(MatchScoutingData!$E$2:$E$996, $A18, MatchScoutingData!X$2:X$996), "")</f>
        <v>2090</v>
      </c>
      <c r="V18" s="9">
        <f t="shared" si="0"/>
        <v>12</v>
      </c>
      <c r="W18" s="9">
        <f t="shared" si="1"/>
        <v>24</v>
      </c>
      <c r="X18" s="9">
        <f t="shared" si="2"/>
        <v>90</v>
      </c>
      <c r="Y18" s="9">
        <f t="shared" si="3"/>
        <v>20</v>
      </c>
      <c r="Z18" s="9">
        <f t="shared" si="4"/>
        <v>2116</v>
      </c>
      <c r="AA18" s="9">
        <f t="shared" si="5"/>
        <v>2250</v>
      </c>
    </row>
    <row r="19" spans="1:27" x14ac:dyDescent="0.2">
      <c r="A19" s="78">
        <f>IF('TBA-Teams'!A18 &lt;&gt; "", 'TBA-Teams'!A18, "")</f>
        <v>1056</v>
      </c>
      <c r="B19" s="9">
        <f>IF(A19 &lt;&gt; "", COUNTIF(MatchScoutingData!E$2:E$996, $A19), "")</f>
        <v>9</v>
      </c>
      <c r="C19" s="9">
        <f>IF($A19&lt;&gt; "", SUMIF(MatchScoutingData!$E$2:$E$996, $A19, MatchScoutingData!F$2:F$996), "")</f>
        <v>3</v>
      </c>
      <c r="D19" s="9">
        <f>IF($A19&lt;&gt; "", SUMIF(MatchScoutingData!$E$2:$E$996, $A19, MatchScoutingData!G$2:G$996), "")</f>
        <v>1</v>
      </c>
      <c r="E19" s="9">
        <f>IF($A19&lt;&gt; "", SUMIF(MatchScoutingData!$E$2:$E$996, $A19, MatchScoutingData!H$2:H$996), "")</f>
        <v>21</v>
      </c>
      <c r="F19" s="9">
        <f>IF($A19&lt;&gt; "", SUMIF(MatchScoutingData!$E$2:$E$996, $A19, MatchScoutingData!I$2:I$996), "")</f>
        <v>17</v>
      </c>
      <c r="G19" s="9">
        <f>IF($A19&lt;&gt; "", SUMIF(MatchScoutingData!$E$2:$E$996, $A19, MatchScoutingData!J$2:J$996), "")</f>
        <v>20</v>
      </c>
      <c r="H19" s="9">
        <f>IF($A19&lt;&gt; "", SUMIF(MatchScoutingData!$E$2:$E$996, $A19, MatchScoutingData!K$2:K$996), "")</f>
        <v>27</v>
      </c>
      <c r="I19" s="9">
        <f>IF($A19&lt;&gt; "", SUMIF(MatchScoutingData!$E$2:$E$996, $A19, MatchScoutingData!L$2:L$996), "")</f>
        <v>4</v>
      </c>
      <c r="J19" s="9">
        <f>IF($A19&lt;&gt; "", SUMIF(MatchScoutingData!$E$2:$E$996, $A19, MatchScoutingData!M$2:M$996), "")</f>
        <v>4</v>
      </c>
      <c r="K19" s="9">
        <f>IF($A19&lt;&gt; "", SUMIF(MatchScoutingData!$E$2:$E$996, $A19, MatchScoutingData!N$2:N$996), "")</f>
        <v>4</v>
      </c>
      <c r="L19" s="9">
        <f>IF($A19&lt;&gt; "", SUMIF(MatchScoutingData!$E$2:$E$996, $A19, MatchScoutingData!O$2:O$996), "")</f>
        <v>4</v>
      </c>
      <c r="M19" s="9">
        <f>IF($A19&lt;&gt; "", SUMIF(MatchScoutingData!$E$2:$E$996, $A19, MatchScoutingData!P$2:P$996), "")</f>
        <v>3</v>
      </c>
      <c r="N19" s="9">
        <f>IF($A19&lt;&gt; "", SUMIF(MatchScoutingData!$E$2:$E$996, $A19, MatchScoutingData!Q$2:Q$996), "")</f>
        <v>5</v>
      </c>
      <c r="O19" s="9">
        <f>IF($A19&lt;&gt; "", SUMIF(MatchScoutingData!$E$2:$E$996, $A19, MatchScoutingData!R$2:R$996), "")</f>
        <v>5</v>
      </c>
      <c r="P19" s="9">
        <f>IF($A19&lt;&gt; "", SUMIF(MatchScoutingData!$E$2:$E$996, $A19, MatchScoutingData!S$2:S$996), "")</f>
        <v>16</v>
      </c>
      <c r="Q19" s="9">
        <f>IF($A19&lt;&gt; "", SUMIF(MatchScoutingData!$E$2:$E$996, $A19, MatchScoutingData!T$2:T$996), "")</f>
        <v>0</v>
      </c>
      <c r="R19" s="9">
        <f>IF($A19&lt;&gt; "", SUMIF(MatchScoutingData!$E$2:$E$996, $A19, MatchScoutingData!U$2:U$996), "")</f>
        <v>6</v>
      </c>
      <c r="S19" s="9">
        <f>IF($A19&lt;&gt; "", SUMIF(MatchScoutingData!$E$2:$E$996, $A19, MatchScoutingData!V$2:V$996), "")</f>
        <v>6</v>
      </c>
      <c r="T19" s="9">
        <f>IF($A19&lt;&gt; "", SUMIF(MatchScoutingData!$E$2:$E$996, $A19, MatchScoutingData!W$2:W$996), "")</f>
        <v>5</v>
      </c>
      <c r="U19" s="9">
        <f>IF($A19&lt;&gt; "", SUMIF(MatchScoutingData!$E$2:$E$996, $A19, MatchScoutingData!X$2:X$996), "")</f>
        <v>2350</v>
      </c>
      <c r="V19" s="9">
        <f t="shared" si="0"/>
        <v>17</v>
      </c>
      <c r="W19" s="9">
        <f t="shared" si="1"/>
        <v>25</v>
      </c>
      <c r="X19" s="9">
        <f t="shared" si="2"/>
        <v>83</v>
      </c>
      <c r="Y19" s="9">
        <f t="shared" si="3"/>
        <v>26</v>
      </c>
      <c r="Z19" s="9">
        <f t="shared" si="4"/>
        <v>2384</v>
      </c>
      <c r="AA19" s="9">
        <f t="shared" si="5"/>
        <v>2518</v>
      </c>
    </row>
    <row r="20" spans="1:27" x14ac:dyDescent="0.2">
      <c r="A20" s="78">
        <f>IF('TBA-Teams'!A19 &lt;&gt; "", 'TBA-Teams'!A19, "")</f>
        <v>1126</v>
      </c>
      <c r="B20" s="9">
        <f>IF(A20 &lt;&gt; "", COUNTIF(MatchScoutingData!E$2:E$996, $A20), "")</f>
        <v>9</v>
      </c>
      <c r="C20" s="9">
        <f>IF($A20&lt;&gt; "", SUMIF(MatchScoutingData!$E$2:$E$996, $A20, MatchScoutingData!F$2:F$996), "")</f>
        <v>5</v>
      </c>
      <c r="D20" s="9">
        <f>IF($A20&lt;&gt; "", SUMIF(MatchScoutingData!$E$2:$E$996, $A20, MatchScoutingData!G$2:G$996), "")</f>
        <v>0</v>
      </c>
      <c r="E20" s="9">
        <f>IF($A20&lt;&gt; "", SUMIF(MatchScoutingData!$E$2:$E$996, $A20, MatchScoutingData!H$2:H$996), "")</f>
        <v>32</v>
      </c>
      <c r="F20" s="9">
        <f>IF($A20&lt;&gt; "", SUMIF(MatchScoutingData!$E$2:$E$996, $A20, MatchScoutingData!I$2:I$996), "")</f>
        <v>18</v>
      </c>
      <c r="G20" s="9">
        <f>IF($A20&lt;&gt; "", SUMIF(MatchScoutingData!$E$2:$E$996, $A20, MatchScoutingData!J$2:J$996), "")</f>
        <v>19</v>
      </c>
      <c r="H20" s="9">
        <f>IF($A20&lt;&gt; "", SUMIF(MatchScoutingData!$E$2:$E$996, $A20, MatchScoutingData!K$2:K$996), "")</f>
        <v>17</v>
      </c>
      <c r="I20" s="9">
        <f>IF($A20&lt;&gt; "", SUMIF(MatchScoutingData!$E$2:$E$996, $A20, MatchScoutingData!L$2:L$996), "")</f>
        <v>3</v>
      </c>
      <c r="J20" s="9">
        <f>IF($A20&lt;&gt; "", SUMIF(MatchScoutingData!$E$2:$E$996, $A20, MatchScoutingData!M$2:M$996), "")</f>
        <v>7</v>
      </c>
      <c r="K20" s="9">
        <f>IF($A20&lt;&gt; "", SUMIF(MatchScoutingData!$E$2:$E$996, $A20, MatchScoutingData!N$2:N$996), "")</f>
        <v>3</v>
      </c>
      <c r="L20" s="9">
        <f>IF($A20&lt;&gt; "", SUMIF(MatchScoutingData!$E$2:$E$996, $A20, MatchScoutingData!O$2:O$996), "")</f>
        <v>6</v>
      </c>
      <c r="M20" s="9">
        <f>IF($A20&lt;&gt; "", SUMIF(MatchScoutingData!$E$2:$E$996, $A20, MatchScoutingData!P$2:P$996), "")</f>
        <v>4</v>
      </c>
      <c r="N20" s="9">
        <f>IF($A20&lt;&gt; "", SUMIF(MatchScoutingData!$E$2:$E$996, $A20, MatchScoutingData!Q$2:Q$996), "")</f>
        <v>6</v>
      </c>
      <c r="O20" s="9">
        <f>IF($A20&lt;&gt; "", SUMIF(MatchScoutingData!$E$2:$E$996, $A20, MatchScoutingData!R$2:R$996), "")</f>
        <v>4</v>
      </c>
      <c r="P20" s="9">
        <f>IF($A20&lt;&gt; "", SUMIF(MatchScoutingData!$E$2:$E$996, $A20, MatchScoutingData!S$2:S$996), "")</f>
        <v>13</v>
      </c>
      <c r="Q20" s="9">
        <f>IF($A20&lt;&gt; "", SUMIF(MatchScoutingData!$E$2:$E$996, $A20, MatchScoutingData!T$2:T$996), "")</f>
        <v>2</v>
      </c>
      <c r="R20" s="9">
        <f>IF($A20&lt;&gt; "", SUMIF(MatchScoutingData!$E$2:$E$996, $A20, MatchScoutingData!U$2:U$996), "")</f>
        <v>2</v>
      </c>
      <c r="S20" s="9">
        <f>IF($A20&lt;&gt; "", SUMIF(MatchScoutingData!$E$2:$E$996, $A20, MatchScoutingData!V$2:V$996), "")</f>
        <v>2</v>
      </c>
      <c r="T20" s="9">
        <f>IF($A20&lt;&gt; "", SUMIF(MatchScoutingData!$E$2:$E$996, $A20, MatchScoutingData!W$2:W$996), "")</f>
        <v>4</v>
      </c>
      <c r="U20" s="9">
        <f>IF($A20&lt;&gt; "", SUMIF(MatchScoutingData!$E$2:$E$996, $A20, MatchScoutingData!X$2:X$996), "")</f>
        <v>2027</v>
      </c>
      <c r="V20" s="9">
        <f t="shared" si="0"/>
        <v>8</v>
      </c>
      <c r="W20" s="9">
        <f t="shared" si="1"/>
        <v>37</v>
      </c>
      <c r="X20" s="9">
        <f t="shared" si="2"/>
        <v>77</v>
      </c>
      <c r="Y20" s="9">
        <f t="shared" si="3"/>
        <v>23</v>
      </c>
      <c r="Z20" s="9">
        <f t="shared" si="4"/>
        <v>2045</v>
      </c>
      <c r="AA20" s="9">
        <f t="shared" si="5"/>
        <v>2182</v>
      </c>
    </row>
    <row r="21" spans="1:27" x14ac:dyDescent="0.2">
      <c r="A21" s="78">
        <f>IF('TBA-Teams'!A20 &lt;&gt; "", 'TBA-Teams'!A20, "")</f>
        <v>1405</v>
      </c>
      <c r="B21" s="9">
        <f>IF(A21 &lt;&gt; "", COUNTIF(MatchScoutingData!E$2:E$996, $A21), "")</f>
        <v>9</v>
      </c>
      <c r="C21" s="9">
        <f>IF($A21&lt;&gt; "", SUMIF(MatchScoutingData!$E$2:$E$996, $A21, MatchScoutingData!F$2:F$996), "")</f>
        <v>8</v>
      </c>
      <c r="D21" s="9">
        <f>IF($A21&lt;&gt; "", SUMIF(MatchScoutingData!$E$2:$E$996, $A21, MatchScoutingData!G$2:G$996), "")</f>
        <v>1</v>
      </c>
      <c r="E21" s="9">
        <f>IF($A21&lt;&gt; "", SUMIF(MatchScoutingData!$E$2:$E$996, $A21, MatchScoutingData!H$2:H$996), "")</f>
        <v>27</v>
      </c>
      <c r="F21" s="9">
        <f>IF($A21&lt;&gt; "", SUMIF(MatchScoutingData!$E$2:$E$996, $A21, MatchScoutingData!I$2:I$996), "")</f>
        <v>18</v>
      </c>
      <c r="G21" s="9">
        <f>IF($A21&lt;&gt; "", SUMIF(MatchScoutingData!$E$2:$E$996, $A21, MatchScoutingData!J$2:J$996), "")</f>
        <v>17</v>
      </c>
      <c r="H21" s="9">
        <f>IF($A21&lt;&gt; "", SUMIF(MatchScoutingData!$E$2:$E$996, $A21, MatchScoutingData!K$2:K$996), "")</f>
        <v>29</v>
      </c>
      <c r="I21" s="9">
        <f>IF($A21&lt;&gt; "", SUMIF(MatchScoutingData!$E$2:$E$996, $A21, MatchScoutingData!L$2:L$996), "")</f>
        <v>3</v>
      </c>
      <c r="J21" s="9">
        <f>IF($A21&lt;&gt; "", SUMIF(MatchScoutingData!$E$2:$E$996, $A21, MatchScoutingData!M$2:M$996), "")</f>
        <v>7</v>
      </c>
      <c r="K21" s="9">
        <f>IF($A21&lt;&gt; "", SUMIF(MatchScoutingData!$E$2:$E$996, $A21, MatchScoutingData!N$2:N$996), "")</f>
        <v>5</v>
      </c>
      <c r="L21" s="9">
        <f>IF($A21&lt;&gt; "", SUMIF(MatchScoutingData!$E$2:$E$996, $A21, MatchScoutingData!O$2:O$996), "")</f>
        <v>3</v>
      </c>
      <c r="M21" s="9">
        <f>IF($A21&lt;&gt; "", SUMIF(MatchScoutingData!$E$2:$E$996, $A21, MatchScoutingData!P$2:P$996), "")</f>
        <v>3</v>
      </c>
      <c r="N21" s="9">
        <f>IF($A21&lt;&gt; "", SUMIF(MatchScoutingData!$E$2:$E$996, $A21, MatchScoutingData!Q$2:Q$996), "")</f>
        <v>5</v>
      </c>
      <c r="O21" s="9">
        <f>IF($A21&lt;&gt; "", SUMIF(MatchScoutingData!$E$2:$E$996, $A21, MatchScoutingData!R$2:R$996), "")</f>
        <v>5</v>
      </c>
      <c r="P21" s="9">
        <f>IF($A21&lt;&gt; "", SUMIF(MatchScoutingData!$E$2:$E$996, $A21, MatchScoutingData!S$2:S$996), "")</f>
        <v>18</v>
      </c>
      <c r="Q21" s="9">
        <f>IF($A21&lt;&gt; "", SUMIF(MatchScoutingData!$E$2:$E$996, $A21, MatchScoutingData!T$2:T$996), "")</f>
        <v>-1</v>
      </c>
      <c r="R21" s="9">
        <f>IF($A21&lt;&gt; "", SUMIF(MatchScoutingData!$E$2:$E$996, $A21, MatchScoutingData!U$2:U$996), "")</f>
        <v>7</v>
      </c>
      <c r="S21" s="9">
        <f>IF($A21&lt;&gt; "", SUMIF(MatchScoutingData!$E$2:$E$996, $A21, MatchScoutingData!V$2:V$996), "")</f>
        <v>5</v>
      </c>
      <c r="T21" s="9">
        <f>IF($A21&lt;&gt; "", SUMIF(MatchScoutingData!$E$2:$E$996, $A21, MatchScoutingData!W$2:W$996), "")</f>
        <v>5</v>
      </c>
      <c r="U21" s="9">
        <f>IF($A21&lt;&gt; "", SUMIF(MatchScoutingData!$E$2:$E$996, $A21, MatchScoutingData!X$2:X$996), "")</f>
        <v>2742</v>
      </c>
      <c r="V21" s="9">
        <f t="shared" si="0"/>
        <v>17</v>
      </c>
      <c r="W21" s="9">
        <f t="shared" si="1"/>
        <v>36</v>
      </c>
      <c r="X21" s="9">
        <f t="shared" si="2"/>
        <v>85</v>
      </c>
      <c r="Y21" s="9">
        <f t="shared" si="3"/>
        <v>28</v>
      </c>
      <c r="Z21" s="9">
        <f t="shared" si="4"/>
        <v>2775</v>
      </c>
      <c r="AA21" s="9">
        <f t="shared" si="5"/>
        <v>2924</v>
      </c>
    </row>
    <row r="22" spans="1:27" x14ac:dyDescent="0.2">
      <c r="A22" s="78">
        <f>IF('TBA-Teams'!A21 &lt;&gt; "", 'TBA-Teams'!A21, "")</f>
        <v>1450</v>
      </c>
      <c r="B22" s="9">
        <f>IF(A22 &lt;&gt; "", COUNTIF(MatchScoutingData!E$2:E$996, $A22), "")</f>
        <v>9</v>
      </c>
      <c r="C22" s="9">
        <f>IF($A22&lt;&gt; "", SUMIF(MatchScoutingData!$E$2:$E$996, $A22, MatchScoutingData!F$2:F$996), "")</f>
        <v>4</v>
      </c>
      <c r="D22" s="9">
        <f>IF($A22&lt;&gt; "", SUMIF(MatchScoutingData!$E$2:$E$996, $A22, MatchScoutingData!G$2:G$996), "")</f>
        <v>0</v>
      </c>
      <c r="E22" s="9">
        <f>IF($A22&lt;&gt; "", SUMIF(MatchScoutingData!$E$2:$E$996, $A22, MatchScoutingData!H$2:H$996), "")</f>
        <v>23</v>
      </c>
      <c r="F22" s="9">
        <f>IF($A22&lt;&gt; "", SUMIF(MatchScoutingData!$E$2:$E$996, $A22, MatchScoutingData!I$2:I$996), "")</f>
        <v>14</v>
      </c>
      <c r="G22" s="9">
        <f>IF($A22&lt;&gt; "", SUMIF(MatchScoutingData!$E$2:$E$996, $A22, MatchScoutingData!J$2:J$996), "")</f>
        <v>17</v>
      </c>
      <c r="H22" s="9">
        <f>IF($A22&lt;&gt; "", SUMIF(MatchScoutingData!$E$2:$E$996, $A22, MatchScoutingData!K$2:K$996), "")</f>
        <v>26</v>
      </c>
      <c r="I22" s="9">
        <f>IF($A22&lt;&gt; "", SUMIF(MatchScoutingData!$E$2:$E$996, $A22, MatchScoutingData!L$2:L$996), "")</f>
        <v>5</v>
      </c>
      <c r="J22" s="9">
        <f>IF($A22&lt;&gt; "", SUMIF(MatchScoutingData!$E$2:$E$996, $A22, MatchScoutingData!M$2:M$996), "")</f>
        <v>7</v>
      </c>
      <c r="K22" s="9">
        <f>IF($A22&lt;&gt; "", SUMIF(MatchScoutingData!$E$2:$E$996, $A22, MatchScoutingData!N$2:N$996), "")</f>
        <v>6</v>
      </c>
      <c r="L22" s="9">
        <f>IF($A22&lt;&gt; "", SUMIF(MatchScoutingData!$E$2:$E$996, $A22, MatchScoutingData!O$2:O$996), "")</f>
        <v>5</v>
      </c>
      <c r="M22" s="9">
        <f>IF($A22&lt;&gt; "", SUMIF(MatchScoutingData!$E$2:$E$996, $A22, MatchScoutingData!P$2:P$996), "")</f>
        <v>3</v>
      </c>
      <c r="N22" s="9">
        <f>IF($A22&lt;&gt; "", SUMIF(MatchScoutingData!$E$2:$E$996, $A22, MatchScoutingData!Q$2:Q$996), "")</f>
        <v>4</v>
      </c>
      <c r="O22" s="9">
        <f>IF($A22&lt;&gt; "", SUMIF(MatchScoutingData!$E$2:$E$996, $A22, MatchScoutingData!R$2:R$996), "")</f>
        <v>5</v>
      </c>
      <c r="P22" s="9">
        <f>IF($A22&lt;&gt; "", SUMIF(MatchScoutingData!$E$2:$E$996, $A22, MatchScoutingData!S$2:S$996), "")</f>
        <v>22</v>
      </c>
      <c r="Q22" s="9">
        <f>IF($A22&lt;&gt; "", SUMIF(MatchScoutingData!$E$2:$E$996, $A22, MatchScoutingData!T$2:T$996), "")</f>
        <v>-2</v>
      </c>
      <c r="R22" s="9">
        <f>IF($A22&lt;&gt; "", SUMIF(MatchScoutingData!$E$2:$E$996, $A22, MatchScoutingData!U$2:U$996), "")</f>
        <v>4</v>
      </c>
      <c r="S22" s="9">
        <f>IF($A22&lt;&gt; "", SUMIF(MatchScoutingData!$E$2:$E$996, $A22, MatchScoutingData!V$2:V$996), "")</f>
        <v>4</v>
      </c>
      <c r="T22" s="9">
        <f>IF($A22&lt;&gt; "", SUMIF(MatchScoutingData!$E$2:$E$996, $A22, MatchScoutingData!W$2:W$996), "")</f>
        <v>6</v>
      </c>
      <c r="U22" s="9">
        <f>IF($A22&lt;&gt; "", SUMIF(MatchScoutingData!$E$2:$E$996, $A22, MatchScoutingData!X$2:X$996), "")</f>
        <v>2672</v>
      </c>
      <c r="V22" s="9">
        <f t="shared" si="0"/>
        <v>14</v>
      </c>
      <c r="W22" s="9">
        <f t="shared" si="1"/>
        <v>27</v>
      </c>
      <c r="X22" s="9">
        <f t="shared" si="2"/>
        <v>83</v>
      </c>
      <c r="Y22" s="9">
        <f t="shared" si="3"/>
        <v>31</v>
      </c>
      <c r="Z22" s="9">
        <f t="shared" si="4"/>
        <v>2698</v>
      </c>
      <c r="AA22" s="9">
        <f t="shared" si="5"/>
        <v>2839</v>
      </c>
    </row>
    <row r="23" spans="1:27" x14ac:dyDescent="0.2">
      <c r="A23" s="78">
        <f>IF('TBA-Teams'!A22 &lt;&gt; "", 'TBA-Teams'!A22, "")</f>
        <v>1468</v>
      </c>
      <c r="B23" s="9">
        <f>IF(A23 &lt;&gt; "", COUNTIF(MatchScoutingData!E$2:E$996, $A23), "")</f>
        <v>9</v>
      </c>
      <c r="C23" s="9">
        <f>IF($A23&lt;&gt; "", SUMIF(MatchScoutingData!$E$2:$E$996, $A23, MatchScoutingData!F$2:F$996), "")</f>
        <v>6</v>
      </c>
      <c r="D23" s="9">
        <f>IF($A23&lt;&gt; "", SUMIF(MatchScoutingData!$E$2:$E$996, $A23, MatchScoutingData!G$2:G$996), "")</f>
        <v>-2</v>
      </c>
      <c r="E23" s="9">
        <f>IF($A23&lt;&gt; "", SUMIF(MatchScoutingData!$E$2:$E$996, $A23, MatchScoutingData!H$2:H$996), "")</f>
        <v>28</v>
      </c>
      <c r="F23" s="9">
        <f>IF($A23&lt;&gt; "", SUMIF(MatchScoutingData!$E$2:$E$996, $A23, MatchScoutingData!I$2:I$996), "")</f>
        <v>16</v>
      </c>
      <c r="G23" s="9">
        <f>IF($A23&lt;&gt; "", SUMIF(MatchScoutingData!$E$2:$E$996, $A23, MatchScoutingData!J$2:J$996), "")</f>
        <v>18</v>
      </c>
      <c r="H23" s="9">
        <f>IF($A23&lt;&gt; "", SUMIF(MatchScoutingData!$E$2:$E$996, $A23, MatchScoutingData!K$2:K$996), "")</f>
        <v>34</v>
      </c>
      <c r="I23" s="9">
        <f>IF($A23&lt;&gt; "", SUMIF(MatchScoutingData!$E$2:$E$996, $A23, MatchScoutingData!L$2:L$996), "")</f>
        <v>5</v>
      </c>
      <c r="J23" s="9">
        <f>IF($A23&lt;&gt; "", SUMIF(MatchScoutingData!$E$2:$E$996, $A23, MatchScoutingData!M$2:M$996), "")</f>
        <v>4</v>
      </c>
      <c r="K23" s="9">
        <f>IF($A23&lt;&gt; "", SUMIF(MatchScoutingData!$E$2:$E$996, $A23, MatchScoutingData!N$2:N$996), "")</f>
        <v>6</v>
      </c>
      <c r="L23" s="9">
        <f>IF($A23&lt;&gt; "", SUMIF(MatchScoutingData!$E$2:$E$996, $A23, MatchScoutingData!O$2:O$996), "")</f>
        <v>6</v>
      </c>
      <c r="M23" s="9">
        <f>IF($A23&lt;&gt; "", SUMIF(MatchScoutingData!$E$2:$E$996, $A23, MatchScoutingData!P$2:P$996), "")</f>
        <v>4</v>
      </c>
      <c r="N23" s="9">
        <f>IF($A23&lt;&gt; "", SUMIF(MatchScoutingData!$E$2:$E$996, $A23, MatchScoutingData!Q$2:Q$996), "")</f>
        <v>6</v>
      </c>
      <c r="O23" s="9">
        <f>IF($A23&lt;&gt; "", SUMIF(MatchScoutingData!$E$2:$E$996, $A23, MatchScoutingData!R$2:R$996), "")</f>
        <v>4</v>
      </c>
      <c r="P23" s="9">
        <f>IF($A23&lt;&gt; "", SUMIF(MatchScoutingData!$E$2:$E$996, $A23, MatchScoutingData!S$2:S$996), "")</f>
        <v>13</v>
      </c>
      <c r="Q23" s="9">
        <f>IF($A23&lt;&gt; "", SUMIF(MatchScoutingData!$E$2:$E$996, $A23, MatchScoutingData!T$2:T$996), "")</f>
        <v>5</v>
      </c>
      <c r="R23" s="9">
        <f>IF($A23&lt;&gt; "", SUMIF(MatchScoutingData!$E$2:$E$996, $A23, MatchScoutingData!U$2:U$996), "")</f>
        <v>4</v>
      </c>
      <c r="S23" s="9">
        <f>IF($A23&lt;&gt; "", SUMIF(MatchScoutingData!$E$2:$E$996, $A23, MatchScoutingData!V$2:V$996), "")</f>
        <v>6</v>
      </c>
      <c r="T23" s="9">
        <f>IF($A23&lt;&gt; "", SUMIF(MatchScoutingData!$E$2:$E$996, $A23, MatchScoutingData!W$2:W$996), "")</f>
        <v>1</v>
      </c>
      <c r="U23" s="9">
        <f>IF($A23&lt;&gt; "", SUMIF(MatchScoutingData!$E$2:$E$996, $A23, MatchScoutingData!X$2:X$996), "")</f>
        <v>2452</v>
      </c>
      <c r="V23" s="9">
        <f t="shared" si="0"/>
        <v>11</v>
      </c>
      <c r="W23" s="9">
        <f t="shared" si="1"/>
        <v>32</v>
      </c>
      <c r="X23" s="9">
        <f t="shared" si="2"/>
        <v>93</v>
      </c>
      <c r="Y23" s="9">
        <f t="shared" si="3"/>
        <v>23</v>
      </c>
      <c r="Z23" s="9">
        <f t="shared" si="4"/>
        <v>2479</v>
      </c>
      <c r="AA23" s="9">
        <f t="shared" si="5"/>
        <v>2627</v>
      </c>
    </row>
    <row r="24" spans="1:27" x14ac:dyDescent="0.2">
      <c r="A24" s="78">
        <f>IF('TBA-Teams'!A23 &lt;&gt; "", 'TBA-Teams'!A23, "")</f>
        <v>1507</v>
      </c>
      <c r="B24" s="9">
        <f>IF(A24 &lt;&gt; "", COUNTIF(MatchScoutingData!E$2:E$996, $A24), "")</f>
        <v>9</v>
      </c>
      <c r="C24" s="9">
        <f>IF($A24&lt;&gt; "", SUMIF(MatchScoutingData!$E$2:$E$996, $A24, MatchScoutingData!F$2:F$996), "")</f>
        <v>4</v>
      </c>
      <c r="D24" s="9">
        <f>IF($A24&lt;&gt; "", SUMIF(MatchScoutingData!$E$2:$E$996, $A24, MatchScoutingData!G$2:G$996), "")</f>
        <v>4</v>
      </c>
      <c r="E24" s="9">
        <f>IF($A24&lt;&gt; "", SUMIF(MatchScoutingData!$E$2:$E$996, $A24, MatchScoutingData!H$2:H$996), "")</f>
        <v>26</v>
      </c>
      <c r="F24" s="9">
        <f>IF($A24&lt;&gt; "", SUMIF(MatchScoutingData!$E$2:$E$996, $A24, MatchScoutingData!I$2:I$996), "")</f>
        <v>19</v>
      </c>
      <c r="G24" s="9">
        <f>IF($A24&lt;&gt; "", SUMIF(MatchScoutingData!$E$2:$E$996, $A24, MatchScoutingData!J$2:J$996), "")</f>
        <v>19</v>
      </c>
      <c r="H24" s="9">
        <f>IF($A24&lt;&gt; "", SUMIF(MatchScoutingData!$E$2:$E$996, $A24, MatchScoutingData!K$2:K$996), "")</f>
        <v>22</v>
      </c>
      <c r="I24" s="9">
        <f>IF($A24&lt;&gt; "", SUMIF(MatchScoutingData!$E$2:$E$996, $A24, MatchScoutingData!L$2:L$996), "")</f>
        <v>4</v>
      </c>
      <c r="J24" s="9">
        <f>IF($A24&lt;&gt; "", SUMIF(MatchScoutingData!$E$2:$E$996, $A24, MatchScoutingData!M$2:M$996), "")</f>
        <v>6</v>
      </c>
      <c r="K24" s="9">
        <f>IF($A24&lt;&gt; "", SUMIF(MatchScoutingData!$E$2:$E$996, $A24, MatchScoutingData!N$2:N$996), "")</f>
        <v>4</v>
      </c>
      <c r="L24" s="9">
        <f>IF($A24&lt;&gt; "", SUMIF(MatchScoutingData!$E$2:$E$996, $A24, MatchScoutingData!O$2:O$996), "")</f>
        <v>3</v>
      </c>
      <c r="M24" s="9">
        <f>IF($A24&lt;&gt; "", SUMIF(MatchScoutingData!$E$2:$E$996, $A24, MatchScoutingData!P$2:P$996), "")</f>
        <v>5</v>
      </c>
      <c r="N24" s="9">
        <f>IF($A24&lt;&gt; "", SUMIF(MatchScoutingData!$E$2:$E$996, $A24, MatchScoutingData!Q$2:Q$996), "")</f>
        <v>4</v>
      </c>
      <c r="O24" s="9">
        <f>IF($A24&lt;&gt; "", SUMIF(MatchScoutingData!$E$2:$E$996, $A24, MatchScoutingData!R$2:R$996), "")</f>
        <v>5</v>
      </c>
      <c r="P24" s="9">
        <f>IF($A24&lt;&gt; "", SUMIF(MatchScoutingData!$E$2:$E$996, $A24, MatchScoutingData!S$2:S$996), "")</f>
        <v>14</v>
      </c>
      <c r="Q24" s="9">
        <f>IF($A24&lt;&gt; "", SUMIF(MatchScoutingData!$E$2:$E$996, $A24, MatchScoutingData!T$2:T$996), "")</f>
        <v>0</v>
      </c>
      <c r="R24" s="9">
        <f>IF($A24&lt;&gt; "", SUMIF(MatchScoutingData!$E$2:$E$996, $A24, MatchScoutingData!U$2:U$996), "")</f>
        <v>7</v>
      </c>
      <c r="S24" s="9">
        <f>IF($A24&lt;&gt; "", SUMIF(MatchScoutingData!$E$2:$E$996, $A24, MatchScoutingData!V$2:V$996), "")</f>
        <v>5</v>
      </c>
      <c r="T24" s="9">
        <f>IF($A24&lt;&gt; "", SUMIF(MatchScoutingData!$E$2:$E$996, $A24, MatchScoutingData!W$2:W$996), "")</f>
        <v>6</v>
      </c>
      <c r="U24" s="9">
        <f>IF($A24&lt;&gt; "", SUMIF(MatchScoutingData!$E$2:$E$996, $A24, MatchScoutingData!X$2:X$996), "")</f>
        <v>2394</v>
      </c>
      <c r="V24" s="9">
        <f t="shared" si="0"/>
        <v>18</v>
      </c>
      <c r="W24" s="9">
        <f t="shared" si="1"/>
        <v>34</v>
      </c>
      <c r="X24" s="9">
        <f t="shared" si="2"/>
        <v>82</v>
      </c>
      <c r="Y24" s="9">
        <f t="shared" si="3"/>
        <v>23</v>
      </c>
      <c r="Z24" s="9">
        <f t="shared" si="4"/>
        <v>2430</v>
      </c>
      <c r="AA24" s="9">
        <f t="shared" si="5"/>
        <v>2569</v>
      </c>
    </row>
    <row r="25" spans="1:27" x14ac:dyDescent="0.2">
      <c r="A25" s="78">
        <f>IF('TBA-Teams'!A24 &lt;&gt; "", 'TBA-Teams'!A24, "")</f>
        <v>1511</v>
      </c>
      <c r="B25" s="9">
        <f>IF(A25 &lt;&gt; "", COUNTIF(MatchScoutingData!E$2:E$996, $A25), "")</f>
        <v>9</v>
      </c>
      <c r="C25" s="9">
        <f>IF($A25&lt;&gt; "", SUMIF(MatchScoutingData!$E$2:$E$996, $A25, MatchScoutingData!F$2:F$996), "")</f>
        <v>6</v>
      </c>
      <c r="D25" s="9">
        <f>IF($A25&lt;&gt; "", SUMIF(MatchScoutingData!$E$2:$E$996, $A25, MatchScoutingData!G$2:G$996), "")</f>
        <v>-5</v>
      </c>
      <c r="E25" s="9">
        <f>IF($A25&lt;&gt; "", SUMIF(MatchScoutingData!$E$2:$E$996, $A25, MatchScoutingData!H$2:H$996), "")</f>
        <v>29</v>
      </c>
      <c r="F25" s="9">
        <f>IF($A25&lt;&gt; "", SUMIF(MatchScoutingData!$E$2:$E$996, $A25, MatchScoutingData!I$2:I$996), "")</f>
        <v>19</v>
      </c>
      <c r="G25" s="9">
        <f>IF($A25&lt;&gt; "", SUMIF(MatchScoutingData!$E$2:$E$996, $A25, MatchScoutingData!J$2:J$996), "")</f>
        <v>20</v>
      </c>
      <c r="H25" s="9">
        <f>IF($A25&lt;&gt; "", SUMIF(MatchScoutingData!$E$2:$E$996, $A25, MatchScoutingData!K$2:K$996), "")</f>
        <v>26</v>
      </c>
      <c r="I25" s="9">
        <f>IF($A25&lt;&gt; "", SUMIF(MatchScoutingData!$E$2:$E$996, $A25, MatchScoutingData!L$2:L$996), "")</f>
        <v>5</v>
      </c>
      <c r="J25" s="9">
        <f>IF($A25&lt;&gt; "", SUMIF(MatchScoutingData!$E$2:$E$996, $A25, MatchScoutingData!M$2:M$996), "")</f>
        <v>5</v>
      </c>
      <c r="K25" s="9">
        <f>IF($A25&lt;&gt; "", SUMIF(MatchScoutingData!$E$2:$E$996, $A25, MatchScoutingData!N$2:N$996), "")</f>
        <v>5</v>
      </c>
      <c r="L25" s="9">
        <f>IF($A25&lt;&gt; "", SUMIF(MatchScoutingData!$E$2:$E$996, $A25, MatchScoutingData!O$2:O$996), "")</f>
        <v>6</v>
      </c>
      <c r="M25" s="9">
        <f>IF($A25&lt;&gt; "", SUMIF(MatchScoutingData!$E$2:$E$996, $A25, MatchScoutingData!P$2:P$996), "")</f>
        <v>6</v>
      </c>
      <c r="N25" s="9">
        <f>IF($A25&lt;&gt; "", SUMIF(MatchScoutingData!$E$2:$E$996, $A25, MatchScoutingData!Q$2:Q$996), "")</f>
        <v>3</v>
      </c>
      <c r="O25" s="9">
        <f>IF($A25&lt;&gt; "", SUMIF(MatchScoutingData!$E$2:$E$996, $A25, MatchScoutingData!R$2:R$996), "")</f>
        <v>3</v>
      </c>
      <c r="P25" s="9">
        <f>IF($A25&lt;&gt; "", SUMIF(MatchScoutingData!$E$2:$E$996, $A25, MatchScoutingData!S$2:S$996), "")</f>
        <v>15</v>
      </c>
      <c r="Q25" s="9">
        <f>IF($A25&lt;&gt; "", SUMIF(MatchScoutingData!$E$2:$E$996, $A25, MatchScoutingData!T$2:T$996), "")</f>
        <v>-4</v>
      </c>
      <c r="R25" s="9">
        <f>IF($A25&lt;&gt; "", SUMIF(MatchScoutingData!$E$2:$E$996, $A25, MatchScoutingData!U$2:U$996), "")</f>
        <v>6</v>
      </c>
      <c r="S25" s="9">
        <f>IF($A25&lt;&gt; "", SUMIF(MatchScoutingData!$E$2:$E$996, $A25, MatchScoutingData!V$2:V$996), "")</f>
        <v>4</v>
      </c>
      <c r="T25" s="9">
        <f>IF($A25&lt;&gt; "", SUMIF(MatchScoutingData!$E$2:$E$996, $A25, MatchScoutingData!W$2:W$996), "")</f>
        <v>6</v>
      </c>
      <c r="U25" s="9">
        <f>IF($A25&lt;&gt; "", SUMIF(MatchScoutingData!$E$2:$E$996, $A25, MatchScoutingData!X$2:X$996), "")</f>
        <v>2460</v>
      </c>
      <c r="V25" s="9">
        <f t="shared" si="0"/>
        <v>16</v>
      </c>
      <c r="W25" s="9">
        <f t="shared" si="1"/>
        <v>30</v>
      </c>
      <c r="X25" s="9">
        <f t="shared" si="2"/>
        <v>92</v>
      </c>
      <c r="Y25" s="9">
        <f t="shared" si="3"/>
        <v>21</v>
      </c>
      <c r="Z25" s="9">
        <f t="shared" si="4"/>
        <v>2488</v>
      </c>
      <c r="AA25" s="9">
        <f t="shared" si="5"/>
        <v>2631</v>
      </c>
    </row>
    <row r="26" spans="1:27" x14ac:dyDescent="0.2">
      <c r="A26" s="78">
        <f>IF('TBA-Teams'!A25 &lt;&gt; "", 'TBA-Teams'!A25, "")</f>
        <v>1518</v>
      </c>
      <c r="B26" s="9">
        <f>IF(A26 &lt;&gt; "", COUNTIF(MatchScoutingData!E$2:E$996, $A26), "")</f>
        <v>9</v>
      </c>
      <c r="C26" s="9">
        <f>IF($A26&lt;&gt; "", SUMIF(MatchScoutingData!$E$2:$E$996, $A26, MatchScoutingData!F$2:F$996), "")</f>
        <v>7</v>
      </c>
      <c r="D26" s="9">
        <f>IF($A26&lt;&gt; "", SUMIF(MatchScoutingData!$E$2:$E$996, $A26, MatchScoutingData!G$2:G$996), "")</f>
        <v>-5</v>
      </c>
      <c r="E26" s="9">
        <f>IF($A26&lt;&gt; "", SUMIF(MatchScoutingData!$E$2:$E$996, $A26, MatchScoutingData!H$2:H$996), "")</f>
        <v>25</v>
      </c>
      <c r="F26" s="9">
        <f>IF($A26&lt;&gt; "", SUMIF(MatchScoutingData!$E$2:$E$996, $A26, MatchScoutingData!I$2:I$996), "")</f>
        <v>17</v>
      </c>
      <c r="G26" s="9">
        <f>IF($A26&lt;&gt; "", SUMIF(MatchScoutingData!$E$2:$E$996, $A26, MatchScoutingData!J$2:J$996), "")</f>
        <v>20</v>
      </c>
      <c r="H26" s="9">
        <f>IF($A26&lt;&gt; "", SUMIF(MatchScoutingData!$E$2:$E$996, $A26, MatchScoutingData!K$2:K$996), "")</f>
        <v>30</v>
      </c>
      <c r="I26" s="9">
        <f>IF($A26&lt;&gt; "", SUMIF(MatchScoutingData!$E$2:$E$996, $A26, MatchScoutingData!L$2:L$996), "")</f>
        <v>6</v>
      </c>
      <c r="J26" s="9">
        <f>IF($A26&lt;&gt; "", SUMIF(MatchScoutingData!$E$2:$E$996, $A26, MatchScoutingData!M$2:M$996), "")</f>
        <v>6</v>
      </c>
      <c r="K26" s="9">
        <f>IF($A26&lt;&gt; "", SUMIF(MatchScoutingData!$E$2:$E$996, $A26, MatchScoutingData!N$2:N$996), "")</f>
        <v>4</v>
      </c>
      <c r="L26" s="9">
        <f>IF($A26&lt;&gt; "", SUMIF(MatchScoutingData!$E$2:$E$996, $A26, MatchScoutingData!O$2:O$996), "")</f>
        <v>4</v>
      </c>
      <c r="M26" s="9">
        <f>IF($A26&lt;&gt; "", SUMIF(MatchScoutingData!$E$2:$E$996, $A26, MatchScoutingData!P$2:P$996), "")</f>
        <v>4</v>
      </c>
      <c r="N26" s="9">
        <f>IF($A26&lt;&gt; "", SUMIF(MatchScoutingData!$E$2:$E$996, $A26, MatchScoutingData!Q$2:Q$996), "")</f>
        <v>4</v>
      </c>
      <c r="O26" s="9">
        <f>IF($A26&lt;&gt; "", SUMIF(MatchScoutingData!$E$2:$E$996, $A26, MatchScoutingData!R$2:R$996), "")</f>
        <v>5</v>
      </c>
      <c r="P26" s="9">
        <f>IF($A26&lt;&gt; "", SUMIF(MatchScoutingData!$E$2:$E$996, $A26, MatchScoutingData!S$2:S$996), "")</f>
        <v>18</v>
      </c>
      <c r="Q26" s="9">
        <f>IF($A26&lt;&gt; "", SUMIF(MatchScoutingData!$E$2:$E$996, $A26, MatchScoutingData!T$2:T$996), "")</f>
        <v>0</v>
      </c>
      <c r="R26" s="9">
        <f>IF($A26&lt;&gt; "", SUMIF(MatchScoutingData!$E$2:$E$996, $A26, MatchScoutingData!U$2:U$996), "")</f>
        <v>4</v>
      </c>
      <c r="S26" s="9">
        <f>IF($A26&lt;&gt; "", SUMIF(MatchScoutingData!$E$2:$E$996, $A26, MatchScoutingData!V$2:V$996), "")</f>
        <v>1</v>
      </c>
      <c r="T26" s="9">
        <f>IF($A26&lt;&gt; "", SUMIF(MatchScoutingData!$E$2:$E$996, $A26, MatchScoutingData!W$2:W$996), "")</f>
        <v>4</v>
      </c>
      <c r="U26" s="9">
        <f>IF($A26&lt;&gt; "", SUMIF(MatchScoutingData!$E$2:$E$996, $A26, MatchScoutingData!X$2:X$996), "")</f>
        <v>3277</v>
      </c>
      <c r="V26" s="9">
        <f t="shared" si="0"/>
        <v>9</v>
      </c>
      <c r="W26" s="9">
        <f t="shared" si="1"/>
        <v>27</v>
      </c>
      <c r="X26" s="9">
        <f t="shared" si="2"/>
        <v>91</v>
      </c>
      <c r="Y26" s="9">
        <f t="shared" si="3"/>
        <v>27</v>
      </c>
      <c r="Z26" s="9">
        <f t="shared" si="4"/>
        <v>3295</v>
      </c>
      <c r="AA26" s="9">
        <f t="shared" si="5"/>
        <v>3440</v>
      </c>
    </row>
    <row r="27" spans="1:27" x14ac:dyDescent="0.2">
      <c r="A27" s="78">
        <f>IF('TBA-Teams'!A26 &lt;&gt; "", 'TBA-Teams'!A26, "")</f>
        <v>1559</v>
      </c>
      <c r="B27" s="9">
        <f>IF(A27 &lt;&gt; "", COUNTIF(MatchScoutingData!E$2:E$996, $A27), "")</f>
        <v>9</v>
      </c>
      <c r="C27" s="9">
        <f>IF($A27&lt;&gt; "", SUMIF(MatchScoutingData!$E$2:$E$996, $A27, MatchScoutingData!F$2:F$996), "")</f>
        <v>5</v>
      </c>
      <c r="D27" s="9">
        <f>IF($A27&lt;&gt; "", SUMIF(MatchScoutingData!$E$2:$E$996, $A27, MatchScoutingData!G$2:G$996), "")</f>
        <v>-5</v>
      </c>
      <c r="E27" s="9">
        <f>IF($A27&lt;&gt; "", SUMIF(MatchScoutingData!$E$2:$E$996, $A27, MatchScoutingData!H$2:H$996), "")</f>
        <v>29</v>
      </c>
      <c r="F27" s="9">
        <f>IF($A27&lt;&gt; "", SUMIF(MatchScoutingData!$E$2:$E$996, $A27, MatchScoutingData!I$2:I$996), "")</f>
        <v>15</v>
      </c>
      <c r="G27" s="9">
        <f>IF($A27&lt;&gt; "", SUMIF(MatchScoutingData!$E$2:$E$996, $A27, MatchScoutingData!J$2:J$996), "")</f>
        <v>14</v>
      </c>
      <c r="H27" s="9">
        <f>IF($A27&lt;&gt; "", SUMIF(MatchScoutingData!$E$2:$E$996, $A27, MatchScoutingData!K$2:K$996), "")</f>
        <v>28</v>
      </c>
      <c r="I27" s="9">
        <f>IF($A27&lt;&gt; "", SUMIF(MatchScoutingData!$E$2:$E$996, $A27, MatchScoutingData!L$2:L$996), "")</f>
        <v>5</v>
      </c>
      <c r="J27" s="9">
        <f>IF($A27&lt;&gt; "", SUMIF(MatchScoutingData!$E$2:$E$996, $A27, MatchScoutingData!M$2:M$996), "")</f>
        <v>4</v>
      </c>
      <c r="K27" s="9">
        <f>IF($A27&lt;&gt; "", SUMIF(MatchScoutingData!$E$2:$E$996, $A27, MatchScoutingData!N$2:N$996), "")</f>
        <v>6</v>
      </c>
      <c r="L27" s="9">
        <f>IF($A27&lt;&gt; "", SUMIF(MatchScoutingData!$E$2:$E$996, $A27, MatchScoutingData!O$2:O$996), "")</f>
        <v>7</v>
      </c>
      <c r="M27" s="9">
        <f>IF($A27&lt;&gt; "", SUMIF(MatchScoutingData!$E$2:$E$996, $A27, MatchScoutingData!P$2:P$996), "")</f>
        <v>5</v>
      </c>
      <c r="N27" s="9">
        <f>IF($A27&lt;&gt; "", SUMIF(MatchScoutingData!$E$2:$E$996, $A27, MatchScoutingData!Q$2:Q$996), "")</f>
        <v>4</v>
      </c>
      <c r="O27" s="9">
        <f>IF($A27&lt;&gt; "", SUMIF(MatchScoutingData!$E$2:$E$996, $A27, MatchScoutingData!R$2:R$996), "")</f>
        <v>2</v>
      </c>
      <c r="P27" s="9">
        <f>IF($A27&lt;&gt; "", SUMIF(MatchScoutingData!$E$2:$E$996, $A27, MatchScoutingData!S$2:S$996), "")</f>
        <v>24</v>
      </c>
      <c r="Q27" s="9">
        <f>IF($A27&lt;&gt; "", SUMIF(MatchScoutingData!$E$2:$E$996, $A27, MatchScoutingData!T$2:T$996), "")</f>
        <v>-1</v>
      </c>
      <c r="R27" s="9">
        <f>IF($A27&lt;&gt; "", SUMIF(MatchScoutingData!$E$2:$E$996, $A27, MatchScoutingData!U$2:U$996), "")</f>
        <v>5</v>
      </c>
      <c r="S27" s="9">
        <f>IF($A27&lt;&gt; "", SUMIF(MatchScoutingData!$E$2:$E$996, $A27, MatchScoutingData!V$2:V$996), "")</f>
        <v>7</v>
      </c>
      <c r="T27" s="9">
        <f>IF($A27&lt;&gt; "", SUMIF(MatchScoutingData!$E$2:$E$996, $A27, MatchScoutingData!W$2:W$996), "")</f>
        <v>6</v>
      </c>
      <c r="U27" s="9">
        <f>IF($A27&lt;&gt; "", SUMIF(MatchScoutingData!$E$2:$E$996, $A27, MatchScoutingData!X$2:X$996), "")</f>
        <v>2859</v>
      </c>
      <c r="V27" s="9">
        <f t="shared" si="0"/>
        <v>18</v>
      </c>
      <c r="W27" s="9">
        <f t="shared" si="1"/>
        <v>29</v>
      </c>
      <c r="X27" s="9">
        <f t="shared" si="2"/>
        <v>84</v>
      </c>
      <c r="Y27" s="9">
        <f t="shared" si="3"/>
        <v>30</v>
      </c>
      <c r="Z27" s="9">
        <f t="shared" si="4"/>
        <v>2894</v>
      </c>
      <c r="AA27" s="9">
        <f t="shared" si="5"/>
        <v>3037</v>
      </c>
    </row>
    <row r="28" spans="1:27" x14ac:dyDescent="0.2">
      <c r="A28" s="78">
        <f>IF('TBA-Teams'!A27 &lt;&gt; "", 'TBA-Teams'!A27, "")</f>
        <v>1585</v>
      </c>
      <c r="B28" s="9">
        <f>IF(A28 &lt;&gt; "", COUNTIF(MatchScoutingData!E$2:E$996, $A28), "")</f>
        <v>9</v>
      </c>
      <c r="C28" s="9">
        <f>IF($A28&lt;&gt; "", SUMIF(MatchScoutingData!$E$2:$E$996, $A28, MatchScoutingData!F$2:F$996), "")</f>
        <v>7</v>
      </c>
      <c r="D28" s="9">
        <f>IF($A28&lt;&gt; "", SUMIF(MatchScoutingData!$E$2:$E$996, $A28, MatchScoutingData!G$2:G$996), "")</f>
        <v>0</v>
      </c>
      <c r="E28" s="9">
        <f>IF($A28&lt;&gt; "", SUMIF(MatchScoutingData!$E$2:$E$996, $A28, MatchScoutingData!H$2:H$996), "")</f>
        <v>31</v>
      </c>
      <c r="F28" s="9">
        <f>IF($A28&lt;&gt; "", SUMIF(MatchScoutingData!$E$2:$E$996, $A28, MatchScoutingData!I$2:I$996), "")</f>
        <v>21</v>
      </c>
      <c r="G28" s="9">
        <f>IF($A28&lt;&gt; "", SUMIF(MatchScoutingData!$E$2:$E$996, $A28, MatchScoutingData!J$2:J$996), "")</f>
        <v>16</v>
      </c>
      <c r="H28" s="9">
        <f>IF($A28&lt;&gt; "", SUMIF(MatchScoutingData!$E$2:$E$996, $A28, MatchScoutingData!K$2:K$996), "")</f>
        <v>26</v>
      </c>
      <c r="I28" s="9">
        <f>IF($A28&lt;&gt; "", SUMIF(MatchScoutingData!$E$2:$E$996, $A28, MatchScoutingData!L$2:L$996), "")</f>
        <v>4</v>
      </c>
      <c r="J28" s="9">
        <f>IF($A28&lt;&gt; "", SUMIF(MatchScoutingData!$E$2:$E$996, $A28, MatchScoutingData!M$2:M$996), "")</f>
        <v>4</v>
      </c>
      <c r="K28" s="9">
        <f>IF($A28&lt;&gt; "", SUMIF(MatchScoutingData!$E$2:$E$996, $A28, MatchScoutingData!N$2:N$996), "")</f>
        <v>5</v>
      </c>
      <c r="L28" s="9">
        <f>IF($A28&lt;&gt; "", SUMIF(MatchScoutingData!$E$2:$E$996, $A28, MatchScoutingData!O$2:O$996), "")</f>
        <v>3</v>
      </c>
      <c r="M28" s="9">
        <f>IF($A28&lt;&gt; "", SUMIF(MatchScoutingData!$E$2:$E$996, $A28, MatchScoutingData!P$2:P$996), "")</f>
        <v>7</v>
      </c>
      <c r="N28" s="9">
        <f>IF($A28&lt;&gt; "", SUMIF(MatchScoutingData!$E$2:$E$996, $A28, MatchScoutingData!Q$2:Q$996), "")</f>
        <v>5</v>
      </c>
      <c r="O28" s="9">
        <f>IF($A28&lt;&gt; "", SUMIF(MatchScoutingData!$E$2:$E$996, $A28, MatchScoutingData!R$2:R$996), "")</f>
        <v>5</v>
      </c>
      <c r="P28" s="9">
        <f>IF($A28&lt;&gt; "", SUMIF(MatchScoutingData!$E$2:$E$996, $A28, MatchScoutingData!S$2:S$996), "")</f>
        <v>7</v>
      </c>
      <c r="Q28" s="9">
        <f>IF($A28&lt;&gt; "", SUMIF(MatchScoutingData!$E$2:$E$996, $A28, MatchScoutingData!T$2:T$996), "")</f>
        <v>-2</v>
      </c>
      <c r="R28" s="9">
        <f>IF($A28&lt;&gt; "", SUMIF(MatchScoutingData!$E$2:$E$996, $A28, MatchScoutingData!U$2:U$996), "")</f>
        <v>2</v>
      </c>
      <c r="S28" s="9">
        <f>IF($A28&lt;&gt; "", SUMIF(MatchScoutingData!$E$2:$E$996, $A28, MatchScoutingData!V$2:V$996), "")</f>
        <v>6</v>
      </c>
      <c r="T28" s="9">
        <f>IF($A28&lt;&gt; "", SUMIF(MatchScoutingData!$E$2:$E$996, $A28, MatchScoutingData!W$2:W$996), "")</f>
        <v>5</v>
      </c>
      <c r="U28" s="9">
        <f>IF($A28&lt;&gt; "", SUMIF(MatchScoutingData!$E$2:$E$996, $A28, MatchScoutingData!X$2:X$996), "")</f>
        <v>2372</v>
      </c>
      <c r="V28" s="9">
        <f t="shared" si="0"/>
        <v>13</v>
      </c>
      <c r="W28" s="9">
        <f t="shared" si="1"/>
        <v>38</v>
      </c>
      <c r="X28" s="9">
        <f t="shared" si="2"/>
        <v>86</v>
      </c>
      <c r="Y28" s="9">
        <f t="shared" si="3"/>
        <v>17</v>
      </c>
      <c r="Z28" s="9">
        <f t="shared" si="4"/>
        <v>2396</v>
      </c>
      <c r="AA28" s="9">
        <f t="shared" si="5"/>
        <v>2537</v>
      </c>
    </row>
    <row r="29" spans="1:27" x14ac:dyDescent="0.2">
      <c r="A29" s="78">
        <f>IF('TBA-Teams'!A28 &lt;&gt; "", 'TBA-Teams'!A28, "")</f>
        <v>1591</v>
      </c>
      <c r="B29" s="9">
        <f>IF(A29 &lt;&gt; "", COUNTIF(MatchScoutingData!E$2:E$996, $A29), "")</f>
        <v>9</v>
      </c>
      <c r="C29" s="9">
        <f>IF($A29&lt;&gt; "", SUMIF(MatchScoutingData!$E$2:$E$996, $A29, MatchScoutingData!F$2:F$996), "")</f>
        <v>4</v>
      </c>
      <c r="D29" s="9">
        <f>IF($A29&lt;&gt; "", SUMIF(MatchScoutingData!$E$2:$E$996, $A29, MatchScoutingData!G$2:G$996), "")</f>
        <v>2</v>
      </c>
      <c r="E29" s="9">
        <f>IF($A29&lt;&gt; "", SUMIF(MatchScoutingData!$E$2:$E$996, $A29, MatchScoutingData!H$2:H$996), "")</f>
        <v>26</v>
      </c>
      <c r="F29" s="9">
        <f>IF($A29&lt;&gt; "", SUMIF(MatchScoutingData!$E$2:$E$996, $A29, MatchScoutingData!I$2:I$996), "")</f>
        <v>19</v>
      </c>
      <c r="G29" s="9">
        <f>IF($A29&lt;&gt; "", SUMIF(MatchScoutingData!$E$2:$E$996, $A29, MatchScoutingData!J$2:J$996), "")</f>
        <v>19</v>
      </c>
      <c r="H29" s="9">
        <f>IF($A29&lt;&gt; "", SUMIF(MatchScoutingData!$E$2:$E$996, $A29, MatchScoutingData!K$2:K$996), "")</f>
        <v>28</v>
      </c>
      <c r="I29" s="9">
        <f>IF($A29&lt;&gt; "", SUMIF(MatchScoutingData!$E$2:$E$996, $A29, MatchScoutingData!L$2:L$996), "")</f>
        <v>4</v>
      </c>
      <c r="J29" s="9">
        <f>IF($A29&lt;&gt; "", SUMIF(MatchScoutingData!$E$2:$E$996, $A29, MatchScoutingData!M$2:M$996), "")</f>
        <v>5</v>
      </c>
      <c r="K29" s="9">
        <f>IF($A29&lt;&gt; "", SUMIF(MatchScoutingData!$E$2:$E$996, $A29, MatchScoutingData!N$2:N$996), "")</f>
        <v>7</v>
      </c>
      <c r="L29" s="9">
        <f>IF($A29&lt;&gt; "", SUMIF(MatchScoutingData!$E$2:$E$996, $A29, MatchScoutingData!O$2:O$996), "")</f>
        <v>3</v>
      </c>
      <c r="M29" s="9">
        <f>IF($A29&lt;&gt; "", SUMIF(MatchScoutingData!$E$2:$E$996, $A29, MatchScoutingData!P$2:P$996), "")</f>
        <v>4</v>
      </c>
      <c r="N29" s="9">
        <f>IF($A29&lt;&gt; "", SUMIF(MatchScoutingData!$E$2:$E$996, $A29, MatchScoutingData!Q$2:Q$996), "")</f>
        <v>6</v>
      </c>
      <c r="O29" s="9">
        <f>IF($A29&lt;&gt; "", SUMIF(MatchScoutingData!$E$2:$E$996, $A29, MatchScoutingData!R$2:R$996), "")</f>
        <v>4</v>
      </c>
      <c r="P29" s="9">
        <f>IF($A29&lt;&gt; "", SUMIF(MatchScoutingData!$E$2:$E$996, $A29, MatchScoutingData!S$2:S$996), "")</f>
        <v>21</v>
      </c>
      <c r="Q29" s="9">
        <f>IF($A29&lt;&gt; "", SUMIF(MatchScoutingData!$E$2:$E$996, $A29, MatchScoutingData!T$2:T$996), "")</f>
        <v>1</v>
      </c>
      <c r="R29" s="9">
        <f>IF($A29&lt;&gt; "", SUMIF(MatchScoutingData!$E$2:$E$996, $A29, MatchScoutingData!U$2:U$996), "")</f>
        <v>7</v>
      </c>
      <c r="S29" s="9">
        <f>IF($A29&lt;&gt; "", SUMIF(MatchScoutingData!$E$2:$E$996, $A29, MatchScoutingData!V$2:V$996), "")</f>
        <v>4</v>
      </c>
      <c r="T29" s="9">
        <f>IF($A29&lt;&gt; "", SUMIF(MatchScoutingData!$E$2:$E$996, $A29, MatchScoutingData!W$2:W$996), "")</f>
        <v>4</v>
      </c>
      <c r="U29" s="9">
        <f>IF($A29&lt;&gt; "", SUMIF(MatchScoutingData!$E$2:$E$996, $A29, MatchScoutingData!X$2:X$996), "")</f>
        <v>2673</v>
      </c>
      <c r="V29" s="9">
        <f t="shared" si="0"/>
        <v>15</v>
      </c>
      <c r="W29" s="9">
        <f t="shared" si="1"/>
        <v>32</v>
      </c>
      <c r="X29" s="9">
        <f t="shared" si="2"/>
        <v>89</v>
      </c>
      <c r="Y29" s="9">
        <f t="shared" si="3"/>
        <v>31</v>
      </c>
      <c r="Z29" s="9">
        <f t="shared" si="4"/>
        <v>2704</v>
      </c>
      <c r="AA29" s="9">
        <f t="shared" si="5"/>
        <v>2856</v>
      </c>
    </row>
    <row r="30" spans="1:27" x14ac:dyDescent="0.2">
      <c r="A30" s="78">
        <f>IF('TBA-Teams'!A29 &lt;&gt; "", 'TBA-Teams'!A29, "")</f>
        <v>1781</v>
      </c>
      <c r="B30" s="9">
        <f>IF(A30 &lt;&gt; "", COUNTIF(MatchScoutingData!E$2:E$996, $A30), "")</f>
        <v>9</v>
      </c>
      <c r="C30" s="9">
        <f>IF($A30&lt;&gt; "", SUMIF(MatchScoutingData!$E$2:$E$996, $A30, MatchScoutingData!F$2:F$996), "")</f>
        <v>4</v>
      </c>
      <c r="D30" s="9">
        <f>IF($A30&lt;&gt; "", SUMIF(MatchScoutingData!$E$2:$E$996, $A30, MatchScoutingData!G$2:G$996), "")</f>
        <v>-2</v>
      </c>
      <c r="E30" s="9">
        <f>IF($A30&lt;&gt; "", SUMIF(MatchScoutingData!$E$2:$E$996, $A30, MatchScoutingData!H$2:H$996), "")</f>
        <v>30</v>
      </c>
      <c r="F30" s="9">
        <f>IF($A30&lt;&gt; "", SUMIF(MatchScoutingData!$E$2:$E$996, $A30, MatchScoutingData!I$2:I$996), "")</f>
        <v>20</v>
      </c>
      <c r="G30" s="9">
        <f>IF($A30&lt;&gt; "", SUMIF(MatchScoutingData!$E$2:$E$996, $A30, MatchScoutingData!J$2:J$996), "")</f>
        <v>20</v>
      </c>
      <c r="H30" s="9">
        <f>IF($A30&lt;&gt; "", SUMIF(MatchScoutingData!$E$2:$E$996, $A30, MatchScoutingData!K$2:K$996), "")</f>
        <v>31</v>
      </c>
      <c r="I30" s="9">
        <f>IF($A30&lt;&gt; "", SUMIF(MatchScoutingData!$E$2:$E$996, $A30, MatchScoutingData!L$2:L$996), "")</f>
        <v>2</v>
      </c>
      <c r="J30" s="9">
        <f>IF($A30&lt;&gt; "", SUMIF(MatchScoutingData!$E$2:$E$996, $A30, MatchScoutingData!M$2:M$996), "")</f>
        <v>3</v>
      </c>
      <c r="K30" s="9">
        <f>IF($A30&lt;&gt; "", SUMIF(MatchScoutingData!$E$2:$E$996, $A30, MatchScoutingData!N$2:N$996), "")</f>
        <v>4</v>
      </c>
      <c r="L30" s="9">
        <f>IF($A30&lt;&gt; "", SUMIF(MatchScoutingData!$E$2:$E$996, $A30, MatchScoutingData!O$2:O$996), "")</f>
        <v>6</v>
      </c>
      <c r="M30" s="9">
        <f>IF($A30&lt;&gt; "", SUMIF(MatchScoutingData!$E$2:$E$996, $A30, MatchScoutingData!P$2:P$996), "")</f>
        <v>4</v>
      </c>
      <c r="N30" s="9">
        <f>IF($A30&lt;&gt; "", SUMIF(MatchScoutingData!$E$2:$E$996, $A30, MatchScoutingData!Q$2:Q$996), "")</f>
        <v>5</v>
      </c>
      <c r="O30" s="9">
        <f>IF($A30&lt;&gt; "", SUMIF(MatchScoutingData!$E$2:$E$996, $A30, MatchScoutingData!R$2:R$996), "")</f>
        <v>6</v>
      </c>
      <c r="P30" s="9">
        <f>IF($A30&lt;&gt; "", SUMIF(MatchScoutingData!$E$2:$E$996, $A30, MatchScoutingData!S$2:S$996), "")</f>
        <v>10</v>
      </c>
      <c r="Q30" s="9">
        <f>IF($A30&lt;&gt; "", SUMIF(MatchScoutingData!$E$2:$E$996, $A30, MatchScoutingData!T$2:T$996), "")</f>
        <v>1</v>
      </c>
      <c r="R30" s="9">
        <f>IF($A30&lt;&gt; "", SUMIF(MatchScoutingData!$E$2:$E$996, $A30, MatchScoutingData!U$2:U$996), "")</f>
        <v>2</v>
      </c>
      <c r="S30" s="9">
        <f>IF($A30&lt;&gt; "", SUMIF(MatchScoutingData!$E$2:$E$996, $A30, MatchScoutingData!V$2:V$996), "")</f>
        <v>5</v>
      </c>
      <c r="T30" s="9">
        <f>IF($A30&lt;&gt; "", SUMIF(MatchScoutingData!$E$2:$E$996, $A30, MatchScoutingData!W$2:W$996), "")</f>
        <v>6</v>
      </c>
      <c r="U30" s="9">
        <f>IF($A30&lt;&gt; "", SUMIF(MatchScoutingData!$E$2:$E$996, $A30, MatchScoutingData!X$2:X$996), "")</f>
        <v>1614</v>
      </c>
      <c r="V30" s="9">
        <f t="shared" si="0"/>
        <v>13</v>
      </c>
      <c r="W30" s="9">
        <f t="shared" si="1"/>
        <v>32</v>
      </c>
      <c r="X30" s="9">
        <f t="shared" si="2"/>
        <v>90</v>
      </c>
      <c r="Y30" s="9">
        <f t="shared" si="3"/>
        <v>21</v>
      </c>
      <c r="Z30" s="9">
        <f t="shared" si="4"/>
        <v>1641</v>
      </c>
      <c r="AA30" s="9">
        <f t="shared" si="5"/>
        <v>1784</v>
      </c>
    </row>
    <row r="31" spans="1:27" x14ac:dyDescent="0.2">
      <c r="A31" s="78">
        <f>IF('TBA-Teams'!A30 &lt;&gt; "", 'TBA-Teams'!A30, "")</f>
        <v>1787</v>
      </c>
      <c r="B31" s="9">
        <f>IF(A31 &lt;&gt; "", COUNTIF(MatchScoutingData!E$2:E$996, $A31), "")</f>
        <v>9</v>
      </c>
      <c r="C31" s="9">
        <f>IF($A31&lt;&gt; "", SUMIF(MatchScoutingData!$E$2:$E$996, $A31, MatchScoutingData!F$2:F$996), "")</f>
        <v>3</v>
      </c>
      <c r="D31" s="9">
        <f>IF($A31&lt;&gt; "", SUMIF(MatchScoutingData!$E$2:$E$996, $A31, MatchScoutingData!G$2:G$996), "")</f>
        <v>1</v>
      </c>
      <c r="E31" s="9">
        <f>IF($A31&lt;&gt; "", SUMIF(MatchScoutingData!$E$2:$E$996, $A31, MatchScoutingData!H$2:H$996), "")</f>
        <v>32</v>
      </c>
      <c r="F31" s="9">
        <f>IF($A31&lt;&gt; "", SUMIF(MatchScoutingData!$E$2:$E$996, $A31, MatchScoutingData!I$2:I$996), "")</f>
        <v>17</v>
      </c>
      <c r="G31" s="9">
        <f>IF($A31&lt;&gt; "", SUMIF(MatchScoutingData!$E$2:$E$996, $A31, MatchScoutingData!J$2:J$996), "")</f>
        <v>16</v>
      </c>
      <c r="H31" s="9">
        <f>IF($A31&lt;&gt; "", SUMIF(MatchScoutingData!$E$2:$E$996, $A31, MatchScoutingData!K$2:K$996), "")</f>
        <v>33</v>
      </c>
      <c r="I31" s="9">
        <f>IF($A31&lt;&gt; "", SUMIF(MatchScoutingData!$E$2:$E$996, $A31, MatchScoutingData!L$2:L$996), "")</f>
        <v>6</v>
      </c>
      <c r="J31" s="9">
        <f>IF($A31&lt;&gt; "", SUMIF(MatchScoutingData!$E$2:$E$996, $A31, MatchScoutingData!M$2:M$996), "")</f>
        <v>5</v>
      </c>
      <c r="K31" s="9">
        <f>IF($A31&lt;&gt; "", SUMIF(MatchScoutingData!$E$2:$E$996, $A31, MatchScoutingData!N$2:N$996), "")</f>
        <v>2</v>
      </c>
      <c r="L31" s="9">
        <f>IF($A31&lt;&gt; "", SUMIF(MatchScoutingData!$E$2:$E$996, $A31, MatchScoutingData!O$2:O$996), "")</f>
        <v>5</v>
      </c>
      <c r="M31" s="9">
        <f>IF($A31&lt;&gt; "", SUMIF(MatchScoutingData!$E$2:$E$996, $A31, MatchScoutingData!P$2:P$996), "")</f>
        <v>5</v>
      </c>
      <c r="N31" s="9">
        <f>IF($A31&lt;&gt; "", SUMIF(MatchScoutingData!$E$2:$E$996, $A31, MatchScoutingData!Q$2:Q$996), "")</f>
        <v>4</v>
      </c>
      <c r="O31" s="9">
        <f>IF($A31&lt;&gt; "", SUMIF(MatchScoutingData!$E$2:$E$996, $A31, MatchScoutingData!R$2:R$996), "")</f>
        <v>4</v>
      </c>
      <c r="P31" s="9">
        <f>IF($A31&lt;&gt; "", SUMIF(MatchScoutingData!$E$2:$E$996, $A31, MatchScoutingData!S$2:S$996), "")</f>
        <v>18</v>
      </c>
      <c r="Q31" s="9">
        <f>IF($A31&lt;&gt; "", SUMIF(MatchScoutingData!$E$2:$E$996, $A31, MatchScoutingData!T$2:T$996), "")</f>
        <v>-3</v>
      </c>
      <c r="R31" s="9">
        <f>IF($A31&lt;&gt; "", SUMIF(MatchScoutingData!$E$2:$E$996, $A31, MatchScoutingData!U$2:U$996), "")</f>
        <v>4</v>
      </c>
      <c r="S31" s="9">
        <f>IF($A31&lt;&gt; "", SUMIF(MatchScoutingData!$E$2:$E$996, $A31, MatchScoutingData!V$2:V$996), "")</f>
        <v>5</v>
      </c>
      <c r="T31" s="9">
        <f>IF($A31&lt;&gt; "", SUMIF(MatchScoutingData!$E$2:$E$996, $A31, MatchScoutingData!W$2:W$996), "")</f>
        <v>4</v>
      </c>
      <c r="U31" s="9">
        <f>IF($A31&lt;&gt; "", SUMIF(MatchScoutingData!$E$2:$E$996, $A31, MatchScoutingData!X$2:X$996), "")</f>
        <v>1834</v>
      </c>
      <c r="V31" s="9">
        <f t="shared" si="0"/>
        <v>13</v>
      </c>
      <c r="W31" s="9">
        <f t="shared" si="1"/>
        <v>36</v>
      </c>
      <c r="X31" s="9">
        <f t="shared" si="2"/>
        <v>89</v>
      </c>
      <c r="Y31" s="9">
        <f t="shared" si="3"/>
        <v>26</v>
      </c>
      <c r="Z31" s="9">
        <f t="shared" si="4"/>
        <v>1857</v>
      </c>
      <c r="AA31" s="9">
        <f t="shared" si="5"/>
        <v>2008</v>
      </c>
    </row>
    <row r="32" spans="1:27" x14ac:dyDescent="0.2">
      <c r="A32" s="78">
        <f>IF('TBA-Teams'!A31 &lt;&gt; "", 'TBA-Teams'!A31, "")</f>
        <v>2228</v>
      </c>
      <c r="B32" s="9">
        <f>IF(A32 &lt;&gt; "", COUNTIF(MatchScoutingData!E$2:E$996, $A32), "")</f>
        <v>9</v>
      </c>
      <c r="C32" s="9">
        <f>IF($A32&lt;&gt; "", SUMIF(MatchScoutingData!$E$2:$E$996, $A32, MatchScoutingData!F$2:F$996), "")</f>
        <v>3</v>
      </c>
      <c r="D32" s="9">
        <f>IF($A32&lt;&gt; "", SUMIF(MatchScoutingData!$E$2:$E$996, $A32, MatchScoutingData!G$2:G$996), "")</f>
        <v>1</v>
      </c>
      <c r="E32" s="9">
        <f>IF($A32&lt;&gt; "", SUMIF(MatchScoutingData!$E$2:$E$996, $A32, MatchScoutingData!H$2:H$996), "")</f>
        <v>21</v>
      </c>
      <c r="F32" s="9">
        <f>IF($A32&lt;&gt; "", SUMIF(MatchScoutingData!$E$2:$E$996, $A32, MatchScoutingData!I$2:I$996), "")</f>
        <v>18</v>
      </c>
      <c r="G32" s="9">
        <f>IF($A32&lt;&gt; "", SUMIF(MatchScoutingData!$E$2:$E$996, $A32, MatchScoutingData!J$2:J$996), "")</f>
        <v>16</v>
      </c>
      <c r="H32" s="9">
        <f>IF($A32&lt;&gt; "", SUMIF(MatchScoutingData!$E$2:$E$996, $A32, MatchScoutingData!K$2:K$996), "")</f>
        <v>36</v>
      </c>
      <c r="I32" s="9">
        <f>IF($A32&lt;&gt; "", SUMIF(MatchScoutingData!$E$2:$E$996, $A32, MatchScoutingData!L$2:L$996), "")</f>
        <v>3</v>
      </c>
      <c r="J32" s="9">
        <f>IF($A32&lt;&gt; "", SUMIF(MatchScoutingData!$E$2:$E$996, $A32, MatchScoutingData!M$2:M$996), "")</f>
        <v>4</v>
      </c>
      <c r="K32" s="9">
        <f>IF($A32&lt;&gt; "", SUMIF(MatchScoutingData!$E$2:$E$996, $A32, MatchScoutingData!N$2:N$996), "")</f>
        <v>3</v>
      </c>
      <c r="L32" s="9">
        <f>IF($A32&lt;&gt; "", SUMIF(MatchScoutingData!$E$2:$E$996, $A32, MatchScoutingData!O$2:O$996), "")</f>
        <v>2</v>
      </c>
      <c r="M32" s="9">
        <f>IF($A32&lt;&gt; "", SUMIF(MatchScoutingData!$E$2:$E$996, $A32, MatchScoutingData!P$2:P$996), "")</f>
        <v>3</v>
      </c>
      <c r="N32" s="9">
        <f>IF($A32&lt;&gt; "", SUMIF(MatchScoutingData!$E$2:$E$996, $A32, MatchScoutingData!Q$2:Q$996), "")</f>
        <v>5</v>
      </c>
      <c r="O32" s="9">
        <f>IF($A32&lt;&gt; "", SUMIF(MatchScoutingData!$E$2:$E$996, $A32, MatchScoutingData!R$2:R$996), "")</f>
        <v>8</v>
      </c>
      <c r="P32" s="9">
        <f>IF($A32&lt;&gt; "", SUMIF(MatchScoutingData!$E$2:$E$996, $A32, MatchScoutingData!S$2:S$996), "")</f>
        <v>22</v>
      </c>
      <c r="Q32" s="9">
        <f>IF($A32&lt;&gt; "", SUMIF(MatchScoutingData!$E$2:$E$996, $A32, MatchScoutingData!T$2:T$996), "")</f>
        <v>-2</v>
      </c>
      <c r="R32" s="9">
        <f>IF($A32&lt;&gt; "", SUMIF(MatchScoutingData!$E$2:$E$996, $A32, MatchScoutingData!U$2:U$996), "")</f>
        <v>6</v>
      </c>
      <c r="S32" s="9">
        <f>IF($A32&lt;&gt; "", SUMIF(MatchScoutingData!$E$2:$E$996, $A32, MatchScoutingData!V$2:V$996), "")</f>
        <v>3</v>
      </c>
      <c r="T32" s="9">
        <f>IF($A32&lt;&gt; "", SUMIF(MatchScoutingData!$E$2:$E$996, $A32, MatchScoutingData!W$2:W$996), "")</f>
        <v>4</v>
      </c>
      <c r="U32" s="9">
        <f>IF($A32&lt;&gt; "", SUMIF(MatchScoutingData!$E$2:$E$996, $A32, MatchScoutingData!X$2:X$996), "")</f>
        <v>2548</v>
      </c>
      <c r="V32" s="9">
        <f t="shared" si="0"/>
        <v>13</v>
      </c>
      <c r="W32" s="9">
        <f t="shared" si="1"/>
        <v>25</v>
      </c>
      <c r="X32" s="9">
        <f t="shared" si="2"/>
        <v>85</v>
      </c>
      <c r="Y32" s="9">
        <f t="shared" si="3"/>
        <v>35</v>
      </c>
      <c r="Z32" s="9">
        <f t="shared" si="4"/>
        <v>2572</v>
      </c>
      <c r="AA32" s="9">
        <f t="shared" si="5"/>
        <v>2717</v>
      </c>
    </row>
    <row r="33" spans="1:27" x14ac:dyDescent="0.2">
      <c r="A33" s="78">
        <f>IF('TBA-Teams'!A32 &lt;&gt; "", 'TBA-Teams'!A32, "")</f>
        <v>2340</v>
      </c>
      <c r="B33" s="9">
        <f>IF(A33 &lt;&gt; "", COUNTIF(MatchScoutingData!E$2:E$996, $A33), "")</f>
        <v>9</v>
      </c>
      <c r="C33" s="9">
        <f>IF($A33&lt;&gt; "", SUMIF(MatchScoutingData!$E$2:$E$996, $A33, MatchScoutingData!F$2:F$996), "")</f>
        <v>6</v>
      </c>
      <c r="D33" s="9">
        <f>IF($A33&lt;&gt; "", SUMIF(MatchScoutingData!$E$2:$E$996, $A33, MatchScoutingData!G$2:G$996), "")</f>
        <v>2</v>
      </c>
      <c r="E33" s="9">
        <f>IF($A33&lt;&gt; "", SUMIF(MatchScoutingData!$E$2:$E$996, $A33, MatchScoutingData!H$2:H$996), "")</f>
        <v>21</v>
      </c>
      <c r="F33" s="9">
        <f>IF($A33&lt;&gt; "", SUMIF(MatchScoutingData!$E$2:$E$996, $A33, MatchScoutingData!I$2:I$996), "")</f>
        <v>25</v>
      </c>
      <c r="G33" s="9">
        <f>IF($A33&lt;&gt; "", SUMIF(MatchScoutingData!$E$2:$E$996, $A33, MatchScoutingData!J$2:J$996), "")</f>
        <v>16</v>
      </c>
      <c r="H33" s="9">
        <f>IF($A33&lt;&gt; "", SUMIF(MatchScoutingData!$E$2:$E$996, $A33, MatchScoutingData!K$2:K$996), "")</f>
        <v>26</v>
      </c>
      <c r="I33" s="9">
        <f>IF($A33&lt;&gt; "", SUMIF(MatchScoutingData!$E$2:$E$996, $A33, MatchScoutingData!L$2:L$996), "")</f>
        <v>5</v>
      </c>
      <c r="J33" s="9">
        <f>IF($A33&lt;&gt; "", SUMIF(MatchScoutingData!$E$2:$E$996, $A33, MatchScoutingData!M$2:M$996), "")</f>
        <v>3</v>
      </c>
      <c r="K33" s="9">
        <f>IF($A33&lt;&gt; "", SUMIF(MatchScoutingData!$E$2:$E$996, $A33, MatchScoutingData!N$2:N$996), "")</f>
        <v>6</v>
      </c>
      <c r="L33" s="9">
        <f>IF($A33&lt;&gt; "", SUMIF(MatchScoutingData!$E$2:$E$996, $A33, MatchScoutingData!O$2:O$996), "")</f>
        <v>5</v>
      </c>
      <c r="M33" s="9">
        <f>IF($A33&lt;&gt; "", SUMIF(MatchScoutingData!$E$2:$E$996, $A33, MatchScoutingData!P$2:P$996), "")</f>
        <v>4</v>
      </c>
      <c r="N33" s="9">
        <f>IF($A33&lt;&gt; "", SUMIF(MatchScoutingData!$E$2:$E$996, $A33, MatchScoutingData!Q$2:Q$996), "")</f>
        <v>6</v>
      </c>
      <c r="O33" s="9">
        <f>IF($A33&lt;&gt; "", SUMIF(MatchScoutingData!$E$2:$E$996, $A33, MatchScoutingData!R$2:R$996), "")</f>
        <v>5</v>
      </c>
      <c r="P33" s="9">
        <f>IF($A33&lt;&gt; "", SUMIF(MatchScoutingData!$E$2:$E$996, $A33, MatchScoutingData!S$2:S$996), "")</f>
        <v>8</v>
      </c>
      <c r="Q33" s="9">
        <f>IF($A33&lt;&gt; "", SUMIF(MatchScoutingData!$E$2:$E$996, $A33, MatchScoutingData!T$2:T$996), "")</f>
        <v>2</v>
      </c>
      <c r="R33" s="9">
        <f>IF($A33&lt;&gt; "", SUMIF(MatchScoutingData!$E$2:$E$996, $A33, MatchScoutingData!U$2:U$996), "")</f>
        <v>5</v>
      </c>
      <c r="S33" s="9">
        <f>IF($A33&lt;&gt; "", SUMIF(MatchScoutingData!$E$2:$E$996, $A33, MatchScoutingData!V$2:V$996), "")</f>
        <v>5</v>
      </c>
      <c r="T33" s="9">
        <f>IF($A33&lt;&gt; "", SUMIF(MatchScoutingData!$E$2:$E$996, $A33, MatchScoutingData!W$2:W$996), "")</f>
        <v>4</v>
      </c>
      <c r="U33" s="9">
        <f>IF($A33&lt;&gt; "", SUMIF(MatchScoutingData!$E$2:$E$996, $A33, MatchScoutingData!X$2:X$996), "")</f>
        <v>1784</v>
      </c>
      <c r="V33" s="9">
        <f t="shared" si="0"/>
        <v>14</v>
      </c>
      <c r="W33" s="9">
        <f t="shared" si="1"/>
        <v>29</v>
      </c>
      <c r="X33" s="9">
        <f t="shared" si="2"/>
        <v>90</v>
      </c>
      <c r="Y33" s="9">
        <f t="shared" si="3"/>
        <v>19</v>
      </c>
      <c r="Z33" s="9">
        <f t="shared" si="4"/>
        <v>1814</v>
      </c>
      <c r="AA33" s="9">
        <f t="shared" si="5"/>
        <v>1952</v>
      </c>
    </row>
    <row r="34" spans="1:27" x14ac:dyDescent="0.2">
      <c r="A34" s="78">
        <f>IF('TBA-Teams'!A33 &lt;&gt; "", 'TBA-Teams'!A33, "")</f>
        <v>3003</v>
      </c>
      <c r="B34" s="9">
        <f>IF(A34 &lt;&gt; "", COUNTIF(MatchScoutingData!E$2:E$996, $A34), "")</f>
        <v>9</v>
      </c>
      <c r="C34" s="9">
        <f>IF($A34&lt;&gt; "", SUMIF(MatchScoutingData!$E$2:$E$996, $A34, MatchScoutingData!F$2:F$996), "")</f>
        <v>4</v>
      </c>
      <c r="D34" s="9">
        <f>IF($A34&lt;&gt; "", SUMIF(MatchScoutingData!$E$2:$E$996, $A34, MatchScoutingData!G$2:G$996), "")</f>
        <v>-3</v>
      </c>
      <c r="E34" s="9">
        <f>IF($A34&lt;&gt; "", SUMIF(MatchScoutingData!$E$2:$E$996, $A34, MatchScoutingData!H$2:H$996), "")</f>
        <v>31</v>
      </c>
      <c r="F34" s="9">
        <f>IF($A34&lt;&gt; "", SUMIF(MatchScoutingData!$E$2:$E$996, $A34, MatchScoutingData!I$2:I$996), "")</f>
        <v>19</v>
      </c>
      <c r="G34" s="9">
        <f>IF($A34&lt;&gt; "", SUMIF(MatchScoutingData!$E$2:$E$996, $A34, MatchScoutingData!J$2:J$996), "")</f>
        <v>22</v>
      </c>
      <c r="H34" s="9">
        <f>IF($A34&lt;&gt; "", SUMIF(MatchScoutingData!$E$2:$E$996, $A34, MatchScoutingData!K$2:K$996), "")</f>
        <v>26</v>
      </c>
      <c r="I34" s="9">
        <f>IF($A34&lt;&gt; "", SUMIF(MatchScoutingData!$E$2:$E$996, $A34, MatchScoutingData!L$2:L$996), "")</f>
        <v>3</v>
      </c>
      <c r="J34" s="9">
        <f>IF($A34&lt;&gt; "", SUMIF(MatchScoutingData!$E$2:$E$996, $A34, MatchScoutingData!M$2:M$996), "")</f>
        <v>7</v>
      </c>
      <c r="K34" s="9">
        <f>IF($A34&lt;&gt; "", SUMIF(MatchScoutingData!$E$2:$E$996, $A34, MatchScoutingData!N$2:N$996), "")</f>
        <v>2</v>
      </c>
      <c r="L34" s="9">
        <f>IF($A34&lt;&gt; "", SUMIF(MatchScoutingData!$E$2:$E$996, $A34, MatchScoutingData!O$2:O$996), "")</f>
        <v>5</v>
      </c>
      <c r="M34" s="9">
        <f>IF($A34&lt;&gt; "", SUMIF(MatchScoutingData!$E$2:$E$996, $A34, MatchScoutingData!P$2:P$996), "")</f>
        <v>5</v>
      </c>
      <c r="N34" s="9">
        <f>IF($A34&lt;&gt; "", SUMIF(MatchScoutingData!$E$2:$E$996, $A34, MatchScoutingData!Q$2:Q$996), "")</f>
        <v>5</v>
      </c>
      <c r="O34" s="9">
        <f>IF($A34&lt;&gt; "", SUMIF(MatchScoutingData!$E$2:$E$996, $A34, MatchScoutingData!R$2:R$996), "")</f>
        <v>3</v>
      </c>
      <c r="P34" s="9">
        <f>IF($A34&lt;&gt; "", SUMIF(MatchScoutingData!$E$2:$E$996, $A34, MatchScoutingData!S$2:S$996), "")</f>
        <v>18</v>
      </c>
      <c r="Q34" s="9">
        <f>IF($A34&lt;&gt; "", SUMIF(MatchScoutingData!$E$2:$E$996, $A34, MatchScoutingData!T$2:T$996), "")</f>
        <v>-3</v>
      </c>
      <c r="R34" s="9">
        <f>IF($A34&lt;&gt; "", SUMIF(MatchScoutingData!$E$2:$E$996, $A34, MatchScoutingData!U$2:U$996), "")</f>
        <v>4</v>
      </c>
      <c r="S34" s="9">
        <f>IF($A34&lt;&gt; "", SUMIF(MatchScoutingData!$E$2:$E$996, $A34, MatchScoutingData!V$2:V$996), "")</f>
        <v>7</v>
      </c>
      <c r="T34" s="9">
        <f>IF($A34&lt;&gt; "", SUMIF(MatchScoutingData!$E$2:$E$996, $A34, MatchScoutingData!W$2:W$996), "")</f>
        <v>5</v>
      </c>
      <c r="U34" s="9">
        <f>IF($A34&lt;&gt; "", SUMIF(MatchScoutingData!$E$2:$E$996, $A34, MatchScoutingData!X$2:X$996), "")</f>
        <v>3378</v>
      </c>
      <c r="V34" s="9">
        <f t="shared" si="0"/>
        <v>16</v>
      </c>
      <c r="W34" s="9">
        <f t="shared" si="1"/>
        <v>32</v>
      </c>
      <c r="X34" s="9">
        <f t="shared" si="2"/>
        <v>89</v>
      </c>
      <c r="Y34" s="9">
        <f t="shared" si="3"/>
        <v>26</v>
      </c>
      <c r="Z34" s="9">
        <f t="shared" si="4"/>
        <v>3407</v>
      </c>
      <c r="AA34" s="9">
        <f t="shared" si="5"/>
        <v>3554</v>
      </c>
    </row>
    <row r="35" spans="1:27" x14ac:dyDescent="0.2">
      <c r="A35" s="78">
        <f>IF('TBA-Teams'!A34 &lt;&gt; "", 'TBA-Teams'!A34, "")</f>
        <v>3015</v>
      </c>
      <c r="B35" s="9">
        <f>IF(A35 &lt;&gt; "", COUNTIF(MatchScoutingData!E$2:E$996, $A35), "")</f>
        <v>9</v>
      </c>
      <c r="C35" s="9">
        <f>IF($A35&lt;&gt; "", SUMIF(MatchScoutingData!$E$2:$E$996, $A35, MatchScoutingData!F$2:F$996), "")</f>
        <v>2</v>
      </c>
      <c r="D35" s="9">
        <f>IF($A35&lt;&gt; "", SUMIF(MatchScoutingData!$E$2:$E$996, $A35, MatchScoutingData!G$2:G$996), "")</f>
        <v>1</v>
      </c>
      <c r="E35" s="9">
        <f>IF($A35&lt;&gt; "", SUMIF(MatchScoutingData!$E$2:$E$996, $A35, MatchScoutingData!H$2:H$996), "")</f>
        <v>27</v>
      </c>
      <c r="F35" s="9">
        <f>IF($A35&lt;&gt; "", SUMIF(MatchScoutingData!$E$2:$E$996, $A35, MatchScoutingData!I$2:I$996), "")</f>
        <v>18</v>
      </c>
      <c r="G35" s="9">
        <f>IF($A35&lt;&gt; "", SUMIF(MatchScoutingData!$E$2:$E$996, $A35, MatchScoutingData!J$2:J$996), "")</f>
        <v>15</v>
      </c>
      <c r="H35" s="9">
        <f>IF($A35&lt;&gt; "", SUMIF(MatchScoutingData!$E$2:$E$996, $A35, MatchScoutingData!K$2:K$996), "")</f>
        <v>33</v>
      </c>
      <c r="I35" s="9">
        <f>IF($A35&lt;&gt; "", SUMIF(MatchScoutingData!$E$2:$E$996, $A35, MatchScoutingData!L$2:L$996), "")</f>
        <v>5</v>
      </c>
      <c r="J35" s="9">
        <f>IF($A35&lt;&gt; "", SUMIF(MatchScoutingData!$E$2:$E$996, $A35, MatchScoutingData!M$2:M$996), "")</f>
        <v>5</v>
      </c>
      <c r="K35" s="9">
        <f>IF($A35&lt;&gt; "", SUMIF(MatchScoutingData!$E$2:$E$996, $A35, MatchScoutingData!N$2:N$996), "")</f>
        <v>5</v>
      </c>
      <c r="L35" s="9">
        <f>IF($A35&lt;&gt; "", SUMIF(MatchScoutingData!$E$2:$E$996, $A35, MatchScoutingData!O$2:O$996), "")</f>
        <v>4</v>
      </c>
      <c r="M35" s="9">
        <f>IF($A35&lt;&gt; "", SUMIF(MatchScoutingData!$E$2:$E$996, $A35, MatchScoutingData!P$2:P$996), "")</f>
        <v>4</v>
      </c>
      <c r="N35" s="9">
        <f>IF($A35&lt;&gt; "", SUMIF(MatchScoutingData!$E$2:$E$996, $A35, MatchScoutingData!Q$2:Q$996), "")</f>
        <v>3</v>
      </c>
      <c r="O35" s="9">
        <f>IF($A35&lt;&gt; "", SUMIF(MatchScoutingData!$E$2:$E$996, $A35, MatchScoutingData!R$2:R$996), "")</f>
        <v>2</v>
      </c>
      <c r="P35" s="9">
        <f>IF($A35&lt;&gt; "", SUMIF(MatchScoutingData!$E$2:$E$996, $A35, MatchScoutingData!S$2:S$996), "")</f>
        <v>16</v>
      </c>
      <c r="Q35" s="9">
        <f>IF($A35&lt;&gt; "", SUMIF(MatchScoutingData!$E$2:$E$996, $A35, MatchScoutingData!T$2:T$996), "")</f>
        <v>4</v>
      </c>
      <c r="R35" s="9">
        <f>IF($A35&lt;&gt; "", SUMIF(MatchScoutingData!$E$2:$E$996, $A35, MatchScoutingData!U$2:U$996), "")</f>
        <v>4</v>
      </c>
      <c r="S35" s="9">
        <f>IF($A35&lt;&gt; "", SUMIF(MatchScoutingData!$E$2:$E$996, $A35, MatchScoutingData!V$2:V$996), "")</f>
        <v>5</v>
      </c>
      <c r="T35" s="9">
        <f>IF($A35&lt;&gt; "", SUMIF(MatchScoutingData!$E$2:$E$996, $A35, MatchScoutingData!W$2:W$996), "")</f>
        <v>7</v>
      </c>
      <c r="U35" s="9">
        <f>IF($A35&lt;&gt; "", SUMIF(MatchScoutingData!$E$2:$E$996, $A35, MatchScoutingData!X$2:X$996), "")</f>
        <v>1913</v>
      </c>
      <c r="V35" s="9">
        <f t="shared" si="0"/>
        <v>16</v>
      </c>
      <c r="W35" s="9">
        <f t="shared" si="1"/>
        <v>30</v>
      </c>
      <c r="X35" s="9">
        <f t="shared" si="2"/>
        <v>89</v>
      </c>
      <c r="Y35" s="9">
        <f t="shared" si="3"/>
        <v>21</v>
      </c>
      <c r="Z35" s="9">
        <f t="shared" si="4"/>
        <v>1949</v>
      </c>
      <c r="AA35" s="9">
        <f t="shared" si="5"/>
        <v>2089</v>
      </c>
    </row>
    <row r="36" spans="1:27" x14ac:dyDescent="0.2">
      <c r="A36" s="78">
        <f>IF('TBA-Teams'!A35 &lt;&gt; "", 'TBA-Teams'!A35, "")</f>
        <v>3044</v>
      </c>
      <c r="B36" s="9">
        <f>IF(A36 &lt;&gt; "", COUNTIF(MatchScoutingData!E$2:E$996, $A36), "")</f>
        <v>9</v>
      </c>
      <c r="C36" s="9">
        <f>IF($A36&lt;&gt; "", SUMIF(MatchScoutingData!$E$2:$E$996, $A36, MatchScoutingData!F$2:F$996), "")</f>
        <v>4</v>
      </c>
      <c r="D36" s="9">
        <f>IF($A36&lt;&gt; "", SUMIF(MatchScoutingData!$E$2:$E$996, $A36, MatchScoutingData!G$2:G$996), "")</f>
        <v>2</v>
      </c>
      <c r="E36" s="9">
        <f>IF($A36&lt;&gt; "", SUMIF(MatchScoutingData!$E$2:$E$996, $A36, MatchScoutingData!H$2:H$996), "")</f>
        <v>33</v>
      </c>
      <c r="F36" s="9">
        <f>IF($A36&lt;&gt; "", SUMIF(MatchScoutingData!$E$2:$E$996, $A36, MatchScoutingData!I$2:I$996), "")</f>
        <v>20</v>
      </c>
      <c r="G36" s="9">
        <f>IF($A36&lt;&gt; "", SUMIF(MatchScoutingData!$E$2:$E$996, $A36, MatchScoutingData!J$2:J$996), "")</f>
        <v>21</v>
      </c>
      <c r="H36" s="9">
        <f>IF($A36&lt;&gt; "", SUMIF(MatchScoutingData!$E$2:$E$996, $A36, MatchScoutingData!K$2:K$996), "")</f>
        <v>27</v>
      </c>
      <c r="I36" s="9">
        <f>IF($A36&lt;&gt; "", SUMIF(MatchScoutingData!$E$2:$E$996, $A36, MatchScoutingData!L$2:L$996), "")</f>
        <v>4</v>
      </c>
      <c r="J36" s="9">
        <f>IF($A36&lt;&gt; "", SUMIF(MatchScoutingData!$E$2:$E$996, $A36, MatchScoutingData!M$2:M$996), "")</f>
        <v>7</v>
      </c>
      <c r="K36" s="9">
        <f>IF($A36&lt;&gt; "", SUMIF(MatchScoutingData!$E$2:$E$996, $A36, MatchScoutingData!N$2:N$996), "")</f>
        <v>5</v>
      </c>
      <c r="L36" s="9">
        <f>IF($A36&lt;&gt; "", SUMIF(MatchScoutingData!$E$2:$E$996, $A36, MatchScoutingData!O$2:O$996), "")</f>
        <v>5</v>
      </c>
      <c r="M36" s="9">
        <f>IF($A36&lt;&gt; "", SUMIF(MatchScoutingData!$E$2:$E$996, $A36, MatchScoutingData!P$2:P$996), "")</f>
        <v>7</v>
      </c>
      <c r="N36" s="9">
        <f>IF($A36&lt;&gt; "", SUMIF(MatchScoutingData!$E$2:$E$996, $A36, MatchScoutingData!Q$2:Q$996), "")</f>
        <v>2</v>
      </c>
      <c r="O36" s="9">
        <f>IF($A36&lt;&gt; "", SUMIF(MatchScoutingData!$E$2:$E$996, $A36, MatchScoutingData!R$2:R$996), "")</f>
        <v>3</v>
      </c>
      <c r="P36" s="9">
        <f>IF($A36&lt;&gt; "", SUMIF(MatchScoutingData!$E$2:$E$996, $A36, MatchScoutingData!S$2:S$996), "")</f>
        <v>17</v>
      </c>
      <c r="Q36" s="9">
        <f>IF($A36&lt;&gt; "", SUMIF(MatchScoutingData!$E$2:$E$996, $A36, MatchScoutingData!T$2:T$996), "")</f>
        <v>4</v>
      </c>
      <c r="R36" s="9">
        <f>IF($A36&lt;&gt; "", SUMIF(MatchScoutingData!$E$2:$E$996, $A36, MatchScoutingData!U$2:U$996), "")</f>
        <v>6</v>
      </c>
      <c r="S36" s="9">
        <f>IF($A36&lt;&gt; "", SUMIF(MatchScoutingData!$E$2:$E$996, $A36, MatchScoutingData!V$2:V$996), "")</f>
        <v>3</v>
      </c>
      <c r="T36" s="9">
        <f>IF($A36&lt;&gt; "", SUMIF(MatchScoutingData!$E$2:$E$996, $A36, MatchScoutingData!W$2:W$996), "")</f>
        <v>2</v>
      </c>
      <c r="U36" s="9">
        <f>IF($A36&lt;&gt; "", SUMIF(MatchScoutingData!$E$2:$E$996, $A36, MatchScoutingData!X$2:X$996), "")</f>
        <v>1768</v>
      </c>
      <c r="V36" s="9">
        <f t="shared" si="0"/>
        <v>11</v>
      </c>
      <c r="W36" s="9">
        <f t="shared" si="1"/>
        <v>39</v>
      </c>
      <c r="X36" s="9">
        <f t="shared" si="2"/>
        <v>96</v>
      </c>
      <c r="Y36" s="9">
        <f t="shared" si="3"/>
        <v>22</v>
      </c>
      <c r="Z36" s="9">
        <f t="shared" si="4"/>
        <v>1794</v>
      </c>
      <c r="AA36" s="9">
        <f t="shared" si="5"/>
        <v>1951</v>
      </c>
    </row>
    <row r="37" spans="1:27" x14ac:dyDescent="0.2">
      <c r="A37" s="78">
        <f>IF('TBA-Teams'!A36 &lt;&gt; "", 'TBA-Teams'!A36, "")</f>
        <v>3173</v>
      </c>
      <c r="B37" s="9">
        <f>IF(A37 &lt;&gt; "", COUNTIF(MatchScoutingData!E$2:E$996, $A37), "")</f>
        <v>9</v>
      </c>
      <c r="C37" s="9">
        <f>IF($A37&lt;&gt; "", SUMIF(MatchScoutingData!$E$2:$E$996, $A37, MatchScoutingData!F$2:F$996), "")</f>
        <v>6</v>
      </c>
      <c r="D37" s="9">
        <f>IF($A37&lt;&gt; "", SUMIF(MatchScoutingData!$E$2:$E$996, $A37, MatchScoutingData!G$2:G$996), "")</f>
        <v>2</v>
      </c>
      <c r="E37" s="9">
        <f>IF($A37&lt;&gt; "", SUMIF(MatchScoutingData!$E$2:$E$996, $A37, MatchScoutingData!H$2:H$996), "")</f>
        <v>22</v>
      </c>
      <c r="F37" s="9">
        <f>IF($A37&lt;&gt; "", SUMIF(MatchScoutingData!$E$2:$E$996, $A37, MatchScoutingData!I$2:I$996), "")</f>
        <v>20</v>
      </c>
      <c r="G37" s="9">
        <f>IF($A37&lt;&gt; "", SUMIF(MatchScoutingData!$E$2:$E$996, $A37, MatchScoutingData!J$2:J$996), "")</f>
        <v>16</v>
      </c>
      <c r="H37" s="9">
        <f>IF($A37&lt;&gt; "", SUMIF(MatchScoutingData!$E$2:$E$996, $A37, MatchScoutingData!K$2:K$996), "")</f>
        <v>19</v>
      </c>
      <c r="I37" s="9">
        <f>IF($A37&lt;&gt; "", SUMIF(MatchScoutingData!$E$2:$E$996, $A37, MatchScoutingData!L$2:L$996), "")</f>
        <v>5</v>
      </c>
      <c r="J37" s="9">
        <f>IF($A37&lt;&gt; "", SUMIF(MatchScoutingData!$E$2:$E$996, $A37, MatchScoutingData!M$2:M$996), "")</f>
        <v>4</v>
      </c>
      <c r="K37" s="9">
        <f>IF($A37&lt;&gt; "", SUMIF(MatchScoutingData!$E$2:$E$996, $A37, MatchScoutingData!N$2:N$996), "")</f>
        <v>2</v>
      </c>
      <c r="L37" s="9">
        <f>IF($A37&lt;&gt; "", SUMIF(MatchScoutingData!$E$2:$E$996, $A37, MatchScoutingData!O$2:O$996), "")</f>
        <v>4</v>
      </c>
      <c r="M37" s="9">
        <f>IF($A37&lt;&gt; "", SUMIF(MatchScoutingData!$E$2:$E$996, $A37, MatchScoutingData!P$2:P$996), "")</f>
        <v>5</v>
      </c>
      <c r="N37" s="9">
        <f>IF($A37&lt;&gt; "", SUMIF(MatchScoutingData!$E$2:$E$996, $A37, MatchScoutingData!Q$2:Q$996), "")</f>
        <v>4</v>
      </c>
      <c r="O37" s="9">
        <f>IF($A37&lt;&gt; "", SUMIF(MatchScoutingData!$E$2:$E$996, $A37, MatchScoutingData!R$2:R$996), "")</f>
        <v>4</v>
      </c>
      <c r="P37" s="9">
        <f>IF($A37&lt;&gt; "", SUMIF(MatchScoutingData!$E$2:$E$996, $A37, MatchScoutingData!S$2:S$996), "")</f>
        <v>22</v>
      </c>
      <c r="Q37" s="9">
        <f>IF($A37&lt;&gt; "", SUMIF(MatchScoutingData!$E$2:$E$996, $A37, MatchScoutingData!T$2:T$996), "")</f>
        <v>1</v>
      </c>
      <c r="R37" s="9">
        <f>IF($A37&lt;&gt; "", SUMIF(MatchScoutingData!$E$2:$E$996, $A37, MatchScoutingData!U$2:U$996), "")</f>
        <v>5</v>
      </c>
      <c r="S37" s="9">
        <f>IF($A37&lt;&gt; "", SUMIF(MatchScoutingData!$E$2:$E$996, $A37, MatchScoutingData!V$2:V$996), "")</f>
        <v>3</v>
      </c>
      <c r="T37" s="9">
        <f>IF($A37&lt;&gt; "", SUMIF(MatchScoutingData!$E$2:$E$996, $A37, MatchScoutingData!W$2:W$996), "")</f>
        <v>7</v>
      </c>
      <c r="U37" s="9">
        <f>IF($A37&lt;&gt; "", SUMIF(MatchScoutingData!$E$2:$E$996, $A37, MatchScoutingData!X$2:X$996), "")</f>
        <v>2332</v>
      </c>
      <c r="V37" s="9">
        <f t="shared" si="0"/>
        <v>15</v>
      </c>
      <c r="W37" s="9">
        <f t="shared" si="1"/>
        <v>30</v>
      </c>
      <c r="X37" s="9">
        <f t="shared" si="2"/>
        <v>75</v>
      </c>
      <c r="Y37" s="9">
        <f t="shared" si="3"/>
        <v>30</v>
      </c>
      <c r="Z37" s="9">
        <f t="shared" si="4"/>
        <v>2363</v>
      </c>
      <c r="AA37" s="9">
        <f t="shared" si="5"/>
        <v>2498</v>
      </c>
    </row>
    <row r="38" spans="1:27" x14ac:dyDescent="0.2">
      <c r="A38" s="78">
        <f>IF('TBA-Teams'!A37 &lt;&gt; "", 'TBA-Teams'!A37, "")</f>
        <v>3181</v>
      </c>
      <c r="B38" s="9">
        <f>IF(A38 &lt;&gt; "", COUNTIF(MatchScoutingData!E$2:E$996, $A38), "")</f>
        <v>9</v>
      </c>
      <c r="C38" s="9">
        <f>IF($A38&lt;&gt; "", SUMIF(MatchScoutingData!$E$2:$E$996, $A38, MatchScoutingData!F$2:F$996), "")</f>
        <v>5</v>
      </c>
      <c r="D38" s="9">
        <f>IF($A38&lt;&gt; "", SUMIF(MatchScoutingData!$E$2:$E$996, $A38, MatchScoutingData!G$2:G$996), "")</f>
        <v>-2</v>
      </c>
      <c r="E38" s="9">
        <f>IF($A38&lt;&gt; "", SUMIF(MatchScoutingData!$E$2:$E$996, $A38, MatchScoutingData!H$2:H$996), "")</f>
        <v>27</v>
      </c>
      <c r="F38" s="9">
        <f>IF($A38&lt;&gt; "", SUMIF(MatchScoutingData!$E$2:$E$996, $A38, MatchScoutingData!I$2:I$996), "")</f>
        <v>18</v>
      </c>
      <c r="G38" s="9">
        <f>IF($A38&lt;&gt; "", SUMIF(MatchScoutingData!$E$2:$E$996, $A38, MatchScoutingData!J$2:J$996), "")</f>
        <v>19</v>
      </c>
      <c r="H38" s="9">
        <f>IF($A38&lt;&gt; "", SUMIF(MatchScoutingData!$E$2:$E$996, $A38, MatchScoutingData!K$2:K$996), "")</f>
        <v>29</v>
      </c>
      <c r="I38" s="9">
        <f>IF($A38&lt;&gt; "", SUMIF(MatchScoutingData!$E$2:$E$996, $A38, MatchScoutingData!L$2:L$996), "")</f>
        <v>4</v>
      </c>
      <c r="J38" s="9">
        <f>IF($A38&lt;&gt; "", SUMIF(MatchScoutingData!$E$2:$E$996, $A38, MatchScoutingData!M$2:M$996), "")</f>
        <v>5</v>
      </c>
      <c r="K38" s="9">
        <f>IF($A38&lt;&gt; "", SUMIF(MatchScoutingData!$E$2:$E$996, $A38, MatchScoutingData!N$2:N$996), "")</f>
        <v>3</v>
      </c>
      <c r="L38" s="9">
        <f>IF($A38&lt;&gt; "", SUMIF(MatchScoutingData!$E$2:$E$996, $A38, MatchScoutingData!O$2:O$996), "")</f>
        <v>9</v>
      </c>
      <c r="M38" s="9">
        <f>IF($A38&lt;&gt; "", SUMIF(MatchScoutingData!$E$2:$E$996, $A38, MatchScoutingData!P$2:P$996), "")</f>
        <v>6</v>
      </c>
      <c r="N38" s="9">
        <f>IF($A38&lt;&gt; "", SUMIF(MatchScoutingData!$E$2:$E$996, $A38, MatchScoutingData!Q$2:Q$996), "")</f>
        <v>5</v>
      </c>
      <c r="O38" s="9">
        <f>IF($A38&lt;&gt; "", SUMIF(MatchScoutingData!$E$2:$E$996, $A38, MatchScoutingData!R$2:R$996), "")</f>
        <v>6</v>
      </c>
      <c r="P38" s="9">
        <f>IF($A38&lt;&gt; "", SUMIF(MatchScoutingData!$E$2:$E$996, $A38, MatchScoutingData!S$2:S$996), "")</f>
        <v>23</v>
      </c>
      <c r="Q38" s="9">
        <f>IF($A38&lt;&gt; "", SUMIF(MatchScoutingData!$E$2:$E$996, $A38, MatchScoutingData!T$2:T$996), "")</f>
        <v>-3</v>
      </c>
      <c r="R38" s="9">
        <f>IF($A38&lt;&gt; "", SUMIF(MatchScoutingData!$E$2:$E$996, $A38, MatchScoutingData!U$2:U$996), "")</f>
        <v>1</v>
      </c>
      <c r="S38" s="9">
        <f>IF($A38&lt;&gt; "", SUMIF(MatchScoutingData!$E$2:$E$996, $A38, MatchScoutingData!V$2:V$996), "")</f>
        <v>6</v>
      </c>
      <c r="T38" s="9">
        <f>IF($A38&lt;&gt; "", SUMIF(MatchScoutingData!$E$2:$E$996, $A38, MatchScoutingData!W$2:W$996), "")</f>
        <v>3</v>
      </c>
      <c r="U38" s="9">
        <f>IF($A38&lt;&gt; "", SUMIF(MatchScoutingData!$E$2:$E$996, $A38, MatchScoutingData!X$2:X$996), "")</f>
        <v>2323</v>
      </c>
      <c r="V38" s="9">
        <f t="shared" si="0"/>
        <v>10</v>
      </c>
      <c r="W38" s="9">
        <f t="shared" si="1"/>
        <v>30</v>
      </c>
      <c r="X38" s="9">
        <f t="shared" si="2"/>
        <v>93</v>
      </c>
      <c r="Y38" s="9">
        <f t="shared" si="3"/>
        <v>34</v>
      </c>
      <c r="Z38" s="9">
        <f t="shared" si="4"/>
        <v>2340</v>
      </c>
      <c r="AA38" s="9">
        <f t="shared" si="5"/>
        <v>2497</v>
      </c>
    </row>
    <row r="39" spans="1:27" x14ac:dyDescent="0.2">
      <c r="A39" s="78">
        <f>IF('TBA-Teams'!A38 &lt;&gt; "", 'TBA-Teams'!A38, "")</f>
        <v>3799</v>
      </c>
      <c r="B39" s="9">
        <f>IF(A39 &lt;&gt; "", COUNTIF(MatchScoutingData!E$2:E$996, $A39), "")</f>
        <v>9</v>
      </c>
      <c r="C39" s="9">
        <f>IF($A39&lt;&gt; "", SUMIF(MatchScoutingData!$E$2:$E$996, $A39, MatchScoutingData!F$2:F$996), "")</f>
        <v>5</v>
      </c>
      <c r="D39" s="9">
        <f>IF($A39&lt;&gt; "", SUMIF(MatchScoutingData!$E$2:$E$996, $A39, MatchScoutingData!G$2:G$996), "")</f>
        <v>1</v>
      </c>
      <c r="E39" s="9">
        <f>IF($A39&lt;&gt; "", SUMIF(MatchScoutingData!$E$2:$E$996, $A39, MatchScoutingData!H$2:H$996), "")</f>
        <v>28</v>
      </c>
      <c r="F39" s="9">
        <f>IF($A39&lt;&gt; "", SUMIF(MatchScoutingData!$E$2:$E$996, $A39, MatchScoutingData!I$2:I$996), "")</f>
        <v>21</v>
      </c>
      <c r="G39" s="9">
        <f>IF($A39&lt;&gt; "", SUMIF(MatchScoutingData!$E$2:$E$996, $A39, MatchScoutingData!J$2:J$996), "")</f>
        <v>17</v>
      </c>
      <c r="H39" s="9">
        <f>IF($A39&lt;&gt; "", SUMIF(MatchScoutingData!$E$2:$E$996, $A39, MatchScoutingData!K$2:K$996), "")</f>
        <v>19</v>
      </c>
      <c r="I39" s="9">
        <f>IF($A39&lt;&gt; "", SUMIF(MatchScoutingData!$E$2:$E$996, $A39, MatchScoutingData!L$2:L$996), "")</f>
        <v>4</v>
      </c>
      <c r="J39" s="9">
        <f>IF($A39&lt;&gt; "", SUMIF(MatchScoutingData!$E$2:$E$996, $A39, MatchScoutingData!M$2:M$996), "")</f>
        <v>6</v>
      </c>
      <c r="K39" s="9">
        <f>IF($A39&lt;&gt; "", SUMIF(MatchScoutingData!$E$2:$E$996, $A39, MatchScoutingData!N$2:N$996), "")</f>
        <v>7</v>
      </c>
      <c r="L39" s="9">
        <f>IF($A39&lt;&gt; "", SUMIF(MatchScoutingData!$E$2:$E$996, $A39, MatchScoutingData!O$2:O$996), "")</f>
        <v>4</v>
      </c>
      <c r="M39" s="9">
        <f>IF($A39&lt;&gt; "", SUMIF(MatchScoutingData!$E$2:$E$996, $A39, MatchScoutingData!P$2:P$996), "")</f>
        <v>2</v>
      </c>
      <c r="N39" s="9">
        <f>IF($A39&lt;&gt; "", SUMIF(MatchScoutingData!$E$2:$E$996, $A39, MatchScoutingData!Q$2:Q$996), "")</f>
        <v>6</v>
      </c>
      <c r="O39" s="9">
        <f>IF($A39&lt;&gt; "", SUMIF(MatchScoutingData!$E$2:$E$996, $A39, MatchScoutingData!R$2:R$996), "")</f>
        <v>3</v>
      </c>
      <c r="P39" s="9">
        <f>IF($A39&lt;&gt; "", SUMIF(MatchScoutingData!$E$2:$E$996, $A39, MatchScoutingData!S$2:S$996), "")</f>
        <v>19</v>
      </c>
      <c r="Q39" s="9">
        <f>IF($A39&lt;&gt; "", SUMIF(MatchScoutingData!$E$2:$E$996, $A39, MatchScoutingData!T$2:T$996), "")</f>
        <v>3</v>
      </c>
      <c r="R39" s="9">
        <f>IF($A39&lt;&gt; "", SUMIF(MatchScoutingData!$E$2:$E$996, $A39, MatchScoutingData!U$2:U$996), "")</f>
        <v>3</v>
      </c>
      <c r="S39" s="9">
        <f>IF($A39&lt;&gt; "", SUMIF(MatchScoutingData!$E$2:$E$996, $A39, MatchScoutingData!V$2:V$996), "")</f>
        <v>3</v>
      </c>
      <c r="T39" s="9">
        <f>IF($A39&lt;&gt; "", SUMIF(MatchScoutingData!$E$2:$E$996, $A39, MatchScoutingData!W$2:W$996), "")</f>
        <v>4</v>
      </c>
      <c r="U39" s="9">
        <f>IF($A39&lt;&gt; "", SUMIF(MatchScoutingData!$E$2:$E$996, $A39, MatchScoutingData!X$2:X$996), "")</f>
        <v>2523</v>
      </c>
      <c r="V39" s="9">
        <f t="shared" si="0"/>
        <v>10</v>
      </c>
      <c r="W39" s="9">
        <f t="shared" si="1"/>
        <v>34</v>
      </c>
      <c r="X39" s="9">
        <f t="shared" si="2"/>
        <v>80</v>
      </c>
      <c r="Y39" s="9">
        <f t="shared" si="3"/>
        <v>28</v>
      </c>
      <c r="Z39" s="9">
        <f t="shared" si="4"/>
        <v>2546</v>
      </c>
      <c r="AA39" s="9">
        <f t="shared" si="5"/>
        <v>2688</v>
      </c>
    </row>
    <row r="40" spans="1:27" x14ac:dyDescent="0.2">
      <c r="A40" s="78">
        <f>IF('TBA-Teams'!A39 &lt;&gt; "", 'TBA-Teams'!A39, "")</f>
        <v>3838</v>
      </c>
      <c r="B40" s="9">
        <f>IF(A40 &lt;&gt; "", COUNTIF(MatchScoutingData!E$2:E$996, $A40), "")</f>
        <v>10</v>
      </c>
      <c r="C40" s="9">
        <f>IF($A40&lt;&gt; "", SUMIF(MatchScoutingData!$E$2:$E$996, $A40, MatchScoutingData!F$2:F$996), "")</f>
        <v>7</v>
      </c>
      <c r="D40" s="9">
        <f>IF($A40&lt;&gt; "", SUMIF(MatchScoutingData!$E$2:$E$996, $A40, MatchScoutingData!G$2:G$996), "")</f>
        <v>-5</v>
      </c>
      <c r="E40" s="9">
        <f>IF($A40&lt;&gt; "", SUMIF(MatchScoutingData!$E$2:$E$996, $A40, MatchScoutingData!H$2:H$996), "")</f>
        <v>24</v>
      </c>
      <c r="F40" s="9">
        <f>IF($A40&lt;&gt; "", SUMIF(MatchScoutingData!$E$2:$E$996, $A40, MatchScoutingData!I$2:I$996), "")</f>
        <v>22</v>
      </c>
      <c r="G40" s="9">
        <f>IF($A40&lt;&gt; "", SUMIF(MatchScoutingData!$E$2:$E$996, $A40, MatchScoutingData!J$2:J$996), "")</f>
        <v>20</v>
      </c>
      <c r="H40" s="9">
        <f>IF($A40&lt;&gt; "", SUMIF(MatchScoutingData!$E$2:$E$996, $A40, MatchScoutingData!K$2:K$996), "")</f>
        <v>32</v>
      </c>
      <c r="I40" s="9">
        <f>IF($A40&lt;&gt; "", SUMIF(MatchScoutingData!$E$2:$E$996, $A40, MatchScoutingData!L$2:L$996), "")</f>
        <v>7</v>
      </c>
      <c r="J40" s="9">
        <f>IF($A40&lt;&gt; "", SUMIF(MatchScoutingData!$E$2:$E$996, $A40, MatchScoutingData!M$2:M$996), "")</f>
        <v>6</v>
      </c>
      <c r="K40" s="9">
        <f>IF($A40&lt;&gt; "", SUMIF(MatchScoutingData!$E$2:$E$996, $A40, MatchScoutingData!N$2:N$996), "")</f>
        <v>4</v>
      </c>
      <c r="L40" s="9">
        <f>IF($A40&lt;&gt; "", SUMIF(MatchScoutingData!$E$2:$E$996, $A40, MatchScoutingData!O$2:O$996), "")</f>
        <v>5</v>
      </c>
      <c r="M40" s="9">
        <f>IF($A40&lt;&gt; "", SUMIF(MatchScoutingData!$E$2:$E$996, $A40, MatchScoutingData!P$2:P$996), "")</f>
        <v>8</v>
      </c>
      <c r="N40" s="9">
        <f>IF($A40&lt;&gt; "", SUMIF(MatchScoutingData!$E$2:$E$996, $A40, MatchScoutingData!Q$2:Q$996), "")</f>
        <v>7</v>
      </c>
      <c r="O40" s="9">
        <f>IF($A40&lt;&gt; "", SUMIF(MatchScoutingData!$E$2:$E$996, $A40, MatchScoutingData!R$2:R$996), "")</f>
        <v>5</v>
      </c>
      <c r="P40" s="9">
        <f>IF($A40&lt;&gt; "", SUMIF(MatchScoutingData!$E$2:$E$996, $A40, MatchScoutingData!S$2:S$996), "")</f>
        <v>14</v>
      </c>
      <c r="Q40" s="9">
        <f>IF($A40&lt;&gt; "", SUMIF(MatchScoutingData!$E$2:$E$996, $A40, MatchScoutingData!T$2:T$996), "")</f>
        <v>2</v>
      </c>
      <c r="R40" s="9">
        <f>IF($A40&lt;&gt; "", SUMIF(MatchScoutingData!$E$2:$E$996, $A40, MatchScoutingData!U$2:U$996), "")</f>
        <v>5</v>
      </c>
      <c r="S40" s="9">
        <f>IF($A40&lt;&gt; "", SUMIF(MatchScoutingData!$E$2:$E$996, $A40, MatchScoutingData!V$2:V$996), "")</f>
        <v>6</v>
      </c>
      <c r="T40" s="9">
        <f>IF($A40&lt;&gt; "", SUMIF(MatchScoutingData!$E$2:$E$996, $A40, MatchScoutingData!W$2:W$996), "")</f>
        <v>6</v>
      </c>
      <c r="U40" s="9">
        <f>IF($A40&lt;&gt; "", SUMIF(MatchScoutingData!$E$2:$E$996, $A40, MatchScoutingData!X$2:X$996), "")</f>
        <v>2509</v>
      </c>
      <c r="V40" s="9">
        <f t="shared" si="0"/>
        <v>17</v>
      </c>
      <c r="W40" s="9">
        <f t="shared" si="1"/>
        <v>26</v>
      </c>
      <c r="X40" s="9">
        <f t="shared" si="2"/>
        <v>104</v>
      </c>
      <c r="Y40" s="9">
        <f t="shared" si="3"/>
        <v>26</v>
      </c>
      <c r="Z40" s="9">
        <f t="shared" si="4"/>
        <v>2545</v>
      </c>
      <c r="AA40" s="9">
        <f t="shared" si="5"/>
        <v>2701</v>
      </c>
    </row>
    <row r="41" spans="1:27" x14ac:dyDescent="0.2">
      <c r="A41" s="78">
        <f>IF('TBA-Teams'!A40 &lt;&gt; "", 'TBA-Teams'!A40, "")</f>
        <v>3951</v>
      </c>
      <c r="B41" s="9">
        <f>IF(A41 &lt;&gt; "", COUNTIF(MatchScoutingData!E$2:E$996, $A41), "")</f>
        <v>9</v>
      </c>
      <c r="C41" s="9">
        <f>IF($A41&lt;&gt; "", SUMIF(MatchScoutingData!$E$2:$E$996, $A41, MatchScoutingData!F$2:F$996), "")</f>
        <v>2</v>
      </c>
      <c r="D41" s="9">
        <f>IF($A41&lt;&gt; "", SUMIF(MatchScoutingData!$E$2:$E$996, $A41, MatchScoutingData!G$2:G$996), "")</f>
        <v>0</v>
      </c>
      <c r="E41" s="9">
        <f>IF($A41&lt;&gt; "", SUMIF(MatchScoutingData!$E$2:$E$996, $A41, MatchScoutingData!H$2:H$996), "")</f>
        <v>26</v>
      </c>
      <c r="F41" s="9">
        <f>IF($A41&lt;&gt; "", SUMIF(MatchScoutingData!$E$2:$E$996, $A41, MatchScoutingData!I$2:I$996), "")</f>
        <v>16</v>
      </c>
      <c r="G41" s="9">
        <f>IF($A41&lt;&gt; "", SUMIF(MatchScoutingData!$E$2:$E$996, $A41, MatchScoutingData!J$2:J$996), "")</f>
        <v>17</v>
      </c>
      <c r="H41" s="9">
        <f>IF($A41&lt;&gt; "", SUMIF(MatchScoutingData!$E$2:$E$996, $A41, MatchScoutingData!K$2:K$996), "")</f>
        <v>21</v>
      </c>
      <c r="I41" s="9">
        <f>IF($A41&lt;&gt; "", SUMIF(MatchScoutingData!$E$2:$E$996, $A41, MatchScoutingData!L$2:L$996), "")</f>
        <v>4</v>
      </c>
      <c r="J41" s="9">
        <f>IF($A41&lt;&gt; "", SUMIF(MatchScoutingData!$E$2:$E$996, $A41, MatchScoutingData!M$2:M$996), "")</f>
        <v>7</v>
      </c>
      <c r="K41" s="9">
        <f>IF($A41&lt;&gt; "", SUMIF(MatchScoutingData!$E$2:$E$996, $A41, MatchScoutingData!N$2:N$996), "")</f>
        <v>4</v>
      </c>
      <c r="L41" s="9">
        <f>IF($A41&lt;&gt; "", SUMIF(MatchScoutingData!$E$2:$E$996, $A41, MatchScoutingData!O$2:O$996), "")</f>
        <v>4</v>
      </c>
      <c r="M41" s="9">
        <f>IF($A41&lt;&gt; "", SUMIF(MatchScoutingData!$E$2:$E$996, $A41, MatchScoutingData!P$2:P$996), "")</f>
        <v>3</v>
      </c>
      <c r="N41" s="9">
        <f>IF($A41&lt;&gt; "", SUMIF(MatchScoutingData!$E$2:$E$996, $A41, MatchScoutingData!Q$2:Q$996), "")</f>
        <v>7</v>
      </c>
      <c r="O41" s="9">
        <f>IF($A41&lt;&gt; "", SUMIF(MatchScoutingData!$E$2:$E$996, $A41, MatchScoutingData!R$2:R$996), "")</f>
        <v>3</v>
      </c>
      <c r="P41" s="9">
        <f>IF($A41&lt;&gt; "", SUMIF(MatchScoutingData!$E$2:$E$996, $A41, MatchScoutingData!S$2:S$996), "")</f>
        <v>8</v>
      </c>
      <c r="Q41" s="9">
        <f>IF($A41&lt;&gt; "", SUMIF(MatchScoutingData!$E$2:$E$996, $A41, MatchScoutingData!T$2:T$996), "")</f>
        <v>0</v>
      </c>
      <c r="R41" s="9">
        <f>IF($A41&lt;&gt; "", SUMIF(MatchScoutingData!$E$2:$E$996, $A41, MatchScoutingData!U$2:U$996), "")</f>
        <v>4</v>
      </c>
      <c r="S41" s="9">
        <f>IF($A41&lt;&gt; "", SUMIF(MatchScoutingData!$E$2:$E$996, $A41, MatchScoutingData!V$2:V$996), "")</f>
        <v>6</v>
      </c>
      <c r="T41" s="9">
        <f>IF($A41&lt;&gt; "", SUMIF(MatchScoutingData!$E$2:$E$996, $A41, MatchScoutingData!W$2:W$996), "")</f>
        <v>3</v>
      </c>
      <c r="U41" s="9">
        <f>IF($A41&lt;&gt; "", SUMIF(MatchScoutingData!$E$2:$E$996, $A41, MatchScoutingData!X$2:X$996), "")</f>
        <v>2030</v>
      </c>
      <c r="V41" s="9">
        <f t="shared" si="0"/>
        <v>13</v>
      </c>
      <c r="W41" s="9">
        <f t="shared" si="1"/>
        <v>28</v>
      </c>
      <c r="X41" s="9">
        <f t="shared" si="2"/>
        <v>76</v>
      </c>
      <c r="Y41" s="9">
        <f t="shared" si="3"/>
        <v>18</v>
      </c>
      <c r="Z41" s="9">
        <f t="shared" si="4"/>
        <v>2056</v>
      </c>
      <c r="AA41" s="9">
        <f t="shared" si="5"/>
        <v>2178</v>
      </c>
    </row>
    <row r="42" spans="1:27" x14ac:dyDescent="0.2">
      <c r="A42" s="78">
        <f>IF('TBA-Teams'!A41 &lt;&gt; "", 'TBA-Teams'!A41, "")</f>
        <v>4093</v>
      </c>
      <c r="B42" s="9">
        <f>IF(A42 &lt;&gt; "", COUNTIF(MatchScoutingData!E$2:E$996, $A42), "")</f>
        <v>9</v>
      </c>
      <c r="C42" s="9">
        <f>IF($A42&lt;&gt; "", SUMIF(MatchScoutingData!$E$2:$E$996, $A42, MatchScoutingData!F$2:F$996), "")</f>
        <v>6</v>
      </c>
      <c r="D42" s="9">
        <f>IF($A42&lt;&gt; "", SUMIF(MatchScoutingData!$E$2:$E$996, $A42, MatchScoutingData!G$2:G$996), "")</f>
        <v>-2</v>
      </c>
      <c r="E42" s="9">
        <f>IF($A42&lt;&gt; "", SUMIF(MatchScoutingData!$E$2:$E$996, $A42, MatchScoutingData!H$2:H$996), "")</f>
        <v>26</v>
      </c>
      <c r="F42" s="9">
        <f>IF($A42&lt;&gt; "", SUMIF(MatchScoutingData!$E$2:$E$996, $A42, MatchScoutingData!I$2:I$996), "")</f>
        <v>17</v>
      </c>
      <c r="G42" s="9">
        <f>IF($A42&lt;&gt; "", SUMIF(MatchScoutingData!$E$2:$E$996, $A42, MatchScoutingData!J$2:J$996), "")</f>
        <v>18</v>
      </c>
      <c r="H42" s="9">
        <f>IF($A42&lt;&gt; "", SUMIF(MatchScoutingData!$E$2:$E$996, $A42, MatchScoutingData!K$2:K$996), "")</f>
        <v>19</v>
      </c>
      <c r="I42" s="9">
        <f>IF($A42&lt;&gt; "", SUMIF(MatchScoutingData!$E$2:$E$996, $A42, MatchScoutingData!L$2:L$996), "")</f>
        <v>3</v>
      </c>
      <c r="J42" s="9">
        <f>IF($A42&lt;&gt; "", SUMIF(MatchScoutingData!$E$2:$E$996, $A42, MatchScoutingData!M$2:M$996), "")</f>
        <v>2</v>
      </c>
      <c r="K42" s="9">
        <f>IF($A42&lt;&gt; "", SUMIF(MatchScoutingData!$E$2:$E$996, $A42, MatchScoutingData!N$2:N$996), "")</f>
        <v>5</v>
      </c>
      <c r="L42" s="9">
        <f>IF($A42&lt;&gt; "", SUMIF(MatchScoutingData!$E$2:$E$996, $A42, MatchScoutingData!O$2:O$996), "")</f>
        <v>6</v>
      </c>
      <c r="M42" s="9">
        <f>IF($A42&lt;&gt; "", SUMIF(MatchScoutingData!$E$2:$E$996, $A42, MatchScoutingData!P$2:P$996), "")</f>
        <v>5</v>
      </c>
      <c r="N42" s="9">
        <f>IF($A42&lt;&gt; "", SUMIF(MatchScoutingData!$E$2:$E$996, $A42, MatchScoutingData!Q$2:Q$996), "")</f>
        <v>3</v>
      </c>
      <c r="O42" s="9">
        <f>IF($A42&lt;&gt; "", SUMIF(MatchScoutingData!$E$2:$E$996, $A42, MatchScoutingData!R$2:R$996), "")</f>
        <v>4</v>
      </c>
      <c r="P42" s="9">
        <f>IF($A42&lt;&gt; "", SUMIF(MatchScoutingData!$E$2:$E$996, $A42, MatchScoutingData!S$2:S$996), "")</f>
        <v>14</v>
      </c>
      <c r="Q42" s="9">
        <f>IF($A42&lt;&gt; "", SUMIF(MatchScoutingData!$E$2:$E$996, $A42, MatchScoutingData!T$2:T$996), "")</f>
        <v>1</v>
      </c>
      <c r="R42" s="9">
        <f>IF($A42&lt;&gt; "", SUMIF(MatchScoutingData!$E$2:$E$996, $A42, MatchScoutingData!U$2:U$996), "")</f>
        <v>4</v>
      </c>
      <c r="S42" s="9">
        <f>IF($A42&lt;&gt; "", SUMIF(MatchScoutingData!$E$2:$E$996, $A42, MatchScoutingData!V$2:V$996), "")</f>
        <v>3</v>
      </c>
      <c r="T42" s="9">
        <f>IF($A42&lt;&gt; "", SUMIF(MatchScoutingData!$E$2:$E$996, $A42, MatchScoutingData!W$2:W$996), "")</f>
        <v>2</v>
      </c>
      <c r="U42" s="9">
        <f>IF($A42&lt;&gt; "", SUMIF(MatchScoutingData!$E$2:$E$996, $A42, MatchScoutingData!X$2:X$996), "")</f>
        <v>1752</v>
      </c>
      <c r="V42" s="9">
        <f t="shared" si="0"/>
        <v>9</v>
      </c>
      <c r="W42" s="9">
        <f t="shared" si="1"/>
        <v>30</v>
      </c>
      <c r="X42" s="9">
        <f t="shared" si="2"/>
        <v>75</v>
      </c>
      <c r="Y42" s="9">
        <f t="shared" si="3"/>
        <v>21</v>
      </c>
      <c r="Z42" s="9">
        <f t="shared" si="4"/>
        <v>1771</v>
      </c>
      <c r="AA42" s="9">
        <f t="shared" si="5"/>
        <v>1897</v>
      </c>
    </row>
    <row r="43" spans="1:27" x14ac:dyDescent="0.2">
      <c r="A43" s="78">
        <f>IF('TBA-Teams'!A42 &lt;&gt; "", 'TBA-Teams'!A42, "")</f>
        <v>4253</v>
      </c>
      <c r="B43" s="9">
        <f>IF(A43 &lt;&gt; "", COUNTIF(MatchScoutingData!E$2:E$996, $A43), "")</f>
        <v>9</v>
      </c>
      <c r="C43" s="9">
        <f>IF($A43&lt;&gt; "", SUMIF(MatchScoutingData!$E$2:$E$996, $A43, MatchScoutingData!F$2:F$996), "")</f>
        <v>2</v>
      </c>
      <c r="D43" s="9">
        <f>IF($A43&lt;&gt; "", SUMIF(MatchScoutingData!$E$2:$E$996, $A43, MatchScoutingData!G$2:G$996), "")</f>
        <v>1</v>
      </c>
      <c r="E43" s="9">
        <f>IF($A43&lt;&gt; "", SUMIF(MatchScoutingData!$E$2:$E$996, $A43, MatchScoutingData!H$2:H$996), "")</f>
        <v>21</v>
      </c>
      <c r="F43" s="9">
        <f>IF($A43&lt;&gt; "", SUMIF(MatchScoutingData!$E$2:$E$996, $A43, MatchScoutingData!I$2:I$996), "")</f>
        <v>17</v>
      </c>
      <c r="G43" s="9">
        <f>IF($A43&lt;&gt; "", SUMIF(MatchScoutingData!$E$2:$E$996, $A43, MatchScoutingData!J$2:J$996), "")</f>
        <v>18</v>
      </c>
      <c r="H43" s="9">
        <f>IF($A43&lt;&gt; "", SUMIF(MatchScoutingData!$E$2:$E$996, $A43, MatchScoutingData!K$2:K$996), "")</f>
        <v>27</v>
      </c>
      <c r="I43" s="9">
        <f>IF($A43&lt;&gt; "", SUMIF(MatchScoutingData!$E$2:$E$996, $A43, MatchScoutingData!L$2:L$996), "")</f>
        <v>3</v>
      </c>
      <c r="J43" s="9">
        <f>IF($A43&lt;&gt; "", SUMIF(MatchScoutingData!$E$2:$E$996, $A43, MatchScoutingData!M$2:M$996), "")</f>
        <v>6</v>
      </c>
      <c r="K43" s="9">
        <f>IF($A43&lt;&gt; "", SUMIF(MatchScoutingData!$E$2:$E$996, $A43, MatchScoutingData!N$2:N$996), "")</f>
        <v>3</v>
      </c>
      <c r="L43" s="9">
        <f>IF($A43&lt;&gt; "", SUMIF(MatchScoutingData!$E$2:$E$996, $A43, MatchScoutingData!O$2:O$996), "")</f>
        <v>6</v>
      </c>
      <c r="M43" s="9">
        <f>IF($A43&lt;&gt; "", SUMIF(MatchScoutingData!$E$2:$E$996, $A43, MatchScoutingData!P$2:P$996), "")</f>
        <v>4</v>
      </c>
      <c r="N43" s="9">
        <f>IF($A43&lt;&gt; "", SUMIF(MatchScoutingData!$E$2:$E$996, $A43, MatchScoutingData!Q$2:Q$996), "")</f>
        <v>6</v>
      </c>
      <c r="O43" s="9">
        <f>IF($A43&lt;&gt; "", SUMIF(MatchScoutingData!$E$2:$E$996, $A43, MatchScoutingData!R$2:R$996), "")</f>
        <v>3</v>
      </c>
      <c r="P43" s="9">
        <f>IF($A43&lt;&gt; "", SUMIF(MatchScoutingData!$E$2:$E$996, $A43, MatchScoutingData!S$2:S$996), "")</f>
        <v>9</v>
      </c>
      <c r="Q43" s="9">
        <f>IF($A43&lt;&gt; "", SUMIF(MatchScoutingData!$E$2:$E$996, $A43, MatchScoutingData!T$2:T$996), "")</f>
        <v>0</v>
      </c>
      <c r="R43" s="9">
        <f>IF($A43&lt;&gt; "", SUMIF(MatchScoutingData!$E$2:$E$996, $A43, MatchScoutingData!U$2:U$996), "")</f>
        <v>3</v>
      </c>
      <c r="S43" s="9">
        <f>IF($A43&lt;&gt; "", SUMIF(MatchScoutingData!$E$2:$E$996, $A43, MatchScoutingData!V$2:V$996), "")</f>
        <v>6</v>
      </c>
      <c r="T43" s="9">
        <f>IF($A43&lt;&gt; "", SUMIF(MatchScoutingData!$E$2:$E$996, $A43, MatchScoutingData!W$2:W$996), "")</f>
        <v>4</v>
      </c>
      <c r="U43" s="9">
        <f>IF($A43&lt;&gt; "", SUMIF(MatchScoutingData!$E$2:$E$996, $A43, MatchScoutingData!X$2:X$996), "")</f>
        <v>2082</v>
      </c>
      <c r="V43" s="9">
        <f t="shared" si="0"/>
        <v>13</v>
      </c>
      <c r="W43" s="9">
        <f t="shared" si="1"/>
        <v>24</v>
      </c>
      <c r="X43" s="9">
        <f t="shared" si="2"/>
        <v>84</v>
      </c>
      <c r="Y43" s="9">
        <f t="shared" si="3"/>
        <v>18</v>
      </c>
      <c r="Z43" s="9">
        <f t="shared" si="4"/>
        <v>2108</v>
      </c>
      <c r="AA43" s="9">
        <f t="shared" si="5"/>
        <v>2234</v>
      </c>
    </row>
    <row r="44" spans="1:27" x14ac:dyDescent="0.2">
      <c r="A44" s="78">
        <f>IF('TBA-Teams'!A43 &lt;&gt; "", 'TBA-Teams'!A43, "")</f>
        <v>4458</v>
      </c>
      <c r="B44" s="9">
        <f>IF(A44 &lt;&gt; "", COUNTIF(MatchScoutingData!E$2:E$996, $A44), "")</f>
        <v>9</v>
      </c>
      <c r="C44" s="9">
        <f>IF($A44&lt;&gt; "", SUMIF(MatchScoutingData!$E$2:$E$996, $A44, MatchScoutingData!F$2:F$996), "")</f>
        <v>3</v>
      </c>
      <c r="D44" s="9">
        <f>IF($A44&lt;&gt; "", SUMIF(MatchScoutingData!$E$2:$E$996, $A44, MatchScoutingData!G$2:G$996), "")</f>
        <v>0</v>
      </c>
      <c r="E44" s="9">
        <f>IF($A44&lt;&gt; "", SUMIF(MatchScoutingData!$E$2:$E$996, $A44, MatchScoutingData!H$2:H$996), "")</f>
        <v>25</v>
      </c>
      <c r="F44" s="9">
        <f>IF($A44&lt;&gt; "", SUMIF(MatchScoutingData!$E$2:$E$996, $A44, MatchScoutingData!I$2:I$996), "")</f>
        <v>20</v>
      </c>
      <c r="G44" s="9">
        <f>IF($A44&lt;&gt; "", SUMIF(MatchScoutingData!$E$2:$E$996, $A44, MatchScoutingData!J$2:J$996), "")</f>
        <v>14</v>
      </c>
      <c r="H44" s="9">
        <f>IF($A44&lt;&gt; "", SUMIF(MatchScoutingData!$E$2:$E$996, $A44, MatchScoutingData!K$2:K$996), "")</f>
        <v>24</v>
      </c>
      <c r="I44" s="9">
        <f>IF($A44&lt;&gt; "", SUMIF(MatchScoutingData!$E$2:$E$996, $A44, MatchScoutingData!L$2:L$996), "")</f>
        <v>4</v>
      </c>
      <c r="J44" s="9">
        <f>IF($A44&lt;&gt; "", SUMIF(MatchScoutingData!$E$2:$E$996, $A44, MatchScoutingData!M$2:M$996), "")</f>
        <v>4</v>
      </c>
      <c r="K44" s="9">
        <f>IF($A44&lt;&gt; "", SUMIF(MatchScoutingData!$E$2:$E$996, $A44, MatchScoutingData!N$2:N$996), "")</f>
        <v>2</v>
      </c>
      <c r="L44" s="9">
        <f>IF($A44&lt;&gt; "", SUMIF(MatchScoutingData!$E$2:$E$996, $A44, MatchScoutingData!O$2:O$996), "")</f>
        <v>6</v>
      </c>
      <c r="M44" s="9">
        <f>IF($A44&lt;&gt; "", SUMIF(MatchScoutingData!$E$2:$E$996, $A44, MatchScoutingData!P$2:P$996), "")</f>
        <v>5</v>
      </c>
      <c r="N44" s="9">
        <f>IF($A44&lt;&gt; "", SUMIF(MatchScoutingData!$E$2:$E$996, $A44, MatchScoutingData!Q$2:Q$996), "")</f>
        <v>4</v>
      </c>
      <c r="O44" s="9">
        <f>IF($A44&lt;&gt; "", SUMIF(MatchScoutingData!$E$2:$E$996, $A44, MatchScoutingData!R$2:R$996), "")</f>
        <v>8</v>
      </c>
      <c r="P44" s="9">
        <f>IF($A44&lt;&gt; "", SUMIF(MatchScoutingData!$E$2:$E$996, $A44, MatchScoutingData!S$2:S$996), "")</f>
        <v>9</v>
      </c>
      <c r="Q44" s="9">
        <f>IF($A44&lt;&gt; "", SUMIF(MatchScoutingData!$E$2:$E$996, $A44, MatchScoutingData!T$2:T$996), "")</f>
        <v>1</v>
      </c>
      <c r="R44" s="9">
        <f>IF($A44&lt;&gt; "", SUMIF(MatchScoutingData!$E$2:$E$996, $A44, MatchScoutingData!U$2:U$996), "")</f>
        <v>5</v>
      </c>
      <c r="S44" s="9">
        <f>IF($A44&lt;&gt; "", SUMIF(MatchScoutingData!$E$2:$E$996, $A44, MatchScoutingData!V$2:V$996), "")</f>
        <v>3</v>
      </c>
      <c r="T44" s="9">
        <f>IF($A44&lt;&gt; "", SUMIF(MatchScoutingData!$E$2:$E$996, $A44, MatchScoutingData!W$2:W$996), "")</f>
        <v>5</v>
      </c>
      <c r="U44" s="9">
        <f>IF($A44&lt;&gt; "", SUMIF(MatchScoutingData!$E$2:$E$996, $A44, MatchScoutingData!X$2:X$996), "")</f>
        <v>2211</v>
      </c>
      <c r="V44" s="9">
        <f t="shared" si="0"/>
        <v>13</v>
      </c>
      <c r="W44" s="9">
        <f t="shared" si="1"/>
        <v>28</v>
      </c>
      <c r="X44" s="9">
        <f t="shared" si="2"/>
        <v>79</v>
      </c>
      <c r="Y44" s="9">
        <f t="shared" si="3"/>
        <v>21</v>
      </c>
      <c r="Z44" s="9">
        <f t="shared" si="4"/>
        <v>2238</v>
      </c>
      <c r="AA44" s="9">
        <f t="shared" si="5"/>
        <v>2366</v>
      </c>
    </row>
    <row r="45" spans="1:27" x14ac:dyDescent="0.2">
      <c r="A45" s="78">
        <f>IF('TBA-Teams'!A44 &lt;&gt; "", 'TBA-Teams'!A44, "")</f>
        <v>4930</v>
      </c>
      <c r="B45" s="9">
        <f>IF(A45 &lt;&gt; "", COUNTIF(MatchScoutingData!E$2:E$996, $A45), "")</f>
        <v>9</v>
      </c>
      <c r="C45" s="9">
        <f>IF($A45&lt;&gt; "", SUMIF(MatchScoutingData!$E$2:$E$996, $A45, MatchScoutingData!F$2:F$996), "")</f>
        <v>2</v>
      </c>
      <c r="D45" s="9">
        <f>IF($A45&lt;&gt; "", SUMIF(MatchScoutingData!$E$2:$E$996, $A45, MatchScoutingData!G$2:G$996), "")</f>
        <v>1</v>
      </c>
      <c r="E45" s="9">
        <f>IF($A45&lt;&gt; "", SUMIF(MatchScoutingData!$E$2:$E$996, $A45, MatchScoutingData!H$2:H$996), "")</f>
        <v>34</v>
      </c>
      <c r="F45" s="9">
        <f>IF($A45&lt;&gt; "", SUMIF(MatchScoutingData!$E$2:$E$996, $A45, MatchScoutingData!I$2:I$996), "")</f>
        <v>20</v>
      </c>
      <c r="G45" s="9">
        <f>IF($A45&lt;&gt; "", SUMIF(MatchScoutingData!$E$2:$E$996, $A45, MatchScoutingData!J$2:J$996), "")</f>
        <v>17</v>
      </c>
      <c r="H45" s="9">
        <f>IF($A45&lt;&gt; "", SUMIF(MatchScoutingData!$E$2:$E$996, $A45, MatchScoutingData!K$2:K$996), "")</f>
        <v>21</v>
      </c>
      <c r="I45" s="9">
        <f>IF($A45&lt;&gt; "", SUMIF(MatchScoutingData!$E$2:$E$996, $A45, MatchScoutingData!L$2:L$996), "")</f>
        <v>6</v>
      </c>
      <c r="J45" s="9">
        <f>IF($A45&lt;&gt; "", SUMIF(MatchScoutingData!$E$2:$E$996, $A45, MatchScoutingData!M$2:M$996), "")</f>
        <v>7</v>
      </c>
      <c r="K45" s="9">
        <f>IF($A45&lt;&gt; "", SUMIF(MatchScoutingData!$E$2:$E$996, $A45, MatchScoutingData!N$2:N$996), "")</f>
        <v>4</v>
      </c>
      <c r="L45" s="9">
        <f>IF($A45&lt;&gt; "", SUMIF(MatchScoutingData!$E$2:$E$996, $A45, MatchScoutingData!O$2:O$996), "")</f>
        <v>4</v>
      </c>
      <c r="M45" s="9">
        <f>IF($A45&lt;&gt; "", SUMIF(MatchScoutingData!$E$2:$E$996, $A45, MatchScoutingData!P$2:P$996), "")</f>
        <v>6</v>
      </c>
      <c r="N45" s="9">
        <f>IF($A45&lt;&gt; "", SUMIF(MatchScoutingData!$E$2:$E$996, $A45, MatchScoutingData!Q$2:Q$996), "")</f>
        <v>4</v>
      </c>
      <c r="O45" s="9">
        <f>IF($A45&lt;&gt; "", SUMIF(MatchScoutingData!$E$2:$E$996, $A45, MatchScoutingData!R$2:R$996), "")</f>
        <v>6</v>
      </c>
      <c r="P45" s="9">
        <f>IF($A45&lt;&gt; "", SUMIF(MatchScoutingData!$E$2:$E$996, $A45, MatchScoutingData!S$2:S$996), "")</f>
        <v>17</v>
      </c>
      <c r="Q45" s="9">
        <f>IF($A45&lt;&gt; "", SUMIF(MatchScoutingData!$E$2:$E$996, $A45, MatchScoutingData!T$2:T$996), "")</f>
        <v>2</v>
      </c>
      <c r="R45" s="9">
        <f>IF($A45&lt;&gt; "", SUMIF(MatchScoutingData!$E$2:$E$996, $A45, MatchScoutingData!U$2:U$996), "")</f>
        <v>5</v>
      </c>
      <c r="S45" s="9">
        <f>IF($A45&lt;&gt; "", SUMIF(MatchScoutingData!$E$2:$E$996, $A45, MatchScoutingData!V$2:V$996), "")</f>
        <v>4</v>
      </c>
      <c r="T45" s="9">
        <f>IF($A45&lt;&gt; "", SUMIF(MatchScoutingData!$E$2:$E$996, $A45, MatchScoutingData!W$2:W$996), "")</f>
        <v>1</v>
      </c>
      <c r="U45" s="9">
        <f>IF($A45&lt;&gt; "", SUMIF(MatchScoutingData!$E$2:$E$996, $A45, MatchScoutingData!X$2:X$996), "")</f>
        <v>2719</v>
      </c>
      <c r="V45" s="9">
        <f t="shared" si="0"/>
        <v>10</v>
      </c>
      <c r="W45" s="9">
        <f t="shared" si="1"/>
        <v>37</v>
      </c>
      <c r="X45" s="9">
        <f t="shared" si="2"/>
        <v>85</v>
      </c>
      <c r="Y45" s="9">
        <f t="shared" si="3"/>
        <v>27</v>
      </c>
      <c r="Z45" s="9">
        <f t="shared" si="4"/>
        <v>2741</v>
      </c>
      <c r="AA45" s="9">
        <f t="shared" si="5"/>
        <v>2890</v>
      </c>
    </row>
    <row r="46" spans="1:27" x14ac:dyDescent="0.2">
      <c r="A46" s="78">
        <f>IF('TBA-Teams'!A45 &lt;&gt; "", 'TBA-Teams'!A45, "")</f>
        <v>5528</v>
      </c>
      <c r="B46" s="9">
        <f>IF(A46 &lt;&gt; "", COUNTIF(MatchScoutingData!E$2:E$996, $A46), "")</f>
        <v>9</v>
      </c>
      <c r="C46" s="9">
        <f>IF($A46&lt;&gt; "", SUMIF(MatchScoutingData!$E$2:$E$996, $A46, MatchScoutingData!F$2:F$996), "")</f>
        <v>6</v>
      </c>
      <c r="D46" s="9">
        <f>IF($A46&lt;&gt; "", SUMIF(MatchScoutingData!$E$2:$E$996, $A46, MatchScoutingData!G$2:G$996), "")</f>
        <v>-3</v>
      </c>
      <c r="E46" s="9">
        <f>IF($A46&lt;&gt; "", SUMIF(MatchScoutingData!$E$2:$E$996, $A46, MatchScoutingData!H$2:H$996), "")</f>
        <v>27</v>
      </c>
      <c r="F46" s="9">
        <f>IF($A46&lt;&gt; "", SUMIF(MatchScoutingData!$E$2:$E$996, $A46, MatchScoutingData!I$2:I$996), "")</f>
        <v>18</v>
      </c>
      <c r="G46" s="9">
        <f>IF($A46&lt;&gt; "", SUMIF(MatchScoutingData!$E$2:$E$996, $A46, MatchScoutingData!J$2:J$996), "")</f>
        <v>16</v>
      </c>
      <c r="H46" s="9">
        <f>IF($A46&lt;&gt; "", SUMIF(MatchScoutingData!$E$2:$E$996, $A46, MatchScoutingData!K$2:K$996), "")</f>
        <v>21</v>
      </c>
      <c r="I46" s="9">
        <f>IF($A46&lt;&gt; "", SUMIF(MatchScoutingData!$E$2:$E$996, $A46, MatchScoutingData!L$2:L$996), "")</f>
        <v>3</v>
      </c>
      <c r="J46" s="9">
        <f>IF($A46&lt;&gt; "", SUMIF(MatchScoutingData!$E$2:$E$996, $A46, MatchScoutingData!M$2:M$996), "")</f>
        <v>4</v>
      </c>
      <c r="K46" s="9">
        <f>IF($A46&lt;&gt; "", SUMIF(MatchScoutingData!$E$2:$E$996, $A46, MatchScoutingData!N$2:N$996), "")</f>
        <v>2</v>
      </c>
      <c r="L46" s="9">
        <f>IF($A46&lt;&gt; "", SUMIF(MatchScoutingData!$E$2:$E$996, $A46, MatchScoutingData!O$2:O$996), "")</f>
        <v>5</v>
      </c>
      <c r="M46" s="9">
        <f>IF($A46&lt;&gt; "", SUMIF(MatchScoutingData!$E$2:$E$996, $A46, MatchScoutingData!P$2:P$996), "")</f>
        <v>5</v>
      </c>
      <c r="N46" s="9">
        <f>IF($A46&lt;&gt; "", SUMIF(MatchScoutingData!$E$2:$E$996, $A46, MatchScoutingData!Q$2:Q$996), "")</f>
        <v>4</v>
      </c>
      <c r="O46" s="9">
        <f>IF($A46&lt;&gt; "", SUMIF(MatchScoutingData!$E$2:$E$996, $A46, MatchScoutingData!R$2:R$996), "")</f>
        <v>2</v>
      </c>
      <c r="P46" s="9">
        <f>IF($A46&lt;&gt; "", SUMIF(MatchScoutingData!$E$2:$E$996, $A46, MatchScoutingData!S$2:S$996), "")</f>
        <v>8</v>
      </c>
      <c r="Q46" s="9">
        <f>IF($A46&lt;&gt; "", SUMIF(MatchScoutingData!$E$2:$E$996, $A46, MatchScoutingData!T$2:T$996), "")</f>
        <v>2</v>
      </c>
      <c r="R46" s="9">
        <f>IF($A46&lt;&gt; "", SUMIF(MatchScoutingData!$E$2:$E$996, $A46, MatchScoutingData!U$2:U$996), "")</f>
        <v>3</v>
      </c>
      <c r="S46" s="9">
        <f>IF($A46&lt;&gt; "", SUMIF(MatchScoutingData!$E$2:$E$996, $A46, MatchScoutingData!V$2:V$996), "")</f>
        <v>4</v>
      </c>
      <c r="T46" s="9">
        <f>IF($A46&lt;&gt; "", SUMIF(MatchScoutingData!$E$2:$E$996, $A46, MatchScoutingData!W$2:W$996), "")</f>
        <v>5</v>
      </c>
      <c r="U46" s="9">
        <f>IF($A46&lt;&gt; "", SUMIF(MatchScoutingData!$E$2:$E$996, $A46, MatchScoutingData!X$2:X$996), "")</f>
        <v>2283</v>
      </c>
      <c r="V46" s="9">
        <f t="shared" si="0"/>
        <v>12</v>
      </c>
      <c r="W46" s="9">
        <f t="shared" si="1"/>
        <v>30</v>
      </c>
      <c r="X46" s="9">
        <f t="shared" si="2"/>
        <v>74</v>
      </c>
      <c r="Y46" s="9">
        <f t="shared" si="3"/>
        <v>14</v>
      </c>
      <c r="Z46" s="9">
        <f t="shared" si="4"/>
        <v>2309</v>
      </c>
      <c r="AA46" s="9">
        <f t="shared" si="5"/>
        <v>2427</v>
      </c>
    </row>
    <row r="47" spans="1:27" x14ac:dyDescent="0.2">
      <c r="A47" s="78">
        <f>IF('TBA-Teams'!A46 &lt;&gt; "", 'TBA-Teams'!A46, "")</f>
        <v>5590</v>
      </c>
      <c r="B47" s="9">
        <f>IF(A47 &lt;&gt; "", COUNTIF(MatchScoutingData!E$2:E$996, $A47), "")</f>
        <v>9</v>
      </c>
      <c r="C47" s="9">
        <f>IF($A47&lt;&gt; "", SUMIF(MatchScoutingData!$E$2:$E$996, $A47, MatchScoutingData!F$2:F$996), "")</f>
        <v>6</v>
      </c>
      <c r="D47" s="9">
        <f>IF($A47&lt;&gt; "", SUMIF(MatchScoutingData!$E$2:$E$996, $A47, MatchScoutingData!G$2:G$996), "")</f>
        <v>3</v>
      </c>
      <c r="E47" s="9">
        <f>IF($A47&lt;&gt; "", SUMIF(MatchScoutingData!$E$2:$E$996, $A47, MatchScoutingData!H$2:H$996), "")</f>
        <v>23</v>
      </c>
      <c r="F47" s="9">
        <f>IF($A47&lt;&gt; "", SUMIF(MatchScoutingData!$E$2:$E$996, $A47, MatchScoutingData!I$2:I$996), "")</f>
        <v>16</v>
      </c>
      <c r="G47" s="9">
        <f>IF($A47&lt;&gt; "", SUMIF(MatchScoutingData!$E$2:$E$996, $A47, MatchScoutingData!J$2:J$996), "")</f>
        <v>21</v>
      </c>
      <c r="H47" s="9">
        <f>IF($A47&lt;&gt; "", SUMIF(MatchScoutingData!$E$2:$E$996, $A47, MatchScoutingData!K$2:K$996), "")</f>
        <v>17</v>
      </c>
      <c r="I47" s="9">
        <f>IF($A47&lt;&gt; "", SUMIF(MatchScoutingData!$E$2:$E$996, $A47, MatchScoutingData!L$2:L$996), "")</f>
        <v>6</v>
      </c>
      <c r="J47" s="9">
        <f>IF($A47&lt;&gt; "", SUMIF(MatchScoutingData!$E$2:$E$996, $A47, MatchScoutingData!M$2:M$996), "")</f>
        <v>4</v>
      </c>
      <c r="K47" s="9">
        <f>IF($A47&lt;&gt; "", SUMIF(MatchScoutingData!$E$2:$E$996, $A47, MatchScoutingData!N$2:N$996), "")</f>
        <v>5</v>
      </c>
      <c r="L47" s="9">
        <f>IF($A47&lt;&gt; "", SUMIF(MatchScoutingData!$E$2:$E$996, $A47, MatchScoutingData!O$2:O$996), "")</f>
        <v>4</v>
      </c>
      <c r="M47" s="9">
        <f>IF($A47&lt;&gt; "", SUMIF(MatchScoutingData!$E$2:$E$996, $A47, MatchScoutingData!P$2:P$996), "")</f>
        <v>3</v>
      </c>
      <c r="N47" s="9">
        <f>IF($A47&lt;&gt; "", SUMIF(MatchScoutingData!$E$2:$E$996, $A47, MatchScoutingData!Q$2:Q$996), "")</f>
        <v>4</v>
      </c>
      <c r="O47" s="9">
        <f>IF($A47&lt;&gt; "", SUMIF(MatchScoutingData!$E$2:$E$996, $A47, MatchScoutingData!R$2:R$996), "")</f>
        <v>4</v>
      </c>
      <c r="P47" s="9">
        <f>IF($A47&lt;&gt; "", SUMIF(MatchScoutingData!$E$2:$E$996, $A47, MatchScoutingData!S$2:S$996), "")</f>
        <v>6</v>
      </c>
      <c r="Q47" s="9">
        <f>IF($A47&lt;&gt; "", SUMIF(MatchScoutingData!$E$2:$E$996, $A47, MatchScoutingData!T$2:T$996), "")</f>
        <v>-1</v>
      </c>
      <c r="R47" s="9">
        <f>IF($A47&lt;&gt; "", SUMIF(MatchScoutingData!$E$2:$E$996, $A47, MatchScoutingData!U$2:U$996), "")</f>
        <v>6</v>
      </c>
      <c r="S47" s="9">
        <f>IF($A47&lt;&gt; "", SUMIF(MatchScoutingData!$E$2:$E$996, $A47, MatchScoutingData!V$2:V$996), "")</f>
        <v>6</v>
      </c>
      <c r="T47" s="9">
        <f>IF($A47&lt;&gt; "", SUMIF(MatchScoutingData!$E$2:$E$996, $A47, MatchScoutingData!W$2:W$996), "")</f>
        <v>5</v>
      </c>
      <c r="U47" s="9">
        <f>IF($A47&lt;&gt; "", SUMIF(MatchScoutingData!$E$2:$E$996, $A47, MatchScoutingData!X$2:X$996), "")</f>
        <v>1669</v>
      </c>
      <c r="V47" s="9">
        <f t="shared" si="0"/>
        <v>17</v>
      </c>
      <c r="W47" s="9">
        <f t="shared" si="1"/>
        <v>32</v>
      </c>
      <c r="X47" s="9">
        <f t="shared" si="2"/>
        <v>76</v>
      </c>
      <c r="Y47" s="9">
        <f t="shared" si="3"/>
        <v>14</v>
      </c>
      <c r="Z47" s="9">
        <f t="shared" si="4"/>
        <v>1702</v>
      </c>
      <c r="AA47" s="9">
        <f t="shared" si="5"/>
        <v>1824</v>
      </c>
    </row>
    <row r="48" spans="1:27" x14ac:dyDescent="0.2">
      <c r="A48" s="78">
        <f>IF('TBA-Teams'!A47 &lt;&gt; "", 'TBA-Teams'!A47, "")</f>
        <v>6423</v>
      </c>
      <c r="B48" s="9">
        <f>IF(A48 &lt;&gt; "", COUNTIF(MatchScoutingData!E$2:E$996, $A48), "")</f>
        <v>9</v>
      </c>
      <c r="C48" s="9">
        <f>IF($A48&lt;&gt; "", SUMIF(MatchScoutingData!$E$2:$E$996, $A48, MatchScoutingData!F$2:F$996), "")</f>
        <v>6</v>
      </c>
      <c r="D48" s="9">
        <f>IF($A48&lt;&gt; "", SUMIF(MatchScoutingData!$E$2:$E$996, $A48, MatchScoutingData!G$2:G$996), "")</f>
        <v>-1</v>
      </c>
      <c r="E48" s="9">
        <f>IF($A48&lt;&gt; "", SUMIF(MatchScoutingData!$E$2:$E$996, $A48, MatchScoutingData!H$2:H$996), "")</f>
        <v>21</v>
      </c>
      <c r="F48" s="9">
        <f>IF($A48&lt;&gt; "", SUMIF(MatchScoutingData!$E$2:$E$996, $A48, MatchScoutingData!I$2:I$996), "")</f>
        <v>21</v>
      </c>
      <c r="G48" s="9">
        <f>IF($A48&lt;&gt; "", SUMIF(MatchScoutingData!$E$2:$E$996, $A48, MatchScoutingData!J$2:J$996), "")</f>
        <v>21</v>
      </c>
      <c r="H48" s="9">
        <f>IF($A48&lt;&gt; "", SUMIF(MatchScoutingData!$E$2:$E$996, $A48, MatchScoutingData!K$2:K$996), "")</f>
        <v>26</v>
      </c>
      <c r="I48" s="9">
        <f>IF($A48&lt;&gt; "", SUMIF(MatchScoutingData!$E$2:$E$996, $A48, MatchScoutingData!L$2:L$996), "")</f>
        <v>5</v>
      </c>
      <c r="J48" s="9">
        <f>IF($A48&lt;&gt; "", SUMIF(MatchScoutingData!$E$2:$E$996, $A48, MatchScoutingData!M$2:M$996), "")</f>
        <v>6</v>
      </c>
      <c r="K48" s="9">
        <f>IF($A48&lt;&gt; "", SUMIF(MatchScoutingData!$E$2:$E$996, $A48, MatchScoutingData!N$2:N$996), "")</f>
        <v>4</v>
      </c>
      <c r="L48" s="9">
        <f>IF($A48&lt;&gt; "", SUMIF(MatchScoutingData!$E$2:$E$996, $A48, MatchScoutingData!O$2:O$996), "")</f>
        <v>4</v>
      </c>
      <c r="M48" s="9">
        <f>IF($A48&lt;&gt; "", SUMIF(MatchScoutingData!$E$2:$E$996, $A48, MatchScoutingData!P$2:P$996), "")</f>
        <v>3</v>
      </c>
      <c r="N48" s="9">
        <f>IF($A48&lt;&gt; "", SUMIF(MatchScoutingData!$E$2:$E$996, $A48, MatchScoutingData!Q$2:Q$996), "")</f>
        <v>4</v>
      </c>
      <c r="O48" s="9">
        <f>IF($A48&lt;&gt; "", SUMIF(MatchScoutingData!$E$2:$E$996, $A48, MatchScoutingData!R$2:R$996), "")</f>
        <v>7</v>
      </c>
      <c r="P48" s="9">
        <f>IF($A48&lt;&gt; "", SUMIF(MatchScoutingData!$E$2:$E$996, $A48, MatchScoutingData!S$2:S$996), "")</f>
        <v>16</v>
      </c>
      <c r="Q48" s="9">
        <f>IF($A48&lt;&gt; "", SUMIF(MatchScoutingData!$E$2:$E$996, $A48, MatchScoutingData!T$2:T$996), "")</f>
        <v>-1</v>
      </c>
      <c r="R48" s="9">
        <f>IF($A48&lt;&gt; "", SUMIF(MatchScoutingData!$E$2:$E$996, $A48, MatchScoutingData!U$2:U$996), "")</f>
        <v>3</v>
      </c>
      <c r="S48" s="9">
        <f>IF($A48&lt;&gt; "", SUMIF(MatchScoutingData!$E$2:$E$996, $A48, MatchScoutingData!V$2:V$996), "")</f>
        <v>5</v>
      </c>
      <c r="T48" s="9">
        <f>IF($A48&lt;&gt; "", SUMIF(MatchScoutingData!$E$2:$E$996, $A48, MatchScoutingData!W$2:W$996), "")</f>
        <v>3</v>
      </c>
      <c r="U48" s="9">
        <f>IF($A48&lt;&gt; "", SUMIF(MatchScoutingData!$E$2:$E$996, $A48, MatchScoutingData!X$2:X$996), "")</f>
        <v>1502</v>
      </c>
      <c r="V48" s="9">
        <f t="shared" si="0"/>
        <v>11</v>
      </c>
      <c r="W48" s="9">
        <f t="shared" si="1"/>
        <v>26</v>
      </c>
      <c r="X48" s="9">
        <f t="shared" si="2"/>
        <v>90</v>
      </c>
      <c r="Y48" s="9">
        <f t="shared" si="3"/>
        <v>27</v>
      </c>
      <c r="Z48" s="9">
        <f t="shared" si="4"/>
        <v>1523</v>
      </c>
      <c r="AA48" s="9">
        <f t="shared" si="5"/>
        <v>1666</v>
      </c>
    </row>
    <row r="49" spans="1:27" x14ac:dyDescent="0.2">
      <c r="A49" s="78">
        <f>IF('TBA-Teams'!A48 &lt;&gt; "", 'TBA-Teams'!A48, "")</f>
        <v>6868</v>
      </c>
      <c r="B49" s="9">
        <f>IF(A49 &lt;&gt; "", COUNTIF(MatchScoutingData!E$2:E$996, $A49), "")</f>
        <v>9</v>
      </c>
      <c r="C49" s="9">
        <f>IF($A49&lt;&gt; "", SUMIF(MatchScoutingData!$E$2:$E$996, $A49, MatchScoutingData!F$2:F$996), "")</f>
        <v>4</v>
      </c>
      <c r="D49" s="9">
        <f>IF($A49&lt;&gt; "", SUMIF(MatchScoutingData!$E$2:$E$996, $A49, MatchScoutingData!G$2:G$996), "")</f>
        <v>-1</v>
      </c>
      <c r="E49" s="9">
        <f>IF($A49&lt;&gt; "", SUMIF(MatchScoutingData!$E$2:$E$996, $A49, MatchScoutingData!H$2:H$996), "")</f>
        <v>28</v>
      </c>
      <c r="F49" s="9">
        <f>IF($A49&lt;&gt; "", SUMIF(MatchScoutingData!$E$2:$E$996, $A49, MatchScoutingData!I$2:I$996), "")</f>
        <v>14</v>
      </c>
      <c r="G49" s="9">
        <f>IF($A49&lt;&gt; "", SUMIF(MatchScoutingData!$E$2:$E$996, $A49, MatchScoutingData!J$2:J$996), "")</f>
        <v>19</v>
      </c>
      <c r="H49" s="9">
        <f>IF($A49&lt;&gt; "", SUMIF(MatchScoutingData!$E$2:$E$996, $A49, MatchScoutingData!K$2:K$996), "")</f>
        <v>33</v>
      </c>
      <c r="I49" s="9">
        <f>IF($A49&lt;&gt; "", SUMIF(MatchScoutingData!$E$2:$E$996, $A49, MatchScoutingData!L$2:L$996), "")</f>
        <v>2</v>
      </c>
      <c r="J49" s="9">
        <f>IF($A49&lt;&gt; "", SUMIF(MatchScoutingData!$E$2:$E$996, $A49, MatchScoutingData!M$2:M$996), "")</f>
        <v>4</v>
      </c>
      <c r="K49" s="9">
        <f>IF($A49&lt;&gt; "", SUMIF(MatchScoutingData!$E$2:$E$996, $A49, MatchScoutingData!N$2:N$996), "")</f>
        <v>3</v>
      </c>
      <c r="L49" s="9">
        <f>IF($A49&lt;&gt; "", SUMIF(MatchScoutingData!$E$2:$E$996, $A49, MatchScoutingData!O$2:O$996), "")</f>
        <v>5</v>
      </c>
      <c r="M49" s="9">
        <f>IF($A49&lt;&gt; "", SUMIF(MatchScoutingData!$E$2:$E$996, $A49, MatchScoutingData!P$2:P$996), "")</f>
        <v>3</v>
      </c>
      <c r="N49" s="9">
        <f>IF($A49&lt;&gt; "", SUMIF(MatchScoutingData!$E$2:$E$996, $A49, MatchScoutingData!Q$2:Q$996), "")</f>
        <v>2</v>
      </c>
      <c r="O49" s="9">
        <f>IF($A49&lt;&gt; "", SUMIF(MatchScoutingData!$E$2:$E$996, $A49, MatchScoutingData!R$2:R$996), "")</f>
        <v>5</v>
      </c>
      <c r="P49" s="9">
        <f>IF($A49&lt;&gt; "", SUMIF(MatchScoutingData!$E$2:$E$996, $A49, MatchScoutingData!S$2:S$996), "")</f>
        <v>2</v>
      </c>
      <c r="Q49" s="9">
        <f>IF($A49&lt;&gt; "", SUMIF(MatchScoutingData!$E$2:$E$996, $A49, MatchScoutingData!T$2:T$996), "")</f>
        <v>-1</v>
      </c>
      <c r="R49" s="9">
        <f>IF($A49&lt;&gt; "", SUMIF(MatchScoutingData!$E$2:$E$996, $A49, MatchScoutingData!U$2:U$996), "")</f>
        <v>6</v>
      </c>
      <c r="S49" s="9">
        <f>IF($A49&lt;&gt; "", SUMIF(MatchScoutingData!$E$2:$E$996, $A49, MatchScoutingData!V$2:V$996), "")</f>
        <v>6</v>
      </c>
      <c r="T49" s="9">
        <f>IF($A49&lt;&gt; "", SUMIF(MatchScoutingData!$E$2:$E$996, $A49, MatchScoutingData!W$2:W$996), "")</f>
        <v>6</v>
      </c>
      <c r="U49" s="9">
        <f>IF($A49&lt;&gt; "", SUMIF(MatchScoutingData!$E$2:$E$996, $A49, MatchScoutingData!X$2:X$996), "")</f>
        <v>1681</v>
      </c>
      <c r="V49" s="9">
        <f t="shared" si="0"/>
        <v>18</v>
      </c>
      <c r="W49" s="9">
        <f t="shared" si="1"/>
        <v>31</v>
      </c>
      <c r="X49" s="9">
        <f t="shared" si="2"/>
        <v>83</v>
      </c>
      <c r="Y49" s="9">
        <f t="shared" si="3"/>
        <v>9</v>
      </c>
      <c r="Z49" s="9">
        <f t="shared" si="4"/>
        <v>1716</v>
      </c>
      <c r="AA49" s="9">
        <f t="shared" si="5"/>
        <v>1839</v>
      </c>
    </row>
    <row r="50" spans="1:27" x14ac:dyDescent="0.2">
      <c r="A50" s="78">
        <f>IF('TBA-Teams'!A49 &lt;&gt; "", 'TBA-Teams'!A49, "")</f>
        <v>6947</v>
      </c>
      <c r="B50" s="9">
        <f>IF(A50 &lt;&gt; "", COUNTIF(MatchScoutingData!E$2:E$996, $A50), "")</f>
        <v>9</v>
      </c>
      <c r="C50" s="9">
        <f>IF($A50&lt;&gt; "", SUMIF(MatchScoutingData!$E$2:$E$996, $A50, MatchScoutingData!F$2:F$996), "")</f>
        <v>7</v>
      </c>
      <c r="D50" s="9">
        <f>IF($A50&lt;&gt; "", SUMIF(MatchScoutingData!$E$2:$E$996, $A50, MatchScoutingData!G$2:G$996), "")</f>
        <v>-1</v>
      </c>
      <c r="E50" s="9">
        <f>IF($A50&lt;&gt; "", SUMIF(MatchScoutingData!$E$2:$E$996, $A50, MatchScoutingData!H$2:H$996), "")</f>
        <v>28</v>
      </c>
      <c r="F50" s="9">
        <f>IF($A50&lt;&gt; "", SUMIF(MatchScoutingData!$E$2:$E$996, $A50, MatchScoutingData!I$2:I$996), "")</f>
        <v>21</v>
      </c>
      <c r="G50" s="9">
        <f>IF($A50&lt;&gt; "", SUMIF(MatchScoutingData!$E$2:$E$996, $A50, MatchScoutingData!J$2:J$996), "")</f>
        <v>22</v>
      </c>
      <c r="H50" s="9">
        <f>IF($A50&lt;&gt; "", SUMIF(MatchScoutingData!$E$2:$E$996, $A50, MatchScoutingData!K$2:K$996), "")</f>
        <v>20</v>
      </c>
      <c r="I50" s="9">
        <f>IF($A50&lt;&gt; "", SUMIF(MatchScoutingData!$E$2:$E$996, $A50, MatchScoutingData!L$2:L$996), "")</f>
        <v>4</v>
      </c>
      <c r="J50" s="9">
        <f>IF($A50&lt;&gt; "", SUMIF(MatchScoutingData!$E$2:$E$996, $A50, MatchScoutingData!M$2:M$996), "")</f>
        <v>6</v>
      </c>
      <c r="K50" s="9">
        <f>IF($A50&lt;&gt; "", SUMIF(MatchScoutingData!$E$2:$E$996, $A50, MatchScoutingData!N$2:N$996), "")</f>
        <v>6</v>
      </c>
      <c r="L50" s="9">
        <f>IF($A50&lt;&gt; "", SUMIF(MatchScoutingData!$E$2:$E$996, $A50, MatchScoutingData!O$2:O$996), "")</f>
        <v>1</v>
      </c>
      <c r="M50" s="9">
        <f>IF($A50&lt;&gt; "", SUMIF(MatchScoutingData!$E$2:$E$996, $A50, MatchScoutingData!P$2:P$996), "")</f>
        <v>1</v>
      </c>
      <c r="N50" s="9">
        <f>IF($A50&lt;&gt; "", SUMIF(MatchScoutingData!$E$2:$E$996, $A50, MatchScoutingData!Q$2:Q$996), "")</f>
        <v>8</v>
      </c>
      <c r="O50" s="9">
        <f>IF($A50&lt;&gt; "", SUMIF(MatchScoutingData!$E$2:$E$996, $A50, MatchScoutingData!R$2:R$996), "")</f>
        <v>3</v>
      </c>
      <c r="P50" s="9">
        <f>IF($A50&lt;&gt; "", SUMIF(MatchScoutingData!$E$2:$E$996, $A50, MatchScoutingData!S$2:S$996), "")</f>
        <v>24</v>
      </c>
      <c r="Q50" s="9">
        <f>IF($A50&lt;&gt; "", SUMIF(MatchScoutingData!$E$2:$E$996, $A50, MatchScoutingData!T$2:T$996), "")</f>
        <v>-4</v>
      </c>
      <c r="R50" s="9">
        <f>IF($A50&lt;&gt; "", SUMIF(MatchScoutingData!$E$2:$E$996, $A50, MatchScoutingData!U$2:U$996), "")</f>
        <v>7</v>
      </c>
      <c r="S50" s="9">
        <f>IF($A50&lt;&gt; "", SUMIF(MatchScoutingData!$E$2:$E$996, $A50, MatchScoutingData!V$2:V$996), "")</f>
        <v>6</v>
      </c>
      <c r="T50" s="9">
        <f>IF($A50&lt;&gt; "", SUMIF(MatchScoutingData!$E$2:$E$996, $A50, MatchScoutingData!W$2:W$996), "")</f>
        <v>5</v>
      </c>
      <c r="U50" s="9">
        <f>IF($A50&lt;&gt; "", SUMIF(MatchScoutingData!$E$2:$E$996, $A50, MatchScoutingData!X$2:X$996), "")</f>
        <v>2444</v>
      </c>
      <c r="V50" s="9">
        <f t="shared" si="0"/>
        <v>18</v>
      </c>
      <c r="W50" s="9">
        <f t="shared" si="1"/>
        <v>34</v>
      </c>
      <c r="X50" s="9">
        <f t="shared" si="2"/>
        <v>81</v>
      </c>
      <c r="Y50" s="9">
        <f t="shared" si="3"/>
        <v>35</v>
      </c>
      <c r="Z50" s="9">
        <f t="shared" si="4"/>
        <v>2476</v>
      </c>
      <c r="AA50" s="9">
        <f t="shared" si="5"/>
        <v>2626</v>
      </c>
    </row>
    <row r="51" spans="1:27" x14ac:dyDescent="0.2">
      <c r="A51" s="78">
        <f>IF('TBA-Teams'!A50 &lt;&gt; "", 'TBA-Teams'!A50, "")</f>
        <v>7030</v>
      </c>
      <c r="B51" s="9">
        <f>IF(A51 &lt;&gt; "", COUNTIF(MatchScoutingData!E$2:E$996, $A51), "")</f>
        <v>9</v>
      </c>
      <c r="C51" s="9">
        <f>IF($A51&lt;&gt; "", SUMIF(MatchScoutingData!$E$2:$E$996, $A51, MatchScoutingData!F$2:F$996), "")</f>
        <v>5</v>
      </c>
      <c r="D51" s="9">
        <f>IF($A51&lt;&gt; "", SUMIF(MatchScoutingData!$E$2:$E$996, $A51, MatchScoutingData!G$2:G$996), "")</f>
        <v>0</v>
      </c>
      <c r="E51" s="9">
        <f>IF($A51&lt;&gt; "", SUMIF(MatchScoutingData!$E$2:$E$996, $A51, MatchScoutingData!H$2:H$996), "")</f>
        <v>29</v>
      </c>
      <c r="F51" s="9">
        <f>IF($A51&lt;&gt; "", SUMIF(MatchScoutingData!$E$2:$E$996, $A51, MatchScoutingData!I$2:I$996), "")</f>
        <v>17</v>
      </c>
      <c r="G51" s="9">
        <f>IF($A51&lt;&gt; "", SUMIF(MatchScoutingData!$E$2:$E$996, $A51, MatchScoutingData!J$2:J$996), "")</f>
        <v>16</v>
      </c>
      <c r="H51" s="9">
        <f>IF($A51&lt;&gt; "", SUMIF(MatchScoutingData!$E$2:$E$996, $A51, MatchScoutingData!K$2:K$996), "")</f>
        <v>21</v>
      </c>
      <c r="I51" s="9">
        <f>IF($A51&lt;&gt; "", SUMIF(MatchScoutingData!$E$2:$E$996, $A51, MatchScoutingData!L$2:L$996), "")</f>
        <v>5</v>
      </c>
      <c r="J51" s="9">
        <f>IF($A51&lt;&gt; "", SUMIF(MatchScoutingData!$E$2:$E$996, $A51, MatchScoutingData!M$2:M$996), "")</f>
        <v>3</v>
      </c>
      <c r="K51" s="9">
        <f>IF($A51&lt;&gt; "", SUMIF(MatchScoutingData!$E$2:$E$996, $A51, MatchScoutingData!N$2:N$996), "")</f>
        <v>5</v>
      </c>
      <c r="L51" s="9">
        <f>IF($A51&lt;&gt; "", SUMIF(MatchScoutingData!$E$2:$E$996, $A51, MatchScoutingData!O$2:O$996), "")</f>
        <v>5</v>
      </c>
      <c r="M51" s="9">
        <f>IF($A51&lt;&gt; "", SUMIF(MatchScoutingData!$E$2:$E$996, $A51, MatchScoutingData!P$2:P$996), "")</f>
        <v>6</v>
      </c>
      <c r="N51" s="9">
        <f>IF($A51&lt;&gt; "", SUMIF(MatchScoutingData!$E$2:$E$996, $A51, MatchScoutingData!Q$2:Q$996), "")</f>
        <v>5</v>
      </c>
      <c r="O51" s="9">
        <f>IF($A51&lt;&gt; "", SUMIF(MatchScoutingData!$E$2:$E$996, $A51, MatchScoutingData!R$2:R$996), "")</f>
        <v>6</v>
      </c>
      <c r="P51" s="9">
        <f>IF($A51&lt;&gt; "", SUMIF(MatchScoutingData!$E$2:$E$996, $A51, MatchScoutingData!S$2:S$996), "")</f>
        <v>20</v>
      </c>
      <c r="Q51" s="9">
        <f>IF($A51&lt;&gt; "", SUMIF(MatchScoutingData!$E$2:$E$996, $A51, MatchScoutingData!T$2:T$996), "")</f>
        <v>-1</v>
      </c>
      <c r="R51" s="9">
        <f>IF($A51&lt;&gt; "", SUMIF(MatchScoutingData!$E$2:$E$996, $A51, MatchScoutingData!U$2:U$996), "")</f>
        <v>3</v>
      </c>
      <c r="S51" s="9">
        <f>IF($A51&lt;&gt; "", SUMIF(MatchScoutingData!$E$2:$E$996, $A51, MatchScoutingData!V$2:V$996), "")</f>
        <v>3</v>
      </c>
      <c r="T51" s="9">
        <f>IF($A51&lt;&gt; "", SUMIF(MatchScoutingData!$E$2:$E$996, $A51, MatchScoutingData!W$2:W$996), "")</f>
        <v>2</v>
      </c>
      <c r="U51" s="9">
        <f>IF($A51&lt;&gt; "", SUMIF(MatchScoutingData!$E$2:$E$996, $A51, MatchScoutingData!X$2:X$996), "")</f>
        <v>2510</v>
      </c>
      <c r="V51" s="9">
        <f t="shared" si="0"/>
        <v>8</v>
      </c>
      <c r="W51" s="9">
        <f t="shared" si="1"/>
        <v>34</v>
      </c>
      <c r="X51" s="9">
        <f t="shared" si="2"/>
        <v>78</v>
      </c>
      <c r="Y51" s="9">
        <f t="shared" si="3"/>
        <v>31</v>
      </c>
      <c r="Z51" s="9">
        <f t="shared" si="4"/>
        <v>2525</v>
      </c>
      <c r="AA51" s="9">
        <f t="shared" si="5"/>
        <v>2668</v>
      </c>
    </row>
    <row r="52" spans="1:27" x14ac:dyDescent="0.2">
      <c r="A52" s="78">
        <f>IF('TBA-Teams'!A51 &lt;&gt; "", 'TBA-Teams'!A51, "")</f>
        <v>7903</v>
      </c>
      <c r="B52" s="9">
        <f>IF(A52 &lt;&gt; "", COUNTIF(MatchScoutingData!E$2:E$996, $A52), "")</f>
        <v>10</v>
      </c>
      <c r="C52" s="9">
        <f>IF($A52&lt;&gt; "", SUMIF(MatchScoutingData!$E$2:$E$996, $A52, MatchScoutingData!F$2:F$996), "")</f>
        <v>5</v>
      </c>
      <c r="D52" s="9">
        <f>IF($A52&lt;&gt; "", SUMIF(MatchScoutingData!$E$2:$E$996, $A52, MatchScoutingData!G$2:G$996), "")</f>
        <v>2</v>
      </c>
      <c r="E52" s="9">
        <f>IF($A52&lt;&gt; "", SUMIF(MatchScoutingData!$E$2:$E$996, $A52, MatchScoutingData!H$2:H$996), "")</f>
        <v>29</v>
      </c>
      <c r="F52" s="9">
        <f>IF($A52&lt;&gt; "", SUMIF(MatchScoutingData!$E$2:$E$996, $A52, MatchScoutingData!I$2:I$996), "")</f>
        <v>22</v>
      </c>
      <c r="G52" s="9">
        <f>IF($A52&lt;&gt; "", SUMIF(MatchScoutingData!$E$2:$E$996, $A52, MatchScoutingData!J$2:J$996), "")</f>
        <v>14</v>
      </c>
      <c r="H52" s="9">
        <f>IF($A52&lt;&gt; "", SUMIF(MatchScoutingData!$E$2:$E$996, $A52, MatchScoutingData!K$2:K$996), "")</f>
        <v>23</v>
      </c>
      <c r="I52" s="9">
        <f>IF($A52&lt;&gt; "", SUMIF(MatchScoutingData!$E$2:$E$996, $A52, MatchScoutingData!L$2:L$996), "")</f>
        <v>5</v>
      </c>
      <c r="J52" s="9">
        <f>IF($A52&lt;&gt; "", SUMIF(MatchScoutingData!$E$2:$E$996, $A52, MatchScoutingData!M$2:M$996), "")</f>
        <v>7</v>
      </c>
      <c r="K52" s="9">
        <f>IF($A52&lt;&gt; "", SUMIF(MatchScoutingData!$E$2:$E$996, $A52, MatchScoutingData!N$2:N$996), "")</f>
        <v>9</v>
      </c>
      <c r="L52" s="9">
        <f>IF($A52&lt;&gt; "", SUMIF(MatchScoutingData!$E$2:$E$996, $A52, MatchScoutingData!O$2:O$996), "")</f>
        <v>4</v>
      </c>
      <c r="M52" s="9">
        <f>IF($A52&lt;&gt; "", SUMIF(MatchScoutingData!$E$2:$E$996, $A52, MatchScoutingData!P$2:P$996), "")</f>
        <v>3</v>
      </c>
      <c r="N52" s="9">
        <f>IF($A52&lt;&gt; "", SUMIF(MatchScoutingData!$E$2:$E$996, $A52, MatchScoutingData!Q$2:Q$996), "")</f>
        <v>6</v>
      </c>
      <c r="O52" s="9">
        <f>IF($A52&lt;&gt; "", SUMIF(MatchScoutingData!$E$2:$E$996, $A52, MatchScoutingData!R$2:R$996), "")</f>
        <v>4</v>
      </c>
      <c r="P52" s="9">
        <f>IF($A52&lt;&gt; "", SUMIF(MatchScoutingData!$E$2:$E$996, $A52, MatchScoutingData!S$2:S$996), "")</f>
        <v>24</v>
      </c>
      <c r="Q52" s="9">
        <f>IF($A52&lt;&gt; "", SUMIF(MatchScoutingData!$E$2:$E$996, $A52, MatchScoutingData!T$2:T$996), "")</f>
        <v>2</v>
      </c>
      <c r="R52" s="9">
        <f>IF($A52&lt;&gt; "", SUMIF(MatchScoutingData!$E$2:$E$996, $A52, MatchScoutingData!U$2:U$996), "")</f>
        <v>4</v>
      </c>
      <c r="S52" s="9">
        <f>IF($A52&lt;&gt; "", SUMIF(MatchScoutingData!$E$2:$E$996, $A52, MatchScoutingData!V$2:V$996), "")</f>
        <v>3</v>
      </c>
      <c r="T52" s="9">
        <f>IF($A52&lt;&gt; "", SUMIF(MatchScoutingData!$E$2:$E$996, $A52, MatchScoutingData!W$2:W$996), "")</f>
        <v>5</v>
      </c>
      <c r="U52" s="9">
        <f>IF($A52&lt;&gt; "", SUMIF(MatchScoutingData!$E$2:$E$996, $A52, MatchScoutingData!X$2:X$996), "")</f>
        <v>2244</v>
      </c>
      <c r="V52" s="9">
        <f t="shared" si="0"/>
        <v>12</v>
      </c>
      <c r="W52" s="9">
        <f t="shared" si="1"/>
        <v>36</v>
      </c>
      <c r="X52" s="9">
        <f t="shared" si="2"/>
        <v>87</v>
      </c>
      <c r="Y52" s="9">
        <f t="shared" si="3"/>
        <v>34</v>
      </c>
      <c r="Z52" s="9">
        <f t="shared" si="4"/>
        <v>2270</v>
      </c>
      <c r="AA52" s="9">
        <f t="shared" si="5"/>
        <v>2427</v>
      </c>
    </row>
    <row r="53" spans="1:27" x14ac:dyDescent="0.2">
      <c r="A53" s="78">
        <f>IF('TBA-Teams'!A52 &lt;&gt; "", 'TBA-Teams'!A52, "")</f>
        <v>8503</v>
      </c>
      <c r="B53" s="9">
        <f>IF(A53 &lt;&gt; "", COUNTIF(MatchScoutingData!E$2:E$996, $A53), "")</f>
        <v>9</v>
      </c>
      <c r="C53" s="9">
        <f>IF($A53&lt;&gt; "", SUMIF(MatchScoutingData!$E$2:$E$996, $A53, MatchScoutingData!F$2:F$996), "")</f>
        <v>3</v>
      </c>
      <c r="D53" s="9">
        <f>IF($A53&lt;&gt; "", SUMIF(MatchScoutingData!$E$2:$E$996, $A53, MatchScoutingData!G$2:G$996), "")</f>
        <v>-2</v>
      </c>
      <c r="E53" s="9">
        <f>IF($A53&lt;&gt; "", SUMIF(MatchScoutingData!$E$2:$E$996, $A53, MatchScoutingData!H$2:H$996), "")</f>
        <v>21</v>
      </c>
      <c r="F53" s="9">
        <f>IF($A53&lt;&gt; "", SUMIF(MatchScoutingData!$E$2:$E$996, $A53, MatchScoutingData!I$2:I$996), "")</f>
        <v>16</v>
      </c>
      <c r="G53" s="9">
        <f>IF($A53&lt;&gt; "", SUMIF(MatchScoutingData!$E$2:$E$996, $A53, MatchScoutingData!J$2:J$996), "")</f>
        <v>19</v>
      </c>
      <c r="H53" s="9">
        <f>IF($A53&lt;&gt; "", SUMIF(MatchScoutingData!$E$2:$E$996, $A53, MatchScoutingData!K$2:K$996), "")</f>
        <v>29</v>
      </c>
      <c r="I53" s="9">
        <f>IF($A53&lt;&gt; "", SUMIF(MatchScoutingData!$E$2:$E$996, $A53, MatchScoutingData!L$2:L$996), "")</f>
        <v>5</v>
      </c>
      <c r="J53" s="9">
        <f>IF($A53&lt;&gt; "", SUMIF(MatchScoutingData!$E$2:$E$996, $A53, MatchScoutingData!M$2:M$996), "")</f>
        <v>1</v>
      </c>
      <c r="K53" s="9">
        <f>IF($A53&lt;&gt; "", SUMIF(MatchScoutingData!$E$2:$E$996, $A53, MatchScoutingData!N$2:N$996), "")</f>
        <v>5</v>
      </c>
      <c r="L53" s="9">
        <f>IF($A53&lt;&gt; "", SUMIF(MatchScoutingData!$E$2:$E$996, $A53, MatchScoutingData!O$2:O$996), "")</f>
        <v>6</v>
      </c>
      <c r="M53" s="9">
        <f>IF($A53&lt;&gt; "", SUMIF(MatchScoutingData!$E$2:$E$996, $A53, MatchScoutingData!P$2:P$996), "")</f>
        <v>4</v>
      </c>
      <c r="N53" s="9">
        <f>IF($A53&lt;&gt; "", SUMIF(MatchScoutingData!$E$2:$E$996, $A53, MatchScoutingData!Q$2:Q$996), "")</f>
        <v>6</v>
      </c>
      <c r="O53" s="9">
        <f>IF($A53&lt;&gt; "", SUMIF(MatchScoutingData!$E$2:$E$996, $A53, MatchScoutingData!R$2:R$996), "")</f>
        <v>2</v>
      </c>
      <c r="P53" s="9">
        <f>IF($A53&lt;&gt; "", SUMIF(MatchScoutingData!$E$2:$E$996, $A53, MatchScoutingData!S$2:S$996), "")</f>
        <v>14</v>
      </c>
      <c r="Q53" s="9">
        <f>IF($A53&lt;&gt; "", SUMIF(MatchScoutingData!$E$2:$E$996, $A53, MatchScoutingData!T$2:T$996), "")</f>
        <v>3</v>
      </c>
      <c r="R53" s="9">
        <f>IF($A53&lt;&gt; "", SUMIF(MatchScoutingData!$E$2:$E$996, $A53, MatchScoutingData!U$2:U$996), "")</f>
        <v>5</v>
      </c>
      <c r="S53" s="9">
        <f>IF($A53&lt;&gt; "", SUMIF(MatchScoutingData!$E$2:$E$996, $A53, MatchScoutingData!V$2:V$996), "")</f>
        <v>5</v>
      </c>
      <c r="T53" s="9">
        <f>IF($A53&lt;&gt; "", SUMIF(MatchScoutingData!$E$2:$E$996, $A53, MatchScoutingData!W$2:W$996), "")</f>
        <v>4</v>
      </c>
      <c r="U53" s="9">
        <f>IF($A53&lt;&gt; "", SUMIF(MatchScoutingData!$E$2:$E$996, $A53, MatchScoutingData!X$2:X$996), "")</f>
        <v>2778</v>
      </c>
      <c r="V53" s="9">
        <f t="shared" si="0"/>
        <v>14</v>
      </c>
      <c r="W53" s="9">
        <f t="shared" si="1"/>
        <v>22</v>
      </c>
      <c r="X53" s="9">
        <f t="shared" si="2"/>
        <v>85</v>
      </c>
      <c r="Y53" s="9">
        <f t="shared" si="3"/>
        <v>22</v>
      </c>
      <c r="Z53" s="9">
        <f t="shared" si="4"/>
        <v>2809</v>
      </c>
      <c r="AA53" s="9">
        <f t="shared" si="5"/>
        <v>2938</v>
      </c>
    </row>
    <row r="54" spans="1:27" x14ac:dyDescent="0.2">
      <c r="A54" s="78">
        <f>IF('TBA-Teams'!A53 &lt;&gt; "", 'TBA-Teams'!A53, "")</f>
        <v>9016</v>
      </c>
      <c r="B54" s="9">
        <f>IF(A54 &lt;&gt; "", COUNTIF(MatchScoutingData!E$2:E$996, $A54), "")</f>
        <v>9</v>
      </c>
      <c r="C54" s="9">
        <f>IF($A54&lt;&gt; "", SUMIF(MatchScoutingData!$E$2:$E$996, $A54, MatchScoutingData!F$2:F$996), "")</f>
        <v>6</v>
      </c>
      <c r="D54" s="9">
        <f>IF($A54&lt;&gt; "", SUMIF(MatchScoutingData!$E$2:$E$996, $A54, MatchScoutingData!G$2:G$996), "")</f>
        <v>3</v>
      </c>
      <c r="E54" s="9">
        <f>IF($A54&lt;&gt; "", SUMIF(MatchScoutingData!$E$2:$E$996, $A54, MatchScoutingData!H$2:H$996), "")</f>
        <v>28</v>
      </c>
      <c r="F54" s="9">
        <f>IF($A54&lt;&gt; "", SUMIF(MatchScoutingData!$E$2:$E$996, $A54, MatchScoutingData!I$2:I$996), "")</f>
        <v>16</v>
      </c>
      <c r="G54" s="9">
        <f>IF($A54&lt;&gt; "", SUMIF(MatchScoutingData!$E$2:$E$996, $A54, MatchScoutingData!J$2:J$996), "")</f>
        <v>16</v>
      </c>
      <c r="H54" s="9">
        <f>IF($A54&lt;&gt; "", SUMIF(MatchScoutingData!$E$2:$E$996, $A54, MatchScoutingData!K$2:K$996), "")</f>
        <v>20</v>
      </c>
      <c r="I54" s="9">
        <f>IF($A54&lt;&gt; "", SUMIF(MatchScoutingData!$E$2:$E$996, $A54, MatchScoutingData!L$2:L$996), "")</f>
        <v>6</v>
      </c>
      <c r="J54" s="9">
        <f>IF($A54&lt;&gt; "", SUMIF(MatchScoutingData!$E$2:$E$996, $A54, MatchScoutingData!M$2:M$996), "")</f>
        <v>1</v>
      </c>
      <c r="K54" s="9">
        <f>IF($A54&lt;&gt; "", SUMIF(MatchScoutingData!$E$2:$E$996, $A54, MatchScoutingData!N$2:N$996), "")</f>
        <v>5</v>
      </c>
      <c r="L54" s="9">
        <f>IF($A54&lt;&gt; "", SUMIF(MatchScoutingData!$E$2:$E$996, $A54, MatchScoutingData!O$2:O$996), "")</f>
        <v>4</v>
      </c>
      <c r="M54" s="9">
        <f>IF($A54&lt;&gt; "", SUMIF(MatchScoutingData!$E$2:$E$996, $A54, MatchScoutingData!P$2:P$996), "")</f>
        <v>5</v>
      </c>
      <c r="N54" s="9">
        <f>IF($A54&lt;&gt; "", SUMIF(MatchScoutingData!$E$2:$E$996, $A54, MatchScoutingData!Q$2:Q$996), "")</f>
        <v>5</v>
      </c>
      <c r="O54" s="9">
        <f>IF($A54&lt;&gt; "", SUMIF(MatchScoutingData!$E$2:$E$996, $A54, MatchScoutingData!R$2:R$996), "")</f>
        <v>5</v>
      </c>
      <c r="P54" s="9">
        <f>IF($A54&lt;&gt; "", SUMIF(MatchScoutingData!$E$2:$E$996, $A54, MatchScoutingData!S$2:S$996), "")</f>
        <v>16</v>
      </c>
      <c r="Q54" s="9">
        <f>IF($A54&lt;&gt; "", SUMIF(MatchScoutingData!$E$2:$E$996, $A54, MatchScoutingData!T$2:T$996), "")</f>
        <v>-3</v>
      </c>
      <c r="R54" s="9">
        <f>IF($A54&lt;&gt; "", SUMIF(MatchScoutingData!$E$2:$E$996, $A54, MatchScoutingData!U$2:U$996), "")</f>
        <v>5</v>
      </c>
      <c r="S54" s="9">
        <f>IF($A54&lt;&gt; "", SUMIF(MatchScoutingData!$E$2:$E$996, $A54, MatchScoutingData!V$2:V$996), "")</f>
        <v>6</v>
      </c>
      <c r="T54" s="9">
        <f>IF($A54&lt;&gt; "", SUMIF(MatchScoutingData!$E$2:$E$996, $A54, MatchScoutingData!W$2:W$996), "")</f>
        <v>7</v>
      </c>
      <c r="U54" s="9">
        <f>IF($A54&lt;&gt; "", SUMIF(MatchScoutingData!$E$2:$E$996, $A54, MatchScoutingData!X$2:X$996), "")</f>
        <v>1531</v>
      </c>
      <c r="V54" s="9">
        <f t="shared" si="0"/>
        <v>18</v>
      </c>
      <c r="W54" s="9">
        <f t="shared" si="1"/>
        <v>37</v>
      </c>
      <c r="X54" s="9">
        <f t="shared" si="2"/>
        <v>73</v>
      </c>
      <c r="Y54" s="9">
        <f t="shared" si="3"/>
        <v>26</v>
      </c>
      <c r="Z54" s="9">
        <f t="shared" si="4"/>
        <v>1564</v>
      </c>
      <c r="AA54" s="9">
        <f t="shared" si="5"/>
        <v>1700</v>
      </c>
    </row>
    <row r="55" spans="1:27" x14ac:dyDescent="0.2">
      <c r="A55" s="78">
        <f>IF('TBA-Teams'!A54 &lt;&gt; "", 'TBA-Teams'!A54, "")</f>
        <v>9767</v>
      </c>
      <c r="B55" s="9">
        <f>IF(A55 &lt;&gt; "", COUNTIF(MatchScoutingData!E$2:E$996, $A55), "")</f>
        <v>9</v>
      </c>
      <c r="C55" s="9">
        <f>IF($A55&lt;&gt; "", SUMIF(MatchScoutingData!$E$2:$E$996, $A55, MatchScoutingData!F$2:F$996), "")</f>
        <v>3</v>
      </c>
      <c r="D55" s="9">
        <f>IF($A55&lt;&gt; "", SUMIF(MatchScoutingData!$E$2:$E$996, $A55, MatchScoutingData!G$2:G$996), "")</f>
        <v>2</v>
      </c>
      <c r="E55" s="9">
        <f>IF($A55&lt;&gt; "", SUMIF(MatchScoutingData!$E$2:$E$996, $A55, MatchScoutingData!H$2:H$996), "")</f>
        <v>24</v>
      </c>
      <c r="F55" s="9">
        <f>IF($A55&lt;&gt; "", SUMIF(MatchScoutingData!$E$2:$E$996, $A55, MatchScoutingData!I$2:I$996), "")</f>
        <v>19</v>
      </c>
      <c r="G55" s="9">
        <f>IF($A55&lt;&gt; "", SUMIF(MatchScoutingData!$E$2:$E$996, $A55, MatchScoutingData!J$2:J$996), "")</f>
        <v>18</v>
      </c>
      <c r="H55" s="9">
        <f>IF($A55&lt;&gt; "", SUMIF(MatchScoutingData!$E$2:$E$996, $A55, MatchScoutingData!K$2:K$996), "")</f>
        <v>27</v>
      </c>
      <c r="I55" s="9">
        <f>IF($A55&lt;&gt; "", SUMIF(MatchScoutingData!$E$2:$E$996, $A55, MatchScoutingData!L$2:L$996), "")</f>
        <v>3</v>
      </c>
      <c r="J55" s="9">
        <f>IF($A55&lt;&gt; "", SUMIF(MatchScoutingData!$E$2:$E$996, $A55, MatchScoutingData!M$2:M$996), "")</f>
        <v>4</v>
      </c>
      <c r="K55" s="9">
        <f>IF($A55&lt;&gt; "", SUMIF(MatchScoutingData!$E$2:$E$996, $A55, MatchScoutingData!N$2:N$996), "")</f>
        <v>5</v>
      </c>
      <c r="L55" s="9">
        <f>IF($A55&lt;&gt; "", SUMIF(MatchScoutingData!$E$2:$E$996, $A55, MatchScoutingData!O$2:O$996), "")</f>
        <v>6</v>
      </c>
      <c r="M55" s="9">
        <f>IF($A55&lt;&gt; "", SUMIF(MatchScoutingData!$E$2:$E$996, $A55, MatchScoutingData!P$2:P$996), "")</f>
        <v>5</v>
      </c>
      <c r="N55" s="9">
        <f>IF($A55&lt;&gt; "", SUMIF(MatchScoutingData!$E$2:$E$996, $A55, MatchScoutingData!Q$2:Q$996), "")</f>
        <v>3</v>
      </c>
      <c r="O55" s="9">
        <f>IF($A55&lt;&gt; "", SUMIF(MatchScoutingData!$E$2:$E$996, $A55, MatchScoutingData!R$2:R$996), "")</f>
        <v>6</v>
      </c>
      <c r="P55" s="9">
        <f>IF($A55&lt;&gt; "", SUMIF(MatchScoutingData!$E$2:$E$996, $A55, MatchScoutingData!S$2:S$996), "")</f>
        <v>20</v>
      </c>
      <c r="Q55" s="9">
        <f>IF($A55&lt;&gt; "", SUMIF(MatchScoutingData!$E$2:$E$996, $A55, MatchScoutingData!T$2:T$996), "")</f>
        <v>-1</v>
      </c>
      <c r="R55" s="9">
        <f>IF($A55&lt;&gt; "", SUMIF(MatchScoutingData!$E$2:$E$996, $A55, MatchScoutingData!U$2:U$996), "")</f>
        <v>7</v>
      </c>
      <c r="S55" s="9">
        <f>IF($A55&lt;&gt; "", SUMIF(MatchScoutingData!$E$2:$E$996, $A55, MatchScoutingData!V$2:V$996), "")</f>
        <v>5</v>
      </c>
      <c r="T55" s="9">
        <f>IF($A55&lt;&gt; "", SUMIF(MatchScoutingData!$E$2:$E$996, $A55, MatchScoutingData!W$2:W$996), "")</f>
        <v>6</v>
      </c>
      <c r="U55" s="9">
        <f>IF($A55&lt;&gt; "", SUMIF(MatchScoutingData!$E$2:$E$996, $A55, MatchScoutingData!X$2:X$996), "")</f>
        <v>3284</v>
      </c>
      <c r="V55" s="9">
        <f t="shared" si="0"/>
        <v>18</v>
      </c>
      <c r="W55" s="9">
        <f t="shared" si="1"/>
        <v>29</v>
      </c>
      <c r="X55" s="9">
        <f t="shared" si="2"/>
        <v>87</v>
      </c>
      <c r="Y55" s="9">
        <f t="shared" si="3"/>
        <v>29</v>
      </c>
      <c r="Z55" s="9">
        <f t="shared" si="4"/>
        <v>3319</v>
      </c>
      <c r="AA55" s="9">
        <f t="shared" si="5"/>
        <v>3464</v>
      </c>
    </row>
    <row r="56" spans="1:27" x14ac:dyDescent="0.2">
      <c r="A56" s="78">
        <f>IF('TBA-Teams'!A55 &lt;&gt; "", 'TBA-Teams'!A55, "")</f>
        <v>10223</v>
      </c>
      <c r="B56" s="9">
        <f>IF(A56 &lt;&gt; "", COUNTIF(MatchScoutingData!E$2:E$996, $A56), "")</f>
        <v>9</v>
      </c>
      <c r="C56" s="9">
        <f>IF($A56&lt;&gt; "", SUMIF(MatchScoutingData!$E$2:$E$996, $A56, MatchScoutingData!F$2:F$996), "")</f>
        <v>7</v>
      </c>
      <c r="D56" s="9">
        <f>IF($A56&lt;&gt; "", SUMIF(MatchScoutingData!$E$2:$E$996, $A56, MatchScoutingData!G$2:G$996), "")</f>
        <v>-1</v>
      </c>
      <c r="E56" s="9">
        <f>IF($A56&lt;&gt; "", SUMIF(MatchScoutingData!$E$2:$E$996, $A56, MatchScoutingData!H$2:H$996), "")</f>
        <v>25</v>
      </c>
      <c r="F56" s="9">
        <f>IF($A56&lt;&gt; "", SUMIF(MatchScoutingData!$E$2:$E$996, $A56, MatchScoutingData!I$2:I$996), "")</f>
        <v>18</v>
      </c>
      <c r="G56" s="9">
        <f>IF($A56&lt;&gt; "", SUMIF(MatchScoutingData!$E$2:$E$996, $A56, MatchScoutingData!J$2:J$996), "")</f>
        <v>17</v>
      </c>
      <c r="H56" s="9">
        <f>IF($A56&lt;&gt; "", SUMIF(MatchScoutingData!$E$2:$E$996, $A56, MatchScoutingData!K$2:K$996), "")</f>
        <v>29</v>
      </c>
      <c r="I56" s="9">
        <f>IF($A56&lt;&gt; "", SUMIF(MatchScoutingData!$E$2:$E$996, $A56, MatchScoutingData!L$2:L$996), "")</f>
        <v>5</v>
      </c>
      <c r="J56" s="9">
        <f>IF($A56&lt;&gt; "", SUMIF(MatchScoutingData!$E$2:$E$996, $A56, MatchScoutingData!M$2:M$996), "")</f>
        <v>2</v>
      </c>
      <c r="K56" s="9">
        <f>IF($A56&lt;&gt; "", SUMIF(MatchScoutingData!$E$2:$E$996, $A56, MatchScoutingData!N$2:N$996), "")</f>
        <v>5</v>
      </c>
      <c r="L56" s="9">
        <f>IF($A56&lt;&gt; "", SUMIF(MatchScoutingData!$E$2:$E$996, $A56, MatchScoutingData!O$2:O$996), "")</f>
        <v>5</v>
      </c>
      <c r="M56" s="9">
        <f>IF($A56&lt;&gt; "", SUMIF(MatchScoutingData!$E$2:$E$996, $A56, MatchScoutingData!P$2:P$996), "")</f>
        <v>7</v>
      </c>
      <c r="N56" s="9">
        <f>IF($A56&lt;&gt; "", SUMIF(MatchScoutingData!$E$2:$E$996, $A56, MatchScoutingData!Q$2:Q$996), "")</f>
        <v>3</v>
      </c>
      <c r="O56" s="9">
        <f>IF($A56&lt;&gt; "", SUMIF(MatchScoutingData!$E$2:$E$996, $A56, MatchScoutingData!R$2:R$996), "")</f>
        <v>7</v>
      </c>
      <c r="P56" s="9">
        <f>IF($A56&lt;&gt; "", SUMIF(MatchScoutingData!$E$2:$E$996, $A56, MatchScoutingData!S$2:S$996), "")</f>
        <v>18</v>
      </c>
      <c r="Q56" s="9">
        <f>IF($A56&lt;&gt; "", SUMIF(MatchScoutingData!$E$2:$E$996, $A56, MatchScoutingData!T$2:T$996), "")</f>
        <v>-1</v>
      </c>
      <c r="R56" s="9">
        <f>IF($A56&lt;&gt; "", SUMIF(MatchScoutingData!$E$2:$E$996, $A56, MatchScoutingData!U$2:U$996), "")</f>
        <v>7</v>
      </c>
      <c r="S56" s="9">
        <f>IF($A56&lt;&gt; "", SUMIF(MatchScoutingData!$E$2:$E$996, $A56, MatchScoutingData!V$2:V$996), "")</f>
        <v>5</v>
      </c>
      <c r="T56" s="9">
        <f>IF($A56&lt;&gt; "", SUMIF(MatchScoutingData!$E$2:$E$996, $A56, MatchScoutingData!W$2:W$996), "")</f>
        <v>4</v>
      </c>
      <c r="U56" s="9">
        <f>IF($A56&lt;&gt; "", SUMIF(MatchScoutingData!$E$2:$E$996, $A56, MatchScoutingData!X$2:X$996), "")</f>
        <v>2424</v>
      </c>
      <c r="V56" s="9">
        <f t="shared" si="0"/>
        <v>16</v>
      </c>
      <c r="W56" s="9">
        <f t="shared" si="1"/>
        <v>31</v>
      </c>
      <c r="X56" s="9">
        <f t="shared" si="2"/>
        <v>88</v>
      </c>
      <c r="Y56" s="9">
        <f t="shared" si="3"/>
        <v>28</v>
      </c>
      <c r="Z56" s="9">
        <f t="shared" si="4"/>
        <v>2455</v>
      </c>
      <c r="AA56" s="9">
        <f t="shared" si="5"/>
        <v>2602</v>
      </c>
    </row>
    <row r="57" spans="1:27" x14ac:dyDescent="0.2">
      <c r="A57" s="78">
        <f>IF('TBA-Teams'!A56 &lt;&gt; "", 'TBA-Teams'!A56, "")</f>
        <v>10922</v>
      </c>
      <c r="B57" s="9">
        <f>IF(A57 &lt;&gt; "", COUNTIF(MatchScoutingData!E$2:E$996, $A57), "")</f>
        <v>9</v>
      </c>
      <c r="C57" s="9">
        <f>IF($A57&lt;&gt; "", SUMIF(MatchScoutingData!$E$2:$E$996, $A57, MatchScoutingData!F$2:F$996), "")</f>
        <v>5</v>
      </c>
      <c r="D57" s="9">
        <f>IF($A57&lt;&gt; "", SUMIF(MatchScoutingData!$E$2:$E$996, $A57, MatchScoutingData!G$2:G$996), "")</f>
        <v>1</v>
      </c>
      <c r="E57" s="9">
        <f>IF($A57&lt;&gt; "", SUMIF(MatchScoutingData!$E$2:$E$996, $A57, MatchScoutingData!H$2:H$996), "")</f>
        <v>30</v>
      </c>
      <c r="F57" s="9">
        <f>IF($A57&lt;&gt; "", SUMIF(MatchScoutingData!$E$2:$E$996, $A57, MatchScoutingData!I$2:I$996), "")</f>
        <v>18</v>
      </c>
      <c r="G57" s="9">
        <f>IF($A57&lt;&gt; "", SUMIF(MatchScoutingData!$E$2:$E$996, $A57, MatchScoutingData!J$2:J$996), "")</f>
        <v>22</v>
      </c>
      <c r="H57" s="9">
        <f>IF($A57&lt;&gt; "", SUMIF(MatchScoutingData!$E$2:$E$996, $A57, MatchScoutingData!K$2:K$996), "")</f>
        <v>29</v>
      </c>
      <c r="I57" s="9">
        <f>IF($A57&lt;&gt; "", SUMIF(MatchScoutingData!$E$2:$E$996, $A57, MatchScoutingData!L$2:L$996), "")</f>
        <v>4</v>
      </c>
      <c r="J57" s="9">
        <f>IF($A57&lt;&gt; "", SUMIF(MatchScoutingData!$E$2:$E$996, $A57, MatchScoutingData!M$2:M$996), "")</f>
        <v>4</v>
      </c>
      <c r="K57" s="9">
        <f>IF($A57&lt;&gt; "", SUMIF(MatchScoutingData!$E$2:$E$996, $A57, MatchScoutingData!N$2:N$996), "")</f>
        <v>3</v>
      </c>
      <c r="L57" s="9">
        <f>IF($A57&lt;&gt; "", SUMIF(MatchScoutingData!$E$2:$E$996, $A57, MatchScoutingData!O$2:O$996), "")</f>
        <v>3</v>
      </c>
      <c r="M57" s="9">
        <f>IF($A57&lt;&gt; "", SUMIF(MatchScoutingData!$E$2:$E$996, $A57, MatchScoutingData!P$2:P$996), "")</f>
        <v>5</v>
      </c>
      <c r="N57" s="9">
        <f>IF($A57&lt;&gt; "", SUMIF(MatchScoutingData!$E$2:$E$996, $A57, MatchScoutingData!Q$2:Q$996), "")</f>
        <v>3</v>
      </c>
      <c r="O57" s="9">
        <f>IF($A57&lt;&gt; "", SUMIF(MatchScoutingData!$E$2:$E$996, $A57, MatchScoutingData!R$2:R$996), "")</f>
        <v>6</v>
      </c>
      <c r="P57" s="9">
        <f>IF($A57&lt;&gt; "", SUMIF(MatchScoutingData!$E$2:$E$996, $A57, MatchScoutingData!S$2:S$996), "")</f>
        <v>18</v>
      </c>
      <c r="Q57" s="9">
        <f>IF($A57&lt;&gt; "", SUMIF(MatchScoutingData!$E$2:$E$996, $A57, MatchScoutingData!T$2:T$996), "")</f>
        <v>3</v>
      </c>
      <c r="R57" s="9">
        <f>IF($A57&lt;&gt; "", SUMIF(MatchScoutingData!$E$2:$E$996, $A57, MatchScoutingData!U$2:U$996), "")</f>
        <v>6</v>
      </c>
      <c r="S57" s="9">
        <f>IF($A57&lt;&gt; "", SUMIF(MatchScoutingData!$E$2:$E$996, $A57, MatchScoutingData!V$2:V$996), "")</f>
        <v>5</v>
      </c>
      <c r="T57" s="9">
        <f>IF($A57&lt;&gt; "", SUMIF(MatchScoutingData!$E$2:$E$996, $A57, MatchScoutingData!W$2:W$996), "")</f>
        <v>4</v>
      </c>
      <c r="U57" s="9">
        <f>IF($A57&lt;&gt; "", SUMIF(MatchScoutingData!$E$2:$E$996, $A57, MatchScoutingData!X$2:X$996), "")</f>
        <v>1475</v>
      </c>
      <c r="V57" s="9">
        <f t="shared" si="0"/>
        <v>15</v>
      </c>
      <c r="W57" s="9">
        <f t="shared" si="1"/>
        <v>36</v>
      </c>
      <c r="X57" s="9">
        <f t="shared" si="2"/>
        <v>88</v>
      </c>
      <c r="Y57" s="9">
        <f t="shared" si="3"/>
        <v>27</v>
      </c>
      <c r="Z57" s="9">
        <f t="shared" si="4"/>
        <v>1508</v>
      </c>
      <c r="AA57" s="9">
        <f t="shared" si="5"/>
        <v>1659</v>
      </c>
    </row>
    <row r="58" spans="1:27" x14ac:dyDescent="0.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</row>
    <row r="59" spans="1:27" x14ac:dyDescent="0.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</row>
    <row r="60" spans="1:27" x14ac:dyDescent="0.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</row>
    <row r="61" spans="1:27" x14ac:dyDescent="0.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</row>
    <row r="62" spans="1:27" x14ac:dyDescent="0.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</row>
    <row r="63" spans="1:27" x14ac:dyDescent="0.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</row>
    <row r="64" spans="1:27" x14ac:dyDescent="0.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</row>
    <row r="65" spans="1:22" x14ac:dyDescent="0.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</row>
    <row r="66" spans="1:22" x14ac:dyDescent="0.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</row>
    <row r="67" spans="1:22" x14ac:dyDescent="0.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</row>
    <row r="68" spans="1:22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</row>
    <row r="69" spans="1:22" x14ac:dyDescent="0.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</row>
    <row r="70" spans="1:22" x14ac:dyDescent="0.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</row>
    <row r="71" spans="1:22" x14ac:dyDescent="0.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</row>
    <row r="72" spans="1:22" x14ac:dyDescent="0.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</row>
    <row r="73" spans="1:22" x14ac:dyDescent="0.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</row>
    <row r="74" spans="1:22" x14ac:dyDescent="0.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</row>
    <row r="75" spans="1:22" x14ac:dyDescent="0.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</row>
    <row r="76" spans="1:22" x14ac:dyDescent="0.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</row>
    <row r="77" spans="1:22" x14ac:dyDescent="0.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</row>
    <row r="78" spans="1:22" x14ac:dyDescent="0.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</row>
    <row r="79" spans="1:22" x14ac:dyDescent="0.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</row>
    <row r="80" spans="1:22" x14ac:dyDescent="0.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</row>
    <row r="81" spans="1:22" x14ac:dyDescent="0.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</row>
    <row r="82" spans="1:22" x14ac:dyDescent="0.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</row>
    <row r="83" spans="1:22" x14ac:dyDescent="0.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</row>
    <row r="84" spans="1:22" x14ac:dyDescent="0.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</row>
    <row r="85" spans="1:22" x14ac:dyDescent="0.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</row>
    <row r="86" spans="1:22" x14ac:dyDescent="0.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</row>
    <row r="87" spans="1:22" x14ac:dyDescent="0.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</row>
    <row r="88" spans="1:22" x14ac:dyDescent="0.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</row>
    <row r="89" spans="1:22" x14ac:dyDescent="0.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</row>
    <row r="90" spans="1:22" x14ac:dyDescent="0.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</row>
    <row r="91" spans="1:22" x14ac:dyDescent="0.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</row>
    <row r="92" spans="1:22" x14ac:dyDescent="0.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</row>
    <row r="93" spans="1:22" x14ac:dyDescent="0.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</row>
    <row r="94" spans="1:22" x14ac:dyDescent="0.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</row>
    <row r="95" spans="1:22" x14ac:dyDescent="0.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</row>
    <row r="96" spans="1:22" x14ac:dyDescent="0.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</row>
    <row r="97" spans="1:22" x14ac:dyDescent="0.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</row>
    <row r="98" spans="1:22" x14ac:dyDescent="0.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</row>
    <row r="99" spans="1:22" x14ac:dyDescent="0.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</row>
    <row r="100" spans="1:22" x14ac:dyDescent="0.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</row>
    <row r="101" spans="1:22" x14ac:dyDescent="0.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</row>
    <row r="102" spans="1:22" x14ac:dyDescent="0.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</row>
    <row r="103" spans="1:22" x14ac:dyDescent="0.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</row>
    <row r="104" spans="1:22" x14ac:dyDescent="0.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</row>
    <row r="105" spans="1:22" x14ac:dyDescent="0.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</row>
    <row r="106" spans="1:22" x14ac:dyDescent="0.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</row>
    <row r="107" spans="1:22" x14ac:dyDescent="0.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</row>
    <row r="108" spans="1:22" x14ac:dyDescent="0.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</row>
    <row r="109" spans="1:22" x14ac:dyDescent="0.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</row>
    <row r="110" spans="1:22" x14ac:dyDescent="0.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</row>
    <row r="111" spans="1:22" x14ac:dyDescent="0.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</row>
    <row r="112" spans="1:22" x14ac:dyDescent="0.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</row>
    <row r="113" spans="1:22" x14ac:dyDescent="0.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</row>
    <row r="114" spans="1:22" x14ac:dyDescent="0.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</row>
    <row r="115" spans="1:22" x14ac:dyDescent="0.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</row>
    <row r="116" spans="1:22" x14ac:dyDescent="0.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</row>
    <row r="117" spans="1:22" x14ac:dyDescent="0.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</row>
    <row r="118" spans="1:22" x14ac:dyDescent="0.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</row>
    <row r="119" spans="1:22" x14ac:dyDescent="0.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</row>
    <row r="120" spans="1:22" x14ac:dyDescent="0.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</row>
    <row r="121" spans="1:22" x14ac:dyDescent="0.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</row>
    <row r="122" spans="1:22" x14ac:dyDescent="0.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</row>
    <row r="123" spans="1:22" x14ac:dyDescent="0.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</row>
    <row r="124" spans="1:22" x14ac:dyDescent="0.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</row>
    <row r="125" spans="1:22" x14ac:dyDescent="0.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</row>
    <row r="126" spans="1:22" x14ac:dyDescent="0.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</row>
    <row r="127" spans="1:22" x14ac:dyDescent="0.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</row>
    <row r="128" spans="1:22" x14ac:dyDescent="0.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</row>
    <row r="129" spans="1:22" x14ac:dyDescent="0.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</row>
    <row r="130" spans="1:22" x14ac:dyDescent="0.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</row>
    <row r="131" spans="1:22" x14ac:dyDescent="0.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</row>
    <row r="132" spans="1:22" x14ac:dyDescent="0.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</row>
    <row r="133" spans="1:22" x14ac:dyDescent="0.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</row>
    <row r="134" spans="1:22" x14ac:dyDescent="0.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</row>
    <row r="135" spans="1:22" x14ac:dyDescent="0.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</row>
    <row r="136" spans="1:22" x14ac:dyDescent="0.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</row>
    <row r="137" spans="1:22" x14ac:dyDescent="0.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</row>
    <row r="138" spans="1:22" x14ac:dyDescent="0.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</row>
    <row r="139" spans="1:22" x14ac:dyDescent="0.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</row>
    <row r="140" spans="1:22" x14ac:dyDescent="0.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</row>
    <row r="141" spans="1:22" x14ac:dyDescent="0.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</row>
    <row r="142" spans="1:22" x14ac:dyDescent="0.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</row>
    <row r="143" spans="1:22" x14ac:dyDescent="0.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</row>
    <row r="144" spans="1:22" x14ac:dyDescent="0.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</row>
    <row r="145" spans="1:22" x14ac:dyDescent="0.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</row>
    <row r="146" spans="1:22" x14ac:dyDescent="0.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</row>
    <row r="147" spans="1:22" x14ac:dyDescent="0.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</row>
    <row r="148" spans="1:22" x14ac:dyDescent="0.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</row>
    <row r="149" spans="1:22" x14ac:dyDescent="0.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</row>
    <row r="150" spans="1:22" x14ac:dyDescent="0.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</row>
    <row r="151" spans="1:22" x14ac:dyDescent="0.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</row>
    <row r="152" spans="1:22" x14ac:dyDescent="0.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</row>
    <row r="153" spans="1:22" x14ac:dyDescent="0.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</row>
    <row r="154" spans="1:22" x14ac:dyDescent="0.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</row>
    <row r="155" spans="1:22" x14ac:dyDescent="0.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</row>
    <row r="156" spans="1:22" x14ac:dyDescent="0.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</row>
    <row r="157" spans="1:22" x14ac:dyDescent="0.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</row>
    <row r="158" spans="1:22" x14ac:dyDescent="0.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</row>
    <row r="159" spans="1:22" x14ac:dyDescent="0.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</row>
    <row r="160" spans="1:22" x14ac:dyDescent="0.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</row>
    <row r="161" spans="1:22" x14ac:dyDescent="0.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</row>
    <row r="162" spans="1:22" x14ac:dyDescent="0.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</row>
    <row r="163" spans="1:22" x14ac:dyDescent="0.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</row>
    <row r="164" spans="1:22" x14ac:dyDescent="0.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</row>
    <row r="165" spans="1:22" x14ac:dyDescent="0.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</row>
    <row r="166" spans="1:22" x14ac:dyDescent="0.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</row>
    <row r="167" spans="1:22" x14ac:dyDescent="0.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</row>
    <row r="168" spans="1:22" x14ac:dyDescent="0.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</row>
    <row r="169" spans="1:22" x14ac:dyDescent="0.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</row>
    <row r="170" spans="1:22" x14ac:dyDescent="0.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</row>
    <row r="171" spans="1:22" x14ac:dyDescent="0.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</row>
    <row r="172" spans="1:22" x14ac:dyDescent="0.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</row>
    <row r="173" spans="1:22" x14ac:dyDescent="0.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</row>
    <row r="174" spans="1:22" x14ac:dyDescent="0.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</row>
    <row r="175" spans="1:22" x14ac:dyDescent="0.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</row>
    <row r="176" spans="1:22" x14ac:dyDescent="0.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</row>
    <row r="177" spans="1:22" x14ac:dyDescent="0.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</row>
    <row r="178" spans="1:22" x14ac:dyDescent="0.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</row>
    <row r="179" spans="1:22" x14ac:dyDescent="0.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</row>
    <row r="180" spans="1:22" x14ac:dyDescent="0.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</row>
    <row r="181" spans="1:22" x14ac:dyDescent="0.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</row>
    <row r="182" spans="1:22" x14ac:dyDescent="0.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</row>
    <row r="183" spans="1:22" x14ac:dyDescent="0.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</row>
    <row r="184" spans="1:22" x14ac:dyDescent="0.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</row>
    <row r="185" spans="1:22" x14ac:dyDescent="0.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</row>
    <row r="186" spans="1:22" x14ac:dyDescent="0.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</row>
    <row r="187" spans="1:22" x14ac:dyDescent="0.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</row>
    <row r="188" spans="1:22" x14ac:dyDescent="0.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</row>
    <row r="189" spans="1:22" x14ac:dyDescent="0.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</row>
    <row r="190" spans="1:22" x14ac:dyDescent="0.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</row>
    <row r="191" spans="1:22" x14ac:dyDescent="0.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</row>
    <row r="192" spans="1:22" x14ac:dyDescent="0.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</row>
    <row r="193" spans="1:22" x14ac:dyDescent="0.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</row>
    <row r="194" spans="1:22" x14ac:dyDescent="0.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</row>
    <row r="195" spans="1:22" x14ac:dyDescent="0.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</row>
    <row r="196" spans="1:22" x14ac:dyDescent="0.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</row>
    <row r="197" spans="1:22" x14ac:dyDescent="0.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</row>
    <row r="198" spans="1:22" x14ac:dyDescent="0.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</row>
    <row r="199" spans="1:22" x14ac:dyDescent="0.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</row>
    <row r="200" spans="1:22" x14ac:dyDescent="0.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</row>
    <row r="201" spans="1:22" x14ac:dyDescent="0.2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</row>
    <row r="202" spans="1:22" x14ac:dyDescent="0.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</row>
    <row r="203" spans="1:22" x14ac:dyDescent="0.2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</row>
    <row r="204" spans="1:22" x14ac:dyDescent="0.2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</row>
    <row r="205" spans="1:22" x14ac:dyDescent="0.2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</row>
    <row r="206" spans="1:22" x14ac:dyDescent="0.2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</row>
    <row r="207" spans="1:22" x14ac:dyDescent="0.2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</row>
    <row r="208" spans="1:22" x14ac:dyDescent="0.2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</row>
    <row r="209" spans="1:22" x14ac:dyDescent="0.2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</row>
    <row r="210" spans="1:22" x14ac:dyDescent="0.2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</row>
    <row r="211" spans="1:22" x14ac:dyDescent="0.2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</row>
    <row r="212" spans="1:22" x14ac:dyDescent="0.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</row>
    <row r="213" spans="1:22" x14ac:dyDescent="0.2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</row>
    <row r="214" spans="1:22" x14ac:dyDescent="0.2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</row>
    <row r="215" spans="1:22" x14ac:dyDescent="0.2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</row>
    <row r="216" spans="1:22" x14ac:dyDescent="0.2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</row>
    <row r="217" spans="1:22" x14ac:dyDescent="0.2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</row>
    <row r="218" spans="1:22" x14ac:dyDescent="0.2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</row>
    <row r="219" spans="1:22" x14ac:dyDescent="0.2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</row>
    <row r="220" spans="1:22" x14ac:dyDescent="0.2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</row>
    <row r="221" spans="1:22" x14ac:dyDescent="0.2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</row>
    <row r="222" spans="1:22" x14ac:dyDescent="0.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</row>
    <row r="223" spans="1:22" x14ac:dyDescent="0.2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</row>
    <row r="224" spans="1:22" x14ac:dyDescent="0.2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</row>
    <row r="225" spans="1:22" x14ac:dyDescent="0.2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</row>
    <row r="226" spans="1:22" x14ac:dyDescent="0.2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</row>
    <row r="227" spans="1:22" x14ac:dyDescent="0.2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</row>
    <row r="228" spans="1:22" x14ac:dyDescent="0.2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</row>
    <row r="229" spans="1:22" x14ac:dyDescent="0.2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</row>
    <row r="230" spans="1:22" x14ac:dyDescent="0.2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</row>
    <row r="231" spans="1:22" x14ac:dyDescent="0.2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</row>
    <row r="232" spans="1:22" x14ac:dyDescent="0.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</row>
    <row r="233" spans="1:22" x14ac:dyDescent="0.2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</row>
    <row r="234" spans="1:22" x14ac:dyDescent="0.2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</row>
    <row r="235" spans="1:22" x14ac:dyDescent="0.2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</row>
    <row r="236" spans="1:22" x14ac:dyDescent="0.2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</row>
    <row r="237" spans="1:22" x14ac:dyDescent="0.2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</row>
    <row r="238" spans="1:22" x14ac:dyDescent="0.2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</row>
    <row r="239" spans="1:22" x14ac:dyDescent="0.2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</row>
    <row r="240" spans="1:22" x14ac:dyDescent="0.2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</row>
    <row r="241" spans="1:22" x14ac:dyDescent="0.2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</row>
    <row r="242" spans="1:22" x14ac:dyDescent="0.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</row>
    <row r="243" spans="1:22" x14ac:dyDescent="0.2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</row>
    <row r="244" spans="1:22" x14ac:dyDescent="0.2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</row>
    <row r="245" spans="1:22" x14ac:dyDescent="0.2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</row>
    <row r="246" spans="1:22" x14ac:dyDescent="0.2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</row>
    <row r="247" spans="1:22" x14ac:dyDescent="0.2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</row>
    <row r="248" spans="1:22" x14ac:dyDescent="0.2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</row>
    <row r="249" spans="1:22" x14ac:dyDescent="0.2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</row>
    <row r="250" spans="1:22" x14ac:dyDescent="0.2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</row>
    <row r="251" spans="1:22" x14ac:dyDescent="0.2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</row>
    <row r="252" spans="1:22" x14ac:dyDescent="0.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</row>
    <row r="253" spans="1:22" x14ac:dyDescent="0.2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</row>
    <row r="254" spans="1:22" x14ac:dyDescent="0.2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</row>
  </sheetData>
  <autoFilter ref="A2:AA57" xr:uid="{00000000-0001-0000-0400-000000000000}"/>
  <mergeCells count="5">
    <mergeCell ref="Q1:V1"/>
    <mergeCell ref="C1:E1"/>
    <mergeCell ref="F1:M1"/>
    <mergeCell ref="N1:P1"/>
    <mergeCell ref="W1:AA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2C9C-6456-4141-B17D-B0AC82CB1B4C}">
  <dimension ref="A1:AB58"/>
  <sheetViews>
    <sheetView zoomScale="150" zoomScaleNormal="150" workbookViewId="0">
      <pane xSplit="1" ySplit="3" topLeftCell="B4" activePane="bottomRight" state="frozen"/>
      <selection pane="topRight" activeCell="C1" sqref="C1"/>
      <selection pane="bottomLeft" activeCell="A4" sqref="A4"/>
      <selection pane="bottomRight" activeCell="D4" sqref="D4"/>
    </sheetView>
  </sheetViews>
  <sheetFormatPr baseColWidth="10" defaultColWidth="8.83203125" defaultRowHeight="15" x14ac:dyDescent="0.2"/>
  <cols>
    <col min="3" max="28" width="6.83203125" customWidth="1"/>
  </cols>
  <sheetData>
    <row r="1" spans="1:28" ht="17" customHeight="1" thickBot="1" x14ac:dyDescent="0.25">
      <c r="A1" s="66" t="s">
        <v>51</v>
      </c>
      <c r="B1" s="67"/>
      <c r="C1" s="37"/>
      <c r="D1" s="57" t="s">
        <v>46</v>
      </c>
      <c r="E1" s="58"/>
      <c r="F1" s="59"/>
      <c r="G1" s="60" t="s">
        <v>13</v>
      </c>
      <c r="H1" s="61"/>
      <c r="I1" s="61"/>
      <c r="J1" s="61"/>
      <c r="K1" s="61"/>
      <c r="L1" s="61"/>
      <c r="M1" s="61"/>
      <c r="N1" s="61"/>
      <c r="O1" s="62" t="s">
        <v>14</v>
      </c>
      <c r="P1" s="63"/>
      <c r="Q1" s="64"/>
      <c r="R1" s="65" t="s">
        <v>28</v>
      </c>
      <c r="S1" s="65"/>
      <c r="T1" s="65"/>
      <c r="U1" s="65"/>
      <c r="V1" s="65"/>
      <c r="W1" s="65"/>
      <c r="X1" s="54" t="s">
        <v>15</v>
      </c>
      <c r="Y1" s="55"/>
      <c r="Z1" s="55"/>
      <c r="AA1" s="55"/>
      <c r="AB1" s="56"/>
    </row>
    <row r="2" spans="1:28" ht="17" customHeight="1" thickBot="1" x14ac:dyDescent="0.25">
      <c r="A2" s="68"/>
      <c r="B2" s="69"/>
      <c r="C2" s="39">
        <v>1</v>
      </c>
      <c r="D2" s="38">
        <v>1</v>
      </c>
      <c r="E2" s="28">
        <v>1</v>
      </c>
      <c r="F2" s="28">
        <v>1</v>
      </c>
      <c r="G2" s="29">
        <v>1</v>
      </c>
      <c r="H2" s="30">
        <v>1</v>
      </c>
      <c r="I2" s="30">
        <v>1</v>
      </c>
      <c r="J2" s="30">
        <v>1</v>
      </c>
      <c r="K2" s="30">
        <v>1</v>
      </c>
      <c r="L2" s="30">
        <v>1</v>
      </c>
      <c r="M2" s="30">
        <v>1</v>
      </c>
      <c r="N2" s="30">
        <v>1</v>
      </c>
      <c r="O2" s="31">
        <v>1</v>
      </c>
      <c r="P2" s="32">
        <v>1</v>
      </c>
      <c r="Q2" s="32">
        <v>1</v>
      </c>
      <c r="R2" s="33">
        <v>1</v>
      </c>
      <c r="S2" s="33">
        <v>1</v>
      </c>
      <c r="T2" s="33">
        <v>1</v>
      </c>
      <c r="U2" s="33">
        <v>1</v>
      </c>
      <c r="V2" s="33">
        <v>1</v>
      </c>
      <c r="W2" s="33">
        <v>1</v>
      </c>
      <c r="X2" s="34">
        <v>1</v>
      </c>
      <c r="Y2" s="35">
        <v>1</v>
      </c>
      <c r="Z2" s="35">
        <v>1</v>
      </c>
      <c r="AA2" s="35">
        <v>1</v>
      </c>
      <c r="AB2" s="36">
        <v>1</v>
      </c>
    </row>
    <row r="3" spans="1:28" ht="158" thickBot="1" x14ac:dyDescent="0.25">
      <c r="A3" s="50" t="s">
        <v>3</v>
      </c>
      <c r="B3" s="51" t="s">
        <v>834</v>
      </c>
      <c r="C3" s="22" t="s">
        <v>29</v>
      </c>
      <c r="D3" s="16" t="s">
        <v>44</v>
      </c>
      <c r="E3" s="17" t="s">
        <v>17</v>
      </c>
      <c r="F3" s="17" t="s">
        <v>18</v>
      </c>
      <c r="G3" s="18" t="s">
        <v>19</v>
      </c>
      <c r="H3" s="19" t="s">
        <v>20</v>
      </c>
      <c r="I3" s="19" t="s">
        <v>45</v>
      </c>
      <c r="J3" s="19" t="s">
        <v>21</v>
      </c>
      <c r="K3" s="19" t="s">
        <v>835</v>
      </c>
      <c r="L3" s="19" t="s">
        <v>836</v>
      </c>
      <c r="M3" s="19" t="s">
        <v>837</v>
      </c>
      <c r="N3" s="19" t="s">
        <v>22</v>
      </c>
      <c r="O3" s="20" t="s">
        <v>23</v>
      </c>
      <c r="P3" s="21" t="s">
        <v>26</v>
      </c>
      <c r="Q3" s="21" t="s">
        <v>24</v>
      </c>
      <c r="R3" s="23" t="s">
        <v>47</v>
      </c>
      <c r="S3" s="24" t="s">
        <v>50</v>
      </c>
      <c r="T3" s="24" t="s">
        <v>48</v>
      </c>
      <c r="U3" s="24" t="s">
        <v>49</v>
      </c>
      <c r="V3" s="24" t="s">
        <v>25</v>
      </c>
      <c r="W3" s="24" t="s">
        <v>27</v>
      </c>
      <c r="X3" s="22" t="s">
        <v>12</v>
      </c>
      <c r="Y3" s="26" t="s">
        <v>13</v>
      </c>
      <c r="Z3" s="26" t="s">
        <v>14</v>
      </c>
      <c r="AA3" s="26" t="s">
        <v>28</v>
      </c>
      <c r="AB3" s="27" t="s">
        <v>30</v>
      </c>
    </row>
    <row r="4" spans="1:28" x14ac:dyDescent="0.2">
      <c r="A4" s="52">
        <f>IF('TBA-Teams'!A2 &lt;&gt; "", 'TBA-Teams'!A2, "")</f>
        <v>20</v>
      </c>
      <c r="B4" s="53">
        <f>IF(A4&lt;&gt;"",SUM(C4:AB4),"")</f>
        <v>13.689999999999996</v>
      </c>
      <c r="C4" s="49">
        <f>IF($A4&lt;&gt;"",PERCENTRANK('Team Scores'!B$3:B$955, 'Team Scores'!B3, 3) * C$2, "")</f>
        <v>0.96199999999999997</v>
      </c>
      <c r="D4" s="49">
        <f>IF($A4&lt;&gt;"",PERCENTRANK('Team Scores'!C$3:C$955, 'Team Scores'!C3, 3) * D$2, "")</f>
        <v>0.64800000000000002</v>
      </c>
      <c r="E4" s="49">
        <f>IF($A4&lt;&gt;"",PERCENTRANK('Team Scores'!D$3:D$955, 'Team Scores'!D3, 3) * E$2, "")</f>
        <v>0.14799999999999999</v>
      </c>
      <c r="F4" s="49">
        <f>IF($A4&lt;&gt;"",PERCENTRANK('Team Scores'!E$3:E$955, 'Team Scores'!E3, 3) * F$2, "")</f>
        <v>0.68500000000000005</v>
      </c>
      <c r="G4" s="49">
        <f>IF($A4&lt;&gt;"",PERCENTRANK('Team Scores'!F$3:F$955, 'Team Scores'!F3, 3) * G$2, "")</f>
        <v>0.79600000000000004</v>
      </c>
      <c r="H4" s="49">
        <f>IF($A4&lt;&gt;"",PERCENTRANK('Team Scores'!G$3:G$955, 'Team Scores'!G3, 3) * H$2, "")</f>
        <v>0</v>
      </c>
      <c r="I4" s="49">
        <f>IF($A4&lt;&gt;"",PERCENTRANK('Team Scores'!H$3:H$955, 'Team Scores'!H3, 3) * I$2, "")</f>
        <v>0.88800000000000001</v>
      </c>
      <c r="J4" s="49">
        <f>IF($A4&lt;&gt;"",PERCENTRANK('Team Scores'!I$3:I$955, 'Team Scores'!I3, 3) * J$2, "")</f>
        <v>0.51800000000000002</v>
      </c>
      <c r="K4" s="49">
        <f>IF($A4&lt;&gt;"",PERCENTRANK('Team Scores'!J$3:J$955, 'Team Scores'!J3, 3) * K$2, "")</f>
        <v>0.83299999999999996</v>
      </c>
      <c r="L4" s="49">
        <f>IF($A4&lt;&gt;"",PERCENTRANK('Team Scores'!K$3:K$955, 'Team Scores'!K3, 3) * L$2, "")</f>
        <v>0.29599999999999999</v>
      </c>
      <c r="M4" s="49">
        <f>IF($A4&lt;&gt;"",PERCENTRANK('Team Scores'!L$3:L$955, 'Team Scores'!L3, 3) * M$2, "")</f>
        <v>0.16600000000000001</v>
      </c>
      <c r="N4" s="49">
        <f>IF($A4&lt;&gt;"",PERCENTRANK('Team Scores'!M$3:M$955, 'Team Scores'!M3, 3) * N$2, "")</f>
        <v>0.96199999999999997</v>
      </c>
      <c r="O4" s="49">
        <f>IF($A4&lt;&gt;"",PERCENTRANK('Team Scores'!N$3:N$955, 'Team Scores'!N3, 3) * O$2, "")</f>
        <v>0.90700000000000003</v>
      </c>
      <c r="P4" s="49">
        <f>IF($A4&lt;&gt;"",PERCENTRANK('Team Scores'!O$3:O$955, 'Team Scores'!O3, 3) * P$2, "")</f>
        <v>0.29599999999999999</v>
      </c>
      <c r="Q4" s="49">
        <f>IF($A4&lt;&gt;"",PERCENTRANK('Team Scores'!P$3:P$955, 'Team Scores'!P3, 3) * Q$2, "")</f>
        <v>0.222</v>
      </c>
      <c r="R4" s="49">
        <f>IF($A4&lt;&gt;"",PERCENTRANK('Team Scores'!Q$3:Q$955, 'Team Scores'!Q3, 3) * R$2, "")</f>
        <v>0.24</v>
      </c>
      <c r="S4" s="49">
        <f>IF($A4&lt;&gt;"",PERCENTRANK('Team Scores'!R$3:R$955, 'Team Scores'!R3, 3) * S$2, "")</f>
        <v>0.27700000000000002</v>
      </c>
      <c r="T4" s="49">
        <f>IF($A4&lt;&gt;"",PERCENTRANK('Team Scores'!S$3:S$955, 'Team Scores'!S3, 3) * T$2, "")</f>
        <v>0.44400000000000001</v>
      </c>
      <c r="U4" s="49">
        <f>IF($A4&lt;&gt;"",PERCENTRANK('Team Scores'!T$3:T$955, 'Team Scores'!T3, 3) * U$2, "")</f>
        <v>0.70299999999999996</v>
      </c>
      <c r="V4" s="49">
        <f>IF($A4&lt;&gt;"",PERCENTRANK('Team Scores'!U$3:U$955, 'Team Scores'!U3, 3) * V$2, "")</f>
        <v>0.35099999999999998</v>
      </c>
      <c r="W4" s="49">
        <f>IF($A4&lt;&gt;"",PERCENTRANK('Team Scores'!V$3:V$955, 'Team Scores'!V3, 3) * W$2, "")</f>
        <v>0.64800000000000002</v>
      </c>
      <c r="X4" s="49">
        <f>IF($A4&lt;&gt;"",PERCENTRANK('Team Scores'!W$3:W$955, 'Team Scores'!W3, 3) * X$2, "")</f>
        <v>0.66600000000000004</v>
      </c>
      <c r="Y4" s="49">
        <f>IF($A4&lt;&gt;"",PERCENTRANK('Team Scores'!X$3:X$955, 'Team Scores'!X3, 3) * Y$2, "")</f>
        <v>0.96199999999999997</v>
      </c>
      <c r="Z4" s="49">
        <f>IF($A4&lt;&gt;"",PERCENTRANK('Team Scores'!Y$3:Y$955, 'Team Scores'!Y3, 3) * Z$2, "")</f>
        <v>0.35099999999999998</v>
      </c>
      <c r="AA4" s="49">
        <f>IF($A4&lt;&gt;"",PERCENTRANK('Team Scores'!Z$3:Z$955, 'Team Scores'!Z3, 3) * AA$2, "")</f>
        <v>0.35099999999999998</v>
      </c>
      <c r="AB4" s="49">
        <f>IF($A4&lt;&gt;"",PERCENTRANK('Team Scores'!AA$3:AA$955, 'Team Scores'!AA3, 3) * AB$2, "")</f>
        <v>0.37</v>
      </c>
    </row>
    <row r="5" spans="1:28" x14ac:dyDescent="0.2">
      <c r="A5" s="52">
        <f>IF('TBA-Teams'!A3 &lt;&gt; "", 'TBA-Teams'!A3, "")</f>
        <v>48</v>
      </c>
      <c r="B5" s="53">
        <f>IF(A5&lt;&gt;"",SUM(C5:AB5),"")</f>
        <v>12.283999999999999</v>
      </c>
      <c r="C5" s="49">
        <f>IF($A5&lt;&gt;"",PERCENTRANK('Team Scores'!B$3:B$955, 'Team Scores'!B4, 3) * C$2, "")</f>
        <v>0</v>
      </c>
      <c r="D5" s="49">
        <f>IF($A5&lt;&gt;"",PERCENTRANK('Team Scores'!C$3:C$955, 'Team Scores'!C4, 3) * D$2, "")</f>
        <v>0.46200000000000002</v>
      </c>
      <c r="E5" s="49">
        <f>IF($A5&lt;&gt;"",PERCENTRANK('Team Scores'!D$3:D$955, 'Team Scores'!D4, 3) * E$2, "")</f>
        <v>0.27700000000000002</v>
      </c>
      <c r="F5" s="49">
        <f>IF($A5&lt;&gt;"",PERCENTRANK('Team Scores'!E$3:E$955, 'Team Scores'!E4, 3) * F$2, "")</f>
        <v>0.25900000000000001</v>
      </c>
      <c r="G5" s="49">
        <f>IF($A5&lt;&gt;"",PERCENTRANK('Team Scores'!F$3:F$955, 'Team Scores'!F4, 3) * G$2, "")</f>
        <v>0.55500000000000005</v>
      </c>
      <c r="H5" s="49">
        <f>IF($A5&lt;&gt;"",PERCENTRANK('Team Scores'!G$3:G$955, 'Team Scores'!G4, 3) * H$2, "")</f>
        <v>0.77700000000000002</v>
      </c>
      <c r="I5" s="49">
        <f>IF($A5&lt;&gt;"",PERCENTRANK('Team Scores'!H$3:H$955, 'Team Scores'!H4, 3) * I$2, "")</f>
        <v>0.25900000000000001</v>
      </c>
      <c r="J5" s="49">
        <f>IF($A5&lt;&gt;"",PERCENTRANK('Team Scores'!I$3:I$955, 'Team Scores'!I4, 3) * J$2, "")</f>
        <v>9.1999999999999998E-2</v>
      </c>
      <c r="K5" s="49">
        <f>IF($A5&lt;&gt;"",PERCENTRANK('Team Scores'!J$3:J$955, 'Team Scores'!J4, 3) * K$2, "")</f>
        <v>0.5</v>
      </c>
      <c r="L5" s="49">
        <f>IF($A5&lt;&gt;"",PERCENTRANK('Team Scores'!K$3:K$955, 'Team Scores'!K4, 3) * L$2, "")</f>
        <v>0.129</v>
      </c>
      <c r="M5" s="49">
        <f>IF($A5&lt;&gt;"",PERCENTRANK('Team Scores'!L$3:L$955, 'Team Scores'!L4, 3) * M$2, "")</f>
        <v>0.94399999999999995</v>
      </c>
      <c r="N5" s="49">
        <f>IF($A5&lt;&gt;"",PERCENTRANK('Team Scores'!M$3:M$955, 'Team Scores'!M4, 3) * N$2, "")</f>
        <v>0.74</v>
      </c>
      <c r="O5" s="49">
        <f>IF($A5&lt;&gt;"",PERCENTRANK('Team Scores'!N$3:N$955, 'Team Scores'!N4, 3) * O$2, "")</f>
        <v>0.90700000000000003</v>
      </c>
      <c r="P5" s="49">
        <f>IF($A5&lt;&gt;"",PERCENTRANK('Team Scores'!O$3:O$955, 'Team Scores'!O4, 3) * P$2, "")</f>
        <v>0.53700000000000003</v>
      </c>
      <c r="Q5" s="49">
        <f>IF($A5&lt;&gt;"",PERCENTRANK('Team Scores'!P$3:P$955, 'Team Scores'!P4, 3) * Q$2, "")</f>
        <v>0.314</v>
      </c>
      <c r="R5" s="49">
        <f>IF($A5&lt;&gt;"",PERCENTRANK('Team Scores'!Q$3:Q$955, 'Team Scores'!Q4, 3) * R$2, "")</f>
        <v>0.70299999999999996</v>
      </c>
      <c r="S5" s="49">
        <f>IF($A5&lt;&gt;"",PERCENTRANK('Team Scores'!R$3:R$955, 'Team Scores'!R4, 3) * S$2, "")</f>
        <v>0.27700000000000002</v>
      </c>
      <c r="T5" s="49">
        <f>IF($A5&lt;&gt;"",PERCENTRANK('Team Scores'!S$3:S$955, 'Team Scores'!S4, 3) * T$2, "")</f>
        <v>0.44400000000000001</v>
      </c>
      <c r="U5" s="49">
        <f>IF($A5&lt;&gt;"",PERCENTRANK('Team Scores'!T$3:T$955, 'Team Scores'!T4, 3) * U$2, "")</f>
        <v>0.70299999999999996</v>
      </c>
      <c r="V5" s="49">
        <f>IF($A5&lt;&gt;"",PERCENTRANK('Team Scores'!U$3:U$955, 'Team Scores'!U4, 3) * V$2, "")</f>
        <v>0.48099999999999998</v>
      </c>
      <c r="W5" s="49">
        <f>IF($A5&lt;&gt;"",PERCENTRANK('Team Scores'!V$3:V$955, 'Team Scores'!V4, 3) * W$2, "")</f>
        <v>0.64800000000000002</v>
      </c>
      <c r="X5" s="49">
        <f>IF($A5&lt;&gt;"",PERCENTRANK('Team Scores'!W$3:W$955, 'Team Scores'!W4, 3) * X$2, "")</f>
        <v>0.25900000000000001</v>
      </c>
      <c r="Y5" s="49">
        <f>IF($A5&lt;&gt;"",PERCENTRANK('Team Scores'!X$3:X$955, 'Team Scores'!X4, 3) * Y$2, "")</f>
        <v>0.55500000000000005</v>
      </c>
      <c r="Z5" s="49">
        <f>IF($A5&lt;&gt;"",PERCENTRANK('Team Scores'!Y$3:Y$955, 'Team Scores'!Y4, 3) * Z$2, "")</f>
        <v>0.48099999999999998</v>
      </c>
      <c r="AA5" s="49">
        <f>IF($A5&lt;&gt;"",PERCENTRANK('Team Scores'!Z$3:Z$955, 'Team Scores'!Z4, 3) * AA$2, "")</f>
        <v>0.48099999999999998</v>
      </c>
      <c r="AB5" s="49">
        <f>IF($A5&lt;&gt;"",PERCENTRANK('Team Scores'!AA$3:AA$955, 'Team Scores'!AA4, 3) * AB$2, "")</f>
        <v>0.5</v>
      </c>
    </row>
    <row r="6" spans="1:28" x14ac:dyDescent="0.2">
      <c r="A6" s="52">
        <f>IF('TBA-Teams'!A4 &lt;&gt; "", 'TBA-Teams'!A4, "")</f>
        <v>144</v>
      </c>
      <c r="B6" s="53">
        <f>IF(A6&lt;&gt;"",SUM(C6:AB6),"")</f>
        <v>9.5459999999999994</v>
      </c>
      <c r="C6" s="49">
        <f>IF($A6&lt;&gt;"",PERCENTRANK('Team Scores'!B$3:B$955, 'Team Scores'!B5, 3) * C$2, "")</f>
        <v>0</v>
      </c>
      <c r="D6" s="49">
        <f>IF($A6&lt;&gt;"",PERCENTRANK('Team Scores'!C$3:C$955, 'Team Scores'!C5, 3) * D$2, "")</f>
        <v>0.87</v>
      </c>
      <c r="E6" s="49">
        <f>IF($A6&lt;&gt;"",PERCENTRANK('Team Scores'!D$3:D$955, 'Team Scores'!D5, 3) * E$2, "")</f>
        <v>0.75900000000000001</v>
      </c>
      <c r="F6" s="49">
        <f>IF($A6&lt;&gt;"",PERCENTRANK('Team Scores'!E$3:E$955, 'Team Scores'!E5, 3) * F$2, "")</f>
        <v>0</v>
      </c>
      <c r="G6" s="49">
        <f>IF($A6&lt;&gt;"",PERCENTRANK('Team Scores'!F$3:F$955, 'Team Scores'!F5, 3) * G$2, "")</f>
        <v>3.6999999999999998E-2</v>
      </c>
      <c r="H6" s="49">
        <f>IF($A6&lt;&gt;"",PERCENTRANK('Team Scores'!G$3:G$955, 'Team Scores'!G5, 3) * H$2, "")</f>
        <v>0.48099999999999998</v>
      </c>
      <c r="I6" s="49">
        <f>IF($A6&lt;&gt;"",PERCENTRANK('Team Scores'!H$3:H$955, 'Team Scores'!H5, 3) * I$2, "")</f>
        <v>0.37</v>
      </c>
      <c r="J6" s="49">
        <f>IF($A6&lt;&gt;"",PERCENTRANK('Team Scores'!I$3:I$955, 'Team Scores'!I5, 3) * J$2, "")</f>
        <v>0.25900000000000001</v>
      </c>
      <c r="K6" s="49">
        <f>IF($A6&lt;&gt;"",PERCENTRANK('Team Scores'!J$3:J$955, 'Team Scores'!J5, 3) * K$2, "")</f>
        <v>0.629</v>
      </c>
      <c r="L6" s="49">
        <f>IF($A6&lt;&gt;"",PERCENTRANK('Team Scores'!K$3:K$955, 'Team Scores'!K5, 3) * L$2, "")</f>
        <v>0.83299999999999996</v>
      </c>
      <c r="M6" s="49">
        <f>IF($A6&lt;&gt;"",PERCENTRANK('Team Scores'!L$3:L$955, 'Team Scores'!L5, 3) * M$2, "")</f>
        <v>0.46200000000000002</v>
      </c>
      <c r="N6" s="49">
        <f>IF($A6&lt;&gt;"",PERCENTRANK('Team Scores'!M$3:M$955, 'Team Scores'!M5, 3) * N$2, "")</f>
        <v>0.46200000000000002</v>
      </c>
      <c r="O6" s="49">
        <f>IF($A6&lt;&gt;"",PERCENTRANK('Team Scores'!N$3:N$955, 'Team Scores'!N5, 3) * O$2, "")</f>
        <v>7.3999999999999996E-2</v>
      </c>
      <c r="P6" s="49">
        <f>IF($A6&lt;&gt;"",PERCENTRANK('Team Scores'!O$3:O$955, 'Team Scores'!O5, 3) * P$2, "")</f>
        <v>9.1999999999999998E-2</v>
      </c>
      <c r="Q6" s="49">
        <f>IF($A6&lt;&gt;"",PERCENTRANK('Team Scores'!P$3:P$955, 'Team Scores'!P5, 3) * Q$2, "")</f>
        <v>0.5</v>
      </c>
      <c r="R6" s="49">
        <f>IF($A6&lt;&gt;"",PERCENTRANK('Team Scores'!Q$3:Q$955, 'Team Scores'!Q5, 3) * R$2, "")</f>
        <v>0.24</v>
      </c>
      <c r="S6" s="49">
        <f>IF($A6&lt;&gt;"",PERCENTRANK('Team Scores'!R$3:R$955, 'Team Scores'!R5, 3) * S$2, "")</f>
        <v>0.53700000000000003</v>
      </c>
      <c r="T6" s="49">
        <f>IF($A6&lt;&gt;"",PERCENTRANK('Team Scores'!S$3:S$955, 'Team Scores'!S5, 3) * T$2, "")</f>
        <v>0.44400000000000001</v>
      </c>
      <c r="U6" s="49">
        <f>IF($A6&lt;&gt;"",PERCENTRANK('Team Scores'!T$3:T$955, 'Team Scores'!T5, 3) * U$2, "")</f>
        <v>0.185</v>
      </c>
      <c r="V6" s="49">
        <f>IF($A6&lt;&gt;"",PERCENTRANK('Team Scores'!U$3:U$955, 'Team Scores'!U5, 3) * V$2, "")</f>
        <v>0.222</v>
      </c>
      <c r="W6" s="49">
        <f>IF($A6&lt;&gt;"",PERCENTRANK('Team Scores'!V$3:V$955, 'Team Scores'!V5, 3) * W$2, "")</f>
        <v>0.53700000000000003</v>
      </c>
      <c r="X6" s="49">
        <f>IF($A6&lt;&gt;"",PERCENTRANK('Team Scores'!W$3:W$955, 'Team Scores'!W5, 3) * X$2, "")</f>
        <v>0.33300000000000002</v>
      </c>
      <c r="Y6" s="49">
        <f>IF($A6&lt;&gt;"",PERCENTRANK('Team Scores'!X$3:X$955, 'Team Scores'!X5, 3) * Y$2, "")</f>
        <v>0.42499999999999999</v>
      </c>
      <c r="Z6" s="49">
        <f>IF($A6&lt;&gt;"",PERCENTRANK('Team Scores'!Y$3:Y$955, 'Team Scores'!Y5, 3) * Z$2, "")</f>
        <v>0.35099999999999998</v>
      </c>
      <c r="AA6" s="49">
        <f>IF($A6&lt;&gt;"",PERCENTRANK('Team Scores'!Z$3:Z$955, 'Team Scores'!Z5, 3) * AA$2, "")</f>
        <v>0.222</v>
      </c>
      <c r="AB6" s="49">
        <f>IF($A6&lt;&gt;"",PERCENTRANK('Team Scores'!AA$3:AA$955, 'Team Scores'!AA5, 3) * AB$2, "")</f>
        <v>0.222</v>
      </c>
    </row>
    <row r="7" spans="1:28" x14ac:dyDescent="0.2">
      <c r="A7" s="52">
        <f>IF('TBA-Teams'!A5 &lt;&gt; "", 'TBA-Teams'!A5, "")</f>
        <v>191</v>
      </c>
      <c r="B7" s="53">
        <f>IF(A7&lt;&gt;"",SUM(C7:AB7),"")</f>
        <v>11.043000000000001</v>
      </c>
      <c r="C7" s="49">
        <f>IF($A7&lt;&gt;"",PERCENTRANK('Team Scores'!B$3:B$955, 'Team Scores'!B6, 3) * C$2, "")</f>
        <v>0</v>
      </c>
      <c r="D7" s="49">
        <f>IF($A7&lt;&gt;"",PERCENTRANK('Team Scores'!C$3:C$955, 'Team Scores'!C6, 3) * D$2, "")</f>
        <v>1.7999999999999999E-2</v>
      </c>
      <c r="E7" s="49">
        <f>IF($A7&lt;&gt;"",PERCENTRANK('Team Scores'!D$3:D$955, 'Team Scores'!D6, 3) * E$2, "")</f>
        <v>0.27700000000000002</v>
      </c>
      <c r="F7" s="49">
        <f>IF($A7&lt;&gt;"",PERCENTRANK('Team Scores'!E$3:E$955, 'Team Scores'!E6, 3) * F$2, "")</f>
        <v>0.68500000000000005</v>
      </c>
      <c r="G7" s="49">
        <f>IF($A7&lt;&gt;"",PERCENTRANK('Team Scores'!F$3:F$955, 'Team Scores'!F6, 3) * G$2, "")</f>
        <v>0.96199999999999997</v>
      </c>
      <c r="H7" s="49">
        <f>IF($A7&lt;&gt;"",PERCENTRANK('Team Scores'!G$3:G$955, 'Team Scores'!G6, 3) * H$2, "")</f>
        <v>0.14799999999999999</v>
      </c>
      <c r="I7" s="49">
        <f>IF($A7&lt;&gt;"",PERCENTRANK('Team Scores'!H$3:H$955, 'Team Scores'!H6, 3) * I$2, "")</f>
        <v>0.25900000000000001</v>
      </c>
      <c r="J7" s="49">
        <f>IF($A7&lt;&gt;"",PERCENTRANK('Team Scores'!I$3:I$955, 'Team Scores'!I6, 3) * J$2, "")</f>
        <v>0</v>
      </c>
      <c r="K7" s="49">
        <f>IF($A7&lt;&gt;"",PERCENTRANK('Team Scores'!J$3:J$955, 'Team Scores'!J6, 3) * K$2, "")</f>
        <v>0.20300000000000001</v>
      </c>
      <c r="L7" s="49">
        <f>IF($A7&lt;&gt;"",PERCENTRANK('Team Scores'!K$3:K$955, 'Team Scores'!K6, 3) * L$2, "")</f>
        <v>0.29599999999999999</v>
      </c>
      <c r="M7" s="49">
        <f>IF($A7&lt;&gt;"",PERCENTRANK('Team Scores'!L$3:L$955, 'Team Scores'!L6, 3) * M$2, "")</f>
        <v>0.16600000000000001</v>
      </c>
      <c r="N7" s="49">
        <f>IF($A7&lt;&gt;"",PERCENTRANK('Team Scores'!M$3:M$955, 'Team Scores'!M6, 3) * N$2, "")</f>
        <v>0.74</v>
      </c>
      <c r="O7" s="49">
        <f>IF($A7&lt;&gt;"",PERCENTRANK('Team Scores'!N$3:N$955, 'Team Scores'!N6, 3) * O$2, "")</f>
        <v>0.44400000000000001</v>
      </c>
      <c r="P7" s="49">
        <f>IF($A7&lt;&gt;"",PERCENTRANK('Team Scores'!O$3:O$955, 'Team Scores'!O6, 3) * P$2, "")</f>
        <v>0.96199999999999997</v>
      </c>
      <c r="Q7" s="49">
        <f>IF($A7&lt;&gt;"",PERCENTRANK('Team Scores'!P$3:P$955, 'Team Scores'!P6, 3) * Q$2, "")</f>
        <v>0.85099999999999998</v>
      </c>
      <c r="R7" s="49">
        <f>IF($A7&lt;&gt;"",PERCENTRANK('Team Scores'!Q$3:Q$955, 'Team Scores'!Q6, 3) * R$2, "")</f>
        <v>0.57399999999999995</v>
      </c>
      <c r="S7" s="49">
        <f>IF($A7&lt;&gt;"",PERCENTRANK('Team Scores'!R$3:R$955, 'Team Scores'!R6, 3) * S$2, "")</f>
        <v>0.53700000000000003</v>
      </c>
      <c r="T7" s="49">
        <f>IF($A7&lt;&gt;"",PERCENTRANK('Team Scores'!S$3:S$955, 'Team Scores'!S6, 3) * T$2, "")</f>
        <v>0.24</v>
      </c>
      <c r="U7" s="49">
        <f>IF($A7&lt;&gt;"",PERCENTRANK('Team Scores'!T$3:T$955, 'Team Scores'!T6, 3) * U$2, "")</f>
        <v>0.46200000000000002</v>
      </c>
      <c r="V7" s="49">
        <f>IF($A7&lt;&gt;"",PERCENTRANK('Team Scores'!U$3:U$955, 'Team Scores'!U6, 3) * V$2, "")</f>
        <v>0.38800000000000001</v>
      </c>
      <c r="W7" s="49">
        <f>IF($A7&lt;&gt;"",PERCENTRANK('Team Scores'!V$3:V$955, 'Team Scores'!V6, 3) * W$2, "")</f>
        <v>0.53700000000000003</v>
      </c>
      <c r="X7" s="49">
        <f>IF($A7&lt;&gt;"",PERCENTRANK('Team Scores'!W$3:W$955, 'Team Scores'!W6, 3) * X$2, "")</f>
        <v>0.33300000000000002</v>
      </c>
      <c r="Y7" s="49">
        <f>IF($A7&lt;&gt;"",PERCENTRANK('Team Scores'!X$3:X$955, 'Team Scores'!X6, 3) * Y$2, "")</f>
        <v>0.222</v>
      </c>
      <c r="Z7" s="49">
        <f>IF($A7&lt;&gt;"",PERCENTRANK('Team Scores'!Y$3:Y$955, 'Team Scores'!Y6, 3) * Z$2, "")</f>
        <v>0.94399999999999995</v>
      </c>
      <c r="AA7" s="49">
        <f>IF($A7&lt;&gt;"",PERCENTRANK('Team Scores'!Z$3:Z$955, 'Team Scores'!Z6, 3) * AA$2, "")</f>
        <v>0.40699999999999997</v>
      </c>
      <c r="AB7" s="49">
        <f>IF($A7&lt;&gt;"",PERCENTRANK('Team Scores'!AA$3:AA$955, 'Team Scores'!AA6, 3) * AB$2, "")</f>
        <v>0.38800000000000001</v>
      </c>
    </row>
    <row r="8" spans="1:28" x14ac:dyDescent="0.2">
      <c r="A8" s="52">
        <f>IF('TBA-Teams'!A6 &lt;&gt; "", 'TBA-Teams'!A6, "")</f>
        <v>271</v>
      </c>
      <c r="B8" s="53">
        <f>IF(A8&lt;&gt;"",SUM(C8:AB8),"")</f>
        <v>9.8619999999999965</v>
      </c>
      <c r="C8" s="49">
        <f>IF($A8&lt;&gt;"",PERCENTRANK('Team Scores'!B$3:B$955, 'Team Scores'!B7, 3) * C$2, "")</f>
        <v>0</v>
      </c>
      <c r="D8" s="49">
        <f>IF($A8&lt;&gt;"",PERCENTRANK('Team Scores'!C$3:C$955, 'Team Scores'!C7, 3) * D$2, "")</f>
        <v>0.29599999999999999</v>
      </c>
      <c r="E8" s="49">
        <f>IF($A8&lt;&gt;"",PERCENTRANK('Team Scores'!D$3:D$955, 'Team Scores'!D7, 3) * E$2, "")</f>
        <v>0.42499999999999999</v>
      </c>
      <c r="F8" s="49">
        <f>IF($A8&lt;&gt;"",PERCENTRANK('Team Scores'!E$3:E$955, 'Team Scores'!E7, 3) * F$2, "")</f>
        <v>0</v>
      </c>
      <c r="G8" s="49">
        <f>IF($A8&lt;&gt;"",PERCENTRANK('Team Scores'!F$3:F$955, 'Team Scores'!F7, 3) * G$2, "")</f>
        <v>3.6999999999999998E-2</v>
      </c>
      <c r="H8" s="49">
        <f>IF($A8&lt;&gt;"",PERCENTRANK('Team Scores'!G$3:G$955, 'Team Scores'!G7, 3) * H$2, "")</f>
        <v>0.14799999999999999</v>
      </c>
      <c r="I8" s="49">
        <f>IF($A8&lt;&gt;"",PERCENTRANK('Team Scores'!H$3:H$955, 'Team Scores'!H7, 3) * I$2, "")</f>
        <v>0.79600000000000004</v>
      </c>
      <c r="J8" s="49">
        <f>IF($A8&lt;&gt;"",PERCENTRANK('Team Scores'!I$3:I$955, 'Team Scores'!I7, 3) * J$2, "")</f>
        <v>0.25900000000000001</v>
      </c>
      <c r="K8" s="49">
        <f>IF($A8&lt;&gt;"",PERCENTRANK('Team Scores'!J$3:J$955, 'Team Scores'!J7, 3) * K$2, "")</f>
        <v>0.20300000000000001</v>
      </c>
      <c r="L8" s="49">
        <f>IF($A8&lt;&gt;"",PERCENTRANK('Team Scores'!K$3:K$955, 'Team Scores'!K7, 3) * L$2, "")</f>
        <v>0.51800000000000002</v>
      </c>
      <c r="M8" s="49">
        <f>IF($A8&lt;&gt;"",PERCENTRANK('Team Scores'!L$3:L$955, 'Team Scores'!L7, 3) * M$2, "")</f>
        <v>0.16600000000000001</v>
      </c>
      <c r="N8" s="49">
        <f>IF($A8&lt;&gt;"",PERCENTRANK('Team Scores'!M$3:M$955, 'Team Scores'!M7, 3) * N$2, "")</f>
        <v>0</v>
      </c>
      <c r="O8" s="49">
        <f>IF($A8&lt;&gt;"",PERCENTRANK('Team Scores'!N$3:N$955, 'Team Scores'!N7, 3) * O$2, "")</f>
        <v>0.70299999999999996</v>
      </c>
      <c r="P8" s="49">
        <f>IF($A8&lt;&gt;"",PERCENTRANK('Team Scores'!O$3:O$955, 'Team Scores'!O7, 3) * P$2, "")</f>
        <v>0.53700000000000003</v>
      </c>
      <c r="Q8" s="49">
        <f>IF($A8&lt;&gt;"",PERCENTRANK('Team Scores'!P$3:P$955, 'Team Scores'!P7, 3) * Q$2, "")</f>
        <v>0.61099999999999999</v>
      </c>
      <c r="R8" s="49">
        <f>IF($A8&lt;&gt;"",PERCENTRANK('Team Scores'!Q$3:Q$955, 'Team Scores'!Q7, 3) * R$2, "")</f>
        <v>0.57399999999999995</v>
      </c>
      <c r="S8" s="49">
        <f>IF($A8&lt;&gt;"",PERCENTRANK('Team Scores'!R$3:R$955, 'Team Scores'!R7, 3) * S$2, "")</f>
        <v>0.74</v>
      </c>
      <c r="T8" s="49">
        <f>IF($A8&lt;&gt;"",PERCENTRANK('Team Scores'!S$3:S$955, 'Team Scores'!S7, 3) * T$2, "")</f>
        <v>0.24</v>
      </c>
      <c r="U8" s="49">
        <f>IF($A8&lt;&gt;"",PERCENTRANK('Team Scores'!T$3:T$955, 'Team Scores'!T7, 3) * U$2, "")</f>
        <v>0.185</v>
      </c>
      <c r="V8" s="49">
        <f>IF($A8&lt;&gt;"",PERCENTRANK('Team Scores'!U$3:U$955, 'Team Scores'!U7, 3) * V$2, "")</f>
        <v>0.64800000000000002</v>
      </c>
      <c r="W8" s="49">
        <f>IF($A8&lt;&gt;"",PERCENTRANK('Team Scores'!V$3:V$955, 'Team Scores'!V7, 3) * W$2, "")</f>
        <v>0.53700000000000003</v>
      </c>
      <c r="X8" s="49">
        <f>IF($A8&lt;&gt;"",PERCENTRANK('Team Scores'!W$3:W$955, 'Team Scores'!W7, 3) * X$2, "")</f>
        <v>5.5E-2</v>
      </c>
      <c r="Y8" s="49">
        <f>IF($A8&lt;&gt;"",PERCENTRANK('Team Scores'!X$3:X$955, 'Team Scores'!X7, 3) * Y$2, "")</f>
        <v>0.14799999999999999</v>
      </c>
      <c r="Z8" s="49">
        <f>IF($A8&lt;&gt;"",PERCENTRANK('Team Scores'!Y$3:Y$955, 'Team Scores'!Y7, 3) * Z$2, "")</f>
        <v>0.75900000000000001</v>
      </c>
      <c r="AA8" s="49">
        <f>IF($A8&lt;&gt;"",PERCENTRANK('Team Scores'!Z$3:Z$955, 'Team Scores'!Z7, 3) * AA$2, "")</f>
        <v>0.64800000000000002</v>
      </c>
      <c r="AB8" s="49">
        <f>IF($A8&lt;&gt;"",PERCENTRANK('Team Scores'!AA$3:AA$955, 'Team Scores'!AA7, 3) * AB$2, "")</f>
        <v>0.629</v>
      </c>
    </row>
    <row r="9" spans="1:28" x14ac:dyDescent="0.2">
      <c r="A9" s="52">
        <f>IF('TBA-Teams'!A7 &lt;&gt; "", 'TBA-Teams'!A7, "")</f>
        <v>325</v>
      </c>
      <c r="B9" s="53">
        <f>IF(A9&lt;&gt;"",SUM(C9:AB9),"")</f>
        <v>9.2329999999999988</v>
      </c>
      <c r="C9" s="49">
        <f>IF($A9&lt;&gt;"",PERCENTRANK('Team Scores'!B$3:B$955, 'Team Scores'!B8, 3) * C$2, "")</f>
        <v>0</v>
      </c>
      <c r="D9" s="49">
        <f>IF($A9&lt;&gt;"",PERCENTRANK('Team Scores'!C$3:C$955, 'Team Scores'!C8, 3) * D$2, "")</f>
        <v>0.64800000000000002</v>
      </c>
      <c r="E9" s="49">
        <f>IF($A9&lt;&gt;"",PERCENTRANK('Team Scores'!D$3:D$955, 'Team Scores'!D8, 3) * E$2, "")</f>
        <v>0.57399999999999995</v>
      </c>
      <c r="F9" s="49">
        <f>IF($A9&lt;&gt;"",PERCENTRANK('Team Scores'!E$3:E$955, 'Team Scores'!E8, 3) * F$2, "")</f>
        <v>0.25900000000000001</v>
      </c>
      <c r="G9" s="49">
        <f>IF($A9&lt;&gt;"",PERCENTRANK('Team Scores'!F$3:F$955, 'Team Scores'!F8, 3) * G$2, "")</f>
        <v>3.6999999999999998E-2</v>
      </c>
      <c r="H9" s="49">
        <f>IF($A9&lt;&gt;"",PERCENTRANK('Team Scores'!G$3:G$955, 'Team Scores'!G8, 3) * H$2, "")</f>
        <v>0.61099999999999999</v>
      </c>
      <c r="I9" s="49">
        <f>IF($A9&lt;&gt;"",PERCENTRANK('Team Scores'!H$3:H$955, 'Team Scores'!H8, 3) * I$2, "")</f>
        <v>0.61099999999999999</v>
      </c>
      <c r="J9" s="49">
        <f>IF($A9&lt;&gt;"",PERCENTRANK('Team Scores'!I$3:I$955, 'Team Scores'!I8, 3) * J$2, "")</f>
        <v>1.7999999999999999E-2</v>
      </c>
      <c r="K9" s="49">
        <f>IF($A9&lt;&gt;"",PERCENTRANK('Team Scores'!J$3:J$955, 'Team Scores'!J8, 3) * K$2, "")</f>
        <v>0.629</v>
      </c>
      <c r="L9" s="49">
        <f>IF($A9&lt;&gt;"",PERCENTRANK('Team Scores'!K$3:K$955, 'Team Scores'!K8, 3) * L$2, "")</f>
        <v>0</v>
      </c>
      <c r="M9" s="49">
        <f>IF($A9&lt;&gt;"",PERCENTRANK('Team Scores'!L$3:L$955, 'Team Scores'!L8, 3) * M$2, "")</f>
        <v>3.6999999999999998E-2</v>
      </c>
      <c r="N9" s="49">
        <f>IF($A9&lt;&gt;"",PERCENTRANK('Team Scores'!M$3:M$955, 'Team Scores'!M8, 3) * N$2, "")</f>
        <v>0.96199999999999997</v>
      </c>
      <c r="O9" s="49">
        <f>IF($A9&lt;&gt;"",PERCENTRANK('Team Scores'!N$3:N$955, 'Team Scores'!N8, 3) * O$2, "")</f>
        <v>0.44400000000000001</v>
      </c>
      <c r="P9" s="49">
        <f>IF($A9&lt;&gt;"",PERCENTRANK('Team Scores'!O$3:O$955, 'Team Scores'!O8, 3) * P$2, "")</f>
        <v>0.29599999999999999</v>
      </c>
      <c r="Q9" s="49">
        <f>IF($A9&lt;&gt;"",PERCENTRANK('Team Scores'!P$3:P$955, 'Team Scores'!P8, 3) * Q$2, "")</f>
        <v>0.185</v>
      </c>
      <c r="R9" s="49">
        <f>IF($A9&lt;&gt;"",PERCENTRANK('Team Scores'!Q$3:Q$955, 'Team Scores'!Q8, 3) * R$2, "")</f>
        <v>0.98099999999999998</v>
      </c>
      <c r="S9" s="49">
        <f>IF($A9&lt;&gt;"",PERCENTRANK('Team Scores'!R$3:R$955, 'Team Scores'!R8, 3) * S$2, "")</f>
        <v>0.53700000000000003</v>
      </c>
      <c r="T9" s="49">
        <f>IF($A9&lt;&gt;"",PERCENTRANK('Team Scores'!S$3:S$955, 'Team Scores'!S8, 3) * T$2, "")</f>
        <v>5.5E-2</v>
      </c>
      <c r="U9" s="49">
        <f>IF($A9&lt;&gt;"",PERCENTRANK('Team Scores'!T$3:T$955, 'Team Scores'!T8, 3) * U$2, "")</f>
        <v>0.46200000000000002</v>
      </c>
      <c r="V9" s="49">
        <f>IF($A9&lt;&gt;"",PERCENTRANK('Team Scores'!U$3:U$955, 'Team Scores'!U8, 3) * V$2, "")</f>
        <v>0.185</v>
      </c>
      <c r="W9" s="49">
        <f>IF($A9&lt;&gt;"",PERCENTRANK('Team Scores'!V$3:V$955, 'Team Scores'!V8, 3) * W$2, "")</f>
        <v>0.35099999999999998</v>
      </c>
      <c r="X9" s="49">
        <f>IF($A9&lt;&gt;"",PERCENTRANK('Team Scores'!W$3:W$955, 'Team Scores'!W8, 3) * X$2, "")</f>
        <v>0.53700000000000003</v>
      </c>
      <c r="Y9" s="49">
        <f>IF($A9&lt;&gt;"",PERCENTRANK('Team Scores'!X$3:X$955, 'Team Scores'!X8, 3) * Y$2, "")</f>
        <v>0.29599999999999999</v>
      </c>
      <c r="Z9" s="49">
        <f>IF($A9&lt;&gt;"",PERCENTRANK('Team Scores'!Y$3:Y$955, 'Team Scores'!Y8, 3) * Z$2, "")</f>
        <v>0.14799999999999999</v>
      </c>
      <c r="AA9" s="49">
        <f>IF($A9&lt;&gt;"",PERCENTRANK('Team Scores'!Z$3:Z$955, 'Team Scores'!Z8, 3) * AA$2, "")</f>
        <v>0.185</v>
      </c>
      <c r="AB9" s="49">
        <f>IF($A9&lt;&gt;"",PERCENTRANK('Team Scores'!AA$3:AA$955, 'Team Scores'!AA8, 3) * AB$2, "")</f>
        <v>0.185</v>
      </c>
    </row>
    <row r="10" spans="1:28" x14ac:dyDescent="0.2">
      <c r="A10" s="52">
        <f>IF('TBA-Teams'!A8 &lt;&gt; "", 'TBA-Teams'!A8, "")</f>
        <v>340</v>
      </c>
      <c r="B10" s="53">
        <f>IF(A10&lt;&gt;"",SUM(C10:AB10),"")</f>
        <v>14.726000000000004</v>
      </c>
      <c r="C10" s="49">
        <f>IF($A10&lt;&gt;"",PERCENTRANK('Team Scores'!B$3:B$955, 'Team Scores'!B9, 3) * C$2, "")</f>
        <v>0</v>
      </c>
      <c r="D10" s="49">
        <f>IF($A10&lt;&gt;"",PERCENTRANK('Team Scores'!C$3:C$955, 'Team Scores'!C9, 3) * D$2, "")</f>
        <v>0.87</v>
      </c>
      <c r="E10" s="49">
        <f>IF($A10&lt;&gt;"",PERCENTRANK('Team Scores'!D$3:D$955, 'Team Scores'!D9, 3) * E$2, "")</f>
        <v>0.27700000000000002</v>
      </c>
      <c r="F10" s="49">
        <f>IF($A10&lt;&gt;"",PERCENTRANK('Team Scores'!E$3:E$955, 'Team Scores'!E9, 3) * F$2, "")</f>
        <v>0.55500000000000005</v>
      </c>
      <c r="G10" s="49">
        <f>IF($A10&lt;&gt;"",PERCENTRANK('Team Scores'!F$3:F$955, 'Team Scores'!F9, 3) * G$2, "")</f>
        <v>0.79600000000000004</v>
      </c>
      <c r="H10" s="49">
        <f>IF($A10&lt;&gt;"",PERCENTRANK('Team Scores'!G$3:G$955, 'Team Scores'!G9, 3) * H$2, "")</f>
        <v>1</v>
      </c>
      <c r="I10" s="49">
        <f>IF($A10&lt;&gt;"",PERCENTRANK('Team Scores'!H$3:H$955, 'Team Scores'!H9, 3) * I$2, "")</f>
        <v>0.314</v>
      </c>
      <c r="J10" s="49">
        <f>IF($A10&lt;&gt;"",PERCENTRANK('Team Scores'!I$3:I$955, 'Team Scores'!I9, 3) * J$2, "")</f>
        <v>0.96199999999999997</v>
      </c>
      <c r="K10" s="49">
        <f>IF($A10&lt;&gt;"",PERCENTRANK('Team Scores'!J$3:J$955, 'Team Scores'!J9, 3) * K$2, "")</f>
        <v>9.1999999999999998E-2</v>
      </c>
      <c r="L10" s="49">
        <f>IF($A10&lt;&gt;"",PERCENTRANK('Team Scores'!K$3:K$955, 'Team Scores'!K9, 3) * L$2, "")</f>
        <v>0.129</v>
      </c>
      <c r="M10" s="49">
        <f>IF($A10&lt;&gt;"",PERCENTRANK('Team Scores'!L$3:L$955, 'Team Scores'!L9, 3) * M$2, "")</f>
        <v>0.46200000000000002</v>
      </c>
      <c r="N10" s="49">
        <f>IF($A10&lt;&gt;"",PERCENTRANK('Team Scores'!M$3:M$955, 'Team Scores'!M9, 3) * N$2, "")</f>
        <v>0.87</v>
      </c>
      <c r="O10" s="49">
        <f>IF($A10&lt;&gt;"",PERCENTRANK('Team Scores'!N$3:N$955, 'Team Scores'!N9, 3) * O$2, "")</f>
        <v>0.70299999999999996</v>
      </c>
      <c r="P10" s="49">
        <f>IF($A10&lt;&gt;"",PERCENTRANK('Team Scores'!O$3:O$955, 'Team Scores'!O9, 3) * P$2, "")</f>
        <v>9.1999999999999998E-2</v>
      </c>
      <c r="Q10" s="49">
        <f>IF($A10&lt;&gt;"",PERCENTRANK('Team Scores'!P$3:P$955, 'Team Scores'!P9, 3) * Q$2, "")</f>
        <v>0.74</v>
      </c>
      <c r="R10" s="49">
        <f>IF($A10&lt;&gt;"",PERCENTRANK('Team Scores'!Q$3:Q$955, 'Team Scores'!Q9, 3) * R$2, "")</f>
        <v>0.70299999999999996</v>
      </c>
      <c r="S10" s="49">
        <f>IF($A10&lt;&gt;"",PERCENTRANK('Team Scores'!R$3:R$955, 'Team Scores'!R9, 3) * S$2, "")</f>
        <v>0.27700000000000002</v>
      </c>
      <c r="T10" s="49">
        <f>IF($A10&lt;&gt;"",PERCENTRANK('Team Scores'!S$3:S$955, 'Team Scores'!S9, 3) * T$2, "")</f>
        <v>0.44400000000000001</v>
      </c>
      <c r="U10" s="49">
        <f>IF($A10&lt;&gt;"",PERCENTRANK('Team Scores'!T$3:T$955, 'Team Scores'!T9, 3) * U$2, "")</f>
        <v>9.1999999999999998E-2</v>
      </c>
      <c r="V10" s="49">
        <f>IF($A10&lt;&gt;"",PERCENTRANK('Team Scores'!U$3:U$955, 'Team Scores'!U9, 3) * V$2, "")</f>
        <v>0.92500000000000004</v>
      </c>
      <c r="W10" s="49">
        <f>IF($A10&lt;&gt;"",PERCENTRANK('Team Scores'!V$3:V$955, 'Team Scores'!V9, 3) * W$2, "")</f>
        <v>0.25900000000000001</v>
      </c>
      <c r="X10" s="49">
        <f>IF($A10&lt;&gt;"",PERCENTRANK('Team Scores'!W$3:W$955, 'Team Scores'!W9, 3) * X$2, "")</f>
        <v>0.68500000000000005</v>
      </c>
      <c r="Y10" s="49">
        <f>IF($A10&lt;&gt;"",PERCENTRANK('Team Scores'!X$3:X$955, 'Team Scores'!X9, 3) * Y$2, "")</f>
        <v>0.94399999999999995</v>
      </c>
      <c r="Z10" s="49">
        <f>IF($A10&lt;&gt;"",PERCENTRANK('Team Scores'!Y$3:Y$955, 'Team Scores'!Y9, 3) * Z$2, "")</f>
        <v>0.68500000000000005</v>
      </c>
      <c r="AA10" s="49">
        <f>IF($A10&lt;&gt;"",PERCENTRANK('Team Scores'!Z$3:Z$955, 'Team Scores'!Z9, 3) * AA$2, "")</f>
        <v>0.92500000000000004</v>
      </c>
      <c r="AB10" s="49">
        <f>IF($A10&lt;&gt;"",PERCENTRANK('Team Scores'!AA$3:AA$955, 'Team Scores'!AA9, 3) * AB$2, "")</f>
        <v>0.92500000000000004</v>
      </c>
    </row>
    <row r="11" spans="1:28" x14ac:dyDescent="0.2">
      <c r="A11" s="52">
        <f>IF('TBA-Teams'!A9 &lt;&gt; "", 'TBA-Teams'!A9, "")</f>
        <v>353</v>
      </c>
      <c r="B11" s="53">
        <f>IF(A11&lt;&gt;"",SUM(C11:AB11),"")</f>
        <v>11.283000000000003</v>
      </c>
      <c r="C11" s="49">
        <f>IF($A11&lt;&gt;"",PERCENTRANK('Team Scores'!B$3:B$955, 'Team Scores'!B10, 3) * C$2, "")</f>
        <v>0</v>
      </c>
      <c r="D11" s="49">
        <f>IF($A11&lt;&gt;"",PERCENTRANK('Team Scores'!C$3:C$955, 'Team Scores'!C10, 3) * D$2, "")</f>
        <v>0.46200000000000002</v>
      </c>
      <c r="E11" s="49">
        <f>IF($A11&lt;&gt;"",PERCENTRANK('Team Scores'!D$3:D$955, 'Team Scores'!D10, 3) * E$2, "")</f>
        <v>7.3999999999999996E-2</v>
      </c>
      <c r="F11" s="49">
        <f>IF($A11&lt;&gt;"",PERCENTRANK('Team Scores'!E$3:E$955, 'Team Scores'!E10, 3) * F$2, "")</f>
        <v>0.37</v>
      </c>
      <c r="G11" s="49">
        <f>IF($A11&lt;&gt;"",PERCENTRANK('Team Scores'!F$3:F$955, 'Team Scores'!F10, 3) * G$2, "")</f>
        <v>0.55500000000000005</v>
      </c>
      <c r="H11" s="49">
        <f>IF($A11&lt;&gt;"",PERCENTRANK('Team Scores'!G$3:G$955, 'Team Scores'!G10, 3) * H$2, "")</f>
        <v>7.3999999999999996E-2</v>
      </c>
      <c r="I11" s="49">
        <f>IF($A11&lt;&gt;"",PERCENTRANK('Team Scores'!H$3:H$955, 'Team Scores'!H10, 3) * I$2, "")</f>
        <v>0.314</v>
      </c>
      <c r="J11" s="49">
        <f>IF($A11&lt;&gt;"",PERCENTRANK('Team Scores'!I$3:I$955, 'Team Scores'!I10, 3) * J$2, "")</f>
        <v>0.51800000000000002</v>
      </c>
      <c r="K11" s="49">
        <f>IF($A11&lt;&gt;"",PERCENTRANK('Team Scores'!J$3:J$955, 'Team Scores'!J10, 3) * K$2, "")</f>
        <v>9.1999999999999998E-2</v>
      </c>
      <c r="L11" s="49">
        <f>IF($A11&lt;&gt;"",PERCENTRANK('Team Scores'!K$3:K$955, 'Team Scores'!K10, 3) * L$2, "")</f>
        <v>0.83299999999999996</v>
      </c>
      <c r="M11" s="49">
        <f>IF($A11&lt;&gt;"",PERCENTRANK('Team Scores'!L$3:L$955, 'Team Scores'!L10, 3) * M$2, "")</f>
        <v>0.46200000000000002</v>
      </c>
      <c r="N11" s="49">
        <f>IF($A11&lt;&gt;"",PERCENTRANK('Team Scores'!M$3:M$955, 'Team Scores'!M10, 3) * N$2, "")</f>
        <v>0.46200000000000002</v>
      </c>
      <c r="O11" s="49">
        <f>IF($A11&lt;&gt;"",PERCENTRANK('Team Scores'!N$3:N$955, 'Team Scores'!N10, 3) * O$2, "")</f>
        <v>0.70299999999999996</v>
      </c>
      <c r="P11" s="49">
        <f>IF($A11&lt;&gt;"",PERCENTRANK('Team Scores'!O$3:O$955, 'Team Scores'!O10, 3) * P$2, "")</f>
        <v>0.29599999999999999</v>
      </c>
      <c r="Q11" s="49">
        <f>IF($A11&lt;&gt;"",PERCENTRANK('Team Scores'!P$3:P$955, 'Team Scores'!P10, 3) * Q$2, "")</f>
        <v>0.74</v>
      </c>
      <c r="R11" s="49">
        <f>IF($A11&lt;&gt;"",PERCENTRANK('Team Scores'!Q$3:Q$955, 'Team Scores'!Q10, 3) * R$2, "")</f>
        <v>0.16600000000000001</v>
      </c>
      <c r="S11" s="49">
        <f>IF($A11&lt;&gt;"",PERCENTRANK('Team Scores'!R$3:R$955, 'Team Scores'!R10, 3) * S$2, "")</f>
        <v>0.129</v>
      </c>
      <c r="T11" s="49">
        <f>IF($A11&lt;&gt;"",PERCENTRANK('Team Scores'!S$3:S$955, 'Team Scores'!S10, 3) * T$2, "")</f>
        <v>0.75900000000000001</v>
      </c>
      <c r="U11" s="49">
        <f>IF($A11&lt;&gt;"",PERCENTRANK('Team Scores'!T$3:T$955, 'Team Scores'!T10, 3) * U$2, "")</f>
        <v>0.94399999999999995</v>
      </c>
      <c r="V11" s="49">
        <f>IF($A11&lt;&gt;"",PERCENTRANK('Team Scores'!U$3:U$955, 'Team Scores'!U10, 3) * V$2, "")</f>
        <v>0.44400000000000001</v>
      </c>
      <c r="W11" s="49">
        <f>IF($A11&lt;&gt;"",PERCENTRANK('Team Scores'!V$3:V$955, 'Team Scores'!V10, 3) * W$2, "")</f>
        <v>0.74</v>
      </c>
      <c r="X11" s="49">
        <f>IF($A11&lt;&gt;"",PERCENTRANK('Team Scores'!W$3:W$955, 'Team Scores'!W10, 3) * X$2, "")</f>
        <v>0.185</v>
      </c>
      <c r="Y11" s="49">
        <f>IF($A11&lt;&gt;"",PERCENTRANK('Team Scores'!X$3:X$955, 'Team Scores'!X10, 3) * Y$2, "")</f>
        <v>0.29599999999999999</v>
      </c>
      <c r="Z11" s="49">
        <f>IF($A11&lt;&gt;"",PERCENTRANK('Team Scores'!Y$3:Y$955, 'Team Scores'!Y10, 3) * Z$2, "")</f>
        <v>0.75900000000000001</v>
      </c>
      <c r="AA11" s="49">
        <f>IF($A11&lt;&gt;"",PERCENTRANK('Team Scores'!Z$3:Z$955, 'Team Scores'!Z10, 3) * AA$2, "")</f>
        <v>0.46200000000000002</v>
      </c>
      <c r="AB11" s="49">
        <f>IF($A11&lt;&gt;"",PERCENTRANK('Team Scores'!AA$3:AA$955, 'Team Scores'!AA10, 3) * AB$2, "")</f>
        <v>0.44400000000000001</v>
      </c>
    </row>
    <row r="12" spans="1:28" x14ac:dyDescent="0.2">
      <c r="A12" s="52">
        <f>IF('TBA-Teams'!A10 &lt;&gt; "", 'TBA-Teams'!A10, "")</f>
        <v>378</v>
      </c>
      <c r="B12" s="53">
        <f>IF(A12&lt;&gt;"",SUM(C12:AB12),"")</f>
        <v>12.209</v>
      </c>
      <c r="C12" s="49">
        <f>IF($A12&lt;&gt;"",PERCENTRANK('Team Scores'!B$3:B$955, 'Team Scores'!B11, 3) * C$2, "")</f>
        <v>0</v>
      </c>
      <c r="D12" s="49">
        <f>IF($A12&lt;&gt;"",PERCENTRANK('Team Scores'!C$3:C$955, 'Team Scores'!C11, 3) * D$2, "")</f>
        <v>0.129</v>
      </c>
      <c r="E12" s="49">
        <f>IF($A12&lt;&gt;"",PERCENTRANK('Team Scores'!D$3:D$955, 'Team Scores'!D11, 3) * E$2, "")</f>
        <v>0.27700000000000002</v>
      </c>
      <c r="F12" s="49">
        <f>IF($A12&lt;&gt;"",PERCENTRANK('Team Scores'!E$3:E$955, 'Team Scores'!E11, 3) * F$2, "")</f>
        <v>0.92500000000000004</v>
      </c>
      <c r="G12" s="49">
        <f>IF($A12&lt;&gt;"",PERCENTRANK('Team Scores'!F$3:F$955, 'Team Scores'!F11, 3) * G$2, "")</f>
        <v>0.55500000000000005</v>
      </c>
      <c r="H12" s="49">
        <f>IF($A12&lt;&gt;"",PERCENTRANK('Team Scores'!G$3:G$955, 'Team Scores'!G11, 3) * H$2, "")</f>
        <v>0.61099999999999999</v>
      </c>
      <c r="I12" s="49">
        <f>IF($A12&lt;&gt;"",PERCENTRANK('Team Scores'!H$3:H$955, 'Team Scores'!H11, 3) * I$2, "")</f>
        <v>0.5</v>
      </c>
      <c r="J12" s="49">
        <f>IF($A12&lt;&gt;"",PERCENTRANK('Team Scores'!I$3:I$955, 'Team Scores'!I11, 3) * J$2, "")</f>
        <v>0.79600000000000004</v>
      </c>
      <c r="K12" s="49">
        <f>IF($A12&lt;&gt;"",PERCENTRANK('Team Scores'!J$3:J$955, 'Team Scores'!J11, 3) * K$2, "")</f>
        <v>0.83299999999999996</v>
      </c>
      <c r="L12" s="49">
        <f>IF($A12&lt;&gt;"",PERCENTRANK('Team Scores'!K$3:K$955, 'Team Scores'!K11, 3) * L$2, "")</f>
        <v>0.51800000000000002</v>
      </c>
      <c r="M12" s="49">
        <f>IF($A12&lt;&gt;"",PERCENTRANK('Team Scores'!L$3:L$955, 'Team Scores'!L11, 3) * M$2, "")</f>
        <v>0.46200000000000002</v>
      </c>
      <c r="N12" s="49">
        <f>IF($A12&lt;&gt;"",PERCENTRANK('Team Scores'!M$3:M$955, 'Team Scores'!M11, 3) * N$2, "")</f>
        <v>5.5E-2</v>
      </c>
      <c r="O12" s="49">
        <f>IF($A12&lt;&gt;"",PERCENTRANK('Team Scores'!N$3:N$955, 'Team Scores'!N11, 3) * O$2, "")</f>
        <v>0.44400000000000001</v>
      </c>
      <c r="P12" s="49">
        <f>IF($A12&lt;&gt;"",PERCENTRANK('Team Scores'!O$3:O$955, 'Team Scores'!O11, 3) * P$2, "")</f>
        <v>0.90700000000000003</v>
      </c>
      <c r="Q12" s="49">
        <f>IF($A12&lt;&gt;"",PERCENTRANK('Team Scores'!P$3:P$955, 'Team Scores'!P11, 3) * Q$2, "")</f>
        <v>0.111</v>
      </c>
      <c r="R12" s="49">
        <f>IF($A12&lt;&gt;"",PERCENTRANK('Team Scores'!Q$3:Q$955, 'Team Scores'!Q11, 3) * R$2, "")</f>
        <v>0.44400000000000001</v>
      </c>
      <c r="S12" s="49">
        <f>IF($A12&lt;&gt;"",PERCENTRANK('Team Scores'!R$3:R$955, 'Team Scores'!R11, 3) * S$2, "")</f>
        <v>0.27700000000000002</v>
      </c>
      <c r="T12" s="49">
        <f>IF($A12&lt;&gt;"",PERCENTRANK('Team Scores'!S$3:S$955, 'Team Scores'!S11, 3) * T$2, "")</f>
        <v>0.24</v>
      </c>
      <c r="U12" s="49">
        <f>IF($A12&lt;&gt;"",PERCENTRANK('Team Scores'!T$3:T$955, 'Team Scores'!T11, 3) * U$2, "")</f>
        <v>9.1999999999999998E-2</v>
      </c>
      <c r="V12" s="49">
        <f>IF($A12&lt;&gt;"",PERCENTRANK('Team Scores'!U$3:U$955, 'Team Scores'!U11, 3) * V$2, "")</f>
        <v>0.70299999999999996</v>
      </c>
      <c r="W12" s="49">
        <f>IF($A12&lt;&gt;"",PERCENTRANK('Team Scores'!V$3:V$955, 'Team Scores'!V11, 3) * W$2, "")</f>
        <v>0.129</v>
      </c>
      <c r="X12" s="49">
        <f>IF($A12&lt;&gt;"",PERCENTRANK('Team Scores'!W$3:W$955, 'Team Scores'!W11, 3) * X$2, "")</f>
        <v>0.77700000000000002</v>
      </c>
      <c r="Y12" s="49">
        <f>IF($A12&lt;&gt;"",PERCENTRANK('Team Scores'!X$3:X$955, 'Team Scores'!X11, 3) * Y$2, "")</f>
        <v>0.85099999999999998</v>
      </c>
      <c r="Z12" s="49">
        <f>IF($A12&lt;&gt;"",PERCENTRANK('Team Scores'!Y$3:Y$955, 'Team Scores'!Y11, 3) * Z$2, "")</f>
        <v>0.20300000000000001</v>
      </c>
      <c r="AA12" s="49">
        <f>IF($A12&lt;&gt;"",PERCENTRANK('Team Scores'!Z$3:Z$955, 'Team Scores'!Z11, 3) * AA$2, "")</f>
        <v>0.68500000000000005</v>
      </c>
      <c r="AB12" s="49">
        <f>IF($A12&lt;&gt;"",PERCENTRANK('Team Scores'!AA$3:AA$955, 'Team Scores'!AA11, 3) * AB$2, "")</f>
        <v>0.68500000000000005</v>
      </c>
    </row>
    <row r="13" spans="1:28" x14ac:dyDescent="0.2">
      <c r="A13" s="52">
        <f>IF('TBA-Teams'!A11 &lt;&gt; "", 'TBA-Teams'!A11, "")</f>
        <v>424</v>
      </c>
      <c r="B13" s="53">
        <f>IF(A13&lt;&gt;"",SUM(C13:AB13),"")</f>
        <v>7.8040000000000003</v>
      </c>
      <c r="C13" s="49">
        <f>IF($A13&lt;&gt;"",PERCENTRANK('Team Scores'!B$3:B$955, 'Team Scores'!B12, 3) * C$2, "")</f>
        <v>0</v>
      </c>
      <c r="D13" s="49">
        <f>IF($A13&lt;&gt;"",PERCENTRANK('Team Scores'!C$3:C$955, 'Team Scores'!C12, 3) * D$2, "")</f>
        <v>0.46200000000000002</v>
      </c>
      <c r="E13" s="49">
        <f>IF($A13&lt;&gt;"",PERCENTRANK('Team Scores'!D$3:D$955, 'Team Scores'!D12, 3) * E$2, "")</f>
        <v>0.42499999999999999</v>
      </c>
      <c r="F13" s="49">
        <f>IF($A13&lt;&gt;"",PERCENTRANK('Team Scores'!E$3:E$955, 'Team Scores'!E12, 3) * F$2, "")</f>
        <v>0.16600000000000001</v>
      </c>
      <c r="G13" s="49">
        <f>IF($A13&lt;&gt;"",PERCENTRANK('Team Scores'!F$3:F$955, 'Team Scores'!F12, 3) * G$2, "")</f>
        <v>0.79600000000000004</v>
      </c>
      <c r="H13" s="49">
        <f>IF($A13&lt;&gt;"",PERCENTRANK('Team Scores'!G$3:G$955, 'Team Scores'!G12, 3) * H$2, "")</f>
        <v>7.3999999999999996E-2</v>
      </c>
      <c r="I13" s="49">
        <f>IF($A13&lt;&gt;"",PERCENTRANK('Team Scores'!H$3:H$955, 'Team Scores'!H12, 3) * I$2, "")</f>
        <v>0.88800000000000001</v>
      </c>
      <c r="J13" s="49">
        <f>IF($A13&lt;&gt;"",PERCENTRANK('Team Scores'!I$3:I$955, 'Team Scores'!I12, 3) * J$2, "")</f>
        <v>1</v>
      </c>
      <c r="K13" s="49">
        <f>IF($A13&lt;&gt;"",PERCENTRANK('Team Scores'!J$3:J$955, 'Team Scores'!J12, 3) * K$2, "")</f>
        <v>9.1999999999999998E-2</v>
      </c>
      <c r="L13" s="49">
        <f>IF($A13&lt;&gt;"",PERCENTRANK('Team Scores'!K$3:K$955, 'Team Scores'!K12, 3) * L$2, "")</f>
        <v>0</v>
      </c>
      <c r="M13" s="49">
        <f>IF($A13&lt;&gt;"",PERCENTRANK('Team Scores'!L$3:L$955, 'Team Scores'!L12, 3) * M$2, "")</f>
        <v>0.16600000000000001</v>
      </c>
      <c r="N13" s="49">
        <f>IF($A13&lt;&gt;"",PERCENTRANK('Team Scores'!M$3:M$955, 'Team Scores'!M12, 3) * N$2, "")</f>
        <v>0.27700000000000002</v>
      </c>
      <c r="O13" s="49">
        <f>IF($A13&lt;&gt;"",PERCENTRANK('Team Scores'!N$3:N$955, 'Team Scores'!N12, 3) * O$2, "")</f>
        <v>7.3999999999999996E-2</v>
      </c>
      <c r="P13" s="49">
        <f>IF($A13&lt;&gt;"",PERCENTRANK('Team Scores'!O$3:O$955, 'Team Scores'!O12, 3) * P$2, "")</f>
        <v>9.1999999999999998E-2</v>
      </c>
      <c r="Q13" s="49">
        <f>IF($A13&lt;&gt;"",PERCENTRANK('Team Scores'!P$3:P$955, 'Team Scores'!P12, 3) * Q$2, "")</f>
        <v>0.5</v>
      </c>
      <c r="R13" s="49">
        <f>IF($A13&lt;&gt;"",PERCENTRANK('Team Scores'!Q$3:Q$955, 'Team Scores'!Q12, 3) * R$2, "")</f>
        <v>0.44400000000000001</v>
      </c>
      <c r="S13" s="49">
        <f>IF($A13&lt;&gt;"",PERCENTRANK('Team Scores'!R$3:R$955, 'Team Scores'!R12, 3) * S$2, "")</f>
        <v>0</v>
      </c>
      <c r="T13" s="49">
        <f>IF($A13&lt;&gt;"",PERCENTRANK('Team Scores'!S$3:S$955, 'Team Scores'!S12, 3) * T$2, "")</f>
        <v>0.24</v>
      </c>
      <c r="U13" s="49">
        <f>IF($A13&lt;&gt;"",PERCENTRANK('Team Scores'!T$3:T$955, 'Team Scores'!T12, 3) * U$2, "")</f>
        <v>0.70299999999999996</v>
      </c>
      <c r="V13" s="49">
        <f>IF($A13&lt;&gt;"",PERCENTRANK('Team Scores'!U$3:U$955, 'Team Scores'!U12, 3) * V$2, "")</f>
        <v>0</v>
      </c>
      <c r="W13" s="49">
        <f>IF($A13&lt;&gt;"",PERCENTRANK('Team Scores'!V$3:V$955, 'Team Scores'!V12, 3) * W$2, "")</f>
        <v>0.129</v>
      </c>
      <c r="X13" s="49">
        <f>IF($A13&lt;&gt;"",PERCENTRANK('Team Scores'!W$3:W$955, 'Team Scores'!W12, 3) * X$2, "")</f>
        <v>0.185</v>
      </c>
      <c r="Y13" s="49">
        <f>IF($A13&lt;&gt;"",PERCENTRANK('Team Scores'!X$3:X$955, 'Team Scores'!X12, 3) * Y$2, "")</f>
        <v>0.74</v>
      </c>
      <c r="Z13" s="49">
        <f>IF($A13&lt;&gt;"",PERCENTRANK('Team Scores'!Y$3:Y$955, 'Team Scores'!Y12, 3) * Z$2, "")</f>
        <v>0.35099999999999998</v>
      </c>
      <c r="AA13" s="49">
        <f>IF($A13&lt;&gt;"",PERCENTRANK('Team Scores'!Z$3:Z$955, 'Team Scores'!Z12, 3) * AA$2, "")</f>
        <v>0</v>
      </c>
      <c r="AB13" s="49">
        <f>IF($A13&lt;&gt;"",PERCENTRANK('Team Scores'!AA$3:AA$955, 'Team Scores'!AA12, 3) * AB$2, "")</f>
        <v>0</v>
      </c>
    </row>
    <row r="14" spans="1:28" x14ac:dyDescent="0.2">
      <c r="A14" s="52">
        <f>IF('TBA-Teams'!A12 &lt;&gt; "", 'TBA-Teams'!A12, "")</f>
        <v>432</v>
      </c>
      <c r="B14" s="53">
        <f>IF(A14&lt;&gt;"",SUM(C14:AB14),"")</f>
        <v>13.505999999999998</v>
      </c>
      <c r="C14" s="49">
        <f>IF($A14&lt;&gt;"",PERCENTRANK('Team Scores'!B$3:B$955, 'Team Scores'!B13, 3) * C$2, "")</f>
        <v>0</v>
      </c>
      <c r="D14" s="49">
        <f>IF($A14&lt;&gt;"",PERCENTRANK('Team Scores'!C$3:C$955, 'Team Scores'!C13, 3) * D$2, "")</f>
        <v>0.129</v>
      </c>
      <c r="E14" s="49">
        <f>IF($A14&lt;&gt;"",PERCENTRANK('Team Scores'!D$3:D$955, 'Team Scores'!D13, 3) * E$2, "")</f>
        <v>0.96199999999999997</v>
      </c>
      <c r="F14" s="49">
        <f>IF($A14&lt;&gt;"",PERCENTRANK('Team Scores'!E$3:E$955, 'Team Scores'!E13, 3) * F$2, "")</f>
        <v>1</v>
      </c>
      <c r="G14" s="49">
        <f>IF($A14&lt;&gt;"",PERCENTRANK('Team Scores'!F$3:F$955, 'Team Scores'!F13, 3) * G$2, "")</f>
        <v>0.24</v>
      </c>
      <c r="H14" s="49">
        <f>IF($A14&lt;&gt;"",PERCENTRANK('Team Scores'!G$3:G$955, 'Team Scores'!G13, 3) * H$2, "")</f>
        <v>0.61099999999999999</v>
      </c>
      <c r="I14" s="49">
        <f>IF($A14&lt;&gt;"",PERCENTRANK('Team Scores'!H$3:H$955, 'Team Scores'!H13, 3) * I$2, "")</f>
        <v>0.222</v>
      </c>
      <c r="J14" s="49">
        <f>IF($A14&lt;&gt;"",PERCENTRANK('Team Scores'!I$3:I$955, 'Team Scores'!I13, 3) * J$2, "")</f>
        <v>0.51800000000000002</v>
      </c>
      <c r="K14" s="49">
        <f>IF($A14&lt;&gt;"",PERCENTRANK('Team Scores'!J$3:J$955, 'Team Scores'!J13, 3) * K$2, "")</f>
        <v>0.629</v>
      </c>
      <c r="L14" s="49">
        <f>IF($A14&lt;&gt;"",PERCENTRANK('Team Scores'!K$3:K$955, 'Team Scores'!K13, 3) * L$2, "")</f>
        <v>0.51800000000000002</v>
      </c>
      <c r="M14" s="49">
        <f>IF($A14&lt;&gt;"",PERCENTRANK('Team Scores'!L$3:L$955, 'Team Scores'!L13, 3) * M$2, "")</f>
        <v>0.75900000000000001</v>
      </c>
      <c r="N14" s="49">
        <f>IF($A14&lt;&gt;"",PERCENTRANK('Team Scores'!M$3:M$955, 'Team Scores'!M13, 3) * N$2, "")</f>
        <v>0.46200000000000002</v>
      </c>
      <c r="O14" s="49">
        <f>IF($A14&lt;&gt;"",PERCENTRANK('Team Scores'!N$3:N$955, 'Team Scores'!N13, 3) * O$2, "")</f>
        <v>0</v>
      </c>
      <c r="P14" s="49">
        <f>IF($A14&lt;&gt;"",PERCENTRANK('Team Scores'!O$3:O$955, 'Team Scores'!O13, 3) * P$2, "")</f>
        <v>0.77700000000000002</v>
      </c>
      <c r="Q14" s="49">
        <f>IF($A14&lt;&gt;"",PERCENTRANK('Team Scores'!P$3:P$955, 'Team Scores'!P13, 3) * Q$2, "")</f>
        <v>0.5</v>
      </c>
      <c r="R14" s="49">
        <f>IF($A14&lt;&gt;"",PERCENTRANK('Team Scores'!Q$3:Q$955, 'Team Scores'!Q13, 3) * R$2, "")</f>
        <v>7.3999999999999996E-2</v>
      </c>
      <c r="S14" s="49">
        <f>IF($A14&lt;&gt;"",PERCENTRANK('Team Scores'!R$3:R$955, 'Team Scores'!R13, 3) * S$2, "")</f>
        <v>0.129</v>
      </c>
      <c r="T14" s="49">
        <f>IF($A14&lt;&gt;"",PERCENTRANK('Team Scores'!S$3:S$955, 'Team Scores'!S13, 3) * T$2, "")</f>
        <v>0.24</v>
      </c>
      <c r="U14" s="49">
        <f>IF($A14&lt;&gt;"",PERCENTRANK('Team Scores'!T$3:T$955, 'Team Scores'!T13, 3) * U$2, "")</f>
        <v>0.70299999999999996</v>
      </c>
      <c r="V14" s="49">
        <f>IF($A14&lt;&gt;"",PERCENTRANK('Team Scores'!U$3:U$955, 'Team Scores'!U13, 3) * V$2, "")</f>
        <v>0.90700000000000003</v>
      </c>
      <c r="W14" s="49">
        <f>IF($A14&lt;&gt;"",PERCENTRANK('Team Scores'!V$3:V$955, 'Team Scores'!V13, 3) * W$2, "")</f>
        <v>0.35099999999999998</v>
      </c>
      <c r="X14" s="49">
        <f>IF($A14&lt;&gt;"",PERCENTRANK('Team Scores'!W$3:W$955, 'Team Scores'!W13, 3) * X$2, "")</f>
        <v>0.98099999999999998</v>
      </c>
      <c r="Y14" s="49">
        <f>IF($A14&lt;&gt;"",PERCENTRANK('Team Scores'!X$3:X$955, 'Team Scores'!X13, 3) * Y$2, "")</f>
        <v>0.51800000000000002</v>
      </c>
      <c r="Z14" s="49">
        <f>IF($A14&lt;&gt;"",PERCENTRANK('Team Scores'!Y$3:Y$955, 'Team Scores'!Y13, 3) * Z$2, "")</f>
        <v>0.46200000000000002</v>
      </c>
      <c r="AA14" s="49">
        <f>IF($A14&lt;&gt;"",PERCENTRANK('Team Scores'!Z$3:Z$955, 'Team Scores'!Z13, 3) * AA$2, "")</f>
        <v>0.90700000000000003</v>
      </c>
      <c r="AB14" s="49">
        <f>IF($A14&lt;&gt;"",PERCENTRANK('Team Scores'!AA$3:AA$955, 'Team Scores'!AA13, 3) * AB$2, "")</f>
        <v>0.90700000000000003</v>
      </c>
    </row>
    <row r="15" spans="1:28" x14ac:dyDescent="0.2">
      <c r="A15" s="52">
        <f>IF('TBA-Teams'!A13 &lt;&gt; "", 'TBA-Teams'!A13, "")</f>
        <v>564</v>
      </c>
      <c r="B15" s="53">
        <f>IF(A15&lt;&gt;"",SUM(C15:AB15),"")</f>
        <v>8.895999999999999</v>
      </c>
      <c r="C15" s="49">
        <f>IF($A15&lt;&gt;"",PERCENTRANK('Team Scores'!B$3:B$955, 'Team Scores'!B14, 3) * C$2, "")</f>
        <v>0</v>
      </c>
      <c r="D15" s="49">
        <f>IF($A15&lt;&gt;"",PERCENTRANK('Team Scores'!C$3:C$955, 'Team Scores'!C14, 3) * D$2, "")</f>
        <v>0</v>
      </c>
      <c r="E15" s="49">
        <f>IF($A15&lt;&gt;"",PERCENTRANK('Team Scores'!D$3:D$955, 'Team Scores'!D14, 3) * E$2, "")</f>
        <v>0.14799999999999999</v>
      </c>
      <c r="F15" s="49">
        <f>IF($A15&lt;&gt;"",PERCENTRANK('Team Scores'!E$3:E$955, 'Team Scores'!E14, 3) * F$2, "")</f>
        <v>0.87</v>
      </c>
      <c r="G15" s="49">
        <f>IF($A15&lt;&gt;"",PERCENTRANK('Team Scores'!F$3:F$955, 'Team Scores'!F14, 3) * G$2, "")</f>
        <v>0.96199999999999997</v>
      </c>
      <c r="H15" s="49">
        <f>IF($A15&lt;&gt;"",PERCENTRANK('Team Scores'!G$3:G$955, 'Team Scores'!G14, 3) * H$2, "")</f>
        <v>7.3999999999999996E-2</v>
      </c>
      <c r="I15" s="49">
        <f>IF($A15&lt;&gt;"",PERCENTRANK('Team Scores'!H$3:H$955, 'Team Scores'!H14, 3) * I$2, "")</f>
        <v>0.314</v>
      </c>
      <c r="J15" s="49">
        <f>IF($A15&lt;&gt;"",PERCENTRANK('Team Scores'!I$3:I$955, 'Team Scores'!I14, 3) * J$2, "")</f>
        <v>1.7999999999999999E-2</v>
      </c>
      <c r="K15" s="49">
        <f>IF($A15&lt;&gt;"",PERCENTRANK('Team Scores'!J$3:J$955, 'Team Scores'!J14, 3) * K$2, "")</f>
        <v>0.20300000000000001</v>
      </c>
      <c r="L15" s="49">
        <f>IF($A15&lt;&gt;"",PERCENTRANK('Team Scores'!K$3:K$955, 'Team Scores'!K14, 3) * L$2, "")</f>
        <v>0.129</v>
      </c>
      <c r="M15" s="49">
        <f>IF($A15&lt;&gt;"",PERCENTRANK('Team Scores'!L$3:L$955, 'Team Scores'!L14, 3) * M$2, "")</f>
        <v>0.94399999999999995</v>
      </c>
      <c r="N15" s="49">
        <f>IF($A15&lt;&gt;"",PERCENTRANK('Team Scores'!M$3:M$955, 'Team Scores'!M14, 3) * N$2, "")</f>
        <v>5.5E-2</v>
      </c>
      <c r="O15" s="49">
        <f>IF($A15&lt;&gt;"",PERCENTRANK('Team Scores'!N$3:N$955, 'Team Scores'!N14, 3) * O$2, "")</f>
        <v>0.44400000000000001</v>
      </c>
      <c r="P15" s="49">
        <f>IF($A15&lt;&gt;"",PERCENTRANK('Team Scores'!O$3:O$955, 'Team Scores'!O14, 3) * P$2, "")</f>
        <v>0.29599999999999999</v>
      </c>
      <c r="Q15" s="49">
        <f>IF($A15&lt;&gt;"",PERCENTRANK('Team Scores'!P$3:P$955, 'Team Scores'!P14, 3) * Q$2, "")</f>
        <v>0.185</v>
      </c>
      <c r="R15" s="49">
        <f>IF($A15&lt;&gt;"",PERCENTRANK('Team Scores'!Q$3:Q$955, 'Team Scores'!Q14, 3) * R$2, "")</f>
        <v>1.7999999999999999E-2</v>
      </c>
      <c r="S15" s="49">
        <f>IF($A15&lt;&gt;"",PERCENTRANK('Team Scores'!R$3:R$955, 'Team Scores'!R14, 3) * S$2, "")</f>
        <v>0.129</v>
      </c>
      <c r="T15" s="49">
        <f>IF($A15&lt;&gt;"",PERCENTRANK('Team Scores'!S$3:S$955, 'Team Scores'!S14, 3) * T$2, "")</f>
        <v>5.5E-2</v>
      </c>
      <c r="U15" s="49">
        <f>IF($A15&lt;&gt;"",PERCENTRANK('Team Scores'!T$3:T$955, 'Team Scores'!T14, 3) * U$2, "")</f>
        <v>0.46200000000000002</v>
      </c>
      <c r="V15" s="49">
        <f>IF($A15&lt;&gt;"",PERCENTRANK('Team Scores'!U$3:U$955, 'Team Scores'!U14, 3) * V$2, "")</f>
        <v>0.87</v>
      </c>
      <c r="W15" s="49">
        <f>IF($A15&lt;&gt;"",PERCENTRANK('Team Scores'!V$3:V$955, 'Team Scores'!V14, 3) * W$2, "")</f>
        <v>0.129</v>
      </c>
      <c r="X15" s="49">
        <f>IF($A15&lt;&gt;"",PERCENTRANK('Team Scores'!W$3:W$955, 'Team Scores'!W14, 3) * X$2, "")</f>
        <v>0.48099999999999998</v>
      </c>
      <c r="Y15" s="49">
        <f>IF($A15&lt;&gt;"",PERCENTRANK('Team Scores'!X$3:X$955, 'Team Scores'!X14, 3) * Y$2, "")</f>
        <v>0.222</v>
      </c>
      <c r="Z15" s="49">
        <f>IF($A15&lt;&gt;"",PERCENTRANK('Team Scores'!Y$3:Y$955, 'Team Scores'!Y14, 3) * Z$2, "")</f>
        <v>0.14799999999999999</v>
      </c>
      <c r="AA15" s="49">
        <f>IF($A15&lt;&gt;"",PERCENTRANK('Team Scores'!Z$3:Z$955, 'Team Scores'!Z14, 3) * AA$2, "")</f>
        <v>0.87</v>
      </c>
      <c r="AB15" s="49">
        <f>IF($A15&lt;&gt;"",PERCENTRANK('Team Scores'!AA$3:AA$955, 'Team Scores'!AA14, 3) * AB$2, "")</f>
        <v>0.87</v>
      </c>
    </row>
    <row r="16" spans="1:28" x14ac:dyDescent="0.2">
      <c r="A16" s="52">
        <f>IF('TBA-Teams'!A14 &lt;&gt; "", 'TBA-Teams'!A14, "")</f>
        <v>578</v>
      </c>
      <c r="B16" s="53">
        <f>IF(A16&lt;&gt;"",SUM(C16:AB16),"")</f>
        <v>12.100999999999999</v>
      </c>
      <c r="C16" s="49">
        <f>IF($A16&lt;&gt;"",PERCENTRANK('Team Scores'!B$3:B$955, 'Team Scores'!B15, 3) * C$2, "")</f>
        <v>0</v>
      </c>
      <c r="D16" s="49">
        <f>IF($A16&lt;&gt;"",PERCENTRANK('Team Scores'!C$3:C$955, 'Team Scores'!C15, 3) * D$2, "")</f>
        <v>0.64800000000000002</v>
      </c>
      <c r="E16" s="49">
        <f>IF($A16&lt;&gt;"",PERCENTRANK('Team Scores'!D$3:D$955, 'Team Scores'!D15, 3) * E$2, "")</f>
        <v>0.75900000000000001</v>
      </c>
      <c r="F16" s="49">
        <f>IF($A16&lt;&gt;"",PERCENTRANK('Team Scores'!E$3:E$955, 'Team Scores'!E15, 3) * F$2, "")</f>
        <v>0.55500000000000005</v>
      </c>
      <c r="G16" s="49">
        <f>IF($A16&lt;&gt;"",PERCENTRANK('Team Scores'!F$3:F$955, 'Team Scores'!F15, 3) * G$2, "")</f>
        <v>0.111</v>
      </c>
      <c r="H16" s="49">
        <f>IF($A16&lt;&gt;"",PERCENTRANK('Team Scores'!G$3:G$955, 'Team Scores'!G15, 3) * H$2, "")</f>
        <v>0.48099999999999998</v>
      </c>
      <c r="I16" s="49">
        <f>IF($A16&lt;&gt;"",PERCENTRANK('Team Scores'!H$3:H$955, 'Team Scores'!H15, 3) * I$2, "")</f>
        <v>0.5</v>
      </c>
      <c r="J16" s="49">
        <f>IF($A16&lt;&gt;"",PERCENTRANK('Team Scores'!I$3:I$955, 'Team Scores'!I15, 3) * J$2, "")</f>
        <v>0.79600000000000004</v>
      </c>
      <c r="K16" s="49">
        <f>IF($A16&lt;&gt;"",PERCENTRANK('Team Scores'!J$3:J$955, 'Team Scores'!J15, 3) * K$2, "")</f>
        <v>0</v>
      </c>
      <c r="L16" s="49">
        <f>IF($A16&lt;&gt;"",PERCENTRANK('Team Scores'!K$3:K$955, 'Team Scores'!K15, 3) * L$2, "")</f>
        <v>0.29599999999999999</v>
      </c>
      <c r="M16" s="49">
        <f>IF($A16&lt;&gt;"",PERCENTRANK('Team Scores'!L$3:L$955, 'Team Scores'!L15, 3) * M$2, "")</f>
        <v>0.16600000000000001</v>
      </c>
      <c r="N16" s="49">
        <f>IF($A16&lt;&gt;"",PERCENTRANK('Team Scores'!M$3:M$955, 'Team Scores'!M15, 3) * N$2, "")</f>
        <v>0.74</v>
      </c>
      <c r="O16" s="49">
        <f>IF($A16&lt;&gt;"",PERCENTRANK('Team Scores'!N$3:N$955, 'Team Scores'!N15, 3) * O$2, "")</f>
        <v>0.98099999999999998</v>
      </c>
      <c r="P16" s="49">
        <f>IF($A16&lt;&gt;"",PERCENTRANK('Team Scores'!O$3:O$955, 'Team Scores'!O15, 3) * P$2, "")</f>
        <v>0</v>
      </c>
      <c r="Q16" s="49">
        <f>IF($A16&lt;&gt;"",PERCENTRANK('Team Scores'!P$3:P$955, 'Team Scores'!P15, 3) * Q$2, "")</f>
        <v>0.5</v>
      </c>
      <c r="R16" s="49">
        <f>IF($A16&lt;&gt;"",PERCENTRANK('Team Scores'!Q$3:Q$955, 'Team Scores'!Q15, 3) * R$2, "")</f>
        <v>0.24</v>
      </c>
      <c r="S16" s="49">
        <f>IF($A16&lt;&gt;"",PERCENTRANK('Team Scores'!R$3:R$955, 'Team Scores'!R15, 3) * S$2, "")</f>
        <v>5.5E-2</v>
      </c>
      <c r="T16" s="49">
        <f>IF($A16&lt;&gt;"",PERCENTRANK('Team Scores'!S$3:S$955, 'Team Scores'!S15, 3) * T$2, "")</f>
        <v>0.24</v>
      </c>
      <c r="U16" s="49">
        <f>IF($A16&lt;&gt;"",PERCENTRANK('Team Scores'!T$3:T$955, 'Team Scores'!T15, 3) * U$2, "")</f>
        <v>0.46200000000000002</v>
      </c>
      <c r="V16" s="49">
        <f>IF($A16&lt;&gt;"",PERCENTRANK('Team Scores'!U$3:U$955, 'Team Scores'!U15, 3) * V$2, "")</f>
        <v>0.94399999999999995</v>
      </c>
      <c r="W16" s="49">
        <f>IF($A16&lt;&gt;"",PERCENTRANK('Team Scores'!V$3:V$955, 'Team Scores'!V15, 3) * W$2, "")</f>
        <v>0.129</v>
      </c>
      <c r="X16" s="49">
        <f>IF($A16&lt;&gt;"",PERCENTRANK('Team Scores'!W$3:W$955, 'Team Scores'!W15, 3) * X$2, "")</f>
        <v>0.79600000000000004</v>
      </c>
      <c r="Y16" s="49">
        <f>IF($A16&lt;&gt;"",PERCENTRANK('Team Scores'!X$3:X$955, 'Team Scores'!X15, 3) * Y$2, "")</f>
        <v>0.222</v>
      </c>
      <c r="Z16" s="49">
        <f>IF($A16&lt;&gt;"",PERCENTRANK('Team Scores'!Y$3:Y$955, 'Team Scores'!Y15, 3) * Z$2, "")</f>
        <v>0.59199999999999997</v>
      </c>
      <c r="AA16" s="49">
        <f>IF($A16&lt;&gt;"",PERCENTRANK('Team Scores'!Z$3:Z$955, 'Team Scores'!Z15, 3) * AA$2, "")</f>
        <v>0.94399999999999995</v>
      </c>
      <c r="AB16" s="49">
        <f>IF($A16&lt;&gt;"",PERCENTRANK('Team Scores'!AA$3:AA$955, 'Team Scores'!AA15, 3) * AB$2, "")</f>
        <v>0.94399999999999995</v>
      </c>
    </row>
    <row r="17" spans="1:28" x14ac:dyDescent="0.2">
      <c r="A17" s="52">
        <f>IF('TBA-Teams'!A15 &lt;&gt; "", 'TBA-Teams'!A15, "")</f>
        <v>639</v>
      </c>
      <c r="B17" s="53">
        <f>IF(A17&lt;&gt;"",SUM(C17:AB17),"")</f>
        <v>10.139000000000001</v>
      </c>
      <c r="C17" s="49">
        <f>IF($A17&lt;&gt;"",PERCENTRANK('Team Scores'!B$3:B$955, 'Team Scores'!B16, 3) * C$2, "")</f>
        <v>0</v>
      </c>
      <c r="D17" s="49">
        <f>IF($A17&lt;&gt;"",PERCENTRANK('Team Scores'!C$3:C$955, 'Team Scores'!C16, 3) * D$2, "")</f>
        <v>0.29599999999999999</v>
      </c>
      <c r="E17" s="49">
        <f>IF($A17&lt;&gt;"",PERCENTRANK('Team Scores'!D$3:D$955, 'Team Scores'!D16, 3) * E$2, "")</f>
        <v>1</v>
      </c>
      <c r="F17" s="49">
        <f>IF($A17&lt;&gt;"",PERCENTRANK('Team Scores'!E$3:E$955, 'Team Scores'!E16, 3) * F$2, "")</f>
        <v>0.92500000000000004</v>
      </c>
      <c r="G17" s="49">
        <f>IF($A17&lt;&gt;"",PERCENTRANK('Team Scores'!F$3:F$955, 'Team Scores'!F16, 3) * G$2, "")</f>
        <v>0.24</v>
      </c>
      <c r="H17" s="49">
        <f>IF($A17&lt;&gt;"",PERCENTRANK('Team Scores'!G$3:G$955, 'Team Scores'!G16, 3) * H$2, "")</f>
        <v>0.48099999999999998</v>
      </c>
      <c r="I17" s="49">
        <f>IF($A17&lt;&gt;"",PERCENTRANK('Team Scores'!H$3:H$955, 'Team Scores'!H16, 3) * I$2, "")</f>
        <v>0.79600000000000004</v>
      </c>
      <c r="J17" s="49">
        <f>IF($A17&lt;&gt;"",PERCENTRANK('Team Scores'!I$3:I$955, 'Team Scores'!I16, 3) * J$2, "")</f>
        <v>0.79600000000000004</v>
      </c>
      <c r="K17" s="49">
        <f>IF($A17&lt;&gt;"",PERCENTRANK('Team Scores'!J$3:J$955, 'Team Scores'!J16, 3) * K$2, "")</f>
        <v>0.20300000000000001</v>
      </c>
      <c r="L17" s="49">
        <f>IF($A17&lt;&gt;"",PERCENTRANK('Team Scores'!K$3:K$955, 'Team Scores'!K16, 3) * L$2, "")</f>
        <v>0.29599999999999999</v>
      </c>
      <c r="M17" s="49">
        <f>IF($A17&lt;&gt;"",PERCENTRANK('Team Scores'!L$3:L$955, 'Team Scores'!L16, 3) * M$2, "")</f>
        <v>3.6999999999999998E-2</v>
      </c>
      <c r="N17" s="49">
        <f>IF($A17&lt;&gt;"",PERCENTRANK('Team Scores'!M$3:M$955, 'Team Scores'!M16, 3) * N$2, "")</f>
        <v>0.87</v>
      </c>
      <c r="O17" s="49">
        <f>IF($A17&lt;&gt;"",PERCENTRANK('Team Scores'!N$3:N$955, 'Team Scores'!N16, 3) * O$2, "")</f>
        <v>0</v>
      </c>
      <c r="P17" s="49">
        <f>IF($A17&lt;&gt;"",PERCENTRANK('Team Scores'!O$3:O$955, 'Team Scores'!O16, 3) * P$2, "")</f>
        <v>9.1999999999999998E-2</v>
      </c>
      <c r="Q17" s="49">
        <f>IF($A17&lt;&gt;"",PERCENTRANK('Team Scores'!P$3:P$955, 'Team Scores'!P16, 3) * Q$2, "")</f>
        <v>0.222</v>
      </c>
      <c r="R17" s="49">
        <f>IF($A17&lt;&gt;"",PERCENTRANK('Team Scores'!Q$3:Q$955, 'Team Scores'!Q16, 3) * R$2, "")</f>
        <v>0</v>
      </c>
      <c r="S17" s="49">
        <f>IF($A17&lt;&gt;"",PERCENTRANK('Team Scores'!R$3:R$955, 'Team Scores'!R16, 3) * S$2, "")</f>
        <v>0.74</v>
      </c>
      <c r="T17" s="49">
        <f>IF($A17&lt;&gt;"",PERCENTRANK('Team Scores'!S$3:S$955, 'Team Scores'!S16, 3) * T$2, "")</f>
        <v>1.7999999999999999E-2</v>
      </c>
      <c r="U17" s="49">
        <f>IF($A17&lt;&gt;"",PERCENTRANK('Team Scores'!T$3:T$955, 'Team Scores'!T16, 3) * U$2, "")</f>
        <v>0.185</v>
      </c>
      <c r="V17" s="49">
        <f>IF($A17&lt;&gt;"",PERCENTRANK('Team Scores'!U$3:U$955, 'Team Scores'!U16, 3) * V$2, "")</f>
        <v>0.29599999999999999</v>
      </c>
      <c r="W17" s="49">
        <f>IF($A17&lt;&gt;"",PERCENTRANK('Team Scores'!V$3:V$955, 'Team Scores'!V16, 3) * W$2, "")</f>
        <v>0.25900000000000001</v>
      </c>
      <c r="X17" s="49">
        <f>IF($A17&lt;&gt;"",PERCENTRANK('Team Scores'!W$3:W$955, 'Team Scores'!W16, 3) * X$2, "")</f>
        <v>1</v>
      </c>
      <c r="Y17" s="49">
        <f>IF($A17&lt;&gt;"",PERCENTRANK('Team Scores'!X$3:X$955, 'Team Scores'!X16, 3) * Y$2, "")</f>
        <v>0.74</v>
      </c>
      <c r="Z17" s="49">
        <f>IF($A17&lt;&gt;"",PERCENTRANK('Team Scores'!Y$3:Y$955, 'Team Scores'!Y16, 3) * Z$2, "")</f>
        <v>5.5E-2</v>
      </c>
      <c r="AA17" s="49">
        <f>IF($A17&lt;&gt;"",PERCENTRANK('Team Scores'!Z$3:Z$955, 'Team Scores'!Z16, 3) * AA$2, "")</f>
        <v>0.29599999999999999</v>
      </c>
      <c r="AB17" s="49">
        <f>IF($A17&lt;&gt;"",PERCENTRANK('Team Scores'!AA$3:AA$955, 'Team Scores'!AA16, 3) * AB$2, "")</f>
        <v>0.29599999999999999</v>
      </c>
    </row>
    <row r="18" spans="1:28" x14ac:dyDescent="0.2">
      <c r="A18" s="52">
        <f>IF('TBA-Teams'!A16 &lt;&gt; "", 'TBA-Teams'!A16, "")</f>
        <v>694</v>
      </c>
      <c r="B18" s="53">
        <f>IF(A18&lt;&gt;"",SUM(C18:AB18),"")</f>
        <v>13.564000000000004</v>
      </c>
      <c r="C18" s="49">
        <f>IF($A18&lt;&gt;"",PERCENTRANK('Team Scores'!B$3:B$955, 'Team Scores'!B17, 3) * C$2, "")</f>
        <v>0</v>
      </c>
      <c r="D18" s="49">
        <f>IF($A18&lt;&gt;"",PERCENTRANK('Team Scores'!C$3:C$955, 'Team Scores'!C17, 3) * D$2, "")</f>
        <v>0.129</v>
      </c>
      <c r="E18" s="49">
        <f>IF($A18&lt;&gt;"",PERCENTRANK('Team Scores'!D$3:D$955, 'Team Scores'!D17, 3) * E$2, "")</f>
        <v>0.90700000000000003</v>
      </c>
      <c r="F18" s="49">
        <f>IF($A18&lt;&gt;"",PERCENTRANK('Team Scores'!E$3:E$955, 'Team Scores'!E17, 3) * F$2, "")</f>
        <v>0.37</v>
      </c>
      <c r="G18" s="49">
        <f>IF($A18&lt;&gt;"",PERCENTRANK('Team Scores'!F$3:F$955, 'Team Scores'!F17, 3) * G$2, "")</f>
        <v>0.111</v>
      </c>
      <c r="H18" s="49">
        <f>IF($A18&lt;&gt;"",PERCENTRANK('Team Scores'!G$3:G$955, 'Team Scores'!G17, 3) * H$2, "")</f>
        <v>0.35099999999999998</v>
      </c>
      <c r="I18" s="49">
        <f>IF($A18&lt;&gt;"",PERCENTRANK('Team Scores'!H$3:H$955, 'Team Scores'!H17, 3) * I$2, "")</f>
        <v>0.75900000000000001</v>
      </c>
      <c r="J18" s="49">
        <f>IF($A18&lt;&gt;"",PERCENTRANK('Team Scores'!I$3:I$955, 'Team Scores'!I17, 3) * J$2, "")</f>
        <v>0.79600000000000004</v>
      </c>
      <c r="K18" s="49">
        <f>IF($A18&lt;&gt;"",PERCENTRANK('Team Scores'!J$3:J$955, 'Team Scores'!J17, 3) * K$2, "")</f>
        <v>0.629</v>
      </c>
      <c r="L18" s="49">
        <f>IF($A18&lt;&gt;"",PERCENTRANK('Team Scores'!K$3:K$955, 'Team Scores'!K17, 3) * L$2, "")</f>
        <v>0.51800000000000002</v>
      </c>
      <c r="M18" s="49">
        <f>IF($A18&lt;&gt;"",PERCENTRANK('Team Scores'!L$3:L$955, 'Team Scores'!L17, 3) * M$2, "")</f>
        <v>0.46200000000000002</v>
      </c>
      <c r="N18" s="49">
        <f>IF($A18&lt;&gt;"",PERCENTRANK('Team Scores'!M$3:M$955, 'Team Scores'!M17, 3) * N$2, "")</f>
        <v>5.5E-2</v>
      </c>
      <c r="O18" s="49">
        <f>IF($A18&lt;&gt;"",PERCENTRANK('Team Scores'!N$3:N$955, 'Team Scores'!N17, 3) * O$2, "")</f>
        <v>0.44400000000000001</v>
      </c>
      <c r="P18" s="49">
        <f>IF($A18&lt;&gt;"",PERCENTRANK('Team Scores'!O$3:O$955, 'Team Scores'!O17, 3) * P$2, "")</f>
        <v>0.53700000000000003</v>
      </c>
      <c r="Q18" s="49">
        <f>IF($A18&lt;&gt;"",PERCENTRANK('Team Scores'!P$3:P$955, 'Team Scores'!P17, 3) * Q$2, "")</f>
        <v>1</v>
      </c>
      <c r="R18" s="49">
        <f>IF($A18&lt;&gt;"",PERCENTRANK('Team Scores'!Q$3:Q$955, 'Team Scores'!Q17, 3) * R$2, "")</f>
        <v>0.87</v>
      </c>
      <c r="S18" s="49">
        <f>IF($A18&lt;&gt;"",PERCENTRANK('Team Scores'!R$3:R$955, 'Team Scores'!R17, 3) * S$2, "")</f>
        <v>0.27700000000000002</v>
      </c>
      <c r="T18" s="49">
        <f>IF($A18&lt;&gt;"",PERCENTRANK('Team Scores'!S$3:S$955, 'Team Scores'!S17, 3) * T$2, "")</f>
        <v>0.44400000000000001</v>
      </c>
      <c r="U18" s="49">
        <f>IF($A18&lt;&gt;"",PERCENTRANK('Team Scores'!T$3:T$955, 'Team Scores'!T17, 3) * U$2, "")</f>
        <v>0.185</v>
      </c>
      <c r="V18" s="49">
        <f>IF($A18&lt;&gt;"",PERCENTRANK('Team Scores'!U$3:U$955, 'Team Scores'!U17, 3) * V$2, "")</f>
        <v>0.75900000000000001</v>
      </c>
      <c r="W18" s="49">
        <f>IF($A18&lt;&gt;"",PERCENTRANK('Team Scores'!V$3:V$955, 'Team Scores'!V17, 3) * W$2, "")</f>
        <v>0.35099999999999998</v>
      </c>
      <c r="X18" s="49">
        <f>IF($A18&lt;&gt;"",PERCENTRANK('Team Scores'!W$3:W$955, 'Team Scores'!W17, 3) * X$2, "")</f>
        <v>0.53700000000000003</v>
      </c>
      <c r="Y18" s="49">
        <f>IF($A18&lt;&gt;"",PERCENTRANK('Team Scores'!X$3:X$955, 'Team Scores'!X17, 3) * Y$2, "")</f>
        <v>0.61099999999999999</v>
      </c>
      <c r="Z18" s="49">
        <f>IF($A18&lt;&gt;"",PERCENTRANK('Team Scores'!Y$3:Y$955, 'Team Scores'!Y17, 3) * Z$2, "")</f>
        <v>0.94399999999999995</v>
      </c>
      <c r="AA18" s="49">
        <f>IF($A18&lt;&gt;"",PERCENTRANK('Team Scores'!Z$3:Z$955, 'Team Scores'!Z17, 3) * AA$2, "")</f>
        <v>0.75900000000000001</v>
      </c>
      <c r="AB18" s="49">
        <f>IF($A18&lt;&gt;"",PERCENTRANK('Team Scores'!AA$3:AA$955, 'Team Scores'!AA17, 3) * AB$2, "")</f>
        <v>0.75900000000000001</v>
      </c>
    </row>
    <row r="19" spans="1:28" x14ac:dyDescent="0.2">
      <c r="A19" s="52">
        <f>IF('TBA-Teams'!A17 &lt;&gt; "", 'TBA-Teams'!A17, "")</f>
        <v>810</v>
      </c>
      <c r="B19" s="53">
        <f>IF(A19&lt;&gt;"",SUM(C19:AB19),"")</f>
        <v>8.6930000000000032</v>
      </c>
      <c r="C19" s="49">
        <f>IF($A19&lt;&gt;"",PERCENTRANK('Team Scores'!B$3:B$955, 'Team Scores'!B18, 3) * C$2, "")</f>
        <v>0</v>
      </c>
      <c r="D19" s="49">
        <f>IF($A19&lt;&gt;"",PERCENTRANK('Team Scores'!C$3:C$955, 'Team Scores'!C18, 3) * D$2, "")</f>
        <v>1.7999999999999999E-2</v>
      </c>
      <c r="E19" s="49">
        <f>IF($A19&lt;&gt;"",PERCENTRANK('Team Scores'!D$3:D$955, 'Team Scores'!D18, 3) * E$2, "")</f>
        <v>7.3999999999999996E-2</v>
      </c>
      <c r="F19" s="49">
        <f>IF($A19&lt;&gt;"",PERCENTRANK('Team Scores'!E$3:E$955, 'Team Scores'!E18, 3) * F$2, "")</f>
        <v>0.25900000000000001</v>
      </c>
      <c r="G19" s="49">
        <f>IF($A19&lt;&gt;"",PERCENTRANK('Team Scores'!F$3:F$955, 'Team Scores'!F18, 3) * G$2, "")</f>
        <v>0.38800000000000001</v>
      </c>
      <c r="H19" s="49">
        <f>IF($A19&lt;&gt;"",PERCENTRANK('Team Scores'!G$3:G$955, 'Team Scores'!G18, 3) * H$2, "")</f>
        <v>0.14799999999999999</v>
      </c>
      <c r="I19" s="49">
        <f>IF($A19&lt;&gt;"",PERCENTRANK('Team Scores'!H$3:H$955, 'Team Scores'!H18, 3) * I$2, "")</f>
        <v>0.85099999999999998</v>
      </c>
      <c r="J19" s="49">
        <f>IF($A19&lt;&gt;"",PERCENTRANK('Team Scores'!I$3:I$955, 'Team Scores'!I18, 3) * J$2, "")</f>
        <v>0.25900000000000001</v>
      </c>
      <c r="K19" s="49">
        <f>IF($A19&lt;&gt;"",PERCENTRANK('Team Scores'!J$3:J$955, 'Team Scores'!J18, 3) * K$2, "")</f>
        <v>0.5</v>
      </c>
      <c r="L19" s="49">
        <f>IF($A19&lt;&gt;"",PERCENTRANK('Team Scores'!K$3:K$955, 'Team Scores'!K18, 3) * L$2, "")</f>
        <v>0.51800000000000002</v>
      </c>
      <c r="M19" s="49">
        <f>IF($A19&lt;&gt;"",PERCENTRANK('Team Scores'!L$3:L$955, 'Team Scores'!L18, 3) * M$2, "")</f>
        <v>0.46200000000000002</v>
      </c>
      <c r="N19" s="49">
        <f>IF($A19&lt;&gt;"",PERCENTRANK('Team Scores'!M$3:M$955, 'Team Scores'!M18, 3) * N$2, "")</f>
        <v>0.46200000000000002</v>
      </c>
      <c r="O19" s="49">
        <f>IF($A19&lt;&gt;"",PERCENTRANK('Team Scores'!N$3:N$955, 'Team Scores'!N18, 3) * O$2, "")</f>
        <v>0.222</v>
      </c>
      <c r="P19" s="49">
        <f>IF($A19&lt;&gt;"",PERCENTRANK('Team Scores'!O$3:O$955, 'Team Scores'!O18, 3) * P$2, "")</f>
        <v>0.29599999999999999</v>
      </c>
      <c r="Q19" s="49">
        <f>IF($A19&lt;&gt;"",PERCENTRANK('Team Scores'!P$3:P$955, 'Team Scores'!P18, 3) * Q$2, "")</f>
        <v>0.222</v>
      </c>
      <c r="R19" s="49">
        <f>IF($A19&lt;&gt;"",PERCENTRANK('Team Scores'!Q$3:Q$955, 'Team Scores'!Q18, 3) * R$2, "")</f>
        <v>0.70299999999999996</v>
      </c>
      <c r="S19" s="49">
        <f>IF($A19&lt;&gt;"",PERCENTRANK('Team Scores'!R$3:R$955, 'Team Scores'!R18, 3) * S$2, "")</f>
        <v>0</v>
      </c>
      <c r="T19" s="49">
        <f>IF($A19&lt;&gt;"",PERCENTRANK('Team Scores'!S$3:S$955, 'Team Scores'!S18, 3) * T$2, "")</f>
        <v>0.44400000000000001</v>
      </c>
      <c r="U19" s="49">
        <f>IF($A19&lt;&gt;"",PERCENTRANK('Team Scores'!T$3:T$955, 'Team Scores'!T18, 3) * U$2, "")</f>
        <v>0.70299999999999996</v>
      </c>
      <c r="V19" s="49">
        <f>IF($A19&lt;&gt;"",PERCENTRANK('Team Scores'!U$3:U$955, 'Team Scores'!U18, 3) * V$2, "")</f>
        <v>0.33300000000000002</v>
      </c>
      <c r="W19" s="49">
        <f>IF($A19&lt;&gt;"",PERCENTRANK('Team Scores'!V$3:V$955, 'Team Scores'!V18, 3) * W$2, "")</f>
        <v>0.25900000000000001</v>
      </c>
      <c r="X19" s="49">
        <f>IF($A19&lt;&gt;"",PERCENTRANK('Team Scores'!W$3:W$955, 'Team Scores'!W18, 3) * X$2, "")</f>
        <v>1.7999999999999999E-2</v>
      </c>
      <c r="Y19" s="49">
        <f>IF($A19&lt;&gt;"",PERCENTRANK('Team Scores'!X$3:X$955, 'Team Scores'!X18, 3) * Y$2, "")</f>
        <v>0.74</v>
      </c>
      <c r="Z19" s="49">
        <f>IF($A19&lt;&gt;"",PERCENTRANK('Team Scores'!Y$3:Y$955, 'Team Scores'!Y18, 3) * Z$2, "")</f>
        <v>0.14799999999999999</v>
      </c>
      <c r="AA19" s="49">
        <f>IF($A19&lt;&gt;"",PERCENTRANK('Team Scores'!Z$3:Z$955, 'Team Scores'!Z18, 3) * AA$2, "")</f>
        <v>0.33300000000000002</v>
      </c>
      <c r="AB19" s="49">
        <f>IF($A19&lt;&gt;"",PERCENTRANK('Team Scores'!AA$3:AA$955, 'Team Scores'!AA18, 3) * AB$2, "")</f>
        <v>0.33300000000000002</v>
      </c>
    </row>
    <row r="20" spans="1:28" x14ac:dyDescent="0.2">
      <c r="A20" s="52">
        <f>IF('TBA-Teams'!A18 &lt;&gt; "", 'TBA-Teams'!A18, "")</f>
        <v>1056</v>
      </c>
      <c r="B20" s="53">
        <f>IF(A20&lt;&gt;"",SUM(C20:AB20),"")</f>
        <v>10.228999999999999</v>
      </c>
      <c r="C20" s="49">
        <f>IF($A20&lt;&gt;"",PERCENTRANK('Team Scores'!B$3:B$955, 'Team Scores'!B19, 3) * C$2, "")</f>
        <v>0</v>
      </c>
      <c r="D20" s="49">
        <f>IF($A20&lt;&gt;"",PERCENTRANK('Team Scores'!C$3:C$955, 'Team Scores'!C19, 3) * D$2, "")</f>
        <v>0.129</v>
      </c>
      <c r="E20" s="49">
        <f>IF($A20&lt;&gt;"",PERCENTRANK('Team Scores'!D$3:D$955, 'Team Scores'!D19, 3) * E$2, "")</f>
        <v>0.57399999999999995</v>
      </c>
      <c r="F20" s="49">
        <f>IF($A20&lt;&gt;"",PERCENTRANK('Team Scores'!E$3:E$955, 'Team Scores'!E19, 3) * F$2, "")</f>
        <v>0</v>
      </c>
      <c r="G20" s="49">
        <f>IF($A20&lt;&gt;"",PERCENTRANK('Team Scores'!F$3:F$955, 'Team Scores'!F19, 3) * G$2, "")</f>
        <v>0.24</v>
      </c>
      <c r="H20" s="49">
        <f>IF($A20&lt;&gt;"",PERCENTRANK('Team Scores'!G$3:G$955, 'Team Scores'!G19, 3) * H$2, "")</f>
        <v>0.77700000000000002</v>
      </c>
      <c r="I20" s="49">
        <f>IF($A20&lt;&gt;"",PERCENTRANK('Team Scores'!H$3:H$955, 'Team Scores'!H19, 3) * I$2, "")</f>
        <v>0.5</v>
      </c>
      <c r="J20" s="49">
        <f>IF($A20&lt;&gt;"",PERCENTRANK('Team Scores'!I$3:I$955, 'Team Scores'!I19, 3) * J$2, "")</f>
        <v>0.25900000000000001</v>
      </c>
      <c r="K20" s="49">
        <f>IF($A20&lt;&gt;"",PERCENTRANK('Team Scores'!J$3:J$955, 'Team Scores'!J19, 3) * K$2, "")</f>
        <v>0.20300000000000001</v>
      </c>
      <c r="L20" s="49">
        <f>IF($A20&lt;&gt;"",PERCENTRANK('Team Scores'!K$3:K$955, 'Team Scores'!K19, 3) * L$2, "")</f>
        <v>0.29599999999999999</v>
      </c>
      <c r="M20" s="49">
        <f>IF($A20&lt;&gt;"",PERCENTRANK('Team Scores'!L$3:L$955, 'Team Scores'!L19, 3) * M$2, "")</f>
        <v>0.16600000000000001</v>
      </c>
      <c r="N20" s="49">
        <f>IF($A20&lt;&gt;"",PERCENTRANK('Team Scores'!M$3:M$955, 'Team Scores'!M19, 3) * N$2, "")</f>
        <v>5.5E-2</v>
      </c>
      <c r="O20" s="49">
        <f>IF($A20&lt;&gt;"",PERCENTRANK('Team Scores'!N$3:N$955, 'Team Scores'!N19, 3) * O$2, "")</f>
        <v>0.44400000000000001</v>
      </c>
      <c r="P20" s="49">
        <f>IF($A20&lt;&gt;"",PERCENTRANK('Team Scores'!O$3:O$955, 'Team Scores'!O19, 3) * P$2, "")</f>
        <v>0.53700000000000003</v>
      </c>
      <c r="Q20" s="49">
        <f>IF($A20&lt;&gt;"",PERCENTRANK('Team Scores'!P$3:P$955, 'Team Scores'!P19, 3) * Q$2, "")</f>
        <v>0.42499999999999999</v>
      </c>
      <c r="R20" s="49">
        <f>IF($A20&lt;&gt;"",PERCENTRANK('Team Scores'!Q$3:Q$955, 'Team Scores'!Q19, 3) * R$2, "")</f>
        <v>0.44400000000000001</v>
      </c>
      <c r="S20" s="49">
        <f>IF($A20&lt;&gt;"",PERCENTRANK('Team Scores'!R$3:R$955, 'Team Scores'!R19, 3) * S$2, "")</f>
        <v>0.74</v>
      </c>
      <c r="T20" s="49">
        <f>IF($A20&lt;&gt;"",PERCENTRANK('Team Scores'!S$3:S$955, 'Team Scores'!S19, 3) * T$2, "")</f>
        <v>0.75900000000000001</v>
      </c>
      <c r="U20" s="49">
        <f>IF($A20&lt;&gt;"",PERCENTRANK('Team Scores'!T$3:T$955, 'Team Scores'!T19, 3) * U$2, "")</f>
        <v>0.46200000000000002</v>
      </c>
      <c r="V20" s="49">
        <f>IF($A20&lt;&gt;"",PERCENTRANK('Team Scores'!U$3:U$955, 'Team Scores'!U19, 3) * V$2, "")</f>
        <v>0.51800000000000002</v>
      </c>
      <c r="W20" s="49">
        <f>IF($A20&lt;&gt;"",PERCENTRANK('Team Scores'!V$3:V$955, 'Team Scores'!V19, 3) * W$2, "")</f>
        <v>0.83299999999999996</v>
      </c>
      <c r="X20" s="49">
        <f>IF($A20&lt;&gt;"",PERCENTRANK('Team Scores'!W$3:W$955, 'Team Scores'!W19, 3) * X$2, "")</f>
        <v>5.5E-2</v>
      </c>
      <c r="Y20" s="49">
        <f>IF($A20&lt;&gt;"",PERCENTRANK('Team Scores'!X$3:X$955, 'Team Scores'!X19, 3) * Y$2, "")</f>
        <v>0.29599999999999999</v>
      </c>
      <c r="Z20" s="49">
        <f>IF($A20&lt;&gt;"",PERCENTRANK('Team Scores'!Y$3:Y$955, 'Team Scores'!Y19, 3) * Z$2, "")</f>
        <v>0.48099999999999998</v>
      </c>
      <c r="AA20" s="49">
        <f>IF($A20&lt;&gt;"",PERCENTRANK('Team Scores'!Z$3:Z$955, 'Team Scores'!Z19, 3) * AA$2, "")</f>
        <v>0.51800000000000002</v>
      </c>
      <c r="AB20" s="49">
        <f>IF($A20&lt;&gt;"",PERCENTRANK('Team Scores'!AA$3:AA$955, 'Team Scores'!AA19, 3) * AB$2, "")</f>
        <v>0.51800000000000002</v>
      </c>
    </row>
    <row r="21" spans="1:28" x14ac:dyDescent="0.2">
      <c r="A21" s="52">
        <f>IF('TBA-Teams'!A19 &lt;&gt; "", 'TBA-Teams'!A19, "")</f>
        <v>1126</v>
      </c>
      <c r="B21" s="53">
        <f>IF(A21&lt;&gt;"",SUM(C21:AB21),"")</f>
        <v>9.2279999999999998</v>
      </c>
      <c r="C21" s="49">
        <f>IF($A21&lt;&gt;"",PERCENTRANK('Team Scores'!B$3:B$955, 'Team Scores'!B20, 3) * C$2, "")</f>
        <v>0</v>
      </c>
      <c r="D21" s="49">
        <f>IF($A21&lt;&gt;"",PERCENTRANK('Team Scores'!C$3:C$955, 'Team Scores'!C20, 3) * D$2, "")</f>
        <v>0.46200000000000002</v>
      </c>
      <c r="E21" s="49">
        <f>IF($A21&lt;&gt;"",PERCENTRANK('Team Scores'!D$3:D$955, 'Team Scores'!D20, 3) * E$2, "")</f>
        <v>0.42499999999999999</v>
      </c>
      <c r="F21" s="49">
        <f>IF($A21&lt;&gt;"",PERCENTRANK('Team Scores'!E$3:E$955, 'Team Scores'!E20, 3) * F$2, "")</f>
        <v>0.87</v>
      </c>
      <c r="G21" s="49">
        <f>IF($A21&lt;&gt;"",PERCENTRANK('Team Scores'!F$3:F$955, 'Team Scores'!F20, 3) * G$2, "")</f>
        <v>0.38800000000000001</v>
      </c>
      <c r="H21" s="49">
        <f>IF($A21&lt;&gt;"",PERCENTRANK('Team Scores'!G$3:G$955, 'Team Scores'!G20, 3) * H$2, "")</f>
        <v>0.61099999999999999</v>
      </c>
      <c r="I21" s="49">
        <f>IF($A21&lt;&gt;"",PERCENTRANK('Team Scores'!H$3:H$955, 'Team Scores'!H20, 3) * I$2, "")</f>
        <v>0</v>
      </c>
      <c r="J21" s="49">
        <f>IF($A21&lt;&gt;"",PERCENTRANK('Team Scores'!I$3:I$955, 'Team Scores'!I20, 3) * J$2, "")</f>
        <v>9.1999999999999998E-2</v>
      </c>
      <c r="K21" s="49">
        <f>IF($A21&lt;&gt;"",PERCENTRANK('Team Scores'!J$3:J$955, 'Team Scores'!J20, 3) * K$2, "")</f>
        <v>0.83299999999999996</v>
      </c>
      <c r="L21" s="49">
        <f>IF($A21&lt;&gt;"",PERCENTRANK('Team Scores'!K$3:K$955, 'Team Scores'!K20, 3) * L$2, "")</f>
        <v>0.129</v>
      </c>
      <c r="M21" s="49">
        <f>IF($A21&lt;&gt;"",PERCENTRANK('Team Scores'!L$3:L$955, 'Team Scores'!L20, 3) * M$2, "")</f>
        <v>0.75900000000000001</v>
      </c>
      <c r="N21" s="49">
        <f>IF($A21&lt;&gt;"",PERCENTRANK('Team Scores'!M$3:M$955, 'Team Scores'!M20, 3) * N$2, "")</f>
        <v>0.27700000000000002</v>
      </c>
      <c r="O21" s="49">
        <f>IF($A21&lt;&gt;"",PERCENTRANK('Team Scores'!N$3:N$955, 'Team Scores'!N20, 3) * O$2, "")</f>
        <v>0.70299999999999996</v>
      </c>
      <c r="P21" s="49">
        <f>IF($A21&lt;&gt;"",PERCENTRANK('Team Scores'!O$3:O$955, 'Team Scores'!O20, 3) * P$2, "")</f>
        <v>0.29599999999999999</v>
      </c>
      <c r="Q21" s="49">
        <f>IF($A21&lt;&gt;"",PERCENTRANK('Team Scores'!P$3:P$955, 'Team Scores'!P20, 3) * Q$2, "")</f>
        <v>0.27700000000000002</v>
      </c>
      <c r="R21" s="49">
        <f>IF($A21&lt;&gt;"",PERCENTRANK('Team Scores'!Q$3:Q$955, 'Team Scores'!Q20, 3) * R$2, "")</f>
        <v>0.70299999999999996</v>
      </c>
      <c r="S21" s="49">
        <f>IF($A21&lt;&gt;"",PERCENTRANK('Team Scores'!R$3:R$955, 'Team Scores'!R20, 3) * S$2, "")</f>
        <v>5.5E-2</v>
      </c>
      <c r="T21" s="49">
        <f>IF($A21&lt;&gt;"",PERCENTRANK('Team Scores'!S$3:S$955, 'Team Scores'!S20, 3) * T$2, "")</f>
        <v>1.7999999999999999E-2</v>
      </c>
      <c r="U21" s="49">
        <f>IF($A21&lt;&gt;"",PERCENTRANK('Team Scores'!T$3:T$955, 'Team Scores'!T20, 3) * U$2, "")</f>
        <v>0.185</v>
      </c>
      <c r="V21" s="49">
        <f>IF($A21&lt;&gt;"",PERCENTRANK('Team Scores'!U$3:U$955, 'Team Scores'!U20, 3) * V$2, "")</f>
        <v>0.25900000000000001</v>
      </c>
      <c r="W21" s="49">
        <f>IF($A21&lt;&gt;"",PERCENTRANK('Team Scores'!V$3:V$955, 'Team Scores'!V20, 3) * W$2, "")</f>
        <v>0</v>
      </c>
      <c r="X21" s="49">
        <f>IF($A21&lt;&gt;"",PERCENTRANK('Team Scores'!W$3:W$955, 'Team Scores'!W20, 3) * X$2, "")</f>
        <v>0.88800000000000001</v>
      </c>
      <c r="Y21" s="49">
        <f>IF($A21&lt;&gt;"",PERCENTRANK('Team Scores'!X$3:X$955, 'Team Scores'!X20, 3) * Y$2, "")</f>
        <v>0.111</v>
      </c>
      <c r="Z21" s="49">
        <f>IF($A21&lt;&gt;"",PERCENTRANK('Team Scores'!Y$3:Y$955, 'Team Scores'!Y20, 3) * Z$2, "")</f>
        <v>0.35099999999999998</v>
      </c>
      <c r="AA21" s="49">
        <f>IF($A21&lt;&gt;"",PERCENTRANK('Team Scores'!Z$3:Z$955, 'Team Scores'!Z20, 3) * AA$2, "")</f>
        <v>0.25900000000000001</v>
      </c>
      <c r="AB21" s="49">
        <f>IF($A21&lt;&gt;"",PERCENTRANK('Team Scores'!AA$3:AA$955, 'Team Scores'!AA20, 3) * AB$2, "")</f>
        <v>0.27700000000000002</v>
      </c>
    </row>
    <row r="22" spans="1:28" x14ac:dyDescent="0.2">
      <c r="A22" s="52">
        <f>IF('TBA-Teams'!A20 &lt;&gt; "", 'TBA-Teams'!A20, "")</f>
        <v>1405</v>
      </c>
      <c r="B22" s="53">
        <f>IF(A22&lt;&gt;"",SUM(C22:AB22),"")</f>
        <v>13.878</v>
      </c>
      <c r="C22" s="49">
        <f>IF($A22&lt;&gt;"",PERCENTRANK('Team Scores'!B$3:B$955, 'Team Scores'!B21, 3) * C$2, "")</f>
        <v>0</v>
      </c>
      <c r="D22" s="49">
        <f>IF($A22&lt;&gt;"",PERCENTRANK('Team Scores'!C$3:C$955, 'Team Scores'!C21, 3) * D$2, "")</f>
        <v>1</v>
      </c>
      <c r="E22" s="49">
        <f>IF($A22&lt;&gt;"",PERCENTRANK('Team Scores'!D$3:D$955, 'Team Scores'!D21, 3) * E$2, "")</f>
        <v>0.57399999999999995</v>
      </c>
      <c r="F22" s="49">
        <f>IF($A22&lt;&gt;"",PERCENTRANK('Team Scores'!E$3:E$955, 'Team Scores'!E21, 3) * F$2, "")</f>
        <v>0.48099999999999998</v>
      </c>
      <c r="G22" s="49">
        <f>IF($A22&lt;&gt;"",PERCENTRANK('Team Scores'!F$3:F$955, 'Team Scores'!F21, 3) * G$2, "")</f>
        <v>0.38800000000000001</v>
      </c>
      <c r="H22" s="49">
        <f>IF($A22&lt;&gt;"",PERCENTRANK('Team Scores'!G$3:G$955, 'Team Scores'!G21, 3) * H$2, "")</f>
        <v>0.35099999999999998</v>
      </c>
      <c r="I22" s="49">
        <f>IF($A22&lt;&gt;"",PERCENTRANK('Team Scores'!H$3:H$955, 'Team Scores'!H21, 3) * I$2, "")</f>
        <v>0.66600000000000004</v>
      </c>
      <c r="J22" s="49">
        <f>IF($A22&lt;&gt;"",PERCENTRANK('Team Scores'!I$3:I$955, 'Team Scores'!I21, 3) * J$2, "")</f>
        <v>9.1999999999999998E-2</v>
      </c>
      <c r="K22" s="49">
        <f>IF($A22&lt;&gt;"",PERCENTRANK('Team Scores'!J$3:J$955, 'Team Scores'!J21, 3) * K$2, "")</f>
        <v>0.83299999999999996</v>
      </c>
      <c r="L22" s="49">
        <f>IF($A22&lt;&gt;"",PERCENTRANK('Team Scores'!K$3:K$955, 'Team Scores'!K21, 3) * L$2, "")</f>
        <v>0.51800000000000002</v>
      </c>
      <c r="M22" s="49">
        <f>IF($A22&lt;&gt;"",PERCENTRANK('Team Scores'!L$3:L$955, 'Team Scores'!L21, 3) * M$2, "")</f>
        <v>3.6999999999999998E-2</v>
      </c>
      <c r="N22" s="49">
        <f>IF($A22&lt;&gt;"",PERCENTRANK('Team Scores'!M$3:M$955, 'Team Scores'!M21, 3) * N$2, "")</f>
        <v>5.5E-2</v>
      </c>
      <c r="O22" s="49">
        <f>IF($A22&lt;&gt;"",PERCENTRANK('Team Scores'!N$3:N$955, 'Team Scores'!N21, 3) * O$2, "")</f>
        <v>0.44400000000000001</v>
      </c>
      <c r="P22" s="49">
        <f>IF($A22&lt;&gt;"",PERCENTRANK('Team Scores'!O$3:O$955, 'Team Scores'!O21, 3) * P$2, "")</f>
        <v>0.53700000000000003</v>
      </c>
      <c r="Q22" s="49">
        <f>IF($A22&lt;&gt;"",PERCENTRANK('Team Scores'!P$3:P$955, 'Team Scores'!P21, 3) * Q$2, "")</f>
        <v>0.61099999999999999</v>
      </c>
      <c r="R22" s="49">
        <f>IF($A22&lt;&gt;"",PERCENTRANK('Team Scores'!Q$3:Q$955, 'Team Scores'!Q21, 3) * R$2, "")</f>
        <v>0.24</v>
      </c>
      <c r="S22" s="49">
        <f>IF($A22&lt;&gt;"",PERCENTRANK('Team Scores'!R$3:R$955, 'Team Scores'!R21, 3) * S$2, "")</f>
        <v>0.90700000000000003</v>
      </c>
      <c r="T22" s="49">
        <f>IF($A22&lt;&gt;"",PERCENTRANK('Team Scores'!S$3:S$955, 'Team Scores'!S21, 3) * T$2, "")</f>
        <v>0.44400000000000001</v>
      </c>
      <c r="U22" s="49">
        <f>IF($A22&lt;&gt;"",PERCENTRANK('Team Scores'!T$3:T$955, 'Team Scores'!T21, 3) * U$2, "")</f>
        <v>0.46200000000000002</v>
      </c>
      <c r="V22" s="49">
        <f>IF($A22&lt;&gt;"",PERCENTRANK('Team Scores'!U$3:U$955, 'Team Scores'!U21, 3) * V$2, "")</f>
        <v>0.83299999999999996</v>
      </c>
      <c r="W22" s="49">
        <f>IF($A22&lt;&gt;"",PERCENTRANK('Team Scores'!V$3:V$955, 'Team Scores'!V21, 3) * W$2, "")</f>
        <v>0.83299999999999996</v>
      </c>
      <c r="X22" s="49">
        <f>IF($A22&lt;&gt;"",PERCENTRANK('Team Scores'!W$3:W$955, 'Team Scores'!W21, 3) * X$2, "")</f>
        <v>0.79600000000000004</v>
      </c>
      <c r="Y22" s="49">
        <f>IF($A22&lt;&gt;"",PERCENTRANK('Team Scores'!X$3:X$955, 'Team Scores'!X21, 3) * Y$2, "")</f>
        <v>0.42499999999999999</v>
      </c>
      <c r="Z22" s="49">
        <f>IF($A22&lt;&gt;"",PERCENTRANK('Team Scores'!Y$3:Y$955, 'Team Scores'!Y21, 3) * Z$2, "")</f>
        <v>0.68500000000000005</v>
      </c>
      <c r="AA22" s="49">
        <f>IF($A22&lt;&gt;"",PERCENTRANK('Team Scores'!Z$3:Z$955, 'Team Scores'!Z21, 3) * AA$2, "")</f>
        <v>0.83299999999999996</v>
      </c>
      <c r="AB22" s="49">
        <f>IF($A22&lt;&gt;"",PERCENTRANK('Team Scores'!AA$3:AA$955, 'Team Scores'!AA21, 3) * AB$2, "")</f>
        <v>0.83299999999999996</v>
      </c>
    </row>
    <row r="23" spans="1:28" x14ac:dyDescent="0.2">
      <c r="A23" s="52">
        <f>IF('TBA-Teams'!A21 &lt;&gt; "", 'TBA-Teams'!A21, "")</f>
        <v>1450</v>
      </c>
      <c r="B23" s="53">
        <f>IF(A23&lt;&gt;"",SUM(C23:AB23),"")</f>
        <v>11.468</v>
      </c>
      <c r="C23" s="49">
        <f>IF($A23&lt;&gt;"",PERCENTRANK('Team Scores'!B$3:B$955, 'Team Scores'!B22, 3) * C$2, "")</f>
        <v>0</v>
      </c>
      <c r="D23" s="49">
        <f>IF($A23&lt;&gt;"",PERCENTRANK('Team Scores'!C$3:C$955, 'Team Scores'!C22, 3) * D$2, "")</f>
        <v>0.29599999999999999</v>
      </c>
      <c r="E23" s="49">
        <f>IF($A23&lt;&gt;"",PERCENTRANK('Team Scores'!D$3:D$955, 'Team Scores'!D22, 3) * E$2, "")</f>
        <v>0.42499999999999999</v>
      </c>
      <c r="F23" s="49">
        <f>IF($A23&lt;&gt;"",PERCENTRANK('Team Scores'!E$3:E$955, 'Team Scores'!E22, 3) * F$2, "")</f>
        <v>0.16600000000000001</v>
      </c>
      <c r="G23" s="49">
        <f>IF($A23&lt;&gt;"",PERCENTRANK('Team Scores'!F$3:F$955, 'Team Scores'!F22, 3) * G$2, "")</f>
        <v>0</v>
      </c>
      <c r="H23" s="49">
        <f>IF($A23&lt;&gt;"",PERCENTRANK('Team Scores'!G$3:G$955, 'Team Scores'!G22, 3) * H$2, "")</f>
        <v>0.35099999999999998</v>
      </c>
      <c r="I23" s="49">
        <f>IF($A23&lt;&gt;"",PERCENTRANK('Team Scores'!H$3:H$955, 'Team Scores'!H22, 3) * I$2, "")</f>
        <v>0.37</v>
      </c>
      <c r="J23" s="49">
        <f>IF($A23&lt;&gt;"",PERCENTRANK('Team Scores'!I$3:I$955, 'Team Scores'!I22, 3) * J$2, "")</f>
        <v>0.51800000000000002</v>
      </c>
      <c r="K23" s="49">
        <f>IF($A23&lt;&gt;"",PERCENTRANK('Team Scores'!J$3:J$955, 'Team Scores'!J22, 3) * K$2, "")</f>
        <v>0.83299999999999996</v>
      </c>
      <c r="L23" s="49">
        <f>IF($A23&lt;&gt;"",PERCENTRANK('Team Scores'!K$3:K$955, 'Team Scores'!K22, 3) * L$2, "")</f>
        <v>0.83299999999999996</v>
      </c>
      <c r="M23" s="49">
        <f>IF($A23&lt;&gt;"",PERCENTRANK('Team Scores'!L$3:L$955, 'Team Scores'!L22, 3) * M$2, "")</f>
        <v>0.46200000000000002</v>
      </c>
      <c r="N23" s="49">
        <f>IF($A23&lt;&gt;"",PERCENTRANK('Team Scores'!M$3:M$955, 'Team Scores'!M22, 3) * N$2, "")</f>
        <v>5.5E-2</v>
      </c>
      <c r="O23" s="49">
        <f>IF($A23&lt;&gt;"",PERCENTRANK('Team Scores'!N$3:N$955, 'Team Scores'!N22, 3) * O$2, "")</f>
        <v>0.222</v>
      </c>
      <c r="P23" s="49">
        <f>IF($A23&lt;&gt;"",PERCENTRANK('Team Scores'!O$3:O$955, 'Team Scores'!O22, 3) * P$2, "")</f>
        <v>0.53700000000000003</v>
      </c>
      <c r="Q23" s="49">
        <f>IF($A23&lt;&gt;"",PERCENTRANK('Team Scores'!P$3:P$955, 'Team Scores'!P22, 3) * Q$2, "")</f>
        <v>0.85099999999999998</v>
      </c>
      <c r="R23" s="49">
        <f>IF($A23&lt;&gt;"",PERCENTRANK('Team Scores'!Q$3:Q$955, 'Team Scores'!Q22, 3) * R$2, "")</f>
        <v>0.16600000000000001</v>
      </c>
      <c r="S23" s="49">
        <f>IF($A23&lt;&gt;"",PERCENTRANK('Team Scores'!R$3:R$955, 'Team Scores'!R22, 3) * S$2, "")</f>
        <v>0.27700000000000002</v>
      </c>
      <c r="T23" s="49">
        <f>IF($A23&lt;&gt;"",PERCENTRANK('Team Scores'!S$3:S$955, 'Team Scores'!S22, 3) * T$2, "")</f>
        <v>0.24</v>
      </c>
      <c r="U23" s="49">
        <f>IF($A23&lt;&gt;"",PERCENTRANK('Team Scores'!T$3:T$955, 'Team Scores'!T22, 3) * U$2, "")</f>
        <v>0.70299999999999996</v>
      </c>
      <c r="V23" s="49">
        <f>IF($A23&lt;&gt;"",PERCENTRANK('Team Scores'!U$3:U$955, 'Team Scores'!U22, 3) * V$2, "")</f>
        <v>0.77700000000000002</v>
      </c>
      <c r="W23" s="49">
        <f>IF($A23&lt;&gt;"",PERCENTRANK('Team Scores'!V$3:V$955, 'Team Scores'!V22, 3) * W$2, "")</f>
        <v>0.53700000000000003</v>
      </c>
      <c r="X23" s="49">
        <f>IF($A23&lt;&gt;"",PERCENTRANK('Team Scores'!W$3:W$955, 'Team Scores'!W22, 3) * X$2, "")</f>
        <v>0.14799999999999999</v>
      </c>
      <c r="Y23" s="49">
        <f>IF($A23&lt;&gt;"",PERCENTRANK('Team Scores'!X$3:X$955, 'Team Scores'!X22, 3) * Y$2, "")</f>
        <v>0.29599999999999999</v>
      </c>
      <c r="Z23" s="49">
        <f>IF($A23&lt;&gt;"",PERCENTRANK('Team Scores'!Y$3:Y$955, 'Team Scores'!Y22, 3) * Z$2, "")</f>
        <v>0.85099999999999998</v>
      </c>
      <c r="AA23" s="49">
        <f>IF($A23&lt;&gt;"",PERCENTRANK('Team Scores'!Z$3:Z$955, 'Team Scores'!Z22, 3) * AA$2, "")</f>
        <v>0.77700000000000002</v>
      </c>
      <c r="AB23" s="49">
        <f>IF($A23&lt;&gt;"",PERCENTRANK('Team Scores'!AA$3:AA$955, 'Team Scores'!AA22, 3) * AB$2, "")</f>
        <v>0.77700000000000002</v>
      </c>
    </row>
    <row r="24" spans="1:28" x14ac:dyDescent="0.2">
      <c r="A24" s="52">
        <f>IF('TBA-Teams'!A22 &lt;&gt; "", 'TBA-Teams'!A22, "")</f>
        <v>1468</v>
      </c>
      <c r="B24" s="53">
        <f>IF(A24&lt;&gt;"",SUM(C24:AB24),"")</f>
        <v>12.564000000000004</v>
      </c>
      <c r="C24" s="49">
        <f>IF($A24&lt;&gt;"",PERCENTRANK('Team Scores'!B$3:B$955, 'Team Scores'!B23, 3) * C$2, "")</f>
        <v>0</v>
      </c>
      <c r="D24" s="49">
        <f>IF($A24&lt;&gt;"",PERCENTRANK('Team Scores'!C$3:C$955, 'Team Scores'!C23, 3) * D$2, "")</f>
        <v>0.64800000000000002</v>
      </c>
      <c r="E24" s="49">
        <f>IF($A24&lt;&gt;"",PERCENTRANK('Team Scores'!D$3:D$955, 'Team Scores'!D23, 3) * E$2, "")</f>
        <v>0.14799999999999999</v>
      </c>
      <c r="F24" s="49">
        <f>IF($A24&lt;&gt;"",PERCENTRANK('Team Scores'!E$3:E$955, 'Team Scores'!E23, 3) * F$2, "")</f>
        <v>0.55500000000000005</v>
      </c>
      <c r="G24" s="49">
        <f>IF($A24&lt;&gt;"",PERCENTRANK('Team Scores'!F$3:F$955, 'Team Scores'!F23, 3) * G$2, "")</f>
        <v>0.111</v>
      </c>
      <c r="H24" s="49">
        <f>IF($A24&lt;&gt;"",PERCENTRANK('Team Scores'!G$3:G$955, 'Team Scores'!G23, 3) * H$2, "")</f>
        <v>0.48099999999999998</v>
      </c>
      <c r="I24" s="49">
        <f>IF($A24&lt;&gt;"",PERCENTRANK('Team Scores'!H$3:H$955, 'Team Scores'!H23, 3) * I$2, "")</f>
        <v>0.98099999999999998</v>
      </c>
      <c r="J24" s="49">
        <f>IF($A24&lt;&gt;"",PERCENTRANK('Team Scores'!I$3:I$955, 'Team Scores'!I23, 3) * J$2, "")</f>
        <v>0.51800000000000002</v>
      </c>
      <c r="K24" s="49">
        <f>IF($A24&lt;&gt;"",PERCENTRANK('Team Scores'!J$3:J$955, 'Team Scores'!J23, 3) * K$2, "")</f>
        <v>0.20300000000000001</v>
      </c>
      <c r="L24" s="49">
        <f>IF($A24&lt;&gt;"",PERCENTRANK('Team Scores'!K$3:K$955, 'Team Scores'!K23, 3) * L$2, "")</f>
        <v>0.83299999999999996</v>
      </c>
      <c r="M24" s="49">
        <f>IF($A24&lt;&gt;"",PERCENTRANK('Team Scores'!L$3:L$955, 'Team Scores'!L23, 3) * M$2, "")</f>
        <v>0.75900000000000001</v>
      </c>
      <c r="N24" s="49">
        <f>IF($A24&lt;&gt;"",PERCENTRANK('Team Scores'!M$3:M$955, 'Team Scores'!M23, 3) * N$2, "")</f>
        <v>0.27700000000000002</v>
      </c>
      <c r="O24" s="49">
        <f>IF($A24&lt;&gt;"",PERCENTRANK('Team Scores'!N$3:N$955, 'Team Scores'!N23, 3) * O$2, "")</f>
        <v>0.70299999999999996</v>
      </c>
      <c r="P24" s="49">
        <f>IF($A24&lt;&gt;"",PERCENTRANK('Team Scores'!O$3:O$955, 'Team Scores'!O23, 3) * P$2, "")</f>
        <v>0.29599999999999999</v>
      </c>
      <c r="Q24" s="49">
        <f>IF($A24&lt;&gt;"",PERCENTRANK('Team Scores'!P$3:P$955, 'Team Scores'!P23, 3) * Q$2, "")</f>
        <v>0.27700000000000002</v>
      </c>
      <c r="R24" s="49">
        <f>IF($A24&lt;&gt;"",PERCENTRANK('Team Scores'!Q$3:Q$955, 'Team Scores'!Q23, 3) * R$2, "")</f>
        <v>0.98099999999999998</v>
      </c>
      <c r="S24" s="49">
        <f>IF($A24&lt;&gt;"",PERCENTRANK('Team Scores'!R$3:R$955, 'Team Scores'!R23, 3) * S$2, "")</f>
        <v>0.27700000000000002</v>
      </c>
      <c r="T24" s="49">
        <f>IF($A24&lt;&gt;"",PERCENTRANK('Team Scores'!S$3:S$955, 'Team Scores'!S23, 3) * T$2, "")</f>
        <v>0.75900000000000001</v>
      </c>
      <c r="U24" s="49">
        <f>IF($A24&lt;&gt;"",PERCENTRANK('Team Scores'!T$3:T$955, 'Team Scores'!T23, 3) * U$2, "")</f>
        <v>0</v>
      </c>
      <c r="V24" s="49">
        <f>IF($A24&lt;&gt;"",PERCENTRANK('Team Scores'!U$3:U$955, 'Team Scores'!U23, 3) * V$2, "")</f>
        <v>0.61099999999999999</v>
      </c>
      <c r="W24" s="49">
        <f>IF($A24&lt;&gt;"",PERCENTRANK('Team Scores'!V$3:V$955, 'Team Scores'!V23, 3) * W$2, "")</f>
        <v>0.129</v>
      </c>
      <c r="X24" s="49">
        <f>IF($A24&lt;&gt;"",PERCENTRANK('Team Scores'!W$3:W$955, 'Team Scores'!W23, 3) * X$2, "")</f>
        <v>0.53700000000000003</v>
      </c>
      <c r="Y24" s="49">
        <f>IF($A24&lt;&gt;"",PERCENTRANK('Team Scores'!X$3:X$955, 'Team Scores'!X23, 3) * Y$2, "")</f>
        <v>0.90700000000000003</v>
      </c>
      <c r="Z24" s="49">
        <f>IF($A24&lt;&gt;"",PERCENTRANK('Team Scores'!Y$3:Y$955, 'Team Scores'!Y23, 3) * Z$2, "")</f>
        <v>0.35099999999999998</v>
      </c>
      <c r="AA24" s="49">
        <f>IF($A24&lt;&gt;"",PERCENTRANK('Team Scores'!Z$3:Z$955, 'Team Scores'!Z23, 3) * AA$2, "")</f>
        <v>0.61099999999999999</v>
      </c>
      <c r="AB24" s="49">
        <f>IF($A24&lt;&gt;"",PERCENTRANK('Team Scores'!AA$3:AA$955, 'Team Scores'!AA23, 3) * AB$2, "")</f>
        <v>0.61099999999999999</v>
      </c>
    </row>
    <row r="25" spans="1:28" x14ac:dyDescent="0.2">
      <c r="A25" s="52">
        <f>IF('TBA-Teams'!A23 &lt;&gt; "", 'TBA-Teams'!A23, "")</f>
        <v>1507</v>
      </c>
      <c r="B25" s="53">
        <f>IF(A25&lt;&gt;"",SUM(C25:AB25),"")</f>
        <v>12.081</v>
      </c>
      <c r="C25" s="49">
        <f>IF($A25&lt;&gt;"",PERCENTRANK('Team Scores'!B$3:B$955, 'Team Scores'!B24, 3) * C$2, "")</f>
        <v>0</v>
      </c>
      <c r="D25" s="49">
        <f>IF($A25&lt;&gt;"",PERCENTRANK('Team Scores'!C$3:C$955, 'Team Scores'!C24, 3) * D$2, "")</f>
        <v>0.29599999999999999</v>
      </c>
      <c r="E25" s="49">
        <f>IF($A25&lt;&gt;"",PERCENTRANK('Team Scores'!D$3:D$955, 'Team Scores'!D24, 3) * E$2, "")</f>
        <v>0.96199999999999997</v>
      </c>
      <c r="F25" s="49">
        <f>IF($A25&lt;&gt;"",PERCENTRANK('Team Scores'!E$3:E$955, 'Team Scores'!E24, 3) * F$2, "")</f>
        <v>0.37</v>
      </c>
      <c r="G25" s="49">
        <f>IF($A25&lt;&gt;"",PERCENTRANK('Team Scores'!F$3:F$955, 'Team Scores'!F24, 3) * G$2, "")</f>
        <v>0.55500000000000005</v>
      </c>
      <c r="H25" s="49">
        <f>IF($A25&lt;&gt;"",PERCENTRANK('Team Scores'!G$3:G$955, 'Team Scores'!G24, 3) * H$2, "")</f>
        <v>0.61099999999999999</v>
      </c>
      <c r="I25" s="49">
        <f>IF($A25&lt;&gt;"",PERCENTRANK('Team Scores'!H$3:H$955, 'Team Scores'!H24, 3) * I$2, "")</f>
        <v>0.20300000000000001</v>
      </c>
      <c r="J25" s="49">
        <f>IF($A25&lt;&gt;"",PERCENTRANK('Team Scores'!I$3:I$955, 'Team Scores'!I24, 3) * J$2, "")</f>
        <v>0.25900000000000001</v>
      </c>
      <c r="K25" s="49">
        <f>IF($A25&lt;&gt;"",PERCENTRANK('Team Scores'!J$3:J$955, 'Team Scores'!J24, 3) * K$2, "")</f>
        <v>0.629</v>
      </c>
      <c r="L25" s="49">
        <f>IF($A25&lt;&gt;"",PERCENTRANK('Team Scores'!K$3:K$955, 'Team Scores'!K24, 3) * L$2, "")</f>
        <v>0.29599999999999999</v>
      </c>
      <c r="M25" s="49">
        <f>IF($A25&lt;&gt;"",PERCENTRANK('Team Scores'!L$3:L$955, 'Team Scores'!L24, 3) * M$2, "")</f>
        <v>3.6999999999999998E-2</v>
      </c>
      <c r="N25" s="49">
        <f>IF($A25&lt;&gt;"",PERCENTRANK('Team Scores'!M$3:M$955, 'Team Scores'!M24, 3) * N$2, "")</f>
        <v>0.46200000000000002</v>
      </c>
      <c r="O25" s="49">
        <f>IF($A25&lt;&gt;"",PERCENTRANK('Team Scores'!N$3:N$955, 'Team Scores'!N24, 3) * O$2, "")</f>
        <v>0.222</v>
      </c>
      <c r="P25" s="49">
        <f>IF($A25&lt;&gt;"",PERCENTRANK('Team Scores'!O$3:O$955, 'Team Scores'!O24, 3) * P$2, "")</f>
        <v>0.53700000000000003</v>
      </c>
      <c r="Q25" s="49">
        <f>IF($A25&lt;&gt;"",PERCENTRANK('Team Scores'!P$3:P$955, 'Team Scores'!P24, 3) * Q$2, "")</f>
        <v>0.314</v>
      </c>
      <c r="R25" s="49">
        <f>IF($A25&lt;&gt;"",PERCENTRANK('Team Scores'!Q$3:Q$955, 'Team Scores'!Q24, 3) * R$2, "")</f>
        <v>0.44400000000000001</v>
      </c>
      <c r="S25" s="49">
        <f>IF($A25&lt;&gt;"",PERCENTRANK('Team Scores'!R$3:R$955, 'Team Scores'!R24, 3) * S$2, "")</f>
        <v>0.90700000000000003</v>
      </c>
      <c r="T25" s="49">
        <f>IF($A25&lt;&gt;"",PERCENTRANK('Team Scores'!S$3:S$955, 'Team Scores'!S24, 3) * T$2, "")</f>
        <v>0.44400000000000001</v>
      </c>
      <c r="U25" s="49">
        <f>IF($A25&lt;&gt;"",PERCENTRANK('Team Scores'!T$3:T$955, 'Team Scores'!T24, 3) * U$2, "")</f>
        <v>0.70299999999999996</v>
      </c>
      <c r="V25" s="49">
        <f>IF($A25&lt;&gt;"",PERCENTRANK('Team Scores'!U$3:U$955, 'Team Scores'!U24, 3) * V$2, "")</f>
        <v>0.55500000000000005</v>
      </c>
      <c r="W25" s="49">
        <f>IF($A25&lt;&gt;"",PERCENTRANK('Team Scores'!V$3:V$955, 'Team Scores'!V24, 3) * W$2, "")</f>
        <v>0.90700000000000003</v>
      </c>
      <c r="X25" s="49">
        <f>IF($A25&lt;&gt;"",PERCENTRANK('Team Scores'!W$3:W$955, 'Team Scores'!W24, 3) * X$2, "")</f>
        <v>0.68500000000000005</v>
      </c>
      <c r="Y25" s="49">
        <f>IF($A25&lt;&gt;"",PERCENTRANK('Team Scores'!X$3:X$955, 'Team Scores'!X24, 3) * Y$2, "")</f>
        <v>0.222</v>
      </c>
      <c r="Z25" s="49">
        <f>IF($A25&lt;&gt;"",PERCENTRANK('Team Scores'!Y$3:Y$955, 'Team Scores'!Y24, 3) * Z$2, "")</f>
        <v>0.35099999999999998</v>
      </c>
      <c r="AA25" s="49">
        <f>IF($A25&lt;&gt;"",PERCENTRANK('Team Scores'!Z$3:Z$955, 'Team Scores'!Z24, 3) * AA$2, "")</f>
        <v>0.55500000000000005</v>
      </c>
      <c r="AB25" s="49">
        <f>IF($A25&lt;&gt;"",PERCENTRANK('Team Scores'!AA$3:AA$955, 'Team Scores'!AA24, 3) * AB$2, "")</f>
        <v>0.55500000000000005</v>
      </c>
    </row>
    <row r="26" spans="1:28" x14ac:dyDescent="0.2">
      <c r="A26" s="52">
        <f>IF('TBA-Teams'!A24 &lt;&gt; "", 'TBA-Teams'!A24, "")</f>
        <v>1511</v>
      </c>
      <c r="B26" s="53">
        <f>IF(A26&lt;&gt;"",SUM(C26:AB26),"")</f>
        <v>12.433</v>
      </c>
      <c r="C26" s="49">
        <f>IF($A26&lt;&gt;"",PERCENTRANK('Team Scores'!B$3:B$955, 'Team Scores'!B25, 3) * C$2, "")</f>
        <v>0</v>
      </c>
      <c r="D26" s="49">
        <f>IF($A26&lt;&gt;"",PERCENTRANK('Team Scores'!C$3:C$955, 'Team Scores'!C25, 3) * D$2, "")</f>
        <v>0.64800000000000002</v>
      </c>
      <c r="E26" s="49">
        <f>IF($A26&lt;&gt;"",PERCENTRANK('Team Scores'!D$3:D$955, 'Team Scores'!D25, 3) * E$2, "")</f>
        <v>0</v>
      </c>
      <c r="F26" s="49">
        <f>IF($A26&lt;&gt;"",PERCENTRANK('Team Scores'!E$3:E$955, 'Team Scores'!E25, 3) * F$2, "")</f>
        <v>0.68500000000000005</v>
      </c>
      <c r="G26" s="49">
        <f>IF($A26&lt;&gt;"",PERCENTRANK('Team Scores'!F$3:F$955, 'Team Scores'!F25, 3) * G$2, "")</f>
        <v>0.55500000000000005</v>
      </c>
      <c r="H26" s="49">
        <f>IF($A26&lt;&gt;"",PERCENTRANK('Team Scores'!G$3:G$955, 'Team Scores'!G25, 3) * H$2, "")</f>
        <v>0.77700000000000002</v>
      </c>
      <c r="I26" s="49">
        <f>IF($A26&lt;&gt;"",PERCENTRANK('Team Scores'!H$3:H$955, 'Team Scores'!H25, 3) * I$2, "")</f>
        <v>0.37</v>
      </c>
      <c r="J26" s="49">
        <f>IF($A26&lt;&gt;"",PERCENTRANK('Team Scores'!I$3:I$955, 'Team Scores'!I25, 3) * J$2, "")</f>
        <v>0.51800000000000002</v>
      </c>
      <c r="K26" s="49">
        <f>IF($A26&lt;&gt;"",PERCENTRANK('Team Scores'!J$3:J$955, 'Team Scores'!J25, 3) * K$2, "")</f>
        <v>0.5</v>
      </c>
      <c r="L26" s="49">
        <f>IF($A26&lt;&gt;"",PERCENTRANK('Team Scores'!K$3:K$955, 'Team Scores'!K25, 3) * L$2, "")</f>
        <v>0.51800000000000002</v>
      </c>
      <c r="M26" s="49">
        <f>IF($A26&lt;&gt;"",PERCENTRANK('Team Scores'!L$3:L$955, 'Team Scores'!L25, 3) * M$2, "")</f>
        <v>0.75900000000000001</v>
      </c>
      <c r="N26" s="49">
        <f>IF($A26&lt;&gt;"",PERCENTRANK('Team Scores'!M$3:M$955, 'Team Scores'!M25, 3) * N$2, "")</f>
        <v>0.74</v>
      </c>
      <c r="O26" s="49">
        <f>IF($A26&lt;&gt;"",PERCENTRANK('Team Scores'!N$3:N$955, 'Team Scores'!N25, 3) * O$2, "")</f>
        <v>7.3999999999999996E-2</v>
      </c>
      <c r="P26" s="49">
        <f>IF($A26&lt;&gt;"",PERCENTRANK('Team Scores'!O$3:O$955, 'Team Scores'!O25, 3) * P$2, "")</f>
        <v>9.1999999999999998E-2</v>
      </c>
      <c r="Q26" s="49">
        <f>IF($A26&lt;&gt;"",PERCENTRANK('Team Scores'!P$3:P$955, 'Team Scores'!P25, 3) * Q$2, "")</f>
        <v>0.40699999999999997</v>
      </c>
      <c r="R26" s="49">
        <f>IF($A26&lt;&gt;"",PERCENTRANK('Team Scores'!Q$3:Q$955, 'Team Scores'!Q25, 3) * R$2, "")</f>
        <v>3.6999999999999998E-2</v>
      </c>
      <c r="S26" s="49">
        <f>IF($A26&lt;&gt;"",PERCENTRANK('Team Scores'!R$3:R$955, 'Team Scores'!R25, 3) * S$2, "")</f>
        <v>0.74</v>
      </c>
      <c r="T26" s="49">
        <f>IF($A26&lt;&gt;"",PERCENTRANK('Team Scores'!S$3:S$955, 'Team Scores'!S25, 3) * T$2, "")</f>
        <v>0.24</v>
      </c>
      <c r="U26" s="49">
        <f>IF($A26&lt;&gt;"",PERCENTRANK('Team Scores'!T$3:T$955, 'Team Scores'!T25, 3) * U$2, "")</f>
        <v>0.70299999999999996</v>
      </c>
      <c r="V26" s="49">
        <f>IF($A26&lt;&gt;"",PERCENTRANK('Team Scores'!U$3:U$955, 'Team Scores'!U25, 3) * V$2, "")</f>
        <v>0.629</v>
      </c>
      <c r="W26" s="49">
        <f>IF($A26&lt;&gt;"",PERCENTRANK('Team Scores'!V$3:V$955, 'Team Scores'!V25, 3) * W$2, "")</f>
        <v>0.74</v>
      </c>
      <c r="X26" s="49">
        <f>IF($A26&lt;&gt;"",PERCENTRANK('Team Scores'!W$3:W$955, 'Team Scores'!W25, 3) * X$2, "")</f>
        <v>0.33300000000000002</v>
      </c>
      <c r="Y26" s="49">
        <f>IF($A26&lt;&gt;"",PERCENTRANK('Team Scores'!X$3:X$955, 'Team Scores'!X25, 3) * Y$2, "")</f>
        <v>0.88800000000000001</v>
      </c>
      <c r="Z26" s="49">
        <f>IF($A26&lt;&gt;"",PERCENTRANK('Team Scores'!Y$3:Y$955, 'Team Scores'!Y25, 3) * Z$2, "")</f>
        <v>0.20300000000000001</v>
      </c>
      <c r="AA26" s="49">
        <f>IF($A26&lt;&gt;"",PERCENTRANK('Team Scores'!Z$3:Z$955, 'Team Scores'!Z25, 3) * AA$2, "")</f>
        <v>0.629</v>
      </c>
      <c r="AB26" s="49">
        <f>IF($A26&lt;&gt;"",PERCENTRANK('Team Scores'!AA$3:AA$955, 'Team Scores'!AA25, 3) * AB$2, "")</f>
        <v>0.64800000000000002</v>
      </c>
    </row>
    <row r="27" spans="1:28" x14ac:dyDescent="0.2">
      <c r="A27" s="52">
        <f>IF('TBA-Teams'!A25 &lt;&gt; "", 'TBA-Teams'!A25, "")</f>
        <v>1518</v>
      </c>
      <c r="B27" s="53">
        <f>IF(A27&lt;&gt;"",SUM(C27:AB27),"")</f>
        <v>11.859</v>
      </c>
      <c r="C27" s="49">
        <f>IF($A27&lt;&gt;"",PERCENTRANK('Team Scores'!B$3:B$955, 'Team Scores'!B26, 3) * C$2, "")</f>
        <v>0</v>
      </c>
      <c r="D27" s="49">
        <f>IF($A27&lt;&gt;"",PERCENTRANK('Team Scores'!C$3:C$955, 'Team Scores'!C26, 3) * D$2, "")</f>
        <v>0.87</v>
      </c>
      <c r="E27" s="49">
        <f>IF($A27&lt;&gt;"",PERCENTRANK('Team Scores'!D$3:D$955, 'Team Scores'!D26, 3) * E$2, "")</f>
        <v>0</v>
      </c>
      <c r="F27" s="49">
        <f>IF($A27&lt;&gt;"",PERCENTRANK('Team Scores'!E$3:E$955, 'Team Scores'!E26, 3) * F$2, "")</f>
        <v>0.25900000000000001</v>
      </c>
      <c r="G27" s="49">
        <f>IF($A27&lt;&gt;"",PERCENTRANK('Team Scores'!F$3:F$955, 'Team Scores'!F26, 3) * G$2, "")</f>
        <v>0.24</v>
      </c>
      <c r="H27" s="49">
        <f>IF($A27&lt;&gt;"",PERCENTRANK('Team Scores'!G$3:G$955, 'Team Scores'!G26, 3) * H$2, "")</f>
        <v>0.77700000000000002</v>
      </c>
      <c r="I27" s="49">
        <f>IF($A27&lt;&gt;"",PERCENTRANK('Team Scores'!H$3:H$955, 'Team Scores'!H26, 3) * I$2, "")</f>
        <v>0.75900000000000001</v>
      </c>
      <c r="J27" s="49">
        <f>IF($A27&lt;&gt;"",PERCENTRANK('Team Scores'!I$3:I$955, 'Team Scores'!I26, 3) * J$2, "")</f>
        <v>0.79600000000000004</v>
      </c>
      <c r="K27" s="49">
        <f>IF($A27&lt;&gt;"",PERCENTRANK('Team Scores'!J$3:J$955, 'Team Scores'!J26, 3) * K$2, "")</f>
        <v>0.629</v>
      </c>
      <c r="L27" s="49">
        <f>IF($A27&lt;&gt;"",PERCENTRANK('Team Scores'!K$3:K$955, 'Team Scores'!K26, 3) * L$2, "")</f>
        <v>0.29599999999999999</v>
      </c>
      <c r="M27" s="49">
        <f>IF($A27&lt;&gt;"",PERCENTRANK('Team Scores'!L$3:L$955, 'Team Scores'!L26, 3) * M$2, "")</f>
        <v>0.16600000000000001</v>
      </c>
      <c r="N27" s="49">
        <f>IF($A27&lt;&gt;"",PERCENTRANK('Team Scores'!M$3:M$955, 'Team Scores'!M26, 3) * N$2, "")</f>
        <v>0.27700000000000002</v>
      </c>
      <c r="O27" s="49">
        <f>IF($A27&lt;&gt;"",PERCENTRANK('Team Scores'!N$3:N$955, 'Team Scores'!N26, 3) * O$2, "")</f>
        <v>0.222</v>
      </c>
      <c r="P27" s="49">
        <f>IF($A27&lt;&gt;"",PERCENTRANK('Team Scores'!O$3:O$955, 'Team Scores'!O26, 3) * P$2, "")</f>
        <v>0.53700000000000003</v>
      </c>
      <c r="Q27" s="49">
        <f>IF($A27&lt;&gt;"",PERCENTRANK('Team Scores'!P$3:P$955, 'Team Scores'!P26, 3) * Q$2, "")</f>
        <v>0.61099999999999999</v>
      </c>
      <c r="R27" s="49">
        <f>IF($A27&lt;&gt;"",PERCENTRANK('Team Scores'!Q$3:Q$955, 'Team Scores'!Q26, 3) * R$2, "")</f>
        <v>0.44400000000000001</v>
      </c>
      <c r="S27" s="49">
        <f>IF($A27&lt;&gt;"",PERCENTRANK('Team Scores'!R$3:R$955, 'Team Scores'!R26, 3) * S$2, "")</f>
        <v>0.27700000000000002</v>
      </c>
      <c r="T27" s="49">
        <f>IF($A27&lt;&gt;"",PERCENTRANK('Team Scores'!S$3:S$955, 'Team Scores'!S26, 3) * T$2, "")</f>
        <v>0</v>
      </c>
      <c r="U27" s="49">
        <f>IF($A27&lt;&gt;"",PERCENTRANK('Team Scores'!T$3:T$955, 'Team Scores'!T26, 3) * U$2, "")</f>
        <v>0.185</v>
      </c>
      <c r="V27" s="49">
        <f>IF($A27&lt;&gt;"",PERCENTRANK('Team Scores'!U$3:U$955, 'Team Scores'!U26, 3) * V$2, "")</f>
        <v>0.96199999999999997</v>
      </c>
      <c r="W27" s="49">
        <f>IF($A27&lt;&gt;"",PERCENTRANK('Team Scores'!V$3:V$955, 'Team Scores'!V26, 3) * W$2, "")</f>
        <v>3.6999999999999998E-2</v>
      </c>
      <c r="X27" s="49">
        <f>IF($A27&lt;&gt;"",PERCENTRANK('Team Scores'!W$3:W$955, 'Team Scores'!W26, 3) * X$2, "")</f>
        <v>0.14799999999999999</v>
      </c>
      <c r="Y27" s="49">
        <f>IF($A27&lt;&gt;"",PERCENTRANK('Team Scores'!X$3:X$955, 'Team Scores'!X26, 3) * Y$2, "")</f>
        <v>0.85099999999999998</v>
      </c>
      <c r="Z27" s="49">
        <f>IF($A27&lt;&gt;"",PERCENTRANK('Team Scores'!Y$3:Y$955, 'Team Scores'!Y26, 3) * Z$2, "")</f>
        <v>0.59199999999999997</v>
      </c>
      <c r="AA27" s="49">
        <f>IF($A27&lt;&gt;"",PERCENTRANK('Team Scores'!Z$3:Z$955, 'Team Scores'!Z26, 3) * AA$2, "")</f>
        <v>0.96199999999999997</v>
      </c>
      <c r="AB27" s="49">
        <f>IF($A27&lt;&gt;"",PERCENTRANK('Team Scores'!AA$3:AA$955, 'Team Scores'!AA26, 3) * AB$2, "")</f>
        <v>0.96199999999999997</v>
      </c>
    </row>
    <row r="28" spans="1:28" x14ac:dyDescent="0.2">
      <c r="A28" s="52">
        <f>IF('TBA-Teams'!A26 &lt;&gt; "", 'TBA-Teams'!A26, "")</f>
        <v>1559</v>
      </c>
      <c r="B28" s="53">
        <f>IF(A28&lt;&gt;"",SUM(C28:AB28),"")</f>
        <v>13.414</v>
      </c>
      <c r="C28" s="49">
        <f>IF($A28&lt;&gt;"",PERCENTRANK('Team Scores'!B$3:B$955, 'Team Scores'!B27, 3) * C$2, "")</f>
        <v>0</v>
      </c>
      <c r="D28" s="49">
        <f>IF($A28&lt;&gt;"",PERCENTRANK('Team Scores'!C$3:C$955, 'Team Scores'!C27, 3) * D$2, "")</f>
        <v>0.46200000000000002</v>
      </c>
      <c r="E28" s="49">
        <f>IF($A28&lt;&gt;"",PERCENTRANK('Team Scores'!D$3:D$955, 'Team Scores'!D27, 3) * E$2, "")</f>
        <v>0</v>
      </c>
      <c r="F28" s="49">
        <f>IF($A28&lt;&gt;"",PERCENTRANK('Team Scores'!E$3:E$955, 'Team Scores'!E27, 3) * F$2, "")</f>
        <v>0.68500000000000005</v>
      </c>
      <c r="G28" s="49">
        <f>IF($A28&lt;&gt;"",PERCENTRANK('Team Scores'!F$3:F$955, 'Team Scores'!F27, 3) * G$2, "")</f>
        <v>3.6999999999999998E-2</v>
      </c>
      <c r="H28" s="49">
        <f>IF($A28&lt;&gt;"",PERCENTRANK('Team Scores'!G$3:G$955, 'Team Scores'!G27, 3) * H$2, "")</f>
        <v>0</v>
      </c>
      <c r="I28" s="49">
        <f>IF($A28&lt;&gt;"",PERCENTRANK('Team Scores'!H$3:H$955, 'Team Scores'!H27, 3) * I$2, "")</f>
        <v>0.61099999999999999</v>
      </c>
      <c r="J28" s="49">
        <f>IF($A28&lt;&gt;"",PERCENTRANK('Team Scores'!I$3:I$955, 'Team Scores'!I27, 3) * J$2, "")</f>
        <v>0.51800000000000002</v>
      </c>
      <c r="K28" s="49">
        <f>IF($A28&lt;&gt;"",PERCENTRANK('Team Scores'!J$3:J$955, 'Team Scores'!J27, 3) * K$2, "")</f>
        <v>0.20300000000000001</v>
      </c>
      <c r="L28" s="49">
        <f>IF($A28&lt;&gt;"",PERCENTRANK('Team Scores'!K$3:K$955, 'Team Scores'!K27, 3) * L$2, "")</f>
        <v>0.83299999999999996</v>
      </c>
      <c r="M28" s="49">
        <f>IF($A28&lt;&gt;"",PERCENTRANK('Team Scores'!L$3:L$955, 'Team Scores'!L27, 3) * M$2, "")</f>
        <v>0.94399999999999995</v>
      </c>
      <c r="N28" s="49">
        <f>IF($A28&lt;&gt;"",PERCENTRANK('Team Scores'!M$3:M$955, 'Team Scores'!M27, 3) * N$2, "")</f>
        <v>0.46200000000000002</v>
      </c>
      <c r="O28" s="49">
        <f>IF($A28&lt;&gt;"",PERCENTRANK('Team Scores'!N$3:N$955, 'Team Scores'!N27, 3) * O$2, "")</f>
        <v>0.222</v>
      </c>
      <c r="P28" s="49">
        <f>IF($A28&lt;&gt;"",PERCENTRANK('Team Scores'!O$3:O$955, 'Team Scores'!O27, 3) * P$2, "")</f>
        <v>0</v>
      </c>
      <c r="Q28" s="49">
        <f>IF($A28&lt;&gt;"",PERCENTRANK('Team Scores'!P$3:P$955, 'Team Scores'!P27, 3) * Q$2, "")</f>
        <v>0.94399999999999995</v>
      </c>
      <c r="R28" s="49">
        <f>IF($A28&lt;&gt;"",PERCENTRANK('Team Scores'!Q$3:Q$955, 'Team Scores'!Q27, 3) * R$2, "")</f>
        <v>0.24</v>
      </c>
      <c r="S28" s="49">
        <f>IF($A28&lt;&gt;"",PERCENTRANK('Team Scores'!R$3:R$955, 'Team Scores'!R27, 3) * S$2, "")</f>
        <v>0.53700000000000003</v>
      </c>
      <c r="T28" s="49">
        <f>IF($A28&lt;&gt;"",PERCENTRANK('Team Scores'!S$3:S$955, 'Team Scores'!S27, 3) * T$2, "")</f>
        <v>0.98099999999999998</v>
      </c>
      <c r="U28" s="49">
        <f>IF($A28&lt;&gt;"",PERCENTRANK('Team Scores'!T$3:T$955, 'Team Scores'!T27, 3) * U$2, "")</f>
        <v>0.70299999999999996</v>
      </c>
      <c r="V28" s="49">
        <f>IF($A28&lt;&gt;"",PERCENTRANK('Team Scores'!U$3:U$955, 'Team Scores'!U27, 3) * V$2, "")</f>
        <v>0.88800000000000001</v>
      </c>
      <c r="W28" s="49">
        <f>IF($A28&lt;&gt;"",PERCENTRANK('Team Scores'!V$3:V$955, 'Team Scores'!V27, 3) * W$2, "")</f>
        <v>0.90700000000000003</v>
      </c>
      <c r="X28" s="49">
        <f>IF($A28&lt;&gt;"",PERCENTRANK('Team Scores'!W$3:W$955, 'Team Scores'!W27, 3) * X$2, "")</f>
        <v>0.25900000000000001</v>
      </c>
      <c r="Y28" s="49">
        <f>IF($A28&lt;&gt;"",PERCENTRANK('Team Scores'!X$3:X$955, 'Team Scores'!X27, 3) * Y$2, "")</f>
        <v>0.38800000000000001</v>
      </c>
      <c r="Z28" s="49">
        <f>IF($A28&lt;&gt;"",PERCENTRANK('Team Scores'!Y$3:Y$955, 'Team Scores'!Y27, 3) * Z$2, "")</f>
        <v>0.81399999999999995</v>
      </c>
      <c r="AA28" s="49">
        <f>IF($A28&lt;&gt;"",PERCENTRANK('Team Scores'!Z$3:Z$955, 'Team Scores'!Z27, 3) * AA$2, "")</f>
        <v>0.88800000000000001</v>
      </c>
      <c r="AB28" s="49">
        <f>IF($A28&lt;&gt;"",PERCENTRANK('Team Scores'!AA$3:AA$955, 'Team Scores'!AA27, 3) * AB$2, "")</f>
        <v>0.88800000000000001</v>
      </c>
    </row>
    <row r="29" spans="1:28" x14ac:dyDescent="0.2">
      <c r="A29" s="52">
        <f>IF('TBA-Teams'!A27 &lt;&gt; "", 'TBA-Teams'!A27, "")</f>
        <v>1585</v>
      </c>
      <c r="B29" s="53">
        <f>IF(A29&lt;&gt;"",SUM(C29:AB29),"")</f>
        <v>11.268000000000001</v>
      </c>
      <c r="C29" s="49">
        <f>IF($A29&lt;&gt;"",PERCENTRANK('Team Scores'!B$3:B$955, 'Team Scores'!B28, 3) * C$2, "")</f>
        <v>0</v>
      </c>
      <c r="D29" s="49">
        <f>IF($A29&lt;&gt;"",PERCENTRANK('Team Scores'!C$3:C$955, 'Team Scores'!C28, 3) * D$2, "")</f>
        <v>0.87</v>
      </c>
      <c r="E29" s="49">
        <f>IF($A29&lt;&gt;"",PERCENTRANK('Team Scores'!D$3:D$955, 'Team Scores'!D28, 3) * E$2, "")</f>
        <v>0.42499999999999999</v>
      </c>
      <c r="F29" s="49">
        <f>IF($A29&lt;&gt;"",PERCENTRANK('Team Scores'!E$3:E$955, 'Team Scores'!E28, 3) * F$2, "")</f>
        <v>0.83299999999999996</v>
      </c>
      <c r="G29" s="49">
        <f>IF($A29&lt;&gt;"",PERCENTRANK('Team Scores'!F$3:F$955, 'Team Scores'!F28, 3) * G$2, "")</f>
        <v>0.79600000000000004</v>
      </c>
      <c r="H29" s="49">
        <f>IF($A29&lt;&gt;"",PERCENTRANK('Team Scores'!G$3:G$955, 'Team Scores'!G28, 3) * H$2, "")</f>
        <v>0.14799999999999999</v>
      </c>
      <c r="I29" s="49">
        <f>IF($A29&lt;&gt;"",PERCENTRANK('Team Scores'!H$3:H$955, 'Team Scores'!H28, 3) * I$2, "")</f>
        <v>0.37</v>
      </c>
      <c r="J29" s="49">
        <f>IF($A29&lt;&gt;"",PERCENTRANK('Team Scores'!I$3:I$955, 'Team Scores'!I28, 3) * J$2, "")</f>
        <v>0.25900000000000001</v>
      </c>
      <c r="K29" s="49">
        <f>IF($A29&lt;&gt;"",PERCENTRANK('Team Scores'!J$3:J$955, 'Team Scores'!J28, 3) * K$2, "")</f>
        <v>0.20300000000000001</v>
      </c>
      <c r="L29" s="49">
        <f>IF($A29&lt;&gt;"",PERCENTRANK('Team Scores'!K$3:K$955, 'Team Scores'!K28, 3) * L$2, "")</f>
        <v>0.51800000000000002</v>
      </c>
      <c r="M29" s="49">
        <f>IF($A29&lt;&gt;"",PERCENTRANK('Team Scores'!L$3:L$955, 'Team Scores'!L28, 3) * M$2, "")</f>
        <v>3.6999999999999998E-2</v>
      </c>
      <c r="N29" s="49">
        <f>IF($A29&lt;&gt;"",PERCENTRANK('Team Scores'!M$3:M$955, 'Team Scores'!M28, 3) * N$2, "")</f>
        <v>0.87</v>
      </c>
      <c r="O29" s="49">
        <f>IF($A29&lt;&gt;"",PERCENTRANK('Team Scores'!N$3:N$955, 'Team Scores'!N28, 3) * O$2, "")</f>
        <v>0.44400000000000001</v>
      </c>
      <c r="P29" s="49">
        <f>IF($A29&lt;&gt;"",PERCENTRANK('Team Scores'!O$3:O$955, 'Team Scores'!O28, 3) * P$2, "")</f>
        <v>0.53700000000000003</v>
      </c>
      <c r="Q29" s="49">
        <f>IF($A29&lt;&gt;"",PERCENTRANK('Team Scores'!P$3:P$955, 'Team Scores'!P28, 3) * Q$2, "")</f>
        <v>3.6999999999999998E-2</v>
      </c>
      <c r="R29" s="49">
        <f>IF($A29&lt;&gt;"",PERCENTRANK('Team Scores'!Q$3:Q$955, 'Team Scores'!Q28, 3) * R$2, "")</f>
        <v>0.16600000000000001</v>
      </c>
      <c r="S29" s="49">
        <f>IF($A29&lt;&gt;"",PERCENTRANK('Team Scores'!R$3:R$955, 'Team Scores'!R28, 3) * S$2, "")</f>
        <v>5.5E-2</v>
      </c>
      <c r="T29" s="49">
        <f>IF($A29&lt;&gt;"",PERCENTRANK('Team Scores'!S$3:S$955, 'Team Scores'!S28, 3) * T$2, "")</f>
        <v>0.75900000000000001</v>
      </c>
      <c r="U29" s="49">
        <f>IF($A29&lt;&gt;"",PERCENTRANK('Team Scores'!T$3:T$955, 'Team Scores'!T28, 3) * U$2, "")</f>
        <v>0.46200000000000002</v>
      </c>
      <c r="V29" s="49">
        <f>IF($A29&lt;&gt;"",PERCENTRANK('Team Scores'!U$3:U$955, 'Team Scores'!U28, 3) * V$2, "")</f>
        <v>0.53700000000000003</v>
      </c>
      <c r="W29" s="49">
        <f>IF($A29&lt;&gt;"",PERCENTRANK('Team Scores'!V$3:V$955, 'Team Scores'!V28, 3) * W$2, "")</f>
        <v>0.35099999999999998</v>
      </c>
      <c r="X29" s="49">
        <f>IF($A29&lt;&gt;"",PERCENTRANK('Team Scores'!W$3:W$955, 'Team Scores'!W28, 3) * X$2, "")</f>
        <v>0.94399999999999995</v>
      </c>
      <c r="Y29" s="49">
        <f>IF($A29&lt;&gt;"",PERCENTRANK('Team Scores'!X$3:X$955, 'Team Scores'!X28, 3) * Y$2, "")</f>
        <v>0.51800000000000002</v>
      </c>
      <c r="Z29" s="49">
        <f>IF($A29&lt;&gt;"",PERCENTRANK('Team Scores'!Y$3:Y$955, 'Team Scores'!Y28, 3) * Z$2, "")</f>
        <v>5.5E-2</v>
      </c>
      <c r="AA29" s="49">
        <f>IF($A29&lt;&gt;"",PERCENTRANK('Team Scores'!Z$3:Z$955, 'Team Scores'!Z28, 3) * AA$2, "")</f>
        <v>0.53700000000000003</v>
      </c>
      <c r="AB29" s="49">
        <f>IF($A29&lt;&gt;"",PERCENTRANK('Team Scores'!AA$3:AA$955, 'Team Scores'!AA28, 3) * AB$2, "")</f>
        <v>0.53700000000000003</v>
      </c>
    </row>
    <row r="30" spans="1:28" x14ac:dyDescent="0.2">
      <c r="A30" s="52">
        <f>IF('TBA-Teams'!A28 &lt;&gt; "", 'TBA-Teams'!A28, "")</f>
        <v>1591</v>
      </c>
      <c r="B30" s="53">
        <f>IF(A30&lt;&gt;"",SUM(C30:AB30),"")</f>
        <v>14.065000000000001</v>
      </c>
      <c r="C30" s="49">
        <f>IF($A30&lt;&gt;"",PERCENTRANK('Team Scores'!B$3:B$955, 'Team Scores'!B29, 3) * C$2, "")</f>
        <v>0</v>
      </c>
      <c r="D30" s="49">
        <f>IF($A30&lt;&gt;"",PERCENTRANK('Team Scores'!C$3:C$955, 'Team Scores'!C29, 3) * D$2, "")</f>
        <v>0.29599999999999999</v>
      </c>
      <c r="E30" s="49">
        <f>IF($A30&lt;&gt;"",PERCENTRANK('Team Scores'!D$3:D$955, 'Team Scores'!D29, 3) * E$2, "")</f>
        <v>0.75900000000000001</v>
      </c>
      <c r="F30" s="49">
        <f>IF($A30&lt;&gt;"",PERCENTRANK('Team Scores'!E$3:E$955, 'Team Scores'!E29, 3) * F$2, "")</f>
        <v>0.37</v>
      </c>
      <c r="G30" s="49">
        <f>IF($A30&lt;&gt;"",PERCENTRANK('Team Scores'!F$3:F$955, 'Team Scores'!F29, 3) * G$2, "")</f>
        <v>0.55500000000000005</v>
      </c>
      <c r="H30" s="49">
        <f>IF($A30&lt;&gt;"",PERCENTRANK('Team Scores'!G$3:G$955, 'Team Scores'!G29, 3) * H$2, "")</f>
        <v>0.61099999999999999</v>
      </c>
      <c r="I30" s="49">
        <f>IF($A30&lt;&gt;"",PERCENTRANK('Team Scores'!H$3:H$955, 'Team Scores'!H29, 3) * I$2, "")</f>
        <v>0.61099999999999999</v>
      </c>
      <c r="J30" s="49">
        <f>IF($A30&lt;&gt;"",PERCENTRANK('Team Scores'!I$3:I$955, 'Team Scores'!I29, 3) * J$2, "")</f>
        <v>0.25900000000000001</v>
      </c>
      <c r="K30" s="49">
        <f>IF($A30&lt;&gt;"",PERCENTRANK('Team Scores'!J$3:J$955, 'Team Scores'!J29, 3) * K$2, "")</f>
        <v>0.5</v>
      </c>
      <c r="L30" s="49">
        <f>IF($A30&lt;&gt;"",PERCENTRANK('Team Scores'!K$3:K$955, 'Team Scores'!K29, 3) * L$2, "")</f>
        <v>0.96199999999999997</v>
      </c>
      <c r="M30" s="49">
        <f>IF($A30&lt;&gt;"",PERCENTRANK('Team Scores'!L$3:L$955, 'Team Scores'!L29, 3) * M$2, "")</f>
        <v>3.6999999999999998E-2</v>
      </c>
      <c r="N30" s="49">
        <f>IF($A30&lt;&gt;"",PERCENTRANK('Team Scores'!M$3:M$955, 'Team Scores'!M29, 3) * N$2, "")</f>
        <v>0.27700000000000002</v>
      </c>
      <c r="O30" s="49">
        <f>IF($A30&lt;&gt;"",PERCENTRANK('Team Scores'!N$3:N$955, 'Team Scores'!N29, 3) * O$2, "")</f>
        <v>0.70299999999999996</v>
      </c>
      <c r="P30" s="49">
        <f>IF($A30&lt;&gt;"",PERCENTRANK('Team Scores'!O$3:O$955, 'Team Scores'!O29, 3) * P$2, "")</f>
        <v>0.29599999999999999</v>
      </c>
      <c r="Q30" s="49">
        <f>IF($A30&lt;&gt;"",PERCENTRANK('Team Scores'!P$3:P$955, 'Team Scores'!P29, 3) * Q$2, "")</f>
        <v>0.83299999999999996</v>
      </c>
      <c r="R30" s="49">
        <f>IF($A30&lt;&gt;"",PERCENTRANK('Team Scores'!Q$3:Q$955, 'Team Scores'!Q29, 3) * R$2, "")</f>
        <v>0.57399999999999995</v>
      </c>
      <c r="S30" s="49">
        <f>IF($A30&lt;&gt;"",PERCENTRANK('Team Scores'!R$3:R$955, 'Team Scores'!R29, 3) * S$2, "")</f>
        <v>0.90700000000000003</v>
      </c>
      <c r="T30" s="49">
        <f>IF($A30&lt;&gt;"",PERCENTRANK('Team Scores'!S$3:S$955, 'Team Scores'!S29, 3) * T$2, "")</f>
        <v>0.24</v>
      </c>
      <c r="U30" s="49">
        <f>IF($A30&lt;&gt;"",PERCENTRANK('Team Scores'!T$3:T$955, 'Team Scores'!T29, 3) * U$2, "")</f>
        <v>0.185</v>
      </c>
      <c r="V30" s="49">
        <f>IF($A30&lt;&gt;"",PERCENTRANK('Team Scores'!U$3:U$955, 'Team Scores'!U29, 3) * V$2, "")</f>
        <v>0.79600000000000004</v>
      </c>
      <c r="W30" s="49">
        <f>IF($A30&lt;&gt;"",PERCENTRANK('Team Scores'!V$3:V$955, 'Team Scores'!V29, 3) * W$2, "")</f>
        <v>0.64800000000000002</v>
      </c>
      <c r="X30" s="49">
        <f>IF($A30&lt;&gt;"",PERCENTRANK('Team Scores'!W$3:W$955, 'Team Scores'!W29, 3) * X$2, "")</f>
        <v>0.53700000000000003</v>
      </c>
      <c r="Y30" s="49">
        <f>IF($A30&lt;&gt;"",PERCENTRANK('Team Scores'!X$3:X$955, 'Team Scores'!X29, 3) * Y$2, "")</f>
        <v>0.66600000000000004</v>
      </c>
      <c r="Z30" s="49">
        <f>IF($A30&lt;&gt;"",PERCENTRANK('Team Scores'!Y$3:Y$955, 'Team Scores'!Y29, 3) * Z$2, "")</f>
        <v>0.85099999999999998</v>
      </c>
      <c r="AA30" s="49">
        <f>IF($A30&lt;&gt;"",PERCENTRANK('Team Scores'!Z$3:Z$955, 'Team Scores'!Z29, 3) * AA$2, "")</f>
        <v>0.79600000000000004</v>
      </c>
      <c r="AB30" s="49">
        <f>IF($A30&lt;&gt;"",PERCENTRANK('Team Scores'!AA$3:AA$955, 'Team Scores'!AA29, 3) * AB$2, "")</f>
        <v>0.79600000000000004</v>
      </c>
    </row>
    <row r="31" spans="1:28" x14ac:dyDescent="0.2">
      <c r="A31" s="52">
        <f>IF('TBA-Teams'!A29 &lt;&gt; "", 'TBA-Teams'!A29, "")</f>
        <v>1781</v>
      </c>
      <c r="B31" s="53">
        <f>IF(A31&lt;&gt;"",SUM(C31:AB31),"")</f>
        <v>10.173999999999999</v>
      </c>
      <c r="C31" s="49">
        <f>IF($A31&lt;&gt;"",PERCENTRANK('Team Scores'!B$3:B$955, 'Team Scores'!B30, 3) * C$2, "")</f>
        <v>0</v>
      </c>
      <c r="D31" s="49">
        <f>IF($A31&lt;&gt;"",PERCENTRANK('Team Scores'!C$3:C$955, 'Team Scores'!C30, 3) * D$2, "")</f>
        <v>0.29599999999999999</v>
      </c>
      <c r="E31" s="49">
        <f>IF($A31&lt;&gt;"",PERCENTRANK('Team Scores'!D$3:D$955, 'Team Scores'!D30, 3) * E$2, "")</f>
        <v>0.14799999999999999</v>
      </c>
      <c r="F31" s="49">
        <f>IF($A31&lt;&gt;"",PERCENTRANK('Team Scores'!E$3:E$955, 'Team Scores'!E30, 3) * F$2, "")</f>
        <v>0.79600000000000004</v>
      </c>
      <c r="G31" s="49">
        <f>IF($A31&lt;&gt;"",PERCENTRANK('Team Scores'!F$3:F$955, 'Team Scores'!F30, 3) * G$2, "")</f>
        <v>0.70299999999999996</v>
      </c>
      <c r="H31" s="49">
        <f>IF($A31&lt;&gt;"",PERCENTRANK('Team Scores'!G$3:G$955, 'Team Scores'!G30, 3) * H$2, "")</f>
        <v>0.77700000000000002</v>
      </c>
      <c r="I31" s="49">
        <f>IF($A31&lt;&gt;"",PERCENTRANK('Team Scores'!H$3:H$955, 'Team Scores'!H30, 3) * I$2, "")</f>
        <v>0.79600000000000004</v>
      </c>
      <c r="J31" s="49">
        <f>IF($A31&lt;&gt;"",PERCENTRANK('Team Scores'!I$3:I$955, 'Team Scores'!I30, 3) * J$2, "")</f>
        <v>1.7999999999999999E-2</v>
      </c>
      <c r="K31" s="49">
        <f>IF($A31&lt;&gt;"",PERCENTRANK('Team Scores'!J$3:J$955, 'Team Scores'!J30, 3) * K$2, "")</f>
        <v>9.1999999999999998E-2</v>
      </c>
      <c r="L31" s="49">
        <f>IF($A31&lt;&gt;"",PERCENTRANK('Team Scores'!K$3:K$955, 'Team Scores'!K30, 3) * L$2, "")</f>
        <v>0.29599999999999999</v>
      </c>
      <c r="M31" s="49">
        <f>IF($A31&lt;&gt;"",PERCENTRANK('Team Scores'!L$3:L$955, 'Team Scores'!L30, 3) * M$2, "")</f>
        <v>0.75900000000000001</v>
      </c>
      <c r="N31" s="49">
        <f>IF($A31&lt;&gt;"",PERCENTRANK('Team Scores'!M$3:M$955, 'Team Scores'!M30, 3) * N$2, "")</f>
        <v>0.27700000000000002</v>
      </c>
      <c r="O31" s="49">
        <f>IF($A31&lt;&gt;"",PERCENTRANK('Team Scores'!N$3:N$955, 'Team Scores'!N30, 3) * O$2, "")</f>
        <v>0.44400000000000001</v>
      </c>
      <c r="P31" s="49">
        <f>IF($A31&lt;&gt;"",PERCENTRANK('Team Scores'!O$3:O$955, 'Team Scores'!O30, 3) * P$2, "")</f>
        <v>0.77700000000000002</v>
      </c>
      <c r="Q31" s="49">
        <f>IF($A31&lt;&gt;"",PERCENTRANK('Team Scores'!P$3:P$955, 'Team Scores'!P30, 3) * Q$2, "")</f>
        <v>0.16600000000000001</v>
      </c>
      <c r="R31" s="49">
        <f>IF($A31&lt;&gt;"",PERCENTRANK('Team Scores'!Q$3:Q$955, 'Team Scores'!Q30, 3) * R$2, "")</f>
        <v>0.57399999999999995</v>
      </c>
      <c r="S31" s="49">
        <f>IF($A31&lt;&gt;"",PERCENTRANK('Team Scores'!R$3:R$955, 'Team Scores'!R30, 3) * S$2, "")</f>
        <v>5.5E-2</v>
      </c>
      <c r="T31" s="49">
        <f>IF($A31&lt;&gt;"",PERCENTRANK('Team Scores'!S$3:S$955, 'Team Scores'!S30, 3) * T$2, "")</f>
        <v>0.44400000000000001</v>
      </c>
      <c r="U31" s="49">
        <f>IF($A31&lt;&gt;"",PERCENTRANK('Team Scores'!T$3:T$955, 'Team Scores'!T30, 3) * U$2, "")</f>
        <v>0.70299999999999996</v>
      </c>
      <c r="V31" s="49">
        <f>IF($A31&lt;&gt;"",PERCENTRANK('Team Scores'!U$3:U$955, 'Team Scores'!U30, 3) * V$2, "")</f>
        <v>7.3999999999999996E-2</v>
      </c>
      <c r="W31" s="49">
        <f>IF($A31&lt;&gt;"",PERCENTRANK('Team Scores'!V$3:V$955, 'Team Scores'!V30, 3) * W$2, "")</f>
        <v>0.35099999999999998</v>
      </c>
      <c r="X31" s="49">
        <f>IF($A31&lt;&gt;"",PERCENTRANK('Team Scores'!W$3:W$955, 'Team Scores'!W30, 3) * X$2, "")</f>
        <v>0.53700000000000003</v>
      </c>
      <c r="Y31" s="49">
        <f>IF($A31&lt;&gt;"",PERCENTRANK('Team Scores'!X$3:X$955, 'Team Scores'!X30, 3) * Y$2, "")</f>
        <v>0.74</v>
      </c>
      <c r="Z31" s="49">
        <f>IF($A31&lt;&gt;"",PERCENTRANK('Team Scores'!Y$3:Y$955, 'Team Scores'!Y30, 3) * Z$2, "")</f>
        <v>0.20300000000000001</v>
      </c>
      <c r="AA31" s="49">
        <f>IF($A31&lt;&gt;"",PERCENTRANK('Team Scores'!Z$3:Z$955, 'Team Scores'!Z30, 3) * AA$2, "")</f>
        <v>7.3999999999999996E-2</v>
      </c>
      <c r="AB31" s="49">
        <f>IF($A31&lt;&gt;"",PERCENTRANK('Team Scores'!AA$3:AA$955, 'Team Scores'!AA30, 3) * AB$2, "")</f>
        <v>7.3999999999999996E-2</v>
      </c>
    </row>
    <row r="32" spans="1:28" x14ac:dyDescent="0.2">
      <c r="A32" s="52">
        <f>IF('TBA-Teams'!A30 &lt;&gt; "", 'TBA-Teams'!A30, "")</f>
        <v>1787</v>
      </c>
      <c r="B32" s="53">
        <f>IF(A32&lt;&gt;"",SUM(C32:AB32),"")</f>
        <v>10.080999999999998</v>
      </c>
      <c r="C32" s="49">
        <f>IF($A32&lt;&gt;"",PERCENTRANK('Team Scores'!B$3:B$955, 'Team Scores'!B31, 3) * C$2, "")</f>
        <v>0</v>
      </c>
      <c r="D32" s="49">
        <f>IF($A32&lt;&gt;"",PERCENTRANK('Team Scores'!C$3:C$955, 'Team Scores'!C31, 3) * D$2, "")</f>
        <v>0.129</v>
      </c>
      <c r="E32" s="49">
        <f>IF($A32&lt;&gt;"",PERCENTRANK('Team Scores'!D$3:D$955, 'Team Scores'!D31, 3) * E$2, "")</f>
        <v>0.57399999999999995</v>
      </c>
      <c r="F32" s="49">
        <f>IF($A32&lt;&gt;"",PERCENTRANK('Team Scores'!E$3:E$955, 'Team Scores'!E31, 3) * F$2, "")</f>
        <v>0.87</v>
      </c>
      <c r="G32" s="49">
        <f>IF($A32&lt;&gt;"",PERCENTRANK('Team Scores'!F$3:F$955, 'Team Scores'!F31, 3) * G$2, "")</f>
        <v>0.24</v>
      </c>
      <c r="H32" s="49">
        <f>IF($A32&lt;&gt;"",PERCENTRANK('Team Scores'!G$3:G$955, 'Team Scores'!G31, 3) * H$2, "")</f>
        <v>0.14799999999999999</v>
      </c>
      <c r="I32" s="49">
        <f>IF($A32&lt;&gt;"",PERCENTRANK('Team Scores'!H$3:H$955, 'Team Scores'!H31, 3) * I$2, "")</f>
        <v>0.88800000000000001</v>
      </c>
      <c r="J32" s="49">
        <f>IF($A32&lt;&gt;"",PERCENTRANK('Team Scores'!I$3:I$955, 'Team Scores'!I31, 3) * J$2, "")</f>
        <v>0.79600000000000004</v>
      </c>
      <c r="K32" s="49">
        <f>IF($A32&lt;&gt;"",PERCENTRANK('Team Scores'!J$3:J$955, 'Team Scores'!J31, 3) * K$2, "")</f>
        <v>0.5</v>
      </c>
      <c r="L32" s="49">
        <f>IF($A32&lt;&gt;"",PERCENTRANK('Team Scores'!K$3:K$955, 'Team Scores'!K31, 3) * L$2, "")</f>
        <v>0</v>
      </c>
      <c r="M32" s="49">
        <f>IF($A32&lt;&gt;"",PERCENTRANK('Team Scores'!L$3:L$955, 'Team Scores'!L31, 3) * M$2, "")</f>
        <v>0.46200000000000002</v>
      </c>
      <c r="N32" s="49">
        <f>IF($A32&lt;&gt;"",PERCENTRANK('Team Scores'!M$3:M$955, 'Team Scores'!M31, 3) * N$2, "")</f>
        <v>0.46200000000000002</v>
      </c>
      <c r="O32" s="49">
        <f>IF($A32&lt;&gt;"",PERCENTRANK('Team Scores'!N$3:N$955, 'Team Scores'!N31, 3) * O$2, "")</f>
        <v>0.222</v>
      </c>
      <c r="P32" s="49">
        <f>IF($A32&lt;&gt;"",PERCENTRANK('Team Scores'!O$3:O$955, 'Team Scores'!O31, 3) * P$2, "")</f>
        <v>0.29599999999999999</v>
      </c>
      <c r="Q32" s="49">
        <f>IF($A32&lt;&gt;"",PERCENTRANK('Team Scores'!P$3:P$955, 'Team Scores'!P31, 3) * Q$2, "")</f>
        <v>0.61099999999999999</v>
      </c>
      <c r="R32" s="49">
        <f>IF($A32&lt;&gt;"",PERCENTRANK('Team Scores'!Q$3:Q$955, 'Team Scores'!Q31, 3) * R$2, "")</f>
        <v>7.3999999999999996E-2</v>
      </c>
      <c r="S32" s="49">
        <f>IF($A32&lt;&gt;"",PERCENTRANK('Team Scores'!R$3:R$955, 'Team Scores'!R31, 3) * S$2, "")</f>
        <v>0.27700000000000002</v>
      </c>
      <c r="T32" s="49">
        <f>IF($A32&lt;&gt;"",PERCENTRANK('Team Scores'!S$3:S$955, 'Team Scores'!S31, 3) * T$2, "")</f>
        <v>0.44400000000000001</v>
      </c>
      <c r="U32" s="49">
        <f>IF($A32&lt;&gt;"",PERCENTRANK('Team Scores'!T$3:T$955, 'Team Scores'!T31, 3) * U$2, "")</f>
        <v>0.185</v>
      </c>
      <c r="V32" s="49">
        <f>IF($A32&lt;&gt;"",PERCENTRANK('Team Scores'!U$3:U$955, 'Team Scores'!U31, 3) * V$2, "")</f>
        <v>0.20300000000000001</v>
      </c>
      <c r="W32" s="49">
        <f>IF($A32&lt;&gt;"",PERCENTRANK('Team Scores'!V$3:V$955, 'Team Scores'!V31, 3) * W$2, "")</f>
        <v>0.35099999999999998</v>
      </c>
      <c r="X32" s="49">
        <f>IF($A32&lt;&gt;"",PERCENTRANK('Team Scores'!W$3:W$955, 'Team Scores'!W31, 3) * X$2, "")</f>
        <v>0.79600000000000004</v>
      </c>
      <c r="Y32" s="49">
        <f>IF($A32&lt;&gt;"",PERCENTRANK('Team Scores'!X$3:X$955, 'Team Scores'!X31, 3) * Y$2, "")</f>
        <v>0.66600000000000004</v>
      </c>
      <c r="Z32" s="49">
        <f>IF($A32&lt;&gt;"",PERCENTRANK('Team Scores'!Y$3:Y$955, 'Team Scores'!Y31, 3) * Z$2, "")</f>
        <v>0.48099999999999998</v>
      </c>
      <c r="AA32" s="49">
        <f>IF($A32&lt;&gt;"",PERCENTRANK('Team Scores'!Z$3:Z$955, 'Team Scores'!Z31, 3) * AA$2, "")</f>
        <v>0.20300000000000001</v>
      </c>
      <c r="AB32" s="49">
        <f>IF($A32&lt;&gt;"",PERCENTRANK('Team Scores'!AA$3:AA$955, 'Team Scores'!AA31, 3) * AB$2, "")</f>
        <v>0.20300000000000001</v>
      </c>
    </row>
    <row r="33" spans="1:28" x14ac:dyDescent="0.2">
      <c r="A33" s="52">
        <f>IF('TBA-Teams'!A31 &lt;&gt; "", 'TBA-Teams'!A31, "")</f>
        <v>2228</v>
      </c>
      <c r="B33" s="53">
        <f>IF(A33&lt;&gt;"",SUM(C33:AB33),"")</f>
        <v>10.134</v>
      </c>
      <c r="C33" s="49">
        <f>IF($A33&lt;&gt;"",PERCENTRANK('Team Scores'!B$3:B$955, 'Team Scores'!B32, 3) * C$2, "")</f>
        <v>0</v>
      </c>
      <c r="D33" s="49">
        <f>IF($A33&lt;&gt;"",PERCENTRANK('Team Scores'!C$3:C$955, 'Team Scores'!C32, 3) * D$2, "")</f>
        <v>0.129</v>
      </c>
      <c r="E33" s="49">
        <f>IF($A33&lt;&gt;"",PERCENTRANK('Team Scores'!D$3:D$955, 'Team Scores'!D32, 3) * E$2, "")</f>
        <v>0.57399999999999995</v>
      </c>
      <c r="F33" s="49">
        <f>IF($A33&lt;&gt;"",PERCENTRANK('Team Scores'!E$3:E$955, 'Team Scores'!E32, 3) * F$2, "")</f>
        <v>0</v>
      </c>
      <c r="G33" s="49">
        <f>IF($A33&lt;&gt;"",PERCENTRANK('Team Scores'!F$3:F$955, 'Team Scores'!F32, 3) * G$2, "")</f>
        <v>0.38800000000000001</v>
      </c>
      <c r="H33" s="49">
        <f>IF($A33&lt;&gt;"",PERCENTRANK('Team Scores'!G$3:G$955, 'Team Scores'!G32, 3) * H$2, "")</f>
        <v>0.14799999999999999</v>
      </c>
      <c r="I33" s="49">
        <f>IF($A33&lt;&gt;"",PERCENTRANK('Team Scores'!H$3:H$955, 'Team Scores'!H32, 3) * I$2, "")</f>
        <v>1</v>
      </c>
      <c r="J33" s="49">
        <f>IF($A33&lt;&gt;"",PERCENTRANK('Team Scores'!I$3:I$955, 'Team Scores'!I32, 3) * J$2, "")</f>
        <v>9.1999999999999998E-2</v>
      </c>
      <c r="K33" s="49">
        <f>IF($A33&lt;&gt;"",PERCENTRANK('Team Scores'!J$3:J$955, 'Team Scores'!J32, 3) * K$2, "")</f>
        <v>0.20300000000000001</v>
      </c>
      <c r="L33" s="49">
        <f>IF($A33&lt;&gt;"",PERCENTRANK('Team Scores'!K$3:K$955, 'Team Scores'!K32, 3) * L$2, "")</f>
        <v>0.129</v>
      </c>
      <c r="M33" s="49">
        <f>IF($A33&lt;&gt;"",PERCENTRANK('Team Scores'!L$3:L$955, 'Team Scores'!L32, 3) * M$2, "")</f>
        <v>1.7999999999999999E-2</v>
      </c>
      <c r="N33" s="49">
        <f>IF($A33&lt;&gt;"",PERCENTRANK('Team Scores'!M$3:M$955, 'Team Scores'!M32, 3) * N$2, "")</f>
        <v>5.5E-2</v>
      </c>
      <c r="O33" s="49">
        <f>IF($A33&lt;&gt;"",PERCENTRANK('Team Scores'!N$3:N$955, 'Team Scores'!N32, 3) * O$2, "")</f>
        <v>0.44400000000000001</v>
      </c>
      <c r="P33" s="49">
        <f>IF($A33&lt;&gt;"",PERCENTRANK('Team Scores'!O$3:O$955, 'Team Scores'!O32, 3) * P$2, "")</f>
        <v>0.96199999999999997</v>
      </c>
      <c r="Q33" s="49">
        <f>IF($A33&lt;&gt;"",PERCENTRANK('Team Scores'!P$3:P$955, 'Team Scores'!P32, 3) * Q$2, "")</f>
        <v>0.85099999999999998</v>
      </c>
      <c r="R33" s="49">
        <f>IF($A33&lt;&gt;"",PERCENTRANK('Team Scores'!Q$3:Q$955, 'Team Scores'!Q32, 3) * R$2, "")</f>
        <v>0.16600000000000001</v>
      </c>
      <c r="S33" s="49">
        <f>IF($A33&lt;&gt;"",PERCENTRANK('Team Scores'!R$3:R$955, 'Team Scores'!R32, 3) * S$2, "")</f>
        <v>0.74</v>
      </c>
      <c r="T33" s="49">
        <f>IF($A33&lt;&gt;"",PERCENTRANK('Team Scores'!S$3:S$955, 'Team Scores'!S32, 3) * T$2, "")</f>
        <v>5.5E-2</v>
      </c>
      <c r="U33" s="49">
        <f>IF($A33&lt;&gt;"",PERCENTRANK('Team Scores'!T$3:T$955, 'Team Scores'!T32, 3) * U$2, "")</f>
        <v>0.185</v>
      </c>
      <c r="V33" s="49">
        <f>IF($A33&lt;&gt;"",PERCENTRANK('Team Scores'!U$3:U$955, 'Team Scores'!U32, 3) * V$2, "")</f>
        <v>0.74</v>
      </c>
      <c r="W33" s="49">
        <f>IF($A33&lt;&gt;"",PERCENTRANK('Team Scores'!V$3:V$955, 'Team Scores'!V32, 3) * W$2, "")</f>
        <v>0.35099999999999998</v>
      </c>
      <c r="X33" s="49">
        <f>IF($A33&lt;&gt;"",PERCENTRANK('Team Scores'!W$3:W$955, 'Team Scores'!W32, 3) * X$2, "")</f>
        <v>5.5E-2</v>
      </c>
      <c r="Y33" s="49">
        <f>IF($A33&lt;&gt;"",PERCENTRANK('Team Scores'!X$3:X$955, 'Team Scores'!X32, 3) * Y$2, "")</f>
        <v>0.42499999999999999</v>
      </c>
      <c r="Z33" s="49">
        <f>IF($A33&lt;&gt;"",PERCENTRANK('Team Scores'!Y$3:Y$955, 'Team Scores'!Y32, 3) * Z$2, "")</f>
        <v>0.94399999999999995</v>
      </c>
      <c r="AA33" s="49">
        <f>IF($A33&lt;&gt;"",PERCENTRANK('Team Scores'!Z$3:Z$955, 'Team Scores'!Z32, 3) * AA$2, "")</f>
        <v>0.74</v>
      </c>
      <c r="AB33" s="49">
        <f>IF($A33&lt;&gt;"",PERCENTRANK('Team Scores'!AA$3:AA$955, 'Team Scores'!AA32, 3) * AB$2, "")</f>
        <v>0.74</v>
      </c>
    </row>
    <row r="34" spans="1:28" x14ac:dyDescent="0.2">
      <c r="A34" s="52">
        <f>IF('TBA-Teams'!A32 &lt;&gt; "", 'TBA-Teams'!A32, "")</f>
        <v>2340</v>
      </c>
      <c r="B34" s="53">
        <f>IF(A34&lt;&gt;"",SUM(C34:AB34),"")</f>
        <v>10.434000000000003</v>
      </c>
      <c r="C34" s="49">
        <f>IF($A34&lt;&gt;"",PERCENTRANK('Team Scores'!B$3:B$955, 'Team Scores'!B33, 3) * C$2, "")</f>
        <v>0</v>
      </c>
      <c r="D34" s="49">
        <f>IF($A34&lt;&gt;"",PERCENTRANK('Team Scores'!C$3:C$955, 'Team Scores'!C33, 3) * D$2, "")</f>
        <v>0.64800000000000002</v>
      </c>
      <c r="E34" s="49">
        <f>IF($A34&lt;&gt;"",PERCENTRANK('Team Scores'!D$3:D$955, 'Team Scores'!D33, 3) * E$2, "")</f>
        <v>0.75900000000000001</v>
      </c>
      <c r="F34" s="49">
        <f>IF($A34&lt;&gt;"",PERCENTRANK('Team Scores'!E$3:E$955, 'Team Scores'!E33, 3) * F$2, "")</f>
        <v>0</v>
      </c>
      <c r="G34" s="49">
        <f>IF($A34&lt;&gt;"",PERCENTRANK('Team Scores'!F$3:F$955, 'Team Scores'!F33, 3) * G$2, "")</f>
        <v>1</v>
      </c>
      <c r="H34" s="49">
        <f>IF($A34&lt;&gt;"",PERCENTRANK('Team Scores'!G$3:G$955, 'Team Scores'!G33, 3) * H$2, "")</f>
        <v>0.14799999999999999</v>
      </c>
      <c r="I34" s="49">
        <f>IF($A34&lt;&gt;"",PERCENTRANK('Team Scores'!H$3:H$955, 'Team Scores'!H33, 3) * I$2, "")</f>
        <v>0.37</v>
      </c>
      <c r="J34" s="49">
        <f>IF($A34&lt;&gt;"",PERCENTRANK('Team Scores'!I$3:I$955, 'Team Scores'!I33, 3) * J$2, "")</f>
        <v>0.51800000000000002</v>
      </c>
      <c r="K34" s="49">
        <f>IF($A34&lt;&gt;"",PERCENTRANK('Team Scores'!J$3:J$955, 'Team Scores'!J33, 3) * K$2, "")</f>
        <v>9.1999999999999998E-2</v>
      </c>
      <c r="L34" s="49">
        <f>IF($A34&lt;&gt;"",PERCENTRANK('Team Scores'!K$3:K$955, 'Team Scores'!K33, 3) * L$2, "")</f>
        <v>0.83299999999999996</v>
      </c>
      <c r="M34" s="49">
        <f>IF($A34&lt;&gt;"",PERCENTRANK('Team Scores'!L$3:L$955, 'Team Scores'!L33, 3) * M$2, "")</f>
        <v>0.46200000000000002</v>
      </c>
      <c r="N34" s="49">
        <f>IF($A34&lt;&gt;"",PERCENTRANK('Team Scores'!M$3:M$955, 'Team Scores'!M33, 3) * N$2, "")</f>
        <v>0.27700000000000002</v>
      </c>
      <c r="O34" s="49">
        <f>IF($A34&lt;&gt;"",PERCENTRANK('Team Scores'!N$3:N$955, 'Team Scores'!N33, 3) * O$2, "")</f>
        <v>0.70299999999999996</v>
      </c>
      <c r="P34" s="49">
        <f>IF($A34&lt;&gt;"",PERCENTRANK('Team Scores'!O$3:O$955, 'Team Scores'!O33, 3) * P$2, "")</f>
        <v>0.53700000000000003</v>
      </c>
      <c r="Q34" s="49">
        <f>IF($A34&lt;&gt;"",PERCENTRANK('Team Scores'!P$3:P$955, 'Team Scores'!P33, 3) * Q$2, "")</f>
        <v>5.5E-2</v>
      </c>
      <c r="R34" s="49">
        <f>IF($A34&lt;&gt;"",PERCENTRANK('Team Scores'!Q$3:Q$955, 'Team Scores'!Q33, 3) * R$2, "")</f>
        <v>0.70299999999999996</v>
      </c>
      <c r="S34" s="49">
        <f>IF($A34&lt;&gt;"",PERCENTRANK('Team Scores'!R$3:R$955, 'Team Scores'!R33, 3) * S$2, "")</f>
        <v>0.53700000000000003</v>
      </c>
      <c r="T34" s="49">
        <f>IF($A34&lt;&gt;"",PERCENTRANK('Team Scores'!S$3:S$955, 'Team Scores'!S33, 3) * T$2, "")</f>
        <v>0.44400000000000001</v>
      </c>
      <c r="U34" s="49">
        <f>IF($A34&lt;&gt;"",PERCENTRANK('Team Scores'!T$3:T$955, 'Team Scores'!T33, 3) * U$2, "")</f>
        <v>0.185</v>
      </c>
      <c r="V34" s="49">
        <f>IF($A34&lt;&gt;"",PERCENTRANK('Team Scores'!U$3:U$955, 'Team Scores'!U33, 3) * V$2, "")</f>
        <v>0.16600000000000001</v>
      </c>
      <c r="W34" s="49">
        <f>IF($A34&lt;&gt;"",PERCENTRANK('Team Scores'!V$3:V$955, 'Team Scores'!V33, 3) * W$2, "")</f>
        <v>0.53700000000000003</v>
      </c>
      <c r="X34" s="49">
        <f>IF($A34&lt;&gt;"",PERCENTRANK('Team Scores'!W$3:W$955, 'Team Scores'!W33, 3) * X$2, "")</f>
        <v>0.25900000000000001</v>
      </c>
      <c r="Y34" s="49">
        <f>IF($A34&lt;&gt;"",PERCENTRANK('Team Scores'!X$3:X$955, 'Team Scores'!X33, 3) * Y$2, "")</f>
        <v>0.74</v>
      </c>
      <c r="Z34" s="49">
        <f>IF($A34&lt;&gt;"",PERCENTRANK('Team Scores'!Y$3:Y$955, 'Team Scores'!Y33, 3) * Z$2, "")</f>
        <v>0.129</v>
      </c>
      <c r="AA34" s="49">
        <f>IF($A34&lt;&gt;"",PERCENTRANK('Team Scores'!Z$3:Z$955, 'Team Scores'!Z33, 3) * AA$2, "")</f>
        <v>0.16600000000000001</v>
      </c>
      <c r="AB34" s="49">
        <f>IF($A34&lt;&gt;"",PERCENTRANK('Team Scores'!AA$3:AA$955, 'Team Scores'!AA33, 3) * AB$2, "")</f>
        <v>0.16600000000000001</v>
      </c>
    </row>
    <row r="35" spans="1:28" x14ac:dyDescent="0.2">
      <c r="A35" s="52">
        <f>IF('TBA-Teams'!A33 &lt;&gt; "", 'TBA-Teams'!A33, "")</f>
        <v>3003</v>
      </c>
      <c r="B35" s="53">
        <f>IF(A35&lt;&gt;"",SUM(C35:AB35),"")</f>
        <v>13.286</v>
      </c>
      <c r="C35" s="49">
        <f>IF($A35&lt;&gt;"",PERCENTRANK('Team Scores'!B$3:B$955, 'Team Scores'!B34, 3) * C$2, "")</f>
        <v>0</v>
      </c>
      <c r="D35" s="49">
        <f>IF($A35&lt;&gt;"",PERCENTRANK('Team Scores'!C$3:C$955, 'Team Scores'!C34, 3) * D$2, "")</f>
        <v>0.29599999999999999</v>
      </c>
      <c r="E35" s="49">
        <f>IF($A35&lt;&gt;"",PERCENTRANK('Team Scores'!D$3:D$955, 'Team Scores'!D34, 3) * E$2, "")</f>
        <v>7.3999999999999996E-2</v>
      </c>
      <c r="F35" s="49">
        <f>IF($A35&lt;&gt;"",PERCENTRANK('Team Scores'!E$3:E$955, 'Team Scores'!E34, 3) * F$2, "")</f>
        <v>0.83299999999999996</v>
      </c>
      <c r="G35" s="49">
        <f>IF($A35&lt;&gt;"",PERCENTRANK('Team Scores'!F$3:F$955, 'Team Scores'!F34, 3) * G$2, "")</f>
        <v>0.55500000000000005</v>
      </c>
      <c r="H35" s="49">
        <f>IF($A35&lt;&gt;"",PERCENTRANK('Team Scores'!G$3:G$955, 'Team Scores'!G34, 3) * H$2, "")</f>
        <v>0.94399999999999995</v>
      </c>
      <c r="I35" s="49">
        <f>IF($A35&lt;&gt;"",PERCENTRANK('Team Scores'!H$3:H$955, 'Team Scores'!H34, 3) * I$2, "")</f>
        <v>0.37</v>
      </c>
      <c r="J35" s="49">
        <f>IF($A35&lt;&gt;"",PERCENTRANK('Team Scores'!I$3:I$955, 'Team Scores'!I34, 3) * J$2, "")</f>
        <v>9.1999999999999998E-2</v>
      </c>
      <c r="K35" s="49">
        <f>IF($A35&lt;&gt;"",PERCENTRANK('Team Scores'!J$3:J$955, 'Team Scores'!J34, 3) * K$2, "")</f>
        <v>0.83299999999999996</v>
      </c>
      <c r="L35" s="49">
        <f>IF($A35&lt;&gt;"",PERCENTRANK('Team Scores'!K$3:K$955, 'Team Scores'!K34, 3) * L$2, "")</f>
        <v>0</v>
      </c>
      <c r="M35" s="49">
        <f>IF($A35&lt;&gt;"",PERCENTRANK('Team Scores'!L$3:L$955, 'Team Scores'!L34, 3) * M$2, "")</f>
        <v>0.46200000000000002</v>
      </c>
      <c r="N35" s="49">
        <f>IF($A35&lt;&gt;"",PERCENTRANK('Team Scores'!M$3:M$955, 'Team Scores'!M34, 3) * N$2, "")</f>
        <v>0.46200000000000002</v>
      </c>
      <c r="O35" s="49">
        <f>IF($A35&lt;&gt;"",PERCENTRANK('Team Scores'!N$3:N$955, 'Team Scores'!N34, 3) * O$2, "")</f>
        <v>0.44400000000000001</v>
      </c>
      <c r="P35" s="49">
        <f>IF($A35&lt;&gt;"",PERCENTRANK('Team Scores'!O$3:O$955, 'Team Scores'!O34, 3) * P$2, "")</f>
        <v>9.1999999999999998E-2</v>
      </c>
      <c r="Q35" s="49">
        <f>IF($A35&lt;&gt;"",PERCENTRANK('Team Scores'!P$3:P$955, 'Team Scores'!P34, 3) * Q$2, "")</f>
        <v>0.61099999999999999</v>
      </c>
      <c r="R35" s="49">
        <f>IF($A35&lt;&gt;"",PERCENTRANK('Team Scores'!Q$3:Q$955, 'Team Scores'!Q34, 3) * R$2, "")</f>
        <v>7.3999999999999996E-2</v>
      </c>
      <c r="S35" s="49">
        <f>IF($A35&lt;&gt;"",PERCENTRANK('Team Scores'!R$3:R$955, 'Team Scores'!R34, 3) * S$2, "")</f>
        <v>0.27700000000000002</v>
      </c>
      <c r="T35" s="49">
        <f>IF($A35&lt;&gt;"",PERCENTRANK('Team Scores'!S$3:S$955, 'Team Scores'!S34, 3) * T$2, "")</f>
        <v>0.98099999999999998</v>
      </c>
      <c r="U35" s="49">
        <f>IF($A35&lt;&gt;"",PERCENTRANK('Team Scores'!T$3:T$955, 'Team Scores'!T34, 3) * U$2, "")</f>
        <v>0.46200000000000002</v>
      </c>
      <c r="V35" s="49">
        <f>IF($A35&lt;&gt;"",PERCENTRANK('Team Scores'!U$3:U$955, 'Team Scores'!U34, 3) * V$2, "")</f>
        <v>1</v>
      </c>
      <c r="W35" s="49">
        <f>IF($A35&lt;&gt;"",PERCENTRANK('Team Scores'!V$3:V$955, 'Team Scores'!V34, 3) * W$2, "")</f>
        <v>0.74</v>
      </c>
      <c r="X35" s="49">
        <f>IF($A35&lt;&gt;"",PERCENTRANK('Team Scores'!W$3:W$955, 'Team Scores'!W34, 3) * X$2, "")</f>
        <v>0.53700000000000003</v>
      </c>
      <c r="Y35" s="49">
        <f>IF($A35&lt;&gt;"",PERCENTRANK('Team Scores'!X$3:X$955, 'Team Scores'!X34, 3) * Y$2, "")</f>
        <v>0.66600000000000004</v>
      </c>
      <c r="Z35" s="49">
        <f>IF($A35&lt;&gt;"",PERCENTRANK('Team Scores'!Y$3:Y$955, 'Team Scores'!Y34, 3) * Z$2, "")</f>
        <v>0.48099999999999998</v>
      </c>
      <c r="AA35" s="49">
        <f>IF($A35&lt;&gt;"",PERCENTRANK('Team Scores'!Z$3:Z$955, 'Team Scores'!Z34, 3) * AA$2, "")</f>
        <v>1</v>
      </c>
      <c r="AB35" s="49">
        <f>IF($A35&lt;&gt;"",PERCENTRANK('Team Scores'!AA$3:AA$955, 'Team Scores'!AA34, 3) * AB$2, "")</f>
        <v>1</v>
      </c>
    </row>
    <row r="36" spans="1:28" x14ac:dyDescent="0.2">
      <c r="A36" s="52">
        <f>IF('TBA-Teams'!A34 &lt;&gt; "", 'TBA-Teams'!A34, "")</f>
        <v>3015</v>
      </c>
      <c r="B36" s="53">
        <f>IF(A36&lt;&gt;"",SUM(C36:AB36),"")</f>
        <v>10.172000000000001</v>
      </c>
      <c r="C36" s="49">
        <f>IF($A36&lt;&gt;"",PERCENTRANK('Team Scores'!B$3:B$955, 'Team Scores'!B35, 3) * C$2, "")</f>
        <v>0</v>
      </c>
      <c r="D36" s="49">
        <f>IF($A36&lt;&gt;"",PERCENTRANK('Team Scores'!C$3:C$955, 'Team Scores'!C35, 3) * D$2, "")</f>
        <v>1.7999999999999999E-2</v>
      </c>
      <c r="E36" s="49">
        <f>IF($A36&lt;&gt;"",PERCENTRANK('Team Scores'!D$3:D$955, 'Team Scores'!D35, 3) * E$2, "")</f>
        <v>0.57399999999999995</v>
      </c>
      <c r="F36" s="49">
        <f>IF($A36&lt;&gt;"",PERCENTRANK('Team Scores'!E$3:E$955, 'Team Scores'!E35, 3) * F$2, "")</f>
        <v>0.48099999999999998</v>
      </c>
      <c r="G36" s="49">
        <f>IF($A36&lt;&gt;"",PERCENTRANK('Team Scores'!F$3:F$955, 'Team Scores'!F35, 3) * G$2, "")</f>
        <v>0.38800000000000001</v>
      </c>
      <c r="H36" s="49">
        <f>IF($A36&lt;&gt;"",PERCENTRANK('Team Scores'!G$3:G$955, 'Team Scores'!G35, 3) * H$2, "")</f>
        <v>7.3999999999999996E-2</v>
      </c>
      <c r="I36" s="49">
        <f>IF($A36&lt;&gt;"",PERCENTRANK('Team Scores'!H$3:H$955, 'Team Scores'!H35, 3) * I$2, "")</f>
        <v>0.88800000000000001</v>
      </c>
      <c r="J36" s="49">
        <f>IF($A36&lt;&gt;"",PERCENTRANK('Team Scores'!I$3:I$955, 'Team Scores'!I35, 3) * J$2, "")</f>
        <v>0.51800000000000002</v>
      </c>
      <c r="K36" s="49">
        <f>IF($A36&lt;&gt;"",PERCENTRANK('Team Scores'!J$3:J$955, 'Team Scores'!J35, 3) * K$2, "")</f>
        <v>0.5</v>
      </c>
      <c r="L36" s="49">
        <f>IF($A36&lt;&gt;"",PERCENTRANK('Team Scores'!K$3:K$955, 'Team Scores'!K35, 3) * L$2, "")</f>
        <v>0.51800000000000002</v>
      </c>
      <c r="M36" s="49">
        <f>IF($A36&lt;&gt;"",PERCENTRANK('Team Scores'!L$3:L$955, 'Team Scores'!L35, 3) * M$2, "")</f>
        <v>0.16600000000000001</v>
      </c>
      <c r="N36" s="49">
        <f>IF($A36&lt;&gt;"",PERCENTRANK('Team Scores'!M$3:M$955, 'Team Scores'!M35, 3) * N$2, "")</f>
        <v>0.27700000000000002</v>
      </c>
      <c r="O36" s="49">
        <f>IF($A36&lt;&gt;"",PERCENTRANK('Team Scores'!N$3:N$955, 'Team Scores'!N35, 3) * O$2, "")</f>
        <v>7.3999999999999996E-2</v>
      </c>
      <c r="P36" s="49">
        <f>IF($A36&lt;&gt;"",PERCENTRANK('Team Scores'!O$3:O$955, 'Team Scores'!O35, 3) * P$2, "")</f>
        <v>0</v>
      </c>
      <c r="Q36" s="49">
        <f>IF($A36&lt;&gt;"",PERCENTRANK('Team Scores'!P$3:P$955, 'Team Scores'!P35, 3) * Q$2, "")</f>
        <v>0.42499999999999999</v>
      </c>
      <c r="R36" s="49">
        <f>IF($A36&lt;&gt;"",PERCENTRANK('Team Scores'!Q$3:Q$955, 'Team Scores'!Q35, 3) * R$2, "")</f>
        <v>0.94399999999999995</v>
      </c>
      <c r="S36" s="49">
        <f>IF($A36&lt;&gt;"",PERCENTRANK('Team Scores'!R$3:R$955, 'Team Scores'!R35, 3) * S$2, "")</f>
        <v>0.27700000000000002</v>
      </c>
      <c r="T36" s="49">
        <f>IF($A36&lt;&gt;"",PERCENTRANK('Team Scores'!S$3:S$955, 'Team Scores'!S35, 3) * T$2, "")</f>
        <v>0.44400000000000001</v>
      </c>
      <c r="U36" s="49">
        <f>IF($A36&lt;&gt;"",PERCENTRANK('Team Scores'!T$3:T$955, 'Team Scores'!T35, 3) * U$2, "")</f>
        <v>0.94399999999999995</v>
      </c>
      <c r="V36" s="49">
        <f>IF($A36&lt;&gt;"",PERCENTRANK('Team Scores'!U$3:U$955, 'Team Scores'!U35, 3) * V$2, "")</f>
        <v>0.24</v>
      </c>
      <c r="W36" s="49">
        <f>IF($A36&lt;&gt;"",PERCENTRANK('Team Scores'!V$3:V$955, 'Team Scores'!V35, 3) * W$2, "")</f>
        <v>0.74</v>
      </c>
      <c r="X36" s="49">
        <f>IF($A36&lt;&gt;"",PERCENTRANK('Team Scores'!W$3:W$955, 'Team Scores'!W35, 3) * X$2, "")</f>
        <v>0.33300000000000002</v>
      </c>
      <c r="Y36" s="49">
        <f>IF($A36&lt;&gt;"",PERCENTRANK('Team Scores'!X$3:X$955, 'Team Scores'!X35, 3) * Y$2, "")</f>
        <v>0.66600000000000004</v>
      </c>
      <c r="Z36" s="49">
        <f>IF($A36&lt;&gt;"",PERCENTRANK('Team Scores'!Y$3:Y$955, 'Team Scores'!Y35, 3) * Z$2, "")</f>
        <v>0.20300000000000001</v>
      </c>
      <c r="AA36" s="49">
        <f>IF($A36&lt;&gt;"",PERCENTRANK('Team Scores'!Z$3:Z$955, 'Team Scores'!Z35, 3) * AA$2, "")</f>
        <v>0.24</v>
      </c>
      <c r="AB36" s="49">
        <f>IF($A36&lt;&gt;"",PERCENTRANK('Team Scores'!AA$3:AA$955, 'Team Scores'!AA35, 3) * AB$2, "")</f>
        <v>0.24</v>
      </c>
    </row>
    <row r="37" spans="1:28" x14ac:dyDescent="0.2">
      <c r="A37" s="52">
        <f>IF('TBA-Teams'!A35 &lt;&gt; "", 'TBA-Teams'!A35, "")</f>
        <v>3044</v>
      </c>
      <c r="B37" s="53">
        <f>IF(A37&lt;&gt;"",SUM(C37:AB37),"")</f>
        <v>12.191999999999998</v>
      </c>
      <c r="C37" s="49">
        <f>IF($A37&lt;&gt;"",PERCENTRANK('Team Scores'!B$3:B$955, 'Team Scores'!B36, 3) * C$2, "")</f>
        <v>0</v>
      </c>
      <c r="D37" s="49">
        <f>IF($A37&lt;&gt;"",PERCENTRANK('Team Scores'!C$3:C$955, 'Team Scores'!C36, 3) * D$2, "")</f>
        <v>0.29599999999999999</v>
      </c>
      <c r="E37" s="49">
        <f>IF($A37&lt;&gt;"",PERCENTRANK('Team Scores'!D$3:D$955, 'Team Scores'!D36, 3) * E$2, "")</f>
        <v>0.75900000000000001</v>
      </c>
      <c r="F37" s="49">
        <f>IF($A37&lt;&gt;"",PERCENTRANK('Team Scores'!E$3:E$955, 'Team Scores'!E36, 3) * F$2, "")</f>
        <v>0.92500000000000004</v>
      </c>
      <c r="G37" s="49">
        <f>IF($A37&lt;&gt;"",PERCENTRANK('Team Scores'!F$3:F$955, 'Team Scores'!F36, 3) * G$2, "")</f>
        <v>0.70299999999999996</v>
      </c>
      <c r="H37" s="49">
        <f>IF($A37&lt;&gt;"",PERCENTRANK('Team Scores'!G$3:G$955, 'Team Scores'!G36, 3) * H$2, "")</f>
        <v>0.88800000000000001</v>
      </c>
      <c r="I37" s="49">
        <f>IF($A37&lt;&gt;"",PERCENTRANK('Team Scores'!H$3:H$955, 'Team Scores'!H36, 3) * I$2, "")</f>
        <v>0.5</v>
      </c>
      <c r="J37" s="49">
        <f>IF($A37&lt;&gt;"",PERCENTRANK('Team Scores'!I$3:I$955, 'Team Scores'!I36, 3) * J$2, "")</f>
        <v>0.25900000000000001</v>
      </c>
      <c r="K37" s="49">
        <f>IF($A37&lt;&gt;"",PERCENTRANK('Team Scores'!J$3:J$955, 'Team Scores'!J36, 3) * K$2, "")</f>
        <v>0.83299999999999996</v>
      </c>
      <c r="L37" s="49">
        <f>IF($A37&lt;&gt;"",PERCENTRANK('Team Scores'!K$3:K$955, 'Team Scores'!K36, 3) * L$2, "")</f>
        <v>0.51800000000000002</v>
      </c>
      <c r="M37" s="49">
        <f>IF($A37&lt;&gt;"",PERCENTRANK('Team Scores'!L$3:L$955, 'Team Scores'!L36, 3) * M$2, "")</f>
        <v>0.46200000000000002</v>
      </c>
      <c r="N37" s="49">
        <f>IF($A37&lt;&gt;"",PERCENTRANK('Team Scores'!M$3:M$955, 'Team Scores'!M36, 3) * N$2, "")</f>
        <v>0.87</v>
      </c>
      <c r="O37" s="49">
        <f>IF($A37&lt;&gt;"",PERCENTRANK('Team Scores'!N$3:N$955, 'Team Scores'!N36, 3) * O$2, "")</f>
        <v>0</v>
      </c>
      <c r="P37" s="49">
        <f>IF($A37&lt;&gt;"",PERCENTRANK('Team Scores'!O$3:O$955, 'Team Scores'!O36, 3) * P$2, "")</f>
        <v>9.1999999999999998E-2</v>
      </c>
      <c r="Q37" s="49">
        <f>IF($A37&lt;&gt;"",PERCENTRANK('Team Scores'!P$3:P$955, 'Team Scores'!P36, 3) * Q$2, "")</f>
        <v>0.5</v>
      </c>
      <c r="R37" s="49">
        <f>IF($A37&lt;&gt;"",PERCENTRANK('Team Scores'!Q$3:Q$955, 'Team Scores'!Q36, 3) * R$2, "")</f>
        <v>0.94399999999999995</v>
      </c>
      <c r="S37" s="49">
        <f>IF($A37&lt;&gt;"",PERCENTRANK('Team Scores'!R$3:R$955, 'Team Scores'!R36, 3) * S$2, "")</f>
        <v>0.74</v>
      </c>
      <c r="T37" s="49">
        <f>IF($A37&lt;&gt;"",PERCENTRANK('Team Scores'!S$3:S$955, 'Team Scores'!S36, 3) * T$2, "")</f>
        <v>5.5E-2</v>
      </c>
      <c r="U37" s="49">
        <f>IF($A37&lt;&gt;"",PERCENTRANK('Team Scores'!T$3:T$955, 'Team Scores'!T36, 3) * U$2, "")</f>
        <v>3.6999999999999998E-2</v>
      </c>
      <c r="V37" s="49">
        <f>IF($A37&lt;&gt;"",PERCENTRANK('Team Scores'!U$3:U$955, 'Team Scores'!U36, 3) * V$2, "")</f>
        <v>0.14799999999999999</v>
      </c>
      <c r="W37" s="49">
        <f>IF($A37&lt;&gt;"",PERCENTRANK('Team Scores'!V$3:V$955, 'Team Scores'!V36, 3) * W$2, "")</f>
        <v>0.129</v>
      </c>
      <c r="X37" s="49">
        <f>IF($A37&lt;&gt;"",PERCENTRANK('Team Scores'!W$3:W$955, 'Team Scores'!W36, 3) * X$2, "")</f>
        <v>0.96199999999999997</v>
      </c>
      <c r="Y37" s="49">
        <f>IF($A37&lt;&gt;"",PERCENTRANK('Team Scores'!X$3:X$955, 'Team Scores'!X36, 3) * Y$2, "")</f>
        <v>0.96199999999999997</v>
      </c>
      <c r="Z37" s="49">
        <f>IF($A37&lt;&gt;"",PERCENTRANK('Team Scores'!Y$3:Y$955, 'Team Scores'!Y36, 3) * Z$2, "")</f>
        <v>0.314</v>
      </c>
      <c r="AA37" s="49">
        <f>IF($A37&lt;&gt;"",PERCENTRANK('Team Scores'!Z$3:Z$955, 'Team Scores'!Z36, 3) * AA$2, "")</f>
        <v>0.14799999999999999</v>
      </c>
      <c r="AB37" s="49">
        <f>IF($A37&lt;&gt;"",PERCENTRANK('Team Scores'!AA$3:AA$955, 'Team Scores'!AA36, 3) * AB$2, "")</f>
        <v>0.14799999999999999</v>
      </c>
    </row>
    <row r="38" spans="1:28" x14ac:dyDescent="0.2">
      <c r="A38" s="52">
        <f>IF('TBA-Teams'!A36 &lt;&gt; "", 'TBA-Teams'!A36, "")</f>
        <v>3173</v>
      </c>
      <c r="B38" s="53">
        <f>IF(A38&lt;&gt;"",SUM(C38:AB38),"")</f>
        <v>10.565000000000001</v>
      </c>
      <c r="C38" s="49">
        <f>IF($A38&lt;&gt;"",PERCENTRANK('Team Scores'!B$3:B$955, 'Team Scores'!B37, 3) * C$2, "")</f>
        <v>0</v>
      </c>
      <c r="D38" s="49">
        <f>IF($A38&lt;&gt;"",PERCENTRANK('Team Scores'!C$3:C$955, 'Team Scores'!C37, 3) * D$2, "")</f>
        <v>0.64800000000000002</v>
      </c>
      <c r="E38" s="49">
        <f>IF($A38&lt;&gt;"",PERCENTRANK('Team Scores'!D$3:D$955, 'Team Scores'!D37, 3) * E$2, "")</f>
        <v>0.75900000000000001</v>
      </c>
      <c r="F38" s="49">
        <f>IF($A38&lt;&gt;"",PERCENTRANK('Team Scores'!E$3:E$955, 'Team Scores'!E37, 3) * F$2, "")</f>
        <v>0.14799999999999999</v>
      </c>
      <c r="G38" s="49">
        <f>IF($A38&lt;&gt;"",PERCENTRANK('Team Scores'!F$3:F$955, 'Team Scores'!F37, 3) * G$2, "")</f>
        <v>0.70299999999999996</v>
      </c>
      <c r="H38" s="49">
        <f>IF($A38&lt;&gt;"",PERCENTRANK('Team Scores'!G$3:G$955, 'Team Scores'!G37, 3) * H$2, "")</f>
        <v>0.14799999999999999</v>
      </c>
      <c r="I38" s="49">
        <f>IF($A38&lt;&gt;"",PERCENTRANK('Team Scores'!H$3:H$955, 'Team Scores'!H37, 3) * I$2, "")</f>
        <v>3.6999999999999998E-2</v>
      </c>
      <c r="J38" s="49">
        <f>IF($A38&lt;&gt;"",PERCENTRANK('Team Scores'!I$3:I$955, 'Team Scores'!I37, 3) * J$2, "")</f>
        <v>0.51800000000000002</v>
      </c>
      <c r="K38" s="49">
        <f>IF($A38&lt;&gt;"",PERCENTRANK('Team Scores'!J$3:J$955, 'Team Scores'!J37, 3) * K$2, "")</f>
        <v>0.20300000000000001</v>
      </c>
      <c r="L38" s="49">
        <f>IF($A38&lt;&gt;"",PERCENTRANK('Team Scores'!K$3:K$955, 'Team Scores'!K37, 3) * L$2, "")</f>
        <v>0</v>
      </c>
      <c r="M38" s="49">
        <f>IF($A38&lt;&gt;"",PERCENTRANK('Team Scores'!L$3:L$955, 'Team Scores'!L37, 3) * M$2, "")</f>
        <v>0.16600000000000001</v>
      </c>
      <c r="N38" s="49">
        <f>IF($A38&lt;&gt;"",PERCENTRANK('Team Scores'!M$3:M$955, 'Team Scores'!M37, 3) * N$2, "")</f>
        <v>0.46200000000000002</v>
      </c>
      <c r="O38" s="49">
        <f>IF($A38&lt;&gt;"",PERCENTRANK('Team Scores'!N$3:N$955, 'Team Scores'!N37, 3) * O$2, "")</f>
        <v>0.222</v>
      </c>
      <c r="P38" s="49">
        <f>IF($A38&lt;&gt;"",PERCENTRANK('Team Scores'!O$3:O$955, 'Team Scores'!O37, 3) * P$2, "")</f>
        <v>0.29599999999999999</v>
      </c>
      <c r="Q38" s="49">
        <f>IF($A38&lt;&gt;"",PERCENTRANK('Team Scores'!P$3:P$955, 'Team Scores'!P37, 3) * Q$2, "")</f>
        <v>0.85099999999999998</v>
      </c>
      <c r="R38" s="49">
        <f>IF($A38&lt;&gt;"",PERCENTRANK('Team Scores'!Q$3:Q$955, 'Team Scores'!Q37, 3) * R$2, "")</f>
        <v>0.57399999999999995</v>
      </c>
      <c r="S38" s="49">
        <f>IF($A38&lt;&gt;"",PERCENTRANK('Team Scores'!R$3:R$955, 'Team Scores'!R37, 3) * S$2, "")</f>
        <v>0.53700000000000003</v>
      </c>
      <c r="T38" s="49">
        <f>IF($A38&lt;&gt;"",PERCENTRANK('Team Scores'!S$3:S$955, 'Team Scores'!S37, 3) * T$2, "")</f>
        <v>5.5E-2</v>
      </c>
      <c r="U38" s="49">
        <f>IF($A38&lt;&gt;"",PERCENTRANK('Team Scores'!T$3:T$955, 'Team Scores'!T37, 3) * U$2, "")</f>
        <v>0.94399999999999995</v>
      </c>
      <c r="V38" s="49">
        <f>IF($A38&lt;&gt;"",PERCENTRANK('Team Scores'!U$3:U$955, 'Team Scores'!U37, 3) * V$2, "")</f>
        <v>0.5</v>
      </c>
      <c r="W38" s="49">
        <f>IF($A38&lt;&gt;"",PERCENTRANK('Team Scores'!V$3:V$955, 'Team Scores'!V37, 3) * W$2, "")</f>
        <v>0.64800000000000002</v>
      </c>
      <c r="X38" s="49">
        <f>IF($A38&lt;&gt;"",PERCENTRANK('Team Scores'!W$3:W$955, 'Team Scores'!W37, 3) * X$2, "")</f>
        <v>0.33300000000000002</v>
      </c>
      <c r="Y38" s="49">
        <f>IF($A38&lt;&gt;"",PERCENTRANK('Team Scores'!X$3:X$955, 'Team Scores'!X37, 3) * Y$2, "")</f>
        <v>3.6999999999999998E-2</v>
      </c>
      <c r="Z38" s="49">
        <f>IF($A38&lt;&gt;"",PERCENTRANK('Team Scores'!Y$3:Y$955, 'Team Scores'!Y37, 3) * Z$2, "")</f>
        <v>0.81399999999999995</v>
      </c>
      <c r="AA38" s="49">
        <f>IF($A38&lt;&gt;"",PERCENTRANK('Team Scores'!Z$3:Z$955, 'Team Scores'!Z37, 3) * AA$2, "")</f>
        <v>0.48099999999999998</v>
      </c>
      <c r="AB38" s="49">
        <f>IF($A38&lt;&gt;"",PERCENTRANK('Team Scores'!AA$3:AA$955, 'Team Scores'!AA37, 3) * AB$2, "")</f>
        <v>0.48099999999999998</v>
      </c>
    </row>
    <row r="39" spans="1:28" x14ac:dyDescent="0.2">
      <c r="A39" s="52">
        <f>IF('TBA-Teams'!A37 &lt;&gt; "", 'TBA-Teams'!A37, "")</f>
        <v>3181</v>
      </c>
      <c r="B39" s="53">
        <f>IF(A39&lt;&gt;"",SUM(C39:AB39),"")</f>
        <v>12.044</v>
      </c>
      <c r="C39" s="49">
        <f>IF($A39&lt;&gt;"",PERCENTRANK('Team Scores'!B$3:B$955, 'Team Scores'!B38, 3) * C$2, "")</f>
        <v>0</v>
      </c>
      <c r="D39" s="49">
        <f>IF($A39&lt;&gt;"",PERCENTRANK('Team Scores'!C$3:C$955, 'Team Scores'!C38, 3) * D$2, "")</f>
        <v>0.46200000000000002</v>
      </c>
      <c r="E39" s="49">
        <f>IF($A39&lt;&gt;"",PERCENTRANK('Team Scores'!D$3:D$955, 'Team Scores'!D38, 3) * E$2, "")</f>
        <v>0.14799999999999999</v>
      </c>
      <c r="F39" s="49">
        <f>IF($A39&lt;&gt;"",PERCENTRANK('Team Scores'!E$3:E$955, 'Team Scores'!E38, 3) * F$2, "")</f>
        <v>0.48099999999999998</v>
      </c>
      <c r="G39" s="49">
        <f>IF($A39&lt;&gt;"",PERCENTRANK('Team Scores'!F$3:F$955, 'Team Scores'!F38, 3) * G$2, "")</f>
        <v>0.38800000000000001</v>
      </c>
      <c r="H39" s="49">
        <f>IF($A39&lt;&gt;"",PERCENTRANK('Team Scores'!G$3:G$955, 'Team Scores'!G38, 3) * H$2, "")</f>
        <v>0.61099999999999999</v>
      </c>
      <c r="I39" s="49">
        <f>IF($A39&lt;&gt;"",PERCENTRANK('Team Scores'!H$3:H$955, 'Team Scores'!H38, 3) * I$2, "")</f>
        <v>0.66600000000000004</v>
      </c>
      <c r="J39" s="49">
        <f>IF($A39&lt;&gt;"",PERCENTRANK('Team Scores'!I$3:I$955, 'Team Scores'!I38, 3) * J$2, "")</f>
        <v>0.25900000000000001</v>
      </c>
      <c r="K39" s="49">
        <f>IF($A39&lt;&gt;"",PERCENTRANK('Team Scores'!J$3:J$955, 'Team Scores'!J38, 3) * K$2, "")</f>
        <v>0.5</v>
      </c>
      <c r="L39" s="49">
        <f>IF($A39&lt;&gt;"",PERCENTRANK('Team Scores'!K$3:K$955, 'Team Scores'!K38, 3) * L$2, "")</f>
        <v>0.129</v>
      </c>
      <c r="M39" s="49">
        <f>IF($A39&lt;&gt;"",PERCENTRANK('Team Scores'!L$3:L$955, 'Team Scores'!L38, 3) * M$2, "")</f>
        <v>1</v>
      </c>
      <c r="N39" s="49">
        <f>IF($A39&lt;&gt;"",PERCENTRANK('Team Scores'!M$3:M$955, 'Team Scores'!M38, 3) * N$2, "")</f>
        <v>0.74</v>
      </c>
      <c r="O39" s="49">
        <f>IF($A39&lt;&gt;"",PERCENTRANK('Team Scores'!N$3:N$955, 'Team Scores'!N38, 3) * O$2, "")</f>
        <v>0.44400000000000001</v>
      </c>
      <c r="P39" s="49">
        <f>IF($A39&lt;&gt;"",PERCENTRANK('Team Scores'!O$3:O$955, 'Team Scores'!O38, 3) * P$2, "")</f>
        <v>0.77700000000000002</v>
      </c>
      <c r="Q39" s="49">
        <f>IF($A39&lt;&gt;"",PERCENTRANK('Team Scores'!P$3:P$955, 'Team Scores'!P38, 3) * Q$2, "")</f>
        <v>0.92500000000000004</v>
      </c>
      <c r="R39" s="49">
        <f>IF($A39&lt;&gt;"",PERCENTRANK('Team Scores'!Q$3:Q$955, 'Team Scores'!Q38, 3) * R$2, "")</f>
        <v>7.3999999999999996E-2</v>
      </c>
      <c r="S39" s="49">
        <f>IF($A39&lt;&gt;"",PERCENTRANK('Team Scores'!R$3:R$955, 'Team Scores'!R38, 3) * S$2, "")</f>
        <v>0</v>
      </c>
      <c r="T39" s="49">
        <f>IF($A39&lt;&gt;"",PERCENTRANK('Team Scores'!S$3:S$955, 'Team Scores'!S38, 3) * T$2, "")</f>
        <v>0.75900000000000001</v>
      </c>
      <c r="U39" s="49">
        <f>IF($A39&lt;&gt;"",PERCENTRANK('Team Scores'!T$3:T$955, 'Team Scores'!T38, 3) * U$2, "")</f>
        <v>9.1999999999999998E-2</v>
      </c>
      <c r="V39" s="49">
        <f>IF($A39&lt;&gt;"",PERCENTRANK('Team Scores'!U$3:U$955, 'Team Scores'!U38, 3) * V$2, "")</f>
        <v>0.46200000000000002</v>
      </c>
      <c r="W39" s="49">
        <f>IF($A39&lt;&gt;"",PERCENTRANK('Team Scores'!V$3:V$955, 'Team Scores'!V38, 3) * W$2, "")</f>
        <v>7.3999999999999996E-2</v>
      </c>
      <c r="X39" s="49">
        <f>IF($A39&lt;&gt;"",PERCENTRANK('Team Scores'!W$3:W$955, 'Team Scores'!W38, 3) * X$2, "")</f>
        <v>0.33300000000000002</v>
      </c>
      <c r="Y39" s="49">
        <f>IF($A39&lt;&gt;"",PERCENTRANK('Team Scores'!X$3:X$955, 'Team Scores'!X38, 3) * Y$2, "")</f>
        <v>0.90700000000000003</v>
      </c>
      <c r="Z39" s="49">
        <f>IF($A39&lt;&gt;"",PERCENTRANK('Team Scores'!Y$3:Y$955, 'Team Scores'!Y38, 3) * Z$2, "")</f>
        <v>0.90700000000000003</v>
      </c>
      <c r="AA39" s="49">
        <f>IF($A39&lt;&gt;"",PERCENTRANK('Team Scores'!Z$3:Z$955, 'Team Scores'!Z38, 3) * AA$2, "")</f>
        <v>0.44400000000000001</v>
      </c>
      <c r="AB39" s="49">
        <f>IF($A39&lt;&gt;"",PERCENTRANK('Team Scores'!AA$3:AA$955, 'Team Scores'!AA38, 3) * AB$2, "")</f>
        <v>0.46200000000000002</v>
      </c>
    </row>
    <row r="40" spans="1:28" x14ac:dyDescent="0.2">
      <c r="A40" s="52">
        <f>IF('TBA-Teams'!A38 &lt;&gt; "", 'TBA-Teams'!A38, "")</f>
        <v>3799</v>
      </c>
      <c r="B40" s="53">
        <f>IF(A40&lt;&gt;"",SUM(C40:AB40),"")</f>
        <v>11.378</v>
      </c>
      <c r="C40" s="49">
        <f>IF($A40&lt;&gt;"",PERCENTRANK('Team Scores'!B$3:B$955, 'Team Scores'!B39, 3) * C$2, "")</f>
        <v>0</v>
      </c>
      <c r="D40" s="49">
        <f>IF($A40&lt;&gt;"",PERCENTRANK('Team Scores'!C$3:C$955, 'Team Scores'!C39, 3) * D$2, "")</f>
        <v>0.46200000000000002</v>
      </c>
      <c r="E40" s="49">
        <f>IF($A40&lt;&gt;"",PERCENTRANK('Team Scores'!D$3:D$955, 'Team Scores'!D39, 3) * E$2, "")</f>
        <v>0.57399999999999995</v>
      </c>
      <c r="F40" s="49">
        <f>IF($A40&lt;&gt;"",PERCENTRANK('Team Scores'!E$3:E$955, 'Team Scores'!E39, 3) * F$2, "")</f>
        <v>0.55500000000000005</v>
      </c>
      <c r="G40" s="49">
        <f>IF($A40&lt;&gt;"",PERCENTRANK('Team Scores'!F$3:F$955, 'Team Scores'!F39, 3) * G$2, "")</f>
        <v>0.79600000000000004</v>
      </c>
      <c r="H40" s="49">
        <f>IF($A40&lt;&gt;"",PERCENTRANK('Team Scores'!G$3:G$955, 'Team Scores'!G39, 3) * H$2, "")</f>
        <v>0.35099999999999998</v>
      </c>
      <c r="I40" s="49">
        <f>IF($A40&lt;&gt;"",PERCENTRANK('Team Scores'!H$3:H$955, 'Team Scores'!H39, 3) * I$2, "")</f>
        <v>3.6999999999999998E-2</v>
      </c>
      <c r="J40" s="49">
        <f>IF($A40&lt;&gt;"",PERCENTRANK('Team Scores'!I$3:I$955, 'Team Scores'!I39, 3) * J$2, "")</f>
        <v>0.25900000000000001</v>
      </c>
      <c r="K40" s="49">
        <f>IF($A40&lt;&gt;"",PERCENTRANK('Team Scores'!J$3:J$955, 'Team Scores'!J39, 3) * K$2, "")</f>
        <v>0.629</v>
      </c>
      <c r="L40" s="49">
        <f>IF($A40&lt;&gt;"",PERCENTRANK('Team Scores'!K$3:K$955, 'Team Scores'!K39, 3) * L$2, "")</f>
        <v>0.96199999999999997</v>
      </c>
      <c r="M40" s="49">
        <f>IF($A40&lt;&gt;"",PERCENTRANK('Team Scores'!L$3:L$955, 'Team Scores'!L39, 3) * M$2, "")</f>
        <v>0.16600000000000001</v>
      </c>
      <c r="N40" s="49">
        <f>IF($A40&lt;&gt;"",PERCENTRANK('Team Scores'!M$3:M$955, 'Team Scores'!M39, 3) * N$2, "")</f>
        <v>3.6999999999999998E-2</v>
      </c>
      <c r="O40" s="49">
        <f>IF($A40&lt;&gt;"",PERCENTRANK('Team Scores'!N$3:N$955, 'Team Scores'!N39, 3) * O$2, "")</f>
        <v>0.70299999999999996</v>
      </c>
      <c r="P40" s="49">
        <f>IF($A40&lt;&gt;"",PERCENTRANK('Team Scores'!O$3:O$955, 'Team Scores'!O39, 3) * P$2, "")</f>
        <v>9.1999999999999998E-2</v>
      </c>
      <c r="Q40" s="49">
        <f>IF($A40&lt;&gt;"",PERCENTRANK('Team Scores'!P$3:P$955, 'Team Scores'!P39, 3) * Q$2, "")</f>
        <v>0.74</v>
      </c>
      <c r="R40" s="49">
        <f>IF($A40&lt;&gt;"",PERCENTRANK('Team Scores'!Q$3:Q$955, 'Team Scores'!Q39, 3) * R$2, "")</f>
        <v>0.87</v>
      </c>
      <c r="S40" s="49">
        <f>IF($A40&lt;&gt;"",PERCENTRANK('Team Scores'!R$3:R$955, 'Team Scores'!R39, 3) * S$2, "")</f>
        <v>0.129</v>
      </c>
      <c r="T40" s="49">
        <f>IF($A40&lt;&gt;"",PERCENTRANK('Team Scores'!S$3:S$955, 'Team Scores'!S39, 3) * T$2, "")</f>
        <v>5.5E-2</v>
      </c>
      <c r="U40" s="49">
        <f>IF($A40&lt;&gt;"",PERCENTRANK('Team Scores'!T$3:T$955, 'Team Scores'!T39, 3) * U$2, "")</f>
        <v>0.185</v>
      </c>
      <c r="V40" s="49">
        <f>IF($A40&lt;&gt;"",PERCENTRANK('Team Scores'!U$3:U$955, 'Team Scores'!U39, 3) * V$2, "")</f>
        <v>0.72199999999999998</v>
      </c>
      <c r="W40" s="49">
        <f>IF($A40&lt;&gt;"",PERCENTRANK('Team Scores'!V$3:V$955, 'Team Scores'!V39, 3) * W$2, "")</f>
        <v>7.3999999999999996E-2</v>
      </c>
      <c r="X40" s="49">
        <f>IF($A40&lt;&gt;"",PERCENTRANK('Team Scores'!W$3:W$955, 'Team Scores'!W39, 3) * X$2, "")</f>
        <v>0.68500000000000005</v>
      </c>
      <c r="Y40" s="49">
        <f>IF($A40&lt;&gt;"",PERCENTRANK('Team Scores'!X$3:X$955, 'Team Scores'!X39, 3) * Y$2, "")</f>
        <v>0.185</v>
      </c>
      <c r="Z40" s="49">
        <f>IF($A40&lt;&gt;"",PERCENTRANK('Team Scores'!Y$3:Y$955, 'Team Scores'!Y39, 3) * Z$2, "")</f>
        <v>0.68500000000000005</v>
      </c>
      <c r="AA40" s="49">
        <f>IF($A40&lt;&gt;"",PERCENTRANK('Team Scores'!Z$3:Z$955, 'Team Scores'!Z39, 3) * AA$2, "")</f>
        <v>0.72199999999999998</v>
      </c>
      <c r="AB40" s="49">
        <f>IF($A40&lt;&gt;"",PERCENTRANK('Team Scores'!AA$3:AA$955, 'Team Scores'!AA39, 3) * AB$2, "")</f>
        <v>0.70299999999999996</v>
      </c>
    </row>
    <row r="41" spans="1:28" x14ac:dyDescent="0.2">
      <c r="A41" s="52">
        <f>IF('TBA-Teams'!A39 &lt;&gt; "", 'TBA-Teams'!A39, "")</f>
        <v>3838</v>
      </c>
      <c r="B41" s="53">
        <f>IF(A41&lt;&gt;"",SUM(C41:AB41),"")</f>
        <v>16.894000000000002</v>
      </c>
      <c r="C41" s="49">
        <f>IF($A41&lt;&gt;"",PERCENTRANK('Team Scores'!B$3:B$955, 'Team Scores'!B40, 3) * C$2, "")</f>
        <v>0.96199999999999997</v>
      </c>
      <c r="D41" s="49">
        <f>IF($A41&lt;&gt;"",PERCENTRANK('Team Scores'!C$3:C$955, 'Team Scores'!C40, 3) * D$2, "")</f>
        <v>0.87</v>
      </c>
      <c r="E41" s="49">
        <f>IF($A41&lt;&gt;"",PERCENTRANK('Team Scores'!D$3:D$955, 'Team Scores'!D40, 3) * E$2, "")</f>
        <v>0</v>
      </c>
      <c r="F41" s="49">
        <f>IF($A41&lt;&gt;"",PERCENTRANK('Team Scores'!E$3:E$955, 'Team Scores'!E40, 3) * F$2, "")</f>
        <v>0.222</v>
      </c>
      <c r="G41" s="49">
        <f>IF($A41&lt;&gt;"",PERCENTRANK('Team Scores'!F$3:F$955, 'Team Scores'!F40, 3) * G$2, "")</f>
        <v>0.92500000000000004</v>
      </c>
      <c r="H41" s="49">
        <f>IF($A41&lt;&gt;"",PERCENTRANK('Team Scores'!G$3:G$955, 'Team Scores'!G40, 3) * H$2, "")</f>
        <v>0.77700000000000002</v>
      </c>
      <c r="I41" s="49">
        <f>IF($A41&lt;&gt;"",PERCENTRANK('Team Scores'!H$3:H$955, 'Team Scores'!H40, 3) * I$2, "")</f>
        <v>0.85099999999999998</v>
      </c>
      <c r="J41" s="49">
        <f>IF($A41&lt;&gt;"",PERCENTRANK('Team Scores'!I$3:I$955, 'Team Scores'!I40, 3) * J$2, "")</f>
        <v>0.96199999999999997</v>
      </c>
      <c r="K41" s="49">
        <f>IF($A41&lt;&gt;"",PERCENTRANK('Team Scores'!J$3:J$955, 'Team Scores'!J40, 3) * K$2, "")</f>
        <v>0.629</v>
      </c>
      <c r="L41" s="49">
        <f>IF($A41&lt;&gt;"",PERCENTRANK('Team Scores'!K$3:K$955, 'Team Scores'!K40, 3) * L$2, "")</f>
        <v>0.29599999999999999</v>
      </c>
      <c r="M41" s="49">
        <f>IF($A41&lt;&gt;"",PERCENTRANK('Team Scores'!L$3:L$955, 'Team Scores'!L40, 3) * M$2, "")</f>
        <v>0.46200000000000002</v>
      </c>
      <c r="N41" s="49">
        <f>IF($A41&lt;&gt;"",PERCENTRANK('Team Scores'!M$3:M$955, 'Team Scores'!M40, 3) * N$2, "")</f>
        <v>0.96199999999999997</v>
      </c>
      <c r="O41" s="49">
        <f>IF($A41&lt;&gt;"",PERCENTRANK('Team Scores'!N$3:N$955, 'Team Scores'!N40, 3) * O$2, "")</f>
        <v>0.90700000000000003</v>
      </c>
      <c r="P41" s="49">
        <f>IF($A41&lt;&gt;"",PERCENTRANK('Team Scores'!O$3:O$955, 'Team Scores'!O40, 3) * P$2, "")</f>
        <v>0.53700000000000003</v>
      </c>
      <c r="Q41" s="49">
        <f>IF($A41&lt;&gt;"",PERCENTRANK('Team Scores'!P$3:P$955, 'Team Scores'!P40, 3) * Q$2, "")</f>
        <v>0.314</v>
      </c>
      <c r="R41" s="49">
        <f>IF($A41&lt;&gt;"",PERCENTRANK('Team Scores'!Q$3:Q$955, 'Team Scores'!Q40, 3) * R$2, "")</f>
        <v>0.70299999999999996</v>
      </c>
      <c r="S41" s="49">
        <f>IF($A41&lt;&gt;"",PERCENTRANK('Team Scores'!R$3:R$955, 'Team Scores'!R40, 3) * S$2, "")</f>
        <v>0.53700000000000003</v>
      </c>
      <c r="T41" s="49">
        <f>IF($A41&lt;&gt;"",PERCENTRANK('Team Scores'!S$3:S$955, 'Team Scores'!S40, 3) * T$2, "")</f>
        <v>0.75900000000000001</v>
      </c>
      <c r="U41" s="49">
        <f>IF($A41&lt;&gt;"",PERCENTRANK('Team Scores'!T$3:T$955, 'Team Scores'!T40, 3) * U$2, "")</f>
        <v>0.70299999999999996</v>
      </c>
      <c r="V41" s="49">
        <f>IF($A41&lt;&gt;"",PERCENTRANK('Team Scores'!U$3:U$955, 'Team Scores'!U40, 3) * V$2, "")</f>
        <v>0.66600000000000004</v>
      </c>
      <c r="W41" s="49">
        <f>IF($A41&lt;&gt;"",PERCENTRANK('Team Scores'!V$3:V$955, 'Team Scores'!V40, 3) * W$2, "")</f>
        <v>0.83299999999999996</v>
      </c>
      <c r="X41" s="49">
        <f>IF($A41&lt;&gt;"",PERCENTRANK('Team Scores'!W$3:W$955, 'Team Scores'!W40, 3) * X$2, "")</f>
        <v>0.111</v>
      </c>
      <c r="Y41" s="49">
        <f>IF($A41&lt;&gt;"",PERCENTRANK('Team Scores'!X$3:X$955, 'Team Scores'!X40, 3) * Y$2, "")</f>
        <v>1</v>
      </c>
      <c r="Z41" s="49">
        <f>IF($A41&lt;&gt;"",PERCENTRANK('Team Scores'!Y$3:Y$955, 'Team Scores'!Y40, 3) * Z$2, "")</f>
        <v>0.48099999999999998</v>
      </c>
      <c r="AA41" s="49">
        <f>IF($A41&lt;&gt;"",PERCENTRANK('Team Scores'!Z$3:Z$955, 'Team Scores'!Z40, 3) * AA$2, "")</f>
        <v>0.70299999999999996</v>
      </c>
      <c r="AB41" s="49">
        <f>IF($A41&lt;&gt;"",PERCENTRANK('Team Scores'!AA$3:AA$955, 'Team Scores'!AA40, 3) * AB$2, "")</f>
        <v>0.72199999999999998</v>
      </c>
    </row>
    <row r="42" spans="1:28" x14ac:dyDescent="0.2">
      <c r="A42" s="52">
        <f>IF('TBA-Teams'!A40 &lt;&gt; "", 'TBA-Teams'!A40, "")</f>
        <v>3951</v>
      </c>
      <c r="B42" s="53">
        <f>IF(A42&lt;&gt;"",SUM(C42:AB42),"")</f>
        <v>7.153999999999999</v>
      </c>
      <c r="C42" s="49">
        <f>IF($A42&lt;&gt;"",PERCENTRANK('Team Scores'!B$3:B$955, 'Team Scores'!B41, 3) * C$2, "")</f>
        <v>0</v>
      </c>
      <c r="D42" s="49">
        <f>IF($A42&lt;&gt;"",PERCENTRANK('Team Scores'!C$3:C$955, 'Team Scores'!C41, 3) * D$2, "")</f>
        <v>1.7999999999999999E-2</v>
      </c>
      <c r="E42" s="49">
        <f>IF($A42&lt;&gt;"",PERCENTRANK('Team Scores'!D$3:D$955, 'Team Scores'!D41, 3) * E$2, "")</f>
        <v>0.42499999999999999</v>
      </c>
      <c r="F42" s="49">
        <f>IF($A42&lt;&gt;"",PERCENTRANK('Team Scores'!E$3:E$955, 'Team Scores'!E41, 3) * F$2, "")</f>
        <v>0.37</v>
      </c>
      <c r="G42" s="49">
        <f>IF($A42&lt;&gt;"",PERCENTRANK('Team Scores'!F$3:F$955, 'Team Scores'!F41, 3) * G$2, "")</f>
        <v>0.111</v>
      </c>
      <c r="H42" s="49">
        <f>IF($A42&lt;&gt;"",PERCENTRANK('Team Scores'!G$3:G$955, 'Team Scores'!G41, 3) * H$2, "")</f>
        <v>0.35099999999999998</v>
      </c>
      <c r="I42" s="49">
        <f>IF($A42&lt;&gt;"",PERCENTRANK('Team Scores'!H$3:H$955, 'Team Scores'!H41, 3) * I$2, "")</f>
        <v>0.129</v>
      </c>
      <c r="J42" s="49">
        <f>IF($A42&lt;&gt;"",PERCENTRANK('Team Scores'!I$3:I$955, 'Team Scores'!I41, 3) * J$2, "")</f>
        <v>0.25900000000000001</v>
      </c>
      <c r="K42" s="49">
        <f>IF($A42&lt;&gt;"",PERCENTRANK('Team Scores'!J$3:J$955, 'Team Scores'!J41, 3) * K$2, "")</f>
        <v>0.83299999999999996</v>
      </c>
      <c r="L42" s="49">
        <f>IF($A42&lt;&gt;"",PERCENTRANK('Team Scores'!K$3:K$955, 'Team Scores'!K41, 3) * L$2, "")</f>
        <v>0.29599999999999999</v>
      </c>
      <c r="M42" s="49">
        <f>IF($A42&lt;&gt;"",PERCENTRANK('Team Scores'!L$3:L$955, 'Team Scores'!L41, 3) * M$2, "")</f>
        <v>0.16600000000000001</v>
      </c>
      <c r="N42" s="49">
        <f>IF($A42&lt;&gt;"",PERCENTRANK('Team Scores'!M$3:M$955, 'Team Scores'!M41, 3) * N$2, "")</f>
        <v>5.5E-2</v>
      </c>
      <c r="O42" s="49">
        <f>IF($A42&lt;&gt;"",PERCENTRANK('Team Scores'!N$3:N$955, 'Team Scores'!N41, 3) * O$2, "")</f>
        <v>0.90700000000000003</v>
      </c>
      <c r="P42" s="49">
        <f>IF($A42&lt;&gt;"",PERCENTRANK('Team Scores'!O$3:O$955, 'Team Scores'!O41, 3) * P$2, "")</f>
        <v>9.1999999999999998E-2</v>
      </c>
      <c r="Q42" s="49">
        <f>IF($A42&lt;&gt;"",PERCENTRANK('Team Scores'!P$3:P$955, 'Team Scores'!P41, 3) * Q$2, "")</f>
        <v>5.5E-2</v>
      </c>
      <c r="R42" s="49">
        <f>IF($A42&lt;&gt;"",PERCENTRANK('Team Scores'!Q$3:Q$955, 'Team Scores'!Q41, 3) * R$2, "")</f>
        <v>0.44400000000000001</v>
      </c>
      <c r="S42" s="49">
        <f>IF($A42&lt;&gt;"",PERCENTRANK('Team Scores'!R$3:R$955, 'Team Scores'!R41, 3) * S$2, "")</f>
        <v>0.27700000000000002</v>
      </c>
      <c r="T42" s="49">
        <f>IF($A42&lt;&gt;"",PERCENTRANK('Team Scores'!S$3:S$955, 'Team Scores'!S41, 3) * T$2, "")</f>
        <v>0.75900000000000001</v>
      </c>
      <c r="U42" s="49">
        <f>IF($A42&lt;&gt;"",PERCENTRANK('Team Scores'!T$3:T$955, 'Team Scores'!T41, 3) * U$2, "")</f>
        <v>9.1999999999999998E-2</v>
      </c>
      <c r="V42" s="49">
        <f>IF($A42&lt;&gt;"",PERCENTRANK('Team Scores'!U$3:U$955, 'Team Scores'!U41, 3) * V$2, "")</f>
        <v>0.27700000000000002</v>
      </c>
      <c r="W42" s="49">
        <f>IF($A42&lt;&gt;"",PERCENTRANK('Team Scores'!V$3:V$955, 'Team Scores'!V41, 3) * W$2, "")</f>
        <v>0.35099999999999998</v>
      </c>
      <c r="X42" s="49">
        <f>IF($A42&lt;&gt;"",PERCENTRANK('Team Scores'!W$3:W$955, 'Team Scores'!W41, 3) * X$2, "")</f>
        <v>0.185</v>
      </c>
      <c r="Y42" s="49">
        <f>IF($A42&lt;&gt;"",PERCENTRANK('Team Scores'!X$3:X$955, 'Team Scores'!X41, 3) * Y$2, "")</f>
        <v>7.3999999999999996E-2</v>
      </c>
      <c r="Z42" s="49">
        <f>IF($A42&lt;&gt;"",PERCENTRANK('Team Scores'!Y$3:Y$955, 'Team Scores'!Y41, 3) * Z$2, "")</f>
        <v>9.1999999999999998E-2</v>
      </c>
      <c r="AA42" s="49">
        <f>IF($A42&lt;&gt;"",PERCENTRANK('Team Scores'!Z$3:Z$955, 'Team Scores'!Z41, 3) * AA$2, "")</f>
        <v>0.27700000000000002</v>
      </c>
      <c r="AB42" s="49">
        <f>IF($A42&lt;&gt;"",PERCENTRANK('Team Scores'!AA$3:AA$955, 'Team Scores'!AA41, 3) * AB$2, "")</f>
        <v>0.25900000000000001</v>
      </c>
    </row>
    <row r="43" spans="1:28" x14ac:dyDescent="0.2">
      <c r="A43" s="52">
        <f>IF('TBA-Teams'!A41 &lt;&gt; "", 'TBA-Teams'!A41, "")</f>
        <v>4093</v>
      </c>
      <c r="B43" s="53">
        <f>IF(A43&lt;&gt;"",SUM(C43:AB43),"")</f>
        <v>6.4340000000000011</v>
      </c>
      <c r="C43" s="49">
        <f>IF($A43&lt;&gt;"",PERCENTRANK('Team Scores'!B$3:B$955, 'Team Scores'!B42, 3) * C$2, "")</f>
        <v>0</v>
      </c>
      <c r="D43" s="49">
        <f>IF($A43&lt;&gt;"",PERCENTRANK('Team Scores'!C$3:C$955, 'Team Scores'!C42, 3) * D$2, "")</f>
        <v>0.64800000000000002</v>
      </c>
      <c r="E43" s="49">
        <f>IF($A43&lt;&gt;"",PERCENTRANK('Team Scores'!D$3:D$955, 'Team Scores'!D42, 3) * E$2, "")</f>
        <v>0.14799999999999999</v>
      </c>
      <c r="F43" s="49">
        <f>IF($A43&lt;&gt;"",PERCENTRANK('Team Scores'!E$3:E$955, 'Team Scores'!E42, 3) * F$2, "")</f>
        <v>0.37</v>
      </c>
      <c r="G43" s="49">
        <f>IF($A43&lt;&gt;"",PERCENTRANK('Team Scores'!F$3:F$955, 'Team Scores'!F42, 3) * G$2, "")</f>
        <v>0.24</v>
      </c>
      <c r="H43" s="49">
        <f>IF($A43&lt;&gt;"",PERCENTRANK('Team Scores'!G$3:G$955, 'Team Scores'!G42, 3) * H$2, "")</f>
        <v>0.48099999999999998</v>
      </c>
      <c r="I43" s="49">
        <f>IF($A43&lt;&gt;"",PERCENTRANK('Team Scores'!H$3:H$955, 'Team Scores'!H42, 3) * I$2, "")</f>
        <v>3.6999999999999998E-2</v>
      </c>
      <c r="J43" s="49">
        <f>IF($A43&lt;&gt;"",PERCENTRANK('Team Scores'!I$3:I$955, 'Team Scores'!I42, 3) * J$2, "")</f>
        <v>9.1999999999999998E-2</v>
      </c>
      <c r="K43" s="49">
        <f>IF($A43&lt;&gt;"",PERCENTRANK('Team Scores'!J$3:J$955, 'Team Scores'!J42, 3) * K$2, "")</f>
        <v>5.5E-2</v>
      </c>
      <c r="L43" s="49">
        <f>IF($A43&lt;&gt;"",PERCENTRANK('Team Scores'!K$3:K$955, 'Team Scores'!K42, 3) * L$2, "")</f>
        <v>0.51800000000000002</v>
      </c>
      <c r="M43" s="49">
        <f>IF($A43&lt;&gt;"",PERCENTRANK('Team Scores'!L$3:L$955, 'Team Scores'!L42, 3) * M$2, "")</f>
        <v>0.75900000000000001</v>
      </c>
      <c r="N43" s="49">
        <f>IF($A43&lt;&gt;"",PERCENTRANK('Team Scores'!M$3:M$955, 'Team Scores'!M42, 3) * N$2, "")</f>
        <v>0.46200000000000002</v>
      </c>
      <c r="O43" s="49">
        <f>IF($A43&lt;&gt;"",PERCENTRANK('Team Scores'!N$3:N$955, 'Team Scores'!N42, 3) * O$2, "")</f>
        <v>7.3999999999999996E-2</v>
      </c>
      <c r="P43" s="49">
        <f>IF($A43&lt;&gt;"",PERCENTRANK('Team Scores'!O$3:O$955, 'Team Scores'!O42, 3) * P$2, "")</f>
        <v>0.29599999999999999</v>
      </c>
      <c r="Q43" s="49">
        <f>IF($A43&lt;&gt;"",PERCENTRANK('Team Scores'!P$3:P$955, 'Team Scores'!P42, 3) * Q$2, "")</f>
        <v>0.314</v>
      </c>
      <c r="R43" s="49">
        <f>IF($A43&lt;&gt;"",PERCENTRANK('Team Scores'!Q$3:Q$955, 'Team Scores'!Q42, 3) * R$2, "")</f>
        <v>0.57399999999999995</v>
      </c>
      <c r="S43" s="49">
        <f>IF($A43&lt;&gt;"",PERCENTRANK('Team Scores'!R$3:R$955, 'Team Scores'!R42, 3) * S$2, "")</f>
        <v>0.27700000000000002</v>
      </c>
      <c r="T43" s="49">
        <f>IF($A43&lt;&gt;"",PERCENTRANK('Team Scores'!S$3:S$955, 'Team Scores'!S42, 3) * T$2, "")</f>
        <v>5.5E-2</v>
      </c>
      <c r="U43" s="49">
        <f>IF($A43&lt;&gt;"",PERCENTRANK('Team Scores'!T$3:T$955, 'Team Scores'!T42, 3) * U$2, "")</f>
        <v>3.6999999999999998E-2</v>
      </c>
      <c r="V43" s="49">
        <f>IF($A43&lt;&gt;"",PERCENTRANK('Team Scores'!U$3:U$955, 'Team Scores'!U42, 3) * V$2, "")</f>
        <v>0.129</v>
      </c>
      <c r="W43" s="49">
        <f>IF($A43&lt;&gt;"",PERCENTRANK('Team Scores'!V$3:V$955, 'Team Scores'!V42, 3) * W$2, "")</f>
        <v>3.6999999999999998E-2</v>
      </c>
      <c r="X43" s="49">
        <f>IF($A43&lt;&gt;"",PERCENTRANK('Team Scores'!W$3:W$955, 'Team Scores'!W42, 3) * X$2, "")</f>
        <v>0.33300000000000002</v>
      </c>
      <c r="Y43" s="49">
        <f>IF($A43&lt;&gt;"",PERCENTRANK('Team Scores'!X$3:X$955, 'Team Scores'!X42, 3) * Y$2, "")</f>
        <v>3.6999999999999998E-2</v>
      </c>
      <c r="Z43" s="49">
        <f>IF($A43&lt;&gt;"",PERCENTRANK('Team Scores'!Y$3:Y$955, 'Team Scores'!Y42, 3) * Z$2, "")</f>
        <v>0.20300000000000001</v>
      </c>
      <c r="AA43" s="49">
        <f>IF($A43&lt;&gt;"",PERCENTRANK('Team Scores'!Z$3:Z$955, 'Team Scores'!Z42, 3) * AA$2, "")</f>
        <v>0.129</v>
      </c>
      <c r="AB43" s="49">
        <f>IF($A43&lt;&gt;"",PERCENTRANK('Team Scores'!AA$3:AA$955, 'Team Scores'!AA42, 3) * AB$2, "")</f>
        <v>0.129</v>
      </c>
    </row>
    <row r="44" spans="1:28" x14ac:dyDescent="0.2">
      <c r="A44" s="52">
        <f>IF('TBA-Teams'!A42 &lt;&gt; "", 'TBA-Teams'!A42, "")</f>
        <v>4253</v>
      </c>
      <c r="B44" s="53">
        <f>IF(A44&lt;&gt;"",SUM(C44:AB44),"")</f>
        <v>7.9129999999999985</v>
      </c>
      <c r="C44" s="49">
        <f>IF($A44&lt;&gt;"",PERCENTRANK('Team Scores'!B$3:B$955, 'Team Scores'!B43, 3) * C$2, "")</f>
        <v>0</v>
      </c>
      <c r="D44" s="49">
        <f>IF($A44&lt;&gt;"",PERCENTRANK('Team Scores'!C$3:C$955, 'Team Scores'!C43, 3) * D$2, "")</f>
        <v>1.7999999999999999E-2</v>
      </c>
      <c r="E44" s="49">
        <f>IF($A44&lt;&gt;"",PERCENTRANK('Team Scores'!D$3:D$955, 'Team Scores'!D43, 3) * E$2, "")</f>
        <v>0.57399999999999995</v>
      </c>
      <c r="F44" s="49">
        <f>IF($A44&lt;&gt;"",PERCENTRANK('Team Scores'!E$3:E$955, 'Team Scores'!E43, 3) * F$2, "")</f>
        <v>0</v>
      </c>
      <c r="G44" s="49">
        <f>IF($A44&lt;&gt;"",PERCENTRANK('Team Scores'!F$3:F$955, 'Team Scores'!F43, 3) * G$2, "")</f>
        <v>0.24</v>
      </c>
      <c r="H44" s="49">
        <f>IF($A44&lt;&gt;"",PERCENTRANK('Team Scores'!G$3:G$955, 'Team Scores'!G43, 3) * H$2, "")</f>
        <v>0.48099999999999998</v>
      </c>
      <c r="I44" s="49">
        <f>IF($A44&lt;&gt;"",PERCENTRANK('Team Scores'!H$3:H$955, 'Team Scores'!H43, 3) * I$2, "")</f>
        <v>0.5</v>
      </c>
      <c r="J44" s="49">
        <f>IF($A44&lt;&gt;"",PERCENTRANK('Team Scores'!I$3:I$955, 'Team Scores'!I43, 3) * J$2, "")</f>
        <v>9.1999999999999998E-2</v>
      </c>
      <c r="K44" s="49">
        <f>IF($A44&lt;&gt;"",PERCENTRANK('Team Scores'!J$3:J$955, 'Team Scores'!J43, 3) * K$2, "")</f>
        <v>0.629</v>
      </c>
      <c r="L44" s="49">
        <f>IF($A44&lt;&gt;"",PERCENTRANK('Team Scores'!K$3:K$955, 'Team Scores'!K43, 3) * L$2, "")</f>
        <v>0.129</v>
      </c>
      <c r="M44" s="49">
        <f>IF($A44&lt;&gt;"",PERCENTRANK('Team Scores'!L$3:L$955, 'Team Scores'!L43, 3) * M$2, "")</f>
        <v>0.75900000000000001</v>
      </c>
      <c r="N44" s="49">
        <f>IF($A44&lt;&gt;"",PERCENTRANK('Team Scores'!M$3:M$955, 'Team Scores'!M43, 3) * N$2, "")</f>
        <v>0.27700000000000002</v>
      </c>
      <c r="O44" s="49">
        <f>IF($A44&lt;&gt;"",PERCENTRANK('Team Scores'!N$3:N$955, 'Team Scores'!N43, 3) * O$2, "")</f>
        <v>0.70299999999999996</v>
      </c>
      <c r="P44" s="49">
        <f>IF($A44&lt;&gt;"",PERCENTRANK('Team Scores'!O$3:O$955, 'Team Scores'!O43, 3) * P$2, "")</f>
        <v>9.1999999999999998E-2</v>
      </c>
      <c r="Q44" s="49">
        <f>IF($A44&lt;&gt;"",PERCENTRANK('Team Scores'!P$3:P$955, 'Team Scores'!P43, 3) * Q$2, "")</f>
        <v>0.111</v>
      </c>
      <c r="R44" s="49">
        <f>IF($A44&lt;&gt;"",PERCENTRANK('Team Scores'!Q$3:Q$955, 'Team Scores'!Q43, 3) * R$2, "")</f>
        <v>0.44400000000000001</v>
      </c>
      <c r="S44" s="49">
        <f>IF($A44&lt;&gt;"",PERCENTRANK('Team Scores'!R$3:R$955, 'Team Scores'!R43, 3) * S$2, "")</f>
        <v>0.129</v>
      </c>
      <c r="T44" s="49">
        <f>IF($A44&lt;&gt;"",PERCENTRANK('Team Scores'!S$3:S$955, 'Team Scores'!S43, 3) * T$2, "")</f>
        <v>0.75900000000000001</v>
      </c>
      <c r="U44" s="49">
        <f>IF($A44&lt;&gt;"",PERCENTRANK('Team Scores'!T$3:T$955, 'Team Scores'!T43, 3) * U$2, "")</f>
        <v>0.185</v>
      </c>
      <c r="V44" s="49">
        <f>IF($A44&lt;&gt;"",PERCENTRANK('Team Scores'!U$3:U$955, 'Team Scores'!U43, 3) * V$2, "")</f>
        <v>0.314</v>
      </c>
      <c r="W44" s="49">
        <f>IF($A44&lt;&gt;"",PERCENTRANK('Team Scores'!V$3:V$955, 'Team Scores'!V43, 3) * W$2, "")</f>
        <v>0.35099999999999998</v>
      </c>
      <c r="X44" s="49">
        <f>IF($A44&lt;&gt;"",PERCENTRANK('Team Scores'!W$3:W$955, 'Team Scores'!W43, 3) * X$2, "")</f>
        <v>1.7999999999999999E-2</v>
      </c>
      <c r="Y44" s="49">
        <f>IF($A44&lt;&gt;"",PERCENTRANK('Team Scores'!X$3:X$955, 'Team Scores'!X43, 3) * Y$2, "")</f>
        <v>0.38800000000000001</v>
      </c>
      <c r="Z44" s="49">
        <f>IF($A44&lt;&gt;"",PERCENTRANK('Team Scores'!Y$3:Y$955, 'Team Scores'!Y43, 3) * Z$2, "")</f>
        <v>9.1999999999999998E-2</v>
      </c>
      <c r="AA44" s="49">
        <f>IF($A44&lt;&gt;"",PERCENTRANK('Team Scores'!Z$3:Z$955, 'Team Scores'!Z43, 3) * AA$2, "")</f>
        <v>0.314</v>
      </c>
      <c r="AB44" s="49">
        <f>IF($A44&lt;&gt;"",PERCENTRANK('Team Scores'!AA$3:AA$955, 'Team Scores'!AA43, 3) * AB$2, "")</f>
        <v>0.314</v>
      </c>
    </row>
    <row r="45" spans="1:28" x14ac:dyDescent="0.2">
      <c r="A45" s="52">
        <f>IF('TBA-Teams'!A43 &lt;&gt; "", 'TBA-Teams'!A43, "")</f>
        <v>4458</v>
      </c>
      <c r="B45" s="53">
        <f>IF(A45&lt;&gt;"",SUM(C45:AB45),"")</f>
        <v>8.3399999999999981</v>
      </c>
      <c r="C45" s="49">
        <f>IF($A45&lt;&gt;"",PERCENTRANK('Team Scores'!B$3:B$955, 'Team Scores'!B44, 3) * C$2, "")</f>
        <v>0</v>
      </c>
      <c r="D45" s="49">
        <f>IF($A45&lt;&gt;"",PERCENTRANK('Team Scores'!C$3:C$955, 'Team Scores'!C44, 3) * D$2, "")</f>
        <v>0.129</v>
      </c>
      <c r="E45" s="49">
        <f>IF($A45&lt;&gt;"",PERCENTRANK('Team Scores'!D$3:D$955, 'Team Scores'!D44, 3) * E$2, "")</f>
        <v>0.42499999999999999</v>
      </c>
      <c r="F45" s="49">
        <f>IF($A45&lt;&gt;"",PERCENTRANK('Team Scores'!E$3:E$955, 'Team Scores'!E44, 3) * F$2, "")</f>
        <v>0.25900000000000001</v>
      </c>
      <c r="G45" s="49">
        <f>IF($A45&lt;&gt;"",PERCENTRANK('Team Scores'!F$3:F$955, 'Team Scores'!F44, 3) * G$2, "")</f>
        <v>0.70299999999999996</v>
      </c>
      <c r="H45" s="49">
        <f>IF($A45&lt;&gt;"",PERCENTRANK('Team Scores'!G$3:G$955, 'Team Scores'!G44, 3) * H$2, "")</f>
        <v>0</v>
      </c>
      <c r="I45" s="49">
        <f>IF($A45&lt;&gt;"",PERCENTRANK('Team Scores'!H$3:H$955, 'Team Scores'!H44, 3) * I$2, "")</f>
        <v>0.25900000000000001</v>
      </c>
      <c r="J45" s="49">
        <f>IF($A45&lt;&gt;"",PERCENTRANK('Team Scores'!I$3:I$955, 'Team Scores'!I44, 3) * J$2, "")</f>
        <v>0.25900000000000001</v>
      </c>
      <c r="K45" s="49">
        <f>IF($A45&lt;&gt;"",PERCENTRANK('Team Scores'!J$3:J$955, 'Team Scores'!J44, 3) * K$2, "")</f>
        <v>0.20300000000000001</v>
      </c>
      <c r="L45" s="49">
        <f>IF($A45&lt;&gt;"",PERCENTRANK('Team Scores'!K$3:K$955, 'Team Scores'!K44, 3) * L$2, "")</f>
        <v>0</v>
      </c>
      <c r="M45" s="49">
        <f>IF($A45&lt;&gt;"",PERCENTRANK('Team Scores'!L$3:L$955, 'Team Scores'!L44, 3) * M$2, "")</f>
        <v>0.75900000000000001</v>
      </c>
      <c r="N45" s="49">
        <f>IF($A45&lt;&gt;"",PERCENTRANK('Team Scores'!M$3:M$955, 'Team Scores'!M44, 3) * N$2, "")</f>
        <v>0.46200000000000002</v>
      </c>
      <c r="O45" s="49">
        <f>IF($A45&lt;&gt;"",PERCENTRANK('Team Scores'!N$3:N$955, 'Team Scores'!N44, 3) * O$2, "")</f>
        <v>0.222</v>
      </c>
      <c r="P45" s="49">
        <f>IF($A45&lt;&gt;"",PERCENTRANK('Team Scores'!O$3:O$955, 'Team Scores'!O44, 3) * P$2, "")</f>
        <v>0.96199999999999997</v>
      </c>
      <c r="Q45" s="49">
        <f>IF($A45&lt;&gt;"",PERCENTRANK('Team Scores'!P$3:P$955, 'Team Scores'!P44, 3) * Q$2, "")</f>
        <v>0.111</v>
      </c>
      <c r="R45" s="49">
        <f>IF($A45&lt;&gt;"",PERCENTRANK('Team Scores'!Q$3:Q$955, 'Team Scores'!Q44, 3) * R$2, "")</f>
        <v>0.57399999999999995</v>
      </c>
      <c r="S45" s="49">
        <f>IF($A45&lt;&gt;"",PERCENTRANK('Team Scores'!R$3:R$955, 'Team Scores'!R44, 3) * S$2, "")</f>
        <v>0.53700000000000003</v>
      </c>
      <c r="T45" s="49">
        <f>IF($A45&lt;&gt;"",PERCENTRANK('Team Scores'!S$3:S$955, 'Team Scores'!S44, 3) * T$2, "")</f>
        <v>5.5E-2</v>
      </c>
      <c r="U45" s="49">
        <f>IF($A45&lt;&gt;"",PERCENTRANK('Team Scores'!T$3:T$955, 'Team Scores'!T44, 3) * U$2, "")</f>
        <v>0.46200000000000002</v>
      </c>
      <c r="V45" s="49">
        <f>IF($A45&lt;&gt;"",PERCENTRANK('Team Scores'!U$3:U$955, 'Team Scores'!U44, 3) * V$2, "")</f>
        <v>0.37</v>
      </c>
      <c r="W45" s="49">
        <f>IF($A45&lt;&gt;"",PERCENTRANK('Team Scores'!V$3:V$955, 'Team Scores'!V44, 3) * W$2, "")</f>
        <v>0.35099999999999998</v>
      </c>
      <c r="X45" s="49">
        <f>IF($A45&lt;&gt;"",PERCENTRANK('Team Scores'!W$3:W$955, 'Team Scores'!W44, 3) * X$2, "")</f>
        <v>0.185</v>
      </c>
      <c r="Y45" s="49">
        <f>IF($A45&lt;&gt;"",PERCENTRANK('Team Scores'!X$3:X$955, 'Team Scores'!X44, 3) * Y$2, "")</f>
        <v>0.14799999999999999</v>
      </c>
      <c r="Z45" s="49">
        <f>IF($A45&lt;&gt;"",PERCENTRANK('Team Scores'!Y$3:Y$955, 'Team Scores'!Y44, 3) * Z$2, "")</f>
        <v>0.20300000000000001</v>
      </c>
      <c r="AA45" s="49">
        <f>IF($A45&lt;&gt;"",PERCENTRANK('Team Scores'!Z$3:Z$955, 'Team Scores'!Z44, 3) * AA$2, "")</f>
        <v>0.35099999999999998</v>
      </c>
      <c r="AB45" s="49">
        <f>IF($A45&lt;&gt;"",PERCENTRANK('Team Scores'!AA$3:AA$955, 'Team Scores'!AA44, 3) * AB$2, "")</f>
        <v>0.35099999999999998</v>
      </c>
    </row>
    <row r="46" spans="1:28" x14ac:dyDescent="0.2">
      <c r="A46" s="52">
        <f>IF('TBA-Teams'!A44 &lt;&gt; "", 'TBA-Teams'!A44, "")</f>
        <v>4930</v>
      </c>
      <c r="B46" s="53">
        <f>IF(A46&lt;&gt;"",SUM(C46:AB46),"")</f>
        <v>12.987000000000004</v>
      </c>
      <c r="C46" s="49">
        <f>IF($A46&lt;&gt;"",PERCENTRANK('Team Scores'!B$3:B$955, 'Team Scores'!B45, 3) * C$2, "")</f>
        <v>0</v>
      </c>
      <c r="D46" s="49">
        <f>IF($A46&lt;&gt;"",PERCENTRANK('Team Scores'!C$3:C$955, 'Team Scores'!C45, 3) * D$2, "")</f>
        <v>1.7999999999999999E-2</v>
      </c>
      <c r="E46" s="49">
        <f>IF($A46&lt;&gt;"",PERCENTRANK('Team Scores'!D$3:D$955, 'Team Scores'!D45, 3) * E$2, "")</f>
        <v>0.57399999999999995</v>
      </c>
      <c r="F46" s="49">
        <f>IF($A46&lt;&gt;"",PERCENTRANK('Team Scores'!E$3:E$955, 'Team Scores'!E45, 3) * F$2, "")</f>
        <v>0.98099999999999998</v>
      </c>
      <c r="G46" s="49">
        <f>IF($A46&lt;&gt;"",PERCENTRANK('Team Scores'!F$3:F$955, 'Team Scores'!F45, 3) * G$2, "")</f>
        <v>0.70299999999999996</v>
      </c>
      <c r="H46" s="49">
        <f>IF($A46&lt;&gt;"",PERCENTRANK('Team Scores'!G$3:G$955, 'Team Scores'!G45, 3) * H$2, "")</f>
        <v>0.35099999999999998</v>
      </c>
      <c r="I46" s="49">
        <f>IF($A46&lt;&gt;"",PERCENTRANK('Team Scores'!H$3:H$955, 'Team Scores'!H45, 3) * I$2, "")</f>
        <v>0.129</v>
      </c>
      <c r="J46" s="49">
        <f>IF($A46&lt;&gt;"",PERCENTRANK('Team Scores'!I$3:I$955, 'Team Scores'!I45, 3) * J$2, "")</f>
        <v>0.79600000000000004</v>
      </c>
      <c r="K46" s="49">
        <f>IF($A46&lt;&gt;"",PERCENTRANK('Team Scores'!J$3:J$955, 'Team Scores'!J45, 3) * K$2, "")</f>
        <v>0.83299999999999996</v>
      </c>
      <c r="L46" s="49">
        <f>IF($A46&lt;&gt;"",PERCENTRANK('Team Scores'!K$3:K$955, 'Team Scores'!K45, 3) * L$2, "")</f>
        <v>0.29599999999999999</v>
      </c>
      <c r="M46" s="49">
        <f>IF($A46&lt;&gt;"",PERCENTRANK('Team Scores'!L$3:L$955, 'Team Scores'!L45, 3) * M$2, "")</f>
        <v>0.16600000000000001</v>
      </c>
      <c r="N46" s="49">
        <f>IF($A46&lt;&gt;"",PERCENTRANK('Team Scores'!M$3:M$955, 'Team Scores'!M45, 3) * N$2, "")</f>
        <v>0.74</v>
      </c>
      <c r="O46" s="49">
        <f>IF($A46&lt;&gt;"",PERCENTRANK('Team Scores'!N$3:N$955, 'Team Scores'!N45, 3) * O$2, "")</f>
        <v>0.222</v>
      </c>
      <c r="P46" s="49">
        <f>IF($A46&lt;&gt;"",PERCENTRANK('Team Scores'!O$3:O$955, 'Team Scores'!O45, 3) * P$2, "")</f>
        <v>0.77700000000000002</v>
      </c>
      <c r="Q46" s="49">
        <f>IF($A46&lt;&gt;"",PERCENTRANK('Team Scores'!P$3:P$955, 'Team Scores'!P45, 3) * Q$2, "")</f>
        <v>0.5</v>
      </c>
      <c r="R46" s="49">
        <f>IF($A46&lt;&gt;"",PERCENTRANK('Team Scores'!Q$3:Q$955, 'Team Scores'!Q45, 3) * R$2, "")</f>
        <v>0.70299999999999996</v>
      </c>
      <c r="S46" s="49">
        <f>IF($A46&lt;&gt;"",PERCENTRANK('Team Scores'!R$3:R$955, 'Team Scores'!R45, 3) * S$2, "")</f>
        <v>0.53700000000000003</v>
      </c>
      <c r="T46" s="49">
        <f>IF($A46&lt;&gt;"",PERCENTRANK('Team Scores'!S$3:S$955, 'Team Scores'!S45, 3) * T$2, "")</f>
        <v>0.24</v>
      </c>
      <c r="U46" s="49">
        <f>IF($A46&lt;&gt;"",PERCENTRANK('Team Scores'!T$3:T$955, 'Team Scores'!T45, 3) * U$2, "")</f>
        <v>0</v>
      </c>
      <c r="V46" s="49">
        <f>IF($A46&lt;&gt;"",PERCENTRANK('Team Scores'!U$3:U$955, 'Team Scores'!U45, 3) * V$2, "")</f>
        <v>0.81399999999999995</v>
      </c>
      <c r="W46" s="49">
        <f>IF($A46&lt;&gt;"",PERCENTRANK('Team Scores'!V$3:V$955, 'Team Scores'!V45, 3) * W$2, "")</f>
        <v>7.3999999999999996E-2</v>
      </c>
      <c r="X46" s="49">
        <f>IF($A46&lt;&gt;"",PERCENTRANK('Team Scores'!W$3:W$955, 'Team Scores'!W45, 3) * X$2, "")</f>
        <v>0.88800000000000001</v>
      </c>
      <c r="Y46" s="49">
        <f>IF($A46&lt;&gt;"",PERCENTRANK('Team Scores'!X$3:X$955, 'Team Scores'!X45, 3) * Y$2, "")</f>
        <v>0.42499999999999999</v>
      </c>
      <c r="Z46" s="49">
        <f>IF($A46&lt;&gt;"",PERCENTRANK('Team Scores'!Y$3:Y$955, 'Team Scores'!Y45, 3) * Z$2, "")</f>
        <v>0.59199999999999997</v>
      </c>
      <c r="AA46" s="49">
        <f>IF($A46&lt;&gt;"",PERCENTRANK('Team Scores'!Z$3:Z$955, 'Team Scores'!Z45, 3) * AA$2, "")</f>
        <v>0.81399999999999995</v>
      </c>
      <c r="AB46" s="49">
        <f>IF($A46&lt;&gt;"",PERCENTRANK('Team Scores'!AA$3:AA$955, 'Team Scores'!AA45, 3) * AB$2, "")</f>
        <v>0.81399999999999995</v>
      </c>
    </row>
    <row r="47" spans="1:28" x14ac:dyDescent="0.2">
      <c r="A47" s="52">
        <f>IF('TBA-Teams'!A45 &lt;&gt; "", 'TBA-Teams'!A45, "")</f>
        <v>5528</v>
      </c>
      <c r="B47" s="53">
        <f>IF(A47&lt;&gt;"",SUM(C47:AB47),"")</f>
        <v>6.7829999999999995</v>
      </c>
      <c r="C47" s="49">
        <f>IF($A47&lt;&gt;"",PERCENTRANK('Team Scores'!B$3:B$955, 'Team Scores'!B46, 3) * C$2, "")</f>
        <v>0</v>
      </c>
      <c r="D47" s="49">
        <f>IF($A47&lt;&gt;"",PERCENTRANK('Team Scores'!C$3:C$955, 'Team Scores'!C46, 3) * D$2, "")</f>
        <v>0.64800000000000002</v>
      </c>
      <c r="E47" s="49">
        <f>IF($A47&lt;&gt;"",PERCENTRANK('Team Scores'!D$3:D$955, 'Team Scores'!D46, 3) * E$2, "")</f>
        <v>7.3999999999999996E-2</v>
      </c>
      <c r="F47" s="49">
        <f>IF($A47&lt;&gt;"",PERCENTRANK('Team Scores'!E$3:E$955, 'Team Scores'!E46, 3) * F$2, "")</f>
        <v>0.48099999999999998</v>
      </c>
      <c r="G47" s="49">
        <f>IF($A47&lt;&gt;"",PERCENTRANK('Team Scores'!F$3:F$955, 'Team Scores'!F46, 3) * G$2, "")</f>
        <v>0.38800000000000001</v>
      </c>
      <c r="H47" s="49">
        <f>IF($A47&lt;&gt;"",PERCENTRANK('Team Scores'!G$3:G$955, 'Team Scores'!G46, 3) * H$2, "")</f>
        <v>0.14799999999999999</v>
      </c>
      <c r="I47" s="49">
        <f>IF($A47&lt;&gt;"",PERCENTRANK('Team Scores'!H$3:H$955, 'Team Scores'!H46, 3) * I$2, "")</f>
        <v>0.129</v>
      </c>
      <c r="J47" s="49">
        <f>IF($A47&lt;&gt;"",PERCENTRANK('Team Scores'!I$3:I$955, 'Team Scores'!I46, 3) * J$2, "")</f>
        <v>9.1999999999999998E-2</v>
      </c>
      <c r="K47" s="49">
        <f>IF($A47&lt;&gt;"",PERCENTRANK('Team Scores'!J$3:J$955, 'Team Scores'!J46, 3) * K$2, "")</f>
        <v>0.20300000000000001</v>
      </c>
      <c r="L47" s="49">
        <f>IF($A47&lt;&gt;"",PERCENTRANK('Team Scores'!K$3:K$955, 'Team Scores'!K46, 3) * L$2, "")</f>
        <v>0</v>
      </c>
      <c r="M47" s="49">
        <f>IF($A47&lt;&gt;"",PERCENTRANK('Team Scores'!L$3:L$955, 'Team Scores'!L46, 3) * M$2, "")</f>
        <v>0.46200000000000002</v>
      </c>
      <c r="N47" s="49">
        <f>IF($A47&lt;&gt;"",PERCENTRANK('Team Scores'!M$3:M$955, 'Team Scores'!M46, 3) * N$2, "")</f>
        <v>0.46200000000000002</v>
      </c>
      <c r="O47" s="49">
        <f>IF($A47&lt;&gt;"",PERCENTRANK('Team Scores'!N$3:N$955, 'Team Scores'!N46, 3) * O$2, "")</f>
        <v>0.222</v>
      </c>
      <c r="P47" s="49">
        <f>IF($A47&lt;&gt;"",PERCENTRANK('Team Scores'!O$3:O$955, 'Team Scores'!O46, 3) * P$2, "")</f>
        <v>0</v>
      </c>
      <c r="Q47" s="49">
        <f>IF($A47&lt;&gt;"",PERCENTRANK('Team Scores'!P$3:P$955, 'Team Scores'!P46, 3) * Q$2, "")</f>
        <v>5.5E-2</v>
      </c>
      <c r="R47" s="49">
        <f>IF($A47&lt;&gt;"",PERCENTRANK('Team Scores'!Q$3:Q$955, 'Team Scores'!Q46, 3) * R$2, "")</f>
        <v>0.70299999999999996</v>
      </c>
      <c r="S47" s="49">
        <f>IF($A47&lt;&gt;"",PERCENTRANK('Team Scores'!R$3:R$955, 'Team Scores'!R46, 3) * S$2, "")</f>
        <v>0.129</v>
      </c>
      <c r="T47" s="49">
        <f>IF($A47&lt;&gt;"",PERCENTRANK('Team Scores'!S$3:S$955, 'Team Scores'!S46, 3) * T$2, "")</f>
        <v>0.24</v>
      </c>
      <c r="U47" s="49">
        <f>IF($A47&lt;&gt;"",PERCENTRANK('Team Scores'!T$3:T$955, 'Team Scores'!T46, 3) * U$2, "")</f>
        <v>0.46200000000000002</v>
      </c>
      <c r="V47" s="49">
        <f>IF($A47&lt;&gt;"",PERCENTRANK('Team Scores'!U$3:U$955, 'Team Scores'!U46, 3) * V$2, "")</f>
        <v>0.42499999999999999</v>
      </c>
      <c r="W47" s="49">
        <f>IF($A47&lt;&gt;"",PERCENTRANK('Team Scores'!V$3:V$955, 'Team Scores'!V46, 3) * W$2, "")</f>
        <v>0.25900000000000001</v>
      </c>
      <c r="X47" s="49">
        <f>IF($A47&lt;&gt;"",PERCENTRANK('Team Scores'!W$3:W$955, 'Team Scores'!W46, 3) * X$2, "")</f>
        <v>0.33300000000000002</v>
      </c>
      <c r="Y47" s="49">
        <f>IF($A47&lt;&gt;"",PERCENTRANK('Team Scores'!X$3:X$955, 'Team Scores'!X46, 3) * Y$2, "")</f>
        <v>1.7999999999999999E-2</v>
      </c>
      <c r="Z47" s="49">
        <f>IF($A47&lt;&gt;"",PERCENTRANK('Team Scores'!Y$3:Y$955, 'Team Scores'!Y46, 3) * Z$2, "")</f>
        <v>1.7999999999999999E-2</v>
      </c>
      <c r="AA47" s="49">
        <f>IF($A47&lt;&gt;"",PERCENTRANK('Team Scores'!Z$3:Z$955, 'Team Scores'!Z46, 3) * AA$2, "")</f>
        <v>0.42499999999999999</v>
      </c>
      <c r="AB47" s="49">
        <f>IF($A47&lt;&gt;"",PERCENTRANK('Team Scores'!AA$3:AA$955, 'Team Scores'!AA46, 3) * AB$2, "")</f>
        <v>0.40699999999999997</v>
      </c>
    </row>
    <row r="48" spans="1:28" x14ac:dyDescent="0.2">
      <c r="A48" s="52">
        <f>IF('TBA-Teams'!A46 &lt;&gt; "", 'TBA-Teams'!A46, "")</f>
        <v>5590</v>
      </c>
      <c r="B48" s="53">
        <f>IF(A48&lt;&gt;"",SUM(C48:AB48),"")</f>
        <v>8.9330000000000034</v>
      </c>
      <c r="C48" s="49">
        <f>IF($A48&lt;&gt;"",PERCENTRANK('Team Scores'!B$3:B$955, 'Team Scores'!B47, 3) * C$2, "")</f>
        <v>0</v>
      </c>
      <c r="D48" s="49">
        <f>IF($A48&lt;&gt;"",PERCENTRANK('Team Scores'!C$3:C$955, 'Team Scores'!C47, 3) * D$2, "")</f>
        <v>0.64800000000000002</v>
      </c>
      <c r="E48" s="49">
        <f>IF($A48&lt;&gt;"",PERCENTRANK('Team Scores'!D$3:D$955, 'Team Scores'!D47, 3) * E$2, "")</f>
        <v>0.90700000000000003</v>
      </c>
      <c r="F48" s="49">
        <f>IF($A48&lt;&gt;"",PERCENTRANK('Team Scores'!E$3:E$955, 'Team Scores'!E47, 3) * F$2, "")</f>
        <v>0.16600000000000001</v>
      </c>
      <c r="G48" s="49">
        <f>IF($A48&lt;&gt;"",PERCENTRANK('Team Scores'!F$3:F$955, 'Team Scores'!F47, 3) * G$2, "")</f>
        <v>0.111</v>
      </c>
      <c r="H48" s="49">
        <f>IF($A48&lt;&gt;"",PERCENTRANK('Team Scores'!G$3:G$955, 'Team Scores'!G47, 3) * H$2, "")</f>
        <v>0.88800000000000001</v>
      </c>
      <c r="I48" s="49">
        <f>IF($A48&lt;&gt;"",PERCENTRANK('Team Scores'!H$3:H$955, 'Team Scores'!H47, 3) * I$2, "")</f>
        <v>0</v>
      </c>
      <c r="J48" s="49">
        <f>IF($A48&lt;&gt;"",PERCENTRANK('Team Scores'!I$3:I$955, 'Team Scores'!I47, 3) * J$2, "")</f>
        <v>0.79600000000000004</v>
      </c>
      <c r="K48" s="49">
        <f>IF($A48&lt;&gt;"",PERCENTRANK('Team Scores'!J$3:J$955, 'Team Scores'!J47, 3) * K$2, "")</f>
        <v>0.20300000000000001</v>
      </c>
      <c r="L48" s="49">
        <f>IF($A48&lt;&gt;"",PERCENTRANK('Team Scores'!K$3:K$955, 'Team Scores'!K47, 3) * L$2, "")</f>
        <v>0.51800000000000002</v>
      </c>
      <c r="M48" s="49">
        <f>IF($A48&lt;&gt;"",PERCENTRANK('Team Scores'!L$3:L$955, 'Team Scores'!L47, 3) * M$2, "")</f>
        <v>0.16600000000000001</v>
      </c>
      <c r="N48" s="49">
        <f>IF($A48&lt;&gt;"",PERCENTRANK('Team Scores'!M$3:M$955, 'Team Scores'!M47, 3) * N$2, "")</f>
        <v>5.5E-2</v>
      </c>
      <c r="O48" s="49">
        <f>IF($A48&lt;&gt;"",PERCENTRANK('Team Scores'!N$3:N$955, 'Team Scores'!N47, 3) * O$2, "")</f>
        <v>0.222</v>
      </c>
      <c r="P48" s="49">
        <f>IF($A48&lt;&gt;"",PERCENTRANK('Team Scores'!O$3:O$955, 'Team Scores'!O47, 3) * P$2, "")</f>
        <v>0.29599999999999999</v>
      </c>
      <c r="Q48" s="49">
        <f>IF($A48&lt;&gt;"",PERCENTRANK('Team Scores'!P$3:P$955, 'Team Scores'!P47, 3) * Q$2, "")</f>
        <v>1.7999999999999999E-2</v>
      </c>
      <c r="R48" s="49">
        <f>IF($A48&lt;&gt;"",PERCENTRANK('Team Scores'!Q$3:Q$955, 'Team Scores'!Q47, 3) * R$2, "")</f>
        <v>0.24</v>
      </c>
      <c r="S48" s="49">
        <f>IF($A48&lt;&gt;"",PERCENTRANK('Team Scores'!R$3:R$955, 'Team Scores'!R47, 3) * S$2, "")</f>
        <v>0.74</v>
      </c>
      <c r="T48" s="49">
        <f>IF($A48&lt;&gt;"",PERCENTRANK('Team Scores'!S$3:S$955, 'Team Scores'!S47, 3) * T$2, "")</f>
        <v>0.75900000000000001</v>
      </c>
      <c r="U48" s="49">
        <f>IF($A48&lt;&gt;"",PERCENTRANK('Team Scores'!T$3:T$955, 'Team Scores'!T47, 3) * U$2, "")</f>
        <v>0.46200000000000002</v>
      </c>
      <c r="V48" s="49">
        <f>IF($A48&lt;&gt;"",PERCENTRANK('Team Scores'!U$3:U$955, 'Team Scores'!U47, 3) * V$2, "")</f>
        <v>9.1999999999999998E-2</v>
      </c>
      <c r="W48" s="49">
        <f>IF($A48&lt;&gt;"",PERCENTRANK('Team Scores'!V$3:V$955, 'Team Scores'!V47, 3) * W$2, "")</f>
        <v>0.83299999999999996</v>
      </c>
      <c r="X48" s="49">
        <f>IF($A48&lt;&gt;"",PERCENTRANK('Team Scores'!W$3:W$955, 'Team Scores'!W47, 3) * X$2, "")</f>
        <v>0.53700000000000003</v>
      </c>
      <c r="Y48" s="49">
        <f>IF($A48&lt;&gt;"",PERCENTRANK('Team Scores'!X$3:X$955, 'Team Scores'!X47, 3) * Y$2, "")</f>
        <v>7.3999999999999996E-2</v>
      </c>
      <c r="Z48" s="49">
        <f>IF($A48&lt;&gt;"",PERCENTRANK('Team Scores'!Y$3:Y$955, 'Team Scores'!Y47, 3) * Z$2, "")</f>
        <v>1.7999999999999999E-2</v>
      </c>
      <c r="AA48" s="49">
        <f>IF($A48&lt;&gt;"",PERCENTRANK('Team Scores'!Z$3:Z$955, 'Team Scores'!Z47, 3) * AA$2, "")</f>
        <v>9.1999999999999998E-2</v>
      </c>
      <c r="AB48" s="49">
        <f>IF($A48&lt;&gt;"",PERCENTRANK('Team Scores'!AA$3:AA$955, 'Team Scores'!AA47, 3) * AB$2, "")</f>
        <v>9.1999999999999998E-2</v>
      </c>
    </row>
    <row r="49" spans="1:28" x14ac:dyDescent="0.2">
      <c r="A49" s="52">
        <f>IF('TBA-Teams'!A47 &lt;&gt; "", 'TBA-Teams'!A47, "")</f>
        <v>6423</v>
      </c>
      <c r="B49" s="53">
        <f>IF(A49&lt;&gt;"",SUM(C49:AB49),"")</f>
        <v>8.7850000000000019</v>
      </c>
      <c r="C49" s="49">
        <f>IF($A49&lt;&gt;"",PERCENTRANK('Team Scores'!B$3:B$955, 'Team Scores'!B48, 3) * C$2, "")</f>
        <v>0</v>
      </c>
      <c r="D49" s="49">
        <f>IF($A49&lt;&gt;"",PERCENTRANK('Team Scores'!C$3:C$955, 'Team Scores'!C48, 3) * D$2, "")</f>
        <v>0.64800000000000002</v>
      </c>
      <c r="E49" s="49">
        <f>IF($A49&lt;&gt;"",PERCENTRANK('Team Scores'!D$3:D$955, 'Team Scores'!D48, 3) * E$2, "")</f>
        <v>0.27700000000000002</v>
      </c>
      <c r="F49" s="49">
        <f>IF($A49&lt;&gt;"",PERCENTRANK('Team Scores'!E$3:E$955, 'Team Scores'!E48, 3) * F$2, "")</f>
        <v>0</v>
      </c>
      <c r="G49" s="49">
        <f>IF($A49&lt;&gt;"",PERCENTRANK('Team Scores'!F$3:F$955, 'Team Scores'!F48, 3) * G$2, "")</f>
        <v>0.79600000000000004</v>
      </c>
      <c r="H49" s="49">
        <f>IF($A49&lt;&gt;"",PERCENTRANK('Team Scores'!G$3:G$955, 'Team Scores'!G48, 3) * H$2, "")</f>
        <v>0.88800000000000001</v>
      </c>
      <c r="I49" s="49">
        <f>IF($A49&lt;&gt;"",PERCENTRANK('Team Scores'!H$3:H$955, 'Team Scores'!H48, 3) * I$2, "")</f>
        <v>0.37</v>
      </c>
      <c r="J49" s="49">
        <f>IF($A49&lt;&gt;"",PERCENTRANK('Team Scores'!I$3:I$955, 'Team Scores'!I48, 3) * J$2, "")</f>
        <v>0.51800000000000002</v>
      </c>
      <c r="K49" s="49">
        <f>IF($A49&lt;&gt;"",PERCENTRANK('Team Scores'!J$3:J$955, 'Team Scores'!J48, 3) * K$2, "")</f>
        <v>0.629</v>
      </c>
      <c r="L49" s="49">
        <f>IF($A49&lt;&gt;"",PERCENTRANK('Team Scores'!K$3:K$955, 'Team Scores'!K48, 3) * L$2, "")</f>
        <v>0.29599999999999999</v>
      </c>
      <c r="M49" s="49">
        <f>IF($A49&lt;&gt;"",PERCENTRANK('Team Scores'!L$3:L$955, 'Team Scores'!L48, 3) * M$2, "")</f>
        <v>0.16600000000000001</v>
      </c>
      <c r="N49" s="49">
        <f>IF($A49&lt;&gt;"",PERCENTRANK('Team Scores'!M$3:M$955, 'Team Scores'!M48, 3) * N$2, "")</f>
        <v>5.5E-2</v>
      </c>
      <c r="O49" s="49">
        <f>IF($A49&lt;&gt;"",PERCENTRANK('Team Scores'!N$3:N$955, 'Team Scores'!N48, 3) * O$2, "")</f>
        <v>0.222</v>
      </c>
      <c r="P49" s="49">
        <f>IF($A49&lt;&gt;"",PERCENTRANK('Team Scores'!O$3:O$955, 'Team Scores'!O48, 3) * P$2, "")</f>
        <v>0.90700000000000003</v>
      </c>
      <c r="Q49" s="49">
        <f>IF($A49&lt;&gt;"",PERCENTRANK('Team Scores'!P$3:P$955, 'Team Scores'!P48, 3) * Q$2, "")</f>
        <v>0.42499999999999999</v>
      </c>
      <c r="R49" s="49">
        <f>IF($A49&lt;&gt;"",PERCENTRANK('Team Scores'!Q$3:Q$955, 'Team Scores'!Q48, 3) * R$2, "")</f>
        <v>0.24</v>
      </c>
      <c r="S49" s="49">
        <f>IF($A49&lt;&gt;"",PERCENTRANK('Team Scores'!R$3:R$955, 'Team Scores'!R48, 3) * S$2, "")</f>
        <v>0.129</v>
      </c>
      <c r="T49" s="49">
        <f>IF($A49&lt;&gt;"",PERCENTRANK('Team Scores'!S$3:S$955, 'Team Scores'!S48, 3) * T$2, "")</f>
        <v>0.44400000000000001</v>
      </c>
      <c r="U49" s="49">
        <f>IF($A49&lt;&gt;"",PERCENTRANK('Team Scores'!T$3:T$955, 'Team Scores'!T48, 3) * U$2, "")</f>
        <v>9.1999999999999998E-2</v>
      </c>
      <c r="V49" s="49">
        <f>IF($A49&lt;&gt;"",PERCENTRANK('Team Scores'!U$3:U$955, 'Team Scores'!U48, 3) * V$2, "")</f>
        <v>3.6999999999999998E-2</v>
      </c>
      <c r="W49" s="49">
        <f>IF($A49&lt;&gt;"",PERCENTRANK('Team Scores'!V$3:V$955, 'Team Scores'!V48, 3) * W$2, "")</f>
        <v>0.129</v>
      </c>
      <c r="X49" s="49">
        <f>IF($A49&lt;&gt;"",PERCENTRANK('Team Scores'!W$3:W$955, 'Team Scores'!W48, 3) * X$2, "")</f>
        <v>0.111</v>
      </c>
      <c r="Y49" s="49">
        <f>IF($A49&lt;&gt;"",PERCENTRANK('Team Scores'!X$3:X$955, 'Team Scores'!X48, 3) * Y$2, "")</f>
        <v>0.74</v>
      </c>
      <c r="Z49" s="49">
        <f>IF($A49&lt;&gt;"",PERCENTRANK('Team Scores'!Y$3:Y$955, 'Team Scores'!Y48, 3) * Z$2, "")</f>
        <v>0.59199999999999997</v>
      </c>
      <c r="AA49" s="49">
        <f>IF($A49&lt;&gt;"",PERCENTRANK('Team Scores'!Z$3:Z$955, 'Team Scores'!Z48, 3) * AA$2, "")</f>
        <v>3.6999999999999998E-2</v>
      </c>
      <c r="AB49" s="49">
        <f>IF($A49&lt;&gt;"",PERCENTRANK('Team Scores'!AA$3:AA$955, 'Team Scores'!AA48, 3) * AB$2, "")</f>
        <v>3.6999999999999998E-2</v>
      </c>
    </row>
    <row r="50" spans="1:28" x14ac:dyDescent="0.2">
      <c r="A50" s="52">
        <f>IF('TBA-Teams'!A48 &lt;&gt; "", 'TBA-Teams'!A48, "")</f>
        <v>6868</v>
      </c>
      <c r="B50" s="53">
        <f>IF(A50&lt;&gt;"",SUM(C50:AB50),"")</f>
        <v>8.490000000000002</v>
      </c>
      <c r="C50" s="49">
        <f>IF($A50&lt;&gt;"",PERCENTRANK('Team Scores'!B$3:B$955, 'Team Scores'!B49, 3) * C$2, "")</f>
        <v>0</v>
      </c>
      <c r="D50" s="49">
        <f>IF($A50&lt;&gt;"",PERCENTRANK('Team Scores'!C$3:C$955, 'Team Scores'!C49, 3) * D$2, "")</f>
        <v>0.29599999999999999</v>
      </c>
      <c r="E50" s="49">
        <f>IF($A50&lt;&gt;"",PERCENTRANK('Team Scores'!D$3:D$955, 'Team Scores'!D49, 3) * E$2, "")</f>
        <v>0.27700000000000002</v>
      </c>
      <c r="F50" s="49">
        <f>IF($A50&lt;&gt;"",PERCENTRANK('Team Scores'!E$3:E$955, 'Team Scores'!E49, 3) * F$2, "")</f>
        <v>0.55500000000000005</v>
      </c>
      <c r="G50" s="49">
        <f>IF($A50&lt;&gt;"",PERCENTRANK('Team Scores'!F$3:F$955, 'Team Scores'!F49, 3) * G$2, "")</f>
        <v>0</v>
      </c>
      <c r="H50" s="49">
        <f>IF($A50&lt;&gt;"",PERCENTRANK('Team Scores'!G$3:G$955, 'Team Scores'!G49, 3) * H$2, "")</f>
        <v>0.61099999999999999</v>
      </c>
      <c r="I50" s="49">
        <f>IF($A50&lt;&gt;"",PERCENTRANK('Team Scores'!H$3:H$955, 'Team Scores'!H49, 3) * I$2, "")</f>
        <v>0.88800000000000001</v>
      </c>
      <c r="J50" s="49">
        <f>IF($A50&lt;&gt;"",PERCENTRANK('Team Scores'!I$3:I$955, 'Team Scores'!I49, 3) * J$2, "")</f>
        <v>1.7999999999999999E-2</v>
      </c>
      <c r="K50" s="49">
        <f>IF($A50&lt;&gt;"",PERCENTRANK('Team Scores'!J$3:J$955, 'Team Scores'!J49, 3) * K$2, "")</f>
        <v>0.20300000000000001</v>
      </c>
      <c r="L50" s="49">
        <f>IF($A50&lt;&gt;"",PERCENTRANK('Team Scores'!K$3:K$955, 'Team Scores'!K49, 3) * L$2, "")</f>
        <v>0.129</v>
      </c>
      <c r="M50" s="49">
        <f>IF($A50&lt;&gt;"",PERCENTRANK('Team Scores'!L$3:L$955, 'Team Scores'!L49, 3) * M$2, "")</f>
        <v>0.46200000000000002</v>
      </c>
      <c r="N50" s="49">
        <f>IF($A50&lt;&gt;"",PERCENTRANK('Team Scores'!M$3:M$955, 'Team Scores'!M49, 3) * N$2, "")</f>
        <v>5.5E-2</v>
      </c>
      <c r="O50" s="49">
        <f>IF($A50&lt;&gt;"",PERCENTRANK('Team Scores'!N$3:N$955, 'Team Scores'!N49, 3) * O$2, "")</f>
        <v>0</v>
      </c>
      <c r="P50" s="49">
        <f>IF($A50&lt;&gt;"",PERCENTRANK('Team Scores'!O$3:O$955, 'Team Scores'!O49, 3) * P$2, "")</f>
        <v>0.53700000000000003</v>
      </c>
      <c r="Q50" s="49">
        <f>IF($A50&lt;&gt;"",PERCENTRANK('Team Scores'!P$3:P$955, 'Team Scores'!P49, 3) * Q$2, "")</f>
        <v>0</v>
      </c>
      <c r="R50" s="49">
        <f>IF($A50&lt;&gt;"",PERCENTRANK('Team Scores'!Q$3:Q$955, 'Team Scores'!Q49, 3) * R$2, "")</f>
        <v>0.24</v>
      </c>
      <c r="S50" s="49">
        <f>IF($A50&lt;&gt;"",PERCENTRANK('Team Scores'!R$3:R$955, 'Team Scores'!R49, 3) * S$2, "")</f>
        <v>0.74</v>
      </c>
      <c r="T50" s="49">
        <f>IF($A50&lt;&gt;"",PERCENTRANK('Team Scores'!S$3:S$955, 'Team Scores'!S49, 3) * T$2, "")</f>
        <v>0.75900000000000001</v>
      </c>
      <c r="U50" s="49">
        <f>IF($A50&lt;&gt;"",PERCENTRANK('Team Scores'!T$3:T$955, 'Team Scores'!T49, 3) * U$2, "")</f>
        <v>0.70299999999999996</v>
      </c>
      <c r="V50" s="49">
        <f>IF($A50&lt;&gt;"",PERCENTRANK('Team Scores'!U$3:U$955, 'Team Scores'!U49, 3) * V$2, "")</f>
        <v>0.111</v>
      </c>
      <c r="W50" s="49">
        <f>IF($A50&lt;&gt;"",PERCENTRANK('Team Scores'!V$3:V$955, 'Team Scores'!V49, 3) * W$2, "")</f>
        <v>0.90700000000000003</v>
      </c>
      <c r="X50" s="49">
        <f>IF($A50&lt;&gt;"",PERCENTRANK('Team Scores'!W$3:W$955, 'Team Scores'!W49, 3) * X$2, "")</f>
        <v>0.48099999999999998</v>
      </c>
      <c r="Y50" s="49">
        <f>IF($A50&lt;&gt;"",PERCENTRANK('Team Scores'!X$3:X$955, 'Team Scores'!X49, 3) * Y$2, "")</f>
        <v>0.29599999999999999</v>
      </c>
      <c r="Z50" s="49">
        <f>IF($A50&lt;&gt;"",PERCENTRANK('Team Scores'!Y$3:Y$955, 'Team Scores'!Y49, 3) * Z$2, "")</f>
        <v>0</v>
      </c>
      <c r="AA50" s="49">
        <f>IF($A50&lt;&gt;"",PERCENTRANK('Team Scores'!Z$3:Z$955, 'Team Scores'!Z49, 3) * AA$2, "")</f>
        <v>0.111</v>
      </c>
      <c r="AB50" s="49">
        <f>IF($A50&lt;&gt;"",PERCENTRANK('Team Scores'!AA$3:AA$955, 'Team Scores'!AA49, 3) * AB$2, "")</f>
        <v>0.111</v>
      </c>
    </row>
    <row r="51" spans="1:28" x14ac:dyDescent="0.2">
      <c r="A51" s="52">
        <f>IF('TBA-Teams'!A49 &lt;&gt; "", 'TBA-Teams'!A49, "")</f>
        <v>6947</v>
      </c>
      <c r="B51" s="53">
        <f>IF(A51&lt;&gt;"",SUM(C51:AB51),"")</f>
        <v>13.970000000000002</v>
      </c>
      <c r="C51" s="49">
        <f>IF($A51&lt;&gt;"",PERCENTRANK('Team Scores'!B$3:B$955, 'Team Scores'!B50, 3) * C$2, "")</f>
        <v>0</v>
      </c>
      <c r="D51" s="49">
        <f>IF($A51&lt;&gt;"",PERCENTRANK('Team Scores'!C$3:C$955, 'Team Scores'!C50, 3) * D$2, "")</f>
        <v>0.87</v>
      </c>
      <c r="E51" s="49">
        <f>IF($A51&lt;&gt;"",PERCENTRANK('Team Scores'!D$3:D$955, 'Team Scores'!D50, 3) * E$2, "")</f>
        <v>0.27700000000000002</v>
      </c>
      <c r="F51" s="49">
        <f>IF($A51&lt;&gt;"",PERCENTRANK('Team Scores'!E$3:E$955, 'Team Scores'!E50, 3) * F$2, "")</f>
        <v>0.55500000000000005</v>
      </c>
      <c r="G51" s="49">
        <f>IF($A51&lt;&gt;"",PERCENTRANK('Team Scores'!F$3:F$955, 'Team Scores'!F50, 3) * G$2, "")</f>
        <v>0.79600000000000004</v>
      </c>
      <c r="H51" s="49">
        <f>IF($A51&lt;&gt;"",PERCENTRANK('Team Scores'!G$3:G$955, 'Team Scores'!G50, 3) * H$2, "")</f>
        <v>0.94399999999999995</v>
      </c>
      <c r="I51" s="49">
        <f>IF($A51&lt;&gt;"",PERCENTRANK('Team Scores'!H$3:H$955, 'Team Scores'!H50, 3) * I$2, "")</f>
        <v>9.1999999999999998E-2</v>
      </c>
      <c r="J51" s="49">
        <f>IF($A51&lt;&gt;"",PERCENTRANK('Team Scores'!I$3:I$955, 'Team Scores'!I50, 3) * J$2, "")</f>
        <v>0.25900000000000001</v>
      </c>
      <c r="K51" s="49">
        <f>IF($A51&lt;&gt;"",PERCENTRANK('Team Scores'!J$3:J$955, 'Team Scores'!J50, 3) * K$2, "")</f>
        <v>0.629</v>
      </c>
      <c r="L51" s="49">
        <f>IF($A51&lt;&gt;"",PERCENTRANK('Team Scores'!K$3:K$955, 'Team Scores'!K50, 3) * L$2, "")</f>
        <v>0.83299999999999996</v>
      </c>
      <c r="M51" s="49">
        <f>IF($A51&lt;&gt;"",PERCENTRANK('Team Scores'!L$3:L$955, 'Team Scores'!L50, 3) * M$2, "")</f>
        <v>0</v>
      </c>
      <c r="N51" s="49">
        <f>IF($A51&lt;&gt;"",PERCENTRANK('Team Scores'!M$3:M$955, 'Team Scores'!M50, 3) * N$2, "")</f>
        <v>1.7999999999999999E-2</v>
      </c>
      <c r="O51" s="49">
        <f>IF($A51&lt;&gt;"",PERCENTRANK('Team Scores'!N$3:N$955, 'Team Scores'!N50, 3) * O$2, "")</f>
        <v>0.98099999999999998</v>
      </c>
      <c r="P51" s="49">
        <f>IF($A51&lt;&gt;"",PERCENTRANK('Team Scores'!O$3:O$955, 'Team Scores'!O50, 3) * P$2, "")</f>
        <v>9.1999999999999998E-2</v>
      </c>
      <c r="Q51" s="49">
        <f>IF($A51&lt;&gt;"",PERCENTRANK('Team Scores'!P$3:P$955, 'Team Scores'!P50, 3) * Q$2, "")</f>
        <v>0.94399999999999995</v>
      </c>
      <c r="R51" s="49">
        <f>IF($A51&lt;&gt;"",PERCENTRANK('Team Scores'!Q$3:Q$955, 'Team Scores'!Q50, 3) * R$2, "")</f>
        <v>3.6999999999999998E-2</v>
      </c>
      <c r="S51" s="49">
        <f>IF($A51&lt;&gt;"",PERCENTRANK('Team Scores'!R$3:R$955, 'Team Scores'!R50, 3) * S$2, "")</f>
        <v>0.90700000000000003</v>
      </c>
      <c r="T51" s="49">
        <f>IF($A51&lt;&gt;"",PERCENTRANK('Team Scores'!S$3:S$955, 'Team Scores'!S50, 3) * T$2, "")</f>
        <v>0.75900000000000001</v>
      </c>
      <c r="U51" s="49">
        <f>IF($A51&lt;&gt;"",PERCENTRANK('Team Scores'!T$3:T$955, 'Team Scores'!T50, 3) * U$2, "")</f>
        <v>0.46200000000000002</v>
      </c>
      <c r="V51" s="49">
        <f>IF($A51&lt;&gt;"",PERCENTRANK('Team Scores'!U$3:U$955, 'Team Scores'!U50, 3) * V$2, "")</f>
        <v>0.59199999999999997</v>
      </c>
      <c r="W51" s="49">
        <f>IF($A51&lt;&gt;"",PERCENTRANK('Team Scores'!V$3:V$955, 'Team Scores'!V50, 3) * W$2, "")</f>
        <v>0.90700000000000003</v>
      </c>
      <c r="X51" s="49">
        <f>IF($A51&lt;&gt;"",PERCENTRANK('Team Scores'!W$3:W$955, 'Team Scores'!W50, 3) * X$2, "")</f>
        <v>0.68500000000000005</v>
      </c>
      <c r="Y51" s="49">
        <f>IF($A51&lt;&gt;"",PERCENTRANK('Team Scores'!X$3:X$955, 'Team Scores'!X50, 3) * Y$2, "")</f>
        <v>0.20300000000000001</v>
      </c>
      <c r="Z51" s="49">
        <f>IF($A51&lt;&gt;"",PERCENTRANK('Team Scores'!Y$3:Y$955, 'Team Scores'!Y50, 3) * Z$2, "")</f>
        <v>0.94399999999999995</v>
      </c>
      <c r="AA51" s="49">
        <f>IF($A51&lt;&gt;"",PERCENTRANK('Team Scores'!Z$3:Z$955, 'Team Scores'!Z50, 3) * AA$2, "")</f>
        <v>0.59199999999999997</v>
      </c>
      <c r="AB51" s="49">
        <f>IF($A51&lt;&gt;"",PERCENTRANK('Team Scores'!AA$3:AA$955, 'Team Scores'!AA50, 3) * AB$2, "")</f>
        <v>0.59199999999999997</v>
      </c>
    </row>
    <row r="52" spans="1:28" x14ac:dyDescent="0.2">
      <c r="A52" s="52">
        <f>IF('TBA-Teams'!A50 &lt;&gt; "", 'TBA-Teams'!A50, "")</f>
        <v>7030</v>
      </c>
      <c r="B52" s="53">
        <f>IF(A52&lt;&gt;"",SUM(C52:AB52),"")</f>
        <v>10.579000000000001</v>
      </c>
      <c r="C52" s="49">
        <f>IF($A52&lt;&gt;"",PERCENTRANK('Team Scores'!B$3:B$955, 'Team Scores'!B51, 3) * C$2, "")</f>
        <v>0</v>
      </c>
      <c r="D52" s="49">
        <f>IF($A52&lt;&gt;"",PERCENTRANK('Team Scores'!C$3:C$955, 'Team Scores'!C51, 3) * D$2, "")</f>
        <v>0.46200000000000002</v>
      </c>
      <c r="E52" s="49">
        <f>IF($A52&lt;&gt;"",PERCENTRANK('Team Scores'!D$3:D$955, 'Team Scores'!D51, 3) * E$2, "")</f>
        <v>0.42499999999999999</v>
      </c>
      <c r="F52" s="49">
        <f>IF($A52&lt;&gt;"",PERCENTRANK('Team Scores'!E$3:E$955, 'Team Scores'!E51, 3) * F$2, "")</f>
        <v>0.68500000000000005</v>
      </c>
      <c r="G52" s="49">
        <f>IF($A52&lt;&gt;"",PERCENTRANK('Team Scores'!F$3:F$955, 'Team Scores'!F51, 3) * G$2, "")</f>
        <v>0.24</v>
      </c>
      <c r="H52" s="49">
        <f>IF($A52&lt;&gt;"",PERCENTRANK('Team Scores'!G$3:G$955, 'Team Scores'!G51, 3) * H$2, "")</f>
        <v>0.14799999999999999</v>
      </c>
      <c r="I52" s="49">
        <f>IF($A52&lt;&gt;"",PERCENTRANK('Team Scores'!H$3:H$955, 'Team Scores'!H51, 3) * I$2, "")</f>
        <v>0.129</v>
      </c>
      <c r="J52" s="49">
        <f>IF($A52&lt;&gt;"",PERCENTRANK('Team Scores'!I$3:I$955, 'Team Scores'!I51, 3) * J$2, "")</f>
        <v>0.51800000000000002</v>
      </c>
      <c r="K52" s="49">
        <f>IF($A52&lt;&gt;"",PERCENTRANK('Team Scores'!J$3:J$955, 'Team Scores'!J51, 3) * K$2, "")</f>
        <v>9.1999999999999998E-2</v>
      </c>
      <c r="L52" s="49">
        <f>IF($A52&lt;&gt;"",PERCENTRANK('Team Scores'!K$3:K$955, 'Team Scores'!K51, 3) * L$2, "")</f>
        <v>0.51800000000000002</v>
      </c>
      <c r="M52" s="49">
        <f>IF($A52&lt;&gt;"",PERCENTRANK('Team Scores'!L$3:L$955, 'Team Scores'!L51, 3) * M$2, "")</f>
        <v>0.46200000000000002</v>
      </c>
      <c r="N52" s="49">
        <f>IF($A52&lt;&gt;"",PERCENTRANK('Team Scores'!M$3:M$955, 'Team Scores'!M51, 3) * N$2, "")</f>
        <v>0.74</v>
      </c>
      <c r="O52" s="49">
        <f>IF($A52&lt;&gt;"",PERCENTRANK('Team Scores'!N$3:N$955, 'Team Scores'!N51, 3) * O$2, "")</f>
        <v>0.44400000000000001</v>
      </c>
      <c r="P52" s="49">
        <f>IF($A52&lt;&gt;"",PERCENTRANK('Team Scores'!O$3:O$955, 'Team Scores'!O51, 3) * P$2, "")</f>
        <v>0.77700000000000002</v>
      </c>
      <c r="Q52" s="49">
        <f>IF($A52&lt;&gt;"",PERCENTRANK('Team Scores'!P$3:P$955, 'Team Scores'!P51, 3) * Q$2, "")</f>
        <v>0.79600000000000004</v>
      </c>
      <c r="R52" s="49">
        <f>IF($A52&lt;&gt;"",PERCENTRANK('Team Scores'!Q$3:Q$955, 'Team Scores'!Q51, 3) * R$2, "")</f>
        <v>0.24</v>
      </c>
      <c r="S52" s="49">
        <f>IF($A52&lt;&gt;"",PERCENTRANK('Team Scores'!R$3:R$955, 'Team Scores'!R51, 3) * S$2, "")</f>
        <v>0.129</v>
      </c>
      <c r="T52" s="49">
        <f>IF($A52&lt;&gt;"",PERCENTRANK('Team Scores'!S$3:S$955, 'Team Scores'!S51, 3) * T$2, "")</f>
        <v>5.5E-2</v>
      </c>
      <c r="U52" s="49">
        <f>IF($A52&lt;&gt;"",PERCENTRANK('Team Scores'!T$3:T$955, 'Team Scores'!T51, 3) * U$2, "")</f>
        <v>3.6999999999999998E-2</v>
      </c>
      <c r="V52" s="49">
        <f>IF($A52&lt;&gt;"",PERCENTRANK('Team Scores'!U$3:U$955, 'Team Scores'!U51, 3) * V$2, "")</f>
        <v>0.68500000000000005</v>
      </c>
      <c r="W52" s="49">
        <f>IF($A52&lt;&gt;"",PERCENTRANK('Team Scores'!V$3:V$955, 'Team Scores'!V51, 3) * W$2, "")</f>
        <v>0</v>
      </c>
      <c r="X52" s="49">
        <f>IF($A52&lt;&gt;"",PERCENTRANK('Team Scores'!W$3:W$955, 'Team Scores'!W51, 3) * X$2, "")</f>
        <v>0.68500000000000005</v>
      </c>
      <c r="Y52" s="49">
        <f>IF($A52&lt;&gt;"",PERCENTRANK('Team Scores'!X$3:X$955, 'Team Scores'!X51, 3) * Y$2, "")</f>
        <v>0.129</v>
      </c>
      <c r="Z52" s="49">
        <f>IF($A52&lt;&gt;"",PERCENTRANK('Team Scores'!Y$3:Y$955, 'Team Scores'!Y51, 3) * Z$2, "")</f>
        <v>0.85099999999999998</v>
      </c>
      <c r="AA52" s="49">
        <f>IF($A52&lt;&gt;"",PERCENTRANK('Team Scores'!Z$3:Z$955, 'Team Scores'!Z51, 3) * AA$2, "")</f>
        <v>0.66600000000000004</v>
      </c>
      <c r="AB52" s="49">
        <f>IF($A52&lt;&gt;"",PERCENTRANK('Team Scores'!AA$3:AA$955, 'Team Scores'!AA51, 3) * AB$2, "")</f>
        <v>0.66600000000000004</v>
      </c>
    </row>
    <row r="53" spans="1:28" x14ac:dyDescent="0.2">
      <c r="A53" s="52">
        <f>IF('TBA-Teams'!A51 &lt;&gt; "", 'TBA-Teams'!A51, "")</f>
        <v>7903</v>
      </c>
      <c r="B53" s="53">
        <f>IF(A53&lt;&gt;"",SUM(C53:AB53),"")</f>
        <v>13.745999999999999</v>
      </c>
      <c r="C53" s="49">
        <f>IF($A53&lt;&gt;"",PERCENTRANK('Team Scores'!B$3:B$955, 'Team Scores'!B52, 3) * C$2, "")</f>
        <v>0.96199999999999997</v>
      </c>
      <c r="D53" s="49">
        <f>IF($A53&lt;&gt;"",PERCENTRANK('Team Scores'!C$3:C$955, 'Team Scores'!C52, 3) * D$2, "")</f>
        <v>0.46200000000000002</v>
      </c>
      <c r="E53" s="49">
        <f>IF($A53&lt;&gt;"",PERCENTRANK('Team Scores'!D$3:D$955, 'Team Scores'!D52, 3) * E$2, "")</f>
        <v>0.75900000000000001</v>
      </c>
      <c r="F53" s="49">
        <f>IF($A53&lt;&gt;"",PERCENTRANK('Team Scores'!E$3:E$955, 'Team Scores'!E52, 3) * F$2, "")</f>
        <v>0.68500000000000005</v>
      </c>
      <c r="G53" s="49">
        <f>IF($A53&lt;&gt;"",PERCENTRANK('Team Scores'!F$3:F$955, 'Team Scores'!F52, 3) * G$2, "")</f>
        <v>0.92500000000000004</v>
      </c>
      <c r="H53" s="49">
        <f>IF($A53&lt;&gt;"",PERCENTRANK('Team Scores'!G$3:G$955, 'Team Scores'!G52, 3) * H$2, "")</f>
        <v>0</v>
      </c>
      <c r="I53" s="49">
        <f>IF($A53&lt;&gt;"",PERCENTRANK('Team Scores'!H$3:H$955, 'Team Scores'!H52, 3) * I$2, "")</f>
        <v>0.222</v>
      </c>
      <c r="J53" s="49">
        <f>IF($A53&lt;&gt;"",PERCENTRANK('Team Scores'!I$3:I$955, 'Team Scores'!I52, 3) * J$2, "")</f>
        <v>0.51800000000000002</v>
      </c>
      <c r="K53" s="49">
        <f>IF($A53&lt;&gt;"",PERCENTRANK('Team Scores'!J$3:J$955, 'Team Scores'!J52, 3) * K$2, "")</f>
        <v>0.83299999999999996</v>
      </c>
      <c r="L53" s="49">
        <f>IF($A53&lt;&gt;"",PERCENTRANK('Team Scores'!K$3:K$955, 'Team Scores'!K52, 3) * L$2, "")</f>
        <v>1</v>
      </c>
      <c r="M53" s="49">
        <f>IF($A53&lt;&gt;"",PERCENTRANK('Team Scores'!L$3:L$955, 'Team Scores'!L52, 3) * M$2, "")</f>
        <v>0.16600000000000001</v>
      </c>
      <c r="N53" s="49">
        <f>IF($A53&lt;&gt;"",PERCENTRANK('Team Scores'!M$3:M$955, 'Team Scores'!M52, 3) * N$2, "")</f>
        <v>5.5E-2</v>
      </c>
      <c r="O53" s="49">
        <f>IF($A53&lt;&gt;"",PERCENTRANK('Team Scores'!N$3:N$955, 'Team Scores'!N52, 3) * O$2, "")</f>
        <v>0.70299999999999996</v>
      </c>
      <c r="P53" s="49">
        <f>IF($A53&lt;&gt;"",PERCENTRANK('Team Scores'!O$3:O$955, 'Team Scores'!O52, 3) * P$2, "")</f>
        <v>0.29599999999999999</v>
      </c>
      <c r="Q53" s="49">
        <f>IF($A53&lt;&gt;"",PERCENTRANK('Team Scores'!P$3:P$955, 'Team Scores'!P52, 3) * Q$2, "")</f>
        <v>0.94399999999999995</v>
      </c>
      <c r="R53" s="49">
        <f>IF($A53&lt;&gt;"",PERCENTRANK('Team Scores'!Q$3:Q$955, 'Team Scores'!Q52, 3) * R$2, "")</f>
        <v>0.70299999999999996</v>
      </c>
      <c r="S53" s="49">
        <f>IF($A53&lt;&gt;"",PERCENTRANK('Team Scores'!R$3:R$955, 'Team Scores'!R52, 3) * S$2, "")</f>
        <v>0.27700000000000002</v>
      </c>
      <c r="T53" s="49">
        <f>IF($A53&lt;&gt;"",PERCENTRANK('Team Scores'!S$3:S$955, 'Team Scores'!S52, 3) * T$2, "")</f>
        <v>5.5E-2</v>
      </c>
      <c r="U53" s="49">
        <f>IF($A53&lt;&gt;"",PERCENTRANK('Team Scores'!T$3:T$955, 'Team Scores'!T52, 3) * U$2, "")</f>
        <v>0.46200000000000002</v>
      </c>
      <c r="V53" s="49">
        <f>IF($A53&lt;&gt;"",PERCENTRANK('Team Scores'!U$3:U$955, 'Team Scores'!U52, 3) * V$2, "")</f>
        <v>0.40699999999999997</v>
      </c>
      <c r="W53" s="49">
        <f>IF($A53&lt;&gt;"",PERCENTRANK('Team Scores'!V$3:V$955, 'Team Scores'!V52, 3) * W$2, "")</f>
        <v>0.25900000000000001</v>
      </c>
      <c r="X53" s="49">
        <f>IF($A53&lt;&gt;"",PERCENTRANK('Team Scores'!W$3:W$955, 'Team Scores'!W52, 3) * X$2, "")</f>
        <v>0.79600000000000004</v>
      </c>
      <c r="Y53" s="49">
        <f>IF($A53&lt;&gt;"",PERCENTRANK('Team Scores'!X$3:X$955, 'Team Scores'!X52, 3) * Y$2, "")</f>
        <v>0.55500000000000005</v>
      </c>
      <c r="Z53" s="49">
        <f>IF($A53&lt;&gt;"",PERCENTRANK('Team Scores'!Y$3:Y$955, 'Team Scores'!Y52, 3) * Z$2, "")</f>
        <v>0.90700000000000003</v>
      </c>
      <c r="AA53" s="49">
        <f>IF($A53&lt;&gt;"",PERCENTRANK('Team Scores'!Z$3:Z$955, 'Team Scores'!Z52, 3) * AA$2, "")</f>
        <v>0.38800000000000001</v>
      </c>
      <c r="AB53" s="49">
        <f>IF($A53&lt;&gt;"",PERCENTRANK('Team Scores'!AA$3:AA$955, 'Team Scores'!AA52, 3) * AB$2, "")</f>
        <v>0.40699999999999997</v>
      </c>
    </row>
    <row r="54" spans="1:28" x14ac:dyDescent="0.2">
      <c r="A54" s="52">
        <f>IF('TBA-Teams'!A52 &lt;&gt; "", 'TBA-Teams'!A52, "")</f>
        <v>8503</v>
      </c>
      <c r="B54" s="53">
        <f>IF(A54&lt;&gt;"",SUM(C54:AB54),"")</f>
        <v>10.619</v>
      </c>
      <c r="C54" s="49">
        <f>IF($A54&lt;&gt;"",PERCENTRANK('Team Scores'!B$3:B$955, 'Team Scores'!B53, 3) * C$2, "")</f>
        <v>0</v>
      </c>
      <c r="D54" s="49">
        <f>IF($A54&lt;&gt;"",PERCENTRANK('Team Scores'!C$3:C$955, 'Team Scores'!C53, 3) * D$2, "")</f>
        <v>0.129</v>
      </c>
      <c r="E54" s="49">
        <f>IF($A54&lt;&gt;"",PERCENTRANK('Team Scores'!D$3:D$955, 'Team Scores'!D53, 3) * E$2, "")</f>
        <v>0.14799999999999999</v>
      </c>
      <c r="F54" s="49">
        <f>IF($A54&lt;&gt;"",PERCENTRANK('Team Scores'!E$3:E$955, 'Team Scores'!E53, 3) * F$2, "")</f>
        <v>0</v>
      </c>
      <c r="G54" s="49">
        <f>IF($A54&lt;&gt;"",PERCENTRANK('Team Scores'!F$3:F$955, 'Team Scores'!F53, 3) * G$2, "")</f>
        <v>0.111</v>
      </c>
      <c r="H54" s="49">
        <f>IF($A54&lt;&gt;"",PERCENTRANK('Team Scores'!G$3:G$955, 'Team Scores'!G53, 3) * H$2, "")</f>
        <v>0.61099999999999999</v>
      </c>
      <c r="I54" s="49">
        <f>IF($A54&lt;&gt;"",PERCENTRANK('Team Scores'!H$3:H$955, 'Team Scores'!H53, 3) * I$2, "")</f>
        <v>0.66600000000000004</v>
      </c>
      <c r="J54" s="49">
        <f>IF($A54&lt;&gt;"",PERCENTRANK('Team Scores'!I$3:I$955, 'Team Scores'!I53, 3) * J$2, "")</f>
        <v>0.51800000000000002</v>
      </c>
      <c r="K54" s="49">
        <f>IF($A54&lt;&gt;"",PERCENTRANK('Team Scores'!J$3:J$955, 'Team Scores'!J53, 3) * K$2, "")</f>
        <v>0</v>
      </c>
      <c r="L54" s="49">
        <f>IF($A54&lt;&gt;"",PERCENTRANK('Team Scores'!K$3:K$955, 'Team Scores'!K53, 3) * L$2, "")</f>
        <v>0.51800000000000002</v>
      </c>
      <c r="M54" s="49">
        <f>IF($A54&lt;&gt;"",PERCENTRANK('Team Scores'!L$3:L$955, 'Team Scores'!L53, 3) * M$2, "")</f>
        <v>0.75900000000000001</v>
      </c>
      <c r="N54" s="49">
        <f>IF($A54&lt;&gt;"",PERCENTRANK('Team Scores'!M$3:M$955, 'Team Scores'!M53, 3) * N$2, "")</f>
        <v>0.27700000000000002</v>
      </c>
      <c r="O54" s="49">
        <f>IF($A54&lt;&gt;"",PERCENTRANK('Team Scores'!N$3:N$955, 'Team Scores'!N53, 3) * O$2, "")</f>
        <v>0.70299999999999996</v>
      </c>
      <c r="P54" s="49">
        <f>IF($A54&lt;&gt;"",PERCENTRANK('Team Scores'!O$3:O$955, 'Team Scores'!O53, 3) * P$2, "")</f>
        <v>0</v>
      </c>
      <c r="Q54" s="49">
        <f>IF($A54&lt;&gt;"",PERCENTRANK('Team Scores'!P$3:P$955, 'Team Scores'!P53, 3) * Q$2, "")</f>
        <v>0.314</v>
      </c>
      <c r="R54" s="49">
        <f>IF($A54&lt;&gt;"",PERCENTRANK('Team Scores'!Q$3:Q$955, 'Team Scores'!Q53, 3) * R$2, "")</f>
        <v>0.87</v>
      </c>
      <c r="S54" s="49">
        <f>IF($A54&lt;&gt;"",PERCENTRANK('Team Scores'!R$3:R$955, 'Team Scores'!R53, 3) * S$2, "")</f>
        <v>0.53700000000000003</v>
      </c>
      <c r="T54" s="49">
        <f>IF($A54&lt;&gt;"",PERCENTRANK('Team Scores'!S$3:S$955, 'Team Scores'!S53, 3) * T$2, "")</f>
        <v>0.44400000000000001</v>
      </c>
      <c r="U54" s="49">
        <f>IF($A54&lt;&gt;"",PERCENTRANK('Team Scores'!T$3:T$955, 'Team Scores'!T53, 3) * U$2, "")</f>
        <v>0.185</v>
      </c>
      <c r="V54" s="49">
        <f>IF($A54&lt;&gt;"",PERCENTRANK('Team Scores'!U$3:U$955, 'Team Scores'!U53, 3) * V$2, "")</f>
        <v>0.85099999999999998</v>
      </c>
      <c r="W54" s="49">
        <f>IF($A54&lt;&gt;"",PERCENTRANK('Team Scores'!V$3:V$955, 'Team Scores'!V53, 3) * W$2, "")</f>
        <v>0.53700000000000003</v>
      </c>
      <c r="X54" s="49">
        <f>IF($A54&lt;&gt;"",PERCENTRANK('Team Scores'!W$3:W$955, 'Team Scores'!W53, 3) * X$2, "")</f>
        <v>0</v>
      </c>
      <c r="Y54" s="49">
        <f>IF($A54&lt;&gt;"",PERCENTRANK('Team Scores'!X$3:X$955, 'Team Scores'!X53, 3) * Y$2, "")</f>
        <v>0.42499999999999999</v>
      </c>
      <c r="Z54" s="49">
        <f>IF($A54&lt;&gt;"",PERCENTRANK('Team Scores'!Y$3:Y$955, 'Team Scores'!Y53, 3) * Z$2, "")</f>
        <v>0.314</v>
      </c>
      <c r="AA54" s="49">
        <f>IF($A54&lt;&gt;"",PERCENTRANK('Team Scores'!Z$3:Z$955, 'Team Scores'!Z53, 3) * AA$2, "")</f>
        <v>0.85099999999999998</v>
      </c>
      <c r="AB54" s="49">
        <f>IF($A54&lt;&gt;"",PERCENTRANK('Team Scores'!AA$3:AA$955, 'Team Scores'!AA53, 3) * AB$2, "")</f>
        <v>0.85099999999999998</v>
      </c>
    </row>
    <row r="55" spans="1:28" x14ac:dyDescent="0.2">
      <c r="A55" s="52">
        <f>IF('TBA-Teams'!A53 &lt;&gt; "", 'TBA-Teams'!A53, "")</f>
        <v>9016</v>
      </c>
      <c r="B55" s="53">
        <f>IF(A55&lt;&gt;"",SUM(C55:AB55),"")</f>
        <v>10.564</v>
      </c>
      <c r="C55" s="49">
        <f>IF($A55&lt;&gt;"",PERCENTRANK('Team Scores'!B$3:B$955, 'Team Scores'!B54, 3) * C$2, "")</f>
        <v>0</v>
      </c>
      <c r="D55" s="49">
        <f>IF($A55&lt;&gt;"",PERCENTRANK('Team Scores'!C$3:C$955, 'Team Scores'!C54, 3) * D$2, "")</f>
        <v>0.64800000000000002</v>
      </c>
      <c r="E55" s="49">
        <f>IF($A55&lt;&gt;"",PERCENTRANK('Team Scores'!D$3:D$955, 'Team Scores'!D54, 3) * E$2, "")</f>
        <v>0.90700000000000003</v>
      </c>
      <c r="F55" s="49">
        <f>IF($A55&lt;&gt;"",PERCENTRANK('Team Scores'!E$3:E$955, 'Team Scores'!E54, 3) * F$2, "")</f>
        <v>0.55500000000000005</v>
      </c>
      <c r="G55" s="49">
        <f>IF($A55&lt;&gt;"",PERCENTRANK('Team Scores'!F$3:F$955, 'Team Scores'!F54, 3) * G$2, "")</f>
        <v>0.111</v>
      </c>
      <c r="H55" s="49">
        <f>IF($A55&lt;&gt;"",PERCENTRANK('Team Scores'!G$3:G$955, 'Team Scores'!G54, 3) * H$2, "")</f>
        <v>0.14799999999999999</v>
      </c>
      <c r="I55" s="49">
        <f>IF($A55&lt;&gt;"",PERCENTRANK('Team Scores'!H$3:H$955, 'Team Scores'!H54, 3) * I$2, "")</f>
        <v>9.1999999999999998E-2</v>
      </c>
      <c r="J55" s="49">
        <f>IF($A55&lt;&gt;"",PERCENTRANK('Team Scores'!I$3:I$955, 'Team Scores'!I54, 3) * J$2, "")</f>
        <v>0.79600000000000004</v>
      </c>
      <c r="K55" s="49">
        <f>IF($A55&lt;&gt;"",PERCENTRANK('Team Scores'!J$3:J$955, 'Team Scores'!J54, 3) * K$2, "")</f>
        <v>0</v>
      </c>
      <c r="L55" s="49">
        <f>IF($A55&lt;&gt;"",PERCENTRANK('Team Scores'!K$3:K$955, 'Team Scores'!K54, 3) * L$2, "")</f>
        <v>0.51800000000000002</v>
      </c>
      <c r="M55" s="49">
        <f>IF($A55&lt;&gt;"",PERCENTRANK('Team Scores'!L$3:L$955, 'Team Scores'!L54, 3) * M$2, "")</f>
        <v>0.16600000000000001</v>
      </c>
      <c r="N55" s="49">
        <f>IF($A55&lt;&gt;"",PERCENTRANK('Team Scores'!M$3:M$955, 'Team Scores'!M54, 3) * N$2, "")</f>
        <v>0.46200000000000002</v>
      </c>
      <c r="O55" s="49">
        <f>IF($A55&lt;&gt;"",PERCENTRANK('Team Scores'!N$3:N$955, 'Team Scores'!N54, 3) * O$2, "")</f>
        <v>0.44400000000000001</v>
      </c>
      <c r="P55" s="49">
        <f>IF($A55&lt;&gt;"",PERCENTRANK('Team Scores'!O$3:O$955, 'Team Scores'!O54, 3) * P$2, "")</f>
        <v>0.53700000000000003</v>
      </c>
      <c r="Q55" s="49">
        <f>IF($A55&lt;&gt;"",PERCENTRANK('Team Scores'!P$3:P$955, 'Team Scores'!P54, 3) * Q$2, "")</f>
        <v>0.42499999999999999</v>
      </c>
      <c r="R55" s="49">
        <f>IF($A55&lt;&gt;"",PERCENTRANK('Team Scores'!Q$3:Q$955, 'Team Scores'!Q54, 3) * R$2, "")</f>
        <v>7.3999999999999996E-2</v>
      </c>
      <c r="S55" s="49">
        <f>IF($A55&lt;&gt;"",PERCENTRANK('Team Scores'!R$3:R$955, 'Team Scores'!R54, 3) * S$2, "")</f>
        <v>0.53700000000000003</v>
      </c>
      <c r="T55" s="49">
        <f>IF($A55&lt;&gt;"",PERCENTRANK('Team Scores'!S$3:S$955, 'Team Scores'!S54, 3) * T$2, "")</f>
        <v>0.75900000000000001</v>
      </c>
      <c r="U55" s="49">
        <f>IF($A55&lt;&gt;"",PERCENTRANK('Team Scores'!T$3:T$955, 'Team Scores'!T54, 3) * U$2, "")</f>
        <v>0.94399999999999995</v>
      </c>
      <c r="V55" s="49">
        <f>IF($A55&lt;&gt;"",PERCENTRANK('Team Scores'!U$3:U$955, 'Team Scores'!U54, 3) * V$2, "")</f>
        <v>5.5E-2</v>
      </c>
      <c r="W55" s="49">
        <f>IF($A55&lt;&gt;"",PERCENTRANK('Team Scores'!V$3:V$955, 'Team Scores'!V54, 3) * W$2, "")</f>
        <v>0.90700000000000003</v>
      </c>
      <c r="X55" s="49">
        <f>IF($A55&lt;&gt;"",PERCENTRANK('Team Scores'!W$3:W$955, 'Team Scores'!W54, 3) * X$2, "")</f>
        <v>0.88800000000000001</v>
      </c>
      <c r="Y55" s="49">
        <f>IF($A55&lt;&gt;"",PERCENTRANK('Team Scores'!X$3:X$955, 'Team Scores'!X54, 3) * Y$2, "")</f>
        <v>0</v>
      </c>
      <c r="Z55" s="49">
        <f>IF($A55&lt;&gt;"",PERCENTRANK('Team Scores'!Y$3:Y$955, 'Team Scores'!Y54, 3) * Z$2, "")</f>
        <v>0.48099999999999998</v>
      </c>
      <c r="AA55" s="49">
        <f>IF($A55&lt;&gt;"",PERCENTRANK('Team Scores'!Z$3:Z$955, 'Team Scores'!Z54, 3) * AA$2, "")</f>
        <v>5.5E-2</v>
      </c>
      <c r="AB55" s="49">
        <f>IF($A55&lt;&gt;"",PERCENTRANK('Team Scores'!AA$3:AA$955, 'Team Scores'!AA54, 3) * AB$2, "")</f>
        <v>5.5E-2</v>
      </c>
    </row>
    <row r="56" spans="1:28" x14ac:dyDescent="0.2">
      <c r="A56" s="52">
        <f>IF('TBA-Teams'!A54 &lt;&gt; "", 'TBA-Teams'!A54, "")</f>
        <v>9767</v>
      </c>
      <c r="B56" s="53">
        <f>IF(A56&lt;&gt;"",SUM(C56:AB56),"")</f>
        <v>14.044</v>
      </c>
      <c r="C56" s="49">
        <f>IF($A56&lt;&gt;"",PERCENTRANK('Team Scores'!B$3:B$955, 'Team Scores'!B55, 3) * C$2, "")</f>
        <v>0</v>
      </c>
      <c r="D56" s="49">
        <f>IF($A56&lt;&gt;"",PERCENTRANK('Team Scores'!C$3:C$955, 'Team Scores'!C55, 3) * D$2, "")</f>
        <v>0.129</v>
      </c>
      <c r="E56" s="49">
        <f>IF($A56&lt;&gt;"",PERCENTRANK('Team Scores'!D$3:D$955, 'Team Scores'!D55, 3) * E$2, "")</f>
        <v>0.75900000000000001</v>
      </c>
      <c r="F56" s="49">
        <f>IF($A56&lt;&gt;"",PERCENTRANK('Team Scores'!E$3:E$955, 'Team Scores'!E55, 3) * F$2, "")</f>
        <v>0.222</v>
      </c>
      <c r="G56" s="49">
        <f>IF($A56&lt;&gt;"",PERCENTRANK('Team Scores'!F$3:F$955, 'Team Scores'!F55, 3) * G$2, "")</f>
        <v>0.55500000000000005</v>
      </c>
      <c r="H56" s="49">
        <f>IF($A56&lt;&gt;"",PERCENTRANK('Team Scores'!G$3:G$955, 'Team Scores'!G55, 3) * H$2, "")</f>
        <v>0.48099999999999998</v>
      </c>
      <c r="I56" s="49">
        <f>IF($A56&lt;&gt;"",PERCENTRANK('Team Scores'!H$3:H$955, 'Team Scores'!H55, 3) * I$2, "")</f>
        <v>0.5</v>
      </c>
      <c r="J56" s="49">
        <f>IF($A56&lt;&gt;"",PERCENTRANK('Team Scores'!I$3:I$955, 'Team Scores'!I55, 3) * J$2, "")</f>
        <v>9.1999999999999998E-2</v>
      </c>
      <c r="K56" s="49">
        <f>IF($A56&lt;&gt;"",PERCENTRANK('Team Scores'!J$3:J$955, 'Team Scores'!J55, 3) * K$2, "")</f>
        <v>0.20300000000000001</v>
      </c>
      <c r="L56" s="49">
        <f>IF($A56&lt;&gt;"",PERCENTRANK('Team Scores'!K$3:K$955, 'Team Scores'!K55, 3) * L$2, "")</f>
        <v>0.51800000000000002</v>
      </c>
      <c r="M56" s="49">
        <f>IF($A56&lt;&gt;"",PERCENTRANK('Team Scores'!L$3:L$955, 'Team Scores'!L55, 3) * M$2, "")</f>
        <v>0.75900000000000001</v>
      </c>
      <c r="N56" s="49">
        <f>IF($A56&lt;&gt;"",PERCENTRANK('Team Scores'!M$3:M$955, 'Team Scores'!M55, 3) * N$2, "")</f>
        <v>0.46200000000000002</v>
      </c>
      <c r="O56" s="49">
        <f>IF($A56&lt;&gt;"",PERCENTRANK('Team Scores'!N$3:N$955, 'Team Scores'!N55, 3) * O$2, "")</f>
        <v>7.3999999999999996E-2</v>
      </c>
      <c r="P56" s="49">
        <f>IF($A56&lt;&gt;"",PERCENTRANK('Team Scores'!O$3:O$955, 'Team Scores'!O55, 3) * P$2, "")</f>
        <v>0.77700000000000002</v>
      </c>
      <c r="Q56" s="49">
        <f>IF($A56&lt;&gt;"",PERCENTRANK('Team Scores'!P$3:P$955, 'Team Scores'!P55, 3) * Q$2, "")</f>
        <v>0.79600000000000004</v>
      </c>
      <c r="R56" s="49">
        <f>IF($A56&lt;&gt;"",PERCENTRANK('Team Scores'!Q$3:Q$955, 'Team Scores'!Q55, 3) * R$2, "")</f>
        <v>0.24</v>
      </c>
      <c r="S56" s="49">
        <f>IF($A56&lt;&gt;"",PERCENTRANK('Team Scores'!R$3:R$955, 'Team Scores'!R55, 3) * S$2, "")</f>
        <v>0.90700000000000003</v>
      </c>
      <c r="T56" s="49">
        <f>IF($A56&lt;&gt;"",PERCENTRANK('Team Scores'!S$3:S$955, 'Team Scores'!S55, 3) * T$2, "")</f>
        <v>0.44400000000000001</v>
      </c>
      <c r="U56" s="49">
        <f>IF($A56&lt;&gt;"",PERCENTRANK('Team Scores'!T$3:T$955, 'Team Scores'!T55, 3) * U$2, "")</f>
        <v>0.70299999999999996</v>
      </c>
      <c r="V56" s="49">
        <f>IF($A56&lt;&gt;"",PERCENTRANK('Team Scores'!U$3:U$955, 'Team Scores'!U55, 3) * V$2, "")</f>
        <v>0.98099999999999998</v>
      </c>
      <c r="W56" s="49">
        <f>IF($A56&lt;&gt;"",PERCENTRANK('Team Scores'!V$3:V$955, 'Team Scores'!V55, 3) * W$2, "")</f>
        <v>0.90700000000000003</v>
      </c>
      <c r="X56" s="49">
        <f>IF($A56&lt;&gt;"",PERCENTRANK('Team Scores'!W$3:W$955, 'Team Scores'!W55, 3) * X$2, "")</f>
        <v>0.25900000000000001</v>
      </c>
      <c r="Y56" s="49">
        <f>IF($A56&lt;&gt;"",PERCENTRANK('Team Scores'!X$3:X$955, 'Team Scores'!X55, 3) * Y$2, "")</f>
        <v>0.55500000000000005</v>
      </c>
      <c r="Z56" s="49">
        <f>IF($A56&lt;&gt;"",PERCENTRANK('Team Scores'!Y$3:Y$955, 'Team Scores'!Y55, 3) * Z$2, "")</f>
        <v>0.75900000000000001</v>
      </c>
      <c r="AA56" s="49">
        <f>IF($A56&lt;&gt;"",PERCENTRANK('Team Scores'!Z$3:Z$955, 'Team Scores'!Z55, 3) * AA$2, "")</f>
        <v>0.98099999999999998</v>
      </c>
      <c r="AB56" s="49">
        <f>IF($A56&lt;&gt;"",PERCENTRANK('Team Scores'!AA$3:AA$955, 'Team Scores'!AA55, 3) * AB$2, "")</f>
        <v>0.98099999999999998</v>
      </c>
    </row>
    <row r="57" spans="1:28" x14ac:dyDescent="0.2">
      <c r="A57" s="52">
        <f>IF('TBA-Teams'!A55 &lt;&gt; "", 'TBA-Teams'!A55, "")</f>
        <v>10223</v>
      </c>
      <c r="B57" s="53">
        <f>IF(A57&lt;&gt;"",SUM(C57:AB57),"")</f>
        <v>12.841000000000001</v>
      </c>
      <c r="C57" s="49">
        <f>IF($A57&lt;&gt;"",PERCENTRANK('Team Scores'!B$3:B$955, 'Team Scores'!B56, 3) * C$2, "")</f>
        <v>0</v>
      </c>
      <c r="D57" s="49">
        <f>IF($A57&lt;&gt;"",PERCENTRANK('Team Scores'!C$3:C$955, 'Team Scores'!C56, 3) * D$2, "")</f>
        <v>0.87</v>
      </c>
      <c r="E57" s="49">
        <f>IF($A57&lt;&gt;"",PERCENTRANK('Team Scores'!D$3:D$955, 'Team Scores'!D56, 3) * E$2, "")</f>
        <v>0.27700000000000002</v>
      </c>
      <c r="F57" s="49">
        <f>IF($A57&lt;&gt;"",PERCENTRANK('Team Scores'!E$3:E$955, 'Team Scores'!E56, 3) * F$2, "")</f>
        <v>0.25900000000000001</v>
      </c>
      <c r="G57" s="49">
        <f>IF($A57&lt;&gt;"",PERCENTRANK('Team Scores'!F$3:F$955, 'Team Scores'!F56, 3) * G$2, "")</f>
        <v>0.38800000000000001</v>
      </c>
      <c r="H57" s="49">
        <f>IF($A57&lt;&gt;"",PERCENTRANK('Team Scores'!G$3:G$955, 'Team Scores'!G56, 3) * H$2, "")</f>
        <v>0.35099999999999998</v>
      </c>
      <c r="I57" s="49">
        <f>IF($A57&lt;&gt;"",PERCENTRANK('Team Scores'!H$3:H$955, 'Team Scores'!H56, 3) * I$2, "")</f>
        <v>0.66600000000000004</v>
      </c>
      <c r="J57" s="49">
        <f>IF($A57&lt;&gt;"",PERCENTRANK('Team Scores'!I$3:I$955, 'Team Scores'!I56, 3) * J$2, "")</f>
        <v>0.51800000000000002</v>
      </c>
      <c r="K57" s="49">
        <f>IF($A57&lt;&gt;"",PERCENTRANK('Team Scores'!J$3:J$955, 'Team Scores'!J56, 3) * K$2, "")</f>
        <v>5.5E-2</v>
      </c>
      <c r="L57" s="49">
        <f>IF($A57&lt;&gt;"",PERCENTRANK('Team Scores'!K$3:K$955, 'Team Scores'!K56, 3) * L$2, "")</f>
        <v>0.51800000000000002</v>
      </c>
      <c r="M57" s="49">
        <f>IF($A57&lt;&gt;"",PERCENTRANK('Team Scores'!L$3:L$955, 'Team Scores'!L56, 3) * M$2, "")</f>
        <v>0.46200000000000002</v>
      </c>
      <c r="N57" s="49">
        <f>IF($A57&lt;&gt;"",PERCENTRANK('Team Scores'!M$3:M$955, 'Team Scores'!M56, 3) * N$2, "")</f>
        <v>0.87</v>
      </c>
      <c r="O57" s="49">
        <f>IF($A57&lt;&gt;"",PERCENTRANK('Team Scores'!N$3:N$955, 'Team Scores'!N56, 3) * O$2, "")</f>
        <v>7.3999999999999996E-2</v>
      </c>
      <c r="P57" s="49">
        <f>IF($A57&lt;&gt;"",PERCENTRANK('Team Scores'!O$3:O$955, 'Team Scores'!O56, 3) * P$2, "")</f>
        <v>0.90700000000000003</v>
      </c>
      <c r="Q57" s="49">
        <f>IF($A57&lt;&gt;"",PERCENTRANK('Team Scores'!P$3:P$955, 'Team Scores'!P56, 3) * Q$2, "")</f>
        <v>0.61099999999999999</v>
      </c>
      <c r="R57" s="49">
        <f>IF($A57&lt;&gt;"",PERCENTRANK('Team Scores'!Q$3:Q$955, 'Team Scores'!Q56, 3) * R$2, "")</f>
        <v>0.24</v>
      </c>
      <c r="S57" s="49">
        <f>IF($A57&lt;&gt;"",PERCENTRANK('Team Scores'!R$3:R$955, 'Team Scores'!R56, 3) * S$2, "")</f>
        <v>0.90700000000000003</v>
      </c>
      <c r="T57" s="49">
        <f>IF($A57&lt;&gt;"",PERCENTRANK('Team Scores'!S$3:S$955, 'Team Scores'!S56, 3) * T$2, "")</f>
        <v>0.44400000000000001</v>
      </c>
      <c r="U57" s="49">
        <f>IF($A57&lt;&gt;"",PERCENTRANK('Team Scores'!T$3:T$955, 'Team Scores'!T56, 3) * U$2, "")</f>
        <v>0.185</v>
      </c>
      <c r="V57" s="49">
        <f>IF($A57&lt;&gt;"",PERCENTRANK('Team Scores'!U$3:U$955, 'Team Scores'!U56, 3) * V$2, "")</f>
        <v>0.57399999999999995</v>
      </c>
      <c r="W57" s="49">
        <f>IF($A57&lt;&gt;"",PERCENTRANK('Team Scores'!V$3:V$955, 'Team Scores'!V56, 3) * W$2, "")</f>
        <v>0.74</v>
      </c>
      <c r="X57" s="49">
        <f>IF($A57&lt;&gt;"",PERCENTRANK('Team Scores'!W$3:W$955, 'Team Scores'!W56, 3) * X$2, "")</f>
        <v>0.48099999999999998</v>
      </c>
      <c r="Y57" s="49">
        <f>IF($A57&lt;&gt;"",PERCENTRANK('Team Scores'!X$3:X$955, 'Team Scores'!X56, 3) * Y$2, "")</f>
        <v>0.61099999999999999</v>
      </c>
      <c r="Z57" s="49">
        <f>IF($A57&lt;&gt;"",PERCENTRANK('Team Scores'!Y$3:Y$955, 'Team Scores'!Y56, 3) * Z$2, "")</f>
        <v>0.68500000000000005</v>
      </c>
      <c r="AA57" s="49">
        <f>IF($A57&lt;&gt;"",PERCENTRANK('Team Scores'!Z$3:Z$955, 'Team Scores'!Z56, 3) * AA$2, "")</f>
        <v>0.57399999999999995</v>
      </c>
      <c r="AB57" s="49">
        <f>IF($A57&lt;&gt;"",PERCENTRANK('Team Scores'!AA$3:AA$955, 'Team Scores'!AA56, 3) * AB$2, "")</f>
        <v>0.57399999999999995</v>
      </c>
    </row>
    <row r="58" spans="1:28" x14ac:dyDescent="0.2">
      <c r="A58" s="52">
        <f>IF('TBA-Teams'!A56 &lt;&gt; "", 'TBA-Teams'!A56, "")</f>
        <v>10922</v>
      </c>
      <c r="B58" s="53">
        <f>IF(A58&lt;&gt;"",SUM(C58:AB58),"")</f>
        <v>11.322000000000005</v>
      </c>
      <c r="C58" s="49">
        <f>IF($A58&lt;&gt;"",PERCENTRANK('Team Scores'!B$3:B$955, 'Team Scores'!B57, 3) * C$2, "")</f>
        <v>0</v>
      </c>
      <c r="D58" s="49">
        <f>IF($A58&lt;&gt;"",PERCENTRANK('Team Scores'!C$3:C$955, 'Team Scores'!C57, 3) * D$2, "")</f>
        <v>0.46200000000000002</v>
      </c>
      <c r="E58" s="49">
        <f>IF($A58&lt;&gt;"",PERCENTRANK('Team Scores'!D$3:D$955, 'Team Scores'!D57, 3) * E$2, "")</f>
        <v>0.57399999999999995</v>
      </c>
      <c r="F58" s="49">
        <f>IF($A58&lt;&gt;"",PERCENTRANK('Team Scores'!E$3:E$955, 'Team Scores'!E57, 3) * F$2, "")</f>
        <v>0.79600000000000004</v>
      </c>
      <c r="G58" s="49">
        <f>IF($A58&lt;&gt;"",PERCENTRANK('Team Scores'!F$3:F$955, 'Team Scores'!F57, 3) * G$2, "")</f>
        <v>0.38800000000000001</v>
      </c>
      <c r="H58" s="49">
        <f>IF($A58&lt;&gt;"",PERCENTRANK('Team Scores'!G$3:G$955, 'Team Scores'!G57, 3) * H$2, "")</f>
        <v>0.94399999999999995</v>
      </c>
      <c r="I58" s="49">
        <f>IF($A58&lt;&gt;"",PERCENTRANK('Team Scores'!H$3:H$955, 'Team Scores'!H57, 3) * I$2, "")</f>
        <v>0.66600000000000004</v>
      </c>
      <c r="J58" s="49">
        <f>IF($A58&lt;&gt;"",PERCENTRANK('Team Scores'!I$3:I$955, 'Team Scores'!I57, 3) * J$2, "")</f>
        <v>0.25900000000000001</v>
      </c>
      <c r="K58" s="49">
        <f>IF($A58&lt;&gt;"",PERCENTRANK('Team Scores'!J$3:J$955, 'Team Scores'!J57, 3) * K$2, "")</f>
        <v>0.20300000000000001</v>
      </c>
      <c r="L58" s="49">
        <f>IF($A58&lt;&gt;"",PERCENTRANK('Team Scores'!K$3:K$955, 'Team Scores'!K57, 3) * L$2, "")</f>
        <v>0.129</v>
      </c>
      <c r="M58" s="49">
        <f>IF($A58&lt;&gt;"",PERCENTRANK('Team Scores'!L$3:L$955, 'Team Scores'!L57, 3) * M$2, "")</f>
        <v>3.6999999999999998E-2</v>
      </c>
      <c r="N58" s="49">
        <f>IF($A58&lt;&gt;"",PERCENTRANK('Team Scores'!M$3:M$955, 'Team Scores'!M57, 3) * N$2, "")</f>
        <v>0.46200000000000002</v>
      </c>
      <c r="O58" s="49">
        <f>IF($A58&lt;&gt;"",PERCENTRANK('Team Scores'!N$3:N$955, 'Team Scores'!N57, 3) * O$2, "")</f>
        <v>7.3999999999999996E-2</v>
      </c>
      <c r="P58" s="49">
        <f>IF($A58&lt;&gt;"",PERCENTRANK('Team Scores'!O$3:O$955, 'Team Scores'!O57, 3) * P$2, "")</f>
        <v>0.77700000000000002</v>
      </c>
      <c r="Q58" s="49">
        <f>IF($A58&lt;&gt;"",PERCENTRANK('Team Scores'!P$3:P$955, 'Team Scores'!P57, 3) * Q$2, "")</f>
        <v>0.61099999999999999</v>
      </c>
      <c r="R58" s="49">
        <f>IF($A58&lt;&gt;"",PERCENTRANK('Team Scores'!Q$3:Q$955, 'Team Scores'!Q57, 3) * R$2, "")</f>
        <v>0.87</v>
      </c>
      <c r="S58" s="49">
        <f>IF($A58&lt;&gt;"",PERCENTRANK('Team Scores'!R$3:R$955, 'Team Scores'!R57, 3) * S$2, "")</f>
        <v>0.74</v>
      </c>
      <c r="T58" s="49">
        <f>IF($A58&lt;&gt;"",PERCENTRANK('Team Scores'!S$3:S$955, 'Team Scores'!S57, 3) * T$2, "")</f>
        <v>0.44400000000000001</v>
      </c>
      <c r="U58" s="49">
        <f>IF($A58&lt;&gt;"",PERCENTRANK('Team Scores'!T$3:T$955, 'Team Scores'!T57, 3) * U$2, "")</f>
        <v>0.185</v>
      </c>
      <c r="V58" s="49">
        <f>IF($A58&lt;&gt;"",PERCENTRANK('Team Scores'!U$3:U$955, 'Team Scores'!U57, 3) * V$2, "")</f>
        <v>1.7999999999999999E-2</v>
      </c>
      <c r="W58" s="49">
        <f>IF($A58&lt;&gt;"",PERCENTRANK('Team Scores'!V$3:V$955, 'Team Scores'!V57, 3) * W$2, "")</f>
        <v>0.64800000000000002</v>
      </c>
      <c r="X58" s="49">
        <f>IF($A58&lt;&gt;"",PERCENTRANK('Team Scores'!W$3:W$955, 'Team Scores'!W57, 3) * X$2, "")</f>
        <v>0.79600000000000004</v>
      </c>
      <c r="Y58" s="49">
        <f>IF($A58&lt;&gt;"",PERCENTRANK('Team Scores'!X$3:X$955, 'Team Scores'!X57, 3) * Y$2, "")</f>
        <v>0.61099999999999999</v>
      </c>
      <c r="Z58" s="49">
        <f>IF($A58&lt;&gt;"",PERCENTRANK('Team Scores'!Y$3:Y$955, 'Team Scores'!Y57, 3) * Z$2, "")</f>
        <v>0.59199999999999997</v>
      </c>
      <c r="AA58" s="49">
        <f>IF($A58&lt;&gt;"",PERCENTRANK('Team Scores'!Z$3:Z$955, 'Team Scores'!Z57, 3) * AA$2, "")</f>
        <v>1.7999999999999999E-2</v>
      </c>
      <c r="AB58" s="49">
        <f>IF($A58&lt;&gt;"",PERCENTRANK('Team Scores'!AA$3:AA$955, 'Team Scores'!AA57, 3) * AB$2, "")</f>
        <v>1.7999999999999999E-2</v>
      </c>
    </row>
  </sheetData>
  <autoFilter ref="A3:AB3" xr:uid="{8299AA4A-5D09-AD47-9627-5C6D2535B1BB}">
    <sortState xmlns:xlrd2="http://schemas.microsoft.com/office/spreadsheetml/2017/richdata2" ref="A4:AB58">
      <sortCondition ref="A3:A58"/>
    </sortState>
  </autoFilter>
  <mergeCells count="6">
    <mergeCell ref="A1:B2"/>
    <mergeCell ref="X1:AB1"/>
    <mergeCell ref="D1:F1"/>
    <mergeCell ref="G1:N1"/>
    <mergeCell ref="O1:Q1"/>
    <mergeCell ref="R1:W1"/>
  </mergeCells>
  <conditionalFormatting sqref="C4:AB58">
    <cfRule type="colorScale" priority="12">
      <colorScale>
        <cfvo type="min"/>
        <cfvo type="percentile" val="50"/>
        <cfvo type="max"/>
        <color theme="5" tint="0.39997558519241921"/>
        <color theme="9" tint="0.39997558519241921"/>
        <color theme="6" tint="0.39997558519241921"/>
      </colorScale>
    </cfRule>
  </conditionalFormatting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MatchScoutingData</vt:lpstr>
      <vt:lpstr>TBA-Teams</vt:lpstr>
      <vt:lpstr>TBA-Matches</vt:lpstr>
      <vt:lpstr>Event</vt:lpstr>
      <vt:lpstr>Teams</vt:lpstr>
      <vt:lpstr>Matches</vt:lpstr>
      <vt:lpstr>Team Scores</vt:lpstr>
      <vt:lpstr>Team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Hurrell</cp:lastModifiedBy>
  <dcterms:created xsi:type="dcterms:W3CDTF">2025-01-14T14:14:10Z</dcterms:created>
  <dcterms:modified xsi:type="dcterms:W3CDTF">2026-04-11T14:49:37Z</dcterms:modified>
</cp:coreProperties>
</file>