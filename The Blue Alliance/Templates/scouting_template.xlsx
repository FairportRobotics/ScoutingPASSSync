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johnhurrell/Development/fairport-robotics/ScoutingPASSSync/The Blue Alliance/Templates/"/>
    </mc:Choice>
  </mc:AlternateContent>
  <xr:revisionPtr revIDLastSave="0" documentId="13_ncr:1_{AFB653B2-2249-E54A-ADBD-C739C7D087BE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MatchScoutingData" sheetId="1" r:id="rId1"/>
    <sheet name="Event" sheetId="2" r:id="rId2"/>
    <sheet name="Teams" sheetId="3" r:id="rId3"/>
    <sheet name="Matches" sheetId="4" r:id="rId4"/>
    <sheet name="Team Scores" sheetId="5" r:id="rId5"/>
    <sheet name="Team Summary" sheetId="9" r:id="rId6"/>
    <sheet name="PB Scouter Summary" sheetId="11" r:id="rId7"/>
    <sheet name="PB Team Summary" sheetId="10" r:id="rId8"/>
  </sheets>
  <definedNames>
    <definedName name="_xlnm._FilterDatabase" localSheetId="3" hidden="1">Matches!$A$1:$H$1</definedName>
    <definedName name="_xlnm._FilterDatabase" localSheetId="0" hidden="1">MatchScoutingData!$A$1:$AB$1</definedName>
    <definedName name="_xlnm._FilterDatabase" localSheetId="6" hidden="1">'PB Scouter Summary'!$A$1:$B$101</definedName>
    <definedName name="_xlnm._FilterDatabase" localSheetId="7" hidden="1">'PB Team Summary'!$A$1:$G$1</definedName>
    <definedName name="_xlnm._FilterDatabase" localSheetId="4" hidden="1">'Team Scores'!$A$2:$Z$2</definedName>
    <definedName name="_xlnm._FilterDatabase" localSheetId="5" hidden="1">'Team Summary'!$A$2:$AE$2</definedName>
    <definedName name="_xlnm._FilterDatabase" localSheetId="2" hidden="1">Teams!$A$1:$E$1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0" l="1"/>
  <c r="F2" i="10"/>
  <c r="E2" i="10"/>
  <c r="D2" i="10"/>
  <c r="C2" i="10"/>
  <c r="B2" i="10"/>
  <c r="A2" i="10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A2" i="11" a="1"/>
  <c r="B42" i="11" s="1"/>
  <c r="A2" i="11" l="1"/>
  <c r="B2" i="11" s="1"/>
  <c r="B28" i="11"/>
  <c r="B12" i="11"/>
  <c r="B41" i="11"/>
  <c r="B25" i="11"/>
  <c r="B9" i="11"/>
  <c r="B35" i="11"/>
  <c r="B19" i="11"/>
  <c r="B34" i="11"/>
  <c r="B18" i="11"/>
  <c r="B32" i="11"/>
  <c r="B16" i="11"/>
  <c r="B30" i="11"/>
  <c r="B14" i="11"/>
  <c r="B27" i="11"/>
  <c r="B11" i="11"/>
  <c r="B10" i="11"/>
  <c r="B40" i="11"/>
  <c r="B24" i="11"/>
  <c r="B8" i="11"/>
  <c r="B39" i="11"/>
  <c r="B23" i="11"/>
  <c r="B7" i="11"/>
  <c r="B38" i="11"/>
  <c r="B22" i="11"/>
  <c r="B6" i="11"/>
  <c r="B37" i="11"/>
  <c r="B21" i="11"/>
  <c r="B5" i="11"/>
  <c r="B36" i="11"/>
  <c r="B20" i="11"/>
  <c r="B13" i="11"/>
  <c r="B29" i="11"/>
  <c r="B15" i="11"/>
  <c r="B31" i="11"/>
  <c r="B17" i="11"/>
  <c r="B33" i="11"/>
  <c r="B26" i="11"/>
  <c r="B4" i="11"/>
  <c r="B3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<sst xmlns="http://schemas.openxmlformats.org/spreadsheetml/2006/main" count="126" uniqueCount="86">
  <si>
    <t>Key</t>
  </si>
  <si>
    <t>Match</t>
  </si>
  <si>
    <t>Alliance</t>
  </si>
  <si>
    <t>Team</t>
  </si>
  <si>
    <t>Comments</t>
  </si>
  <si>
    <t>TBA Key</t>
  </si>
  <si>
    <t>FIRST Key</t>
  </si>
  <si>
    <t>Name</t>
  </si>
  <si>
    <t>Location</t>
  </si>
  <si>
    <t>Start Date</t>
  </si>
  <si>
    <t>Team Number</t>
  </si>
  <si>
    <t>Nickname</t>
  </si>
  <si>
    <t>School</t>
  </si>
  <si>
    <t>Rookie Year</t>
  </si>
  <si>
    <t>Start Time</t>
  </si>
  <si>
    <t>Auto</t>
  </si>
  <si>
    <t>Teleop</t>
  </si>
  <si>
    <t>Endgame</t>
  </si>
  <si>
    <t>Overall</t>
  </si>
  <si>
    <t>Auto Total</t>
  </si>
  <si>
    <t>Auto Average</t>
  </si>
  <si>
    <t>Teleop Total</t>
  </si>
  <si>
    <t>Teleop Average</t>
  </si>
  <si>
    <t>Endgame Total</t>
  </si>
  <si>
    <t>Endgame Average</t>
  </si>
  <si>
    <t>Scouter Name</t>
  </si>
  <si>
    <t>Match Count</t>
  </si>
  <si>
    <t>Scouter PIN</t>
  </si>
  <si>
    <t>Climbing Attempted</t>
  </si>
  <si>
    <t>Robot Reach Level 1</t>
  </si>
  <si>
    <t>Robot Move in Auto</t>
  </si>
  <si>
    <t>A-Stop Activated</t>
  </si>
  <si>
    <t>Total Fuel Scored</t>
  </si>
  <si>
    <t>Speed to Shoot Fuel</t>
  </si>
  <si>
    <t>Accuracy to Shoot Fuel</t>
  </si>
  <si>
    <t>Number of Fuel Collected</t>
  </si>
  <si>
    <t>Duirng Inactive, did Collect</t>
  </si>
  <si>
    <t>During Inactive, did Pass</t>
  </si>
  <si>
    <t>Collect from Alliance Zone</t>
  </si>
  <si>
    <t>Collect from Neutral Zone</t>
  </si>
  <si>
    <t>Was Intake Good</t>
  </si>
  <si>
    <t>Climb, Scucess, Level (Endgame)</t>
  </si>
  <si>
    <t>Defensive Whole Game</t>
  </si>
  <si>
    <t>Continue to Shoot Until End</t>
  </si>
  <si>
    <t>Grade Robot's Performance</t>
  </si>
  <si>
    <t>Result of Match (Postmatch)</t>
  </si>
  <si>
    <t>Energized Ranking Point</t>
  </si>
  <si>
    <t>Supercharged Ranking Point</t>
  </si>
  <si>
    <t>Traversal Ranking Point</t>
  </si>
  <si>
    <t>Total Points Scored</t>
  </si>
  <si>
    <t>Climbed</t>
  </si>
  <si>
    <t>Level 1</t>
  </si>
  <si>
    <t>Moved</t>
  </si>
  <si>
    <t>A-Stop</t>
  </si>
  <si>
    <t>Accuracy</t>
  </si>
  <si>
    <t>Fuel Collected</t>
  </si>
  <si>
    <t>Shoot Speed</t>
  </si>
  <si>
    <t>Collect Inactive</t>
  </si>
  <si>
    <t>Did Pass</t>
  </si>
  <si>
    <t>Collect Alliance Zone</t>
  </si>
  <si>
    <t>Collect Neutral Zone</t>
  </si>
  <si>
    <t>Climb Success</t>
  </si>
  <si>
    <t>Defense Whole Game</t>
  </si>
  <si>
    <t>Shoot to End</t>
  </si>
  <si>
    <t>Performance</t>
  </si>
  <si>
    <t>Energized Ranking</t>
  </si>
  <si>
    <t>Supercharged Ranking</t>
  </si>
  <si>
    <t>Traversal Ranking</t>
  </si>
  <si>
    <t>Total Points</t>
  </si>
  <si>
    <t>Shot from Same Position</t>
  </si>
  <si>
    <t>Fuel Scored</t>
  </si>
  <si>
    <t>Total Ranking Points</t>
  </si>
  <si>
    <t>Post Match</t>
  </si>
  <si>
    <t>Match Results</t>
  </si>
  <si>
    <t>Matches Scouted</t>
  </si>
  <si>
    <t>Complete</t>
  </si>
  <si>
    <t>Blue 1</t>
  </si>
  <si>
    <t>Blue 2</t>
  </si>
  <si>
    <t>Blue 3</t>
  </si>
  <si>
    <t>Red 1</t>
  </si>
  <si>
    <t>Red 2</t>
  </si>
  <si>
    <t>Red 3</t>
  </si>
  <si>
    <t>Match has not yet been scouted</t>
  </si>
  <si>
    <t>Match has been scouted</t>
  </si>
  <si>
    <t>Match was scouted more than once</t>
  </si>
  <si>
    <t>Wrong team was scouted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</si>
</sst>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10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sz val="11"/>
      <name val="Calibri (Body)"/>
    </font>
    <font>
      <b/>
      <sz val="12"/>
      <color rgb="FFFFFFFF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theme="1" tint="0.34998626667073579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rgb="FFC8D6A1"/>
        <bgColor rgb="FFC8D6A1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3" fillId="3" borderId="0" xfId="0" applyFont="1" applyFill="1" applyAlignment="1">
      <alignment horizontal="center" vertical="center"/>
    </xf>
    <xf numFmtId="0" fontId="3" fillId="3" borderId="6" xfId="0" applyFont="1" applyFill="1" applyBorder="1" applyAlignment="1">
      <alignment horizontal="left" textRotation="90"/>
    </xf>
    <xf numFmtId="0" fontId="5" fillId="0" borderId="0" xfId="0" applyFont="1"/>
    <xf numFmtId="164" fontId="0" fillId="0" borderId="0" xfId="0" applyNumberForma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7" fillId="0" borderId="0" xfId="0" applyFont="1"/>
    <xf numFmtId="0" fontId="6" fillId="3" borderId="0" xfId="0" applyFont="1" applyFill="1" applyAlignment="1">
      <alignment horizontal="center" textRotation="90"/>
    </xf>
    <xf numFmtId="0" fontId="3" fillId="3" borderId="5" xfId="0" applyFont="1" applyFill="1" applyBorder="1" applyAlignment="1">
      <alignment horizontal="center" textRotation="90"/>
    </xf>
    <xf numFmtId="0" fontId="1" fillId="3" borderId="5" xfId="0" applyFont="1" applyFill="1" applyBorder="1" applyAlignment="1">
      <alignment horizontal="center" textRotation="90"/>
    </xf>
    <xf numFmtId="0" fontId="1" fillId="4" borderId="1" xfId="0" applyFont="1" applyFill="1" applyBorder="1" applyAlignment="1">
      <alignment horizontal="center" textRotation="90"/>
    </xf>
    <xf numFmtId="0" fontId="1" fillId="5" borderId="1" xfId="0" applyFont="1" applyFill="1" applyBorder="1" applyAlignment="1">
      <alignment horizontal="center" textRotation="90"/>
    </xf>
    <xf numFmtId="0" fontId="1" fillId="6" borderId="1" xfId="0" applyFont="1" applyFill="1" applyBorder="1" applyAlignment="1">
      <alignment horizontal="center" textRotation="90"/>
    </xf>
    <xf numFmtId="0" fontId="1" fillId="3" borderId="1" xfId="0" applyFont="1" applyFill="1" applyBorder="1" applyAlignment="1">
      <alignment horizontal="center" textRotation="90"/>
    </xf>
    <xf numFmtId="0" fontId="1" fillId="8" borderId="1" xfId="0" applyFont="1" applyFill="1" applyBorder="1" applyAlignment="1">
      <alignment horizontal="center" textRotation="90"/>
    </xf>
    <xf numFmtId="0" fontId="0" fillId="10" borderId="0" xfId="0" applyFill="1"/>
    <xf numFmtId="0" fontId="9" fillId="0" borderId="0" xfId="0" applyFont="1"/>
    <xf numFmtId="0" fontId="0" fillId="11" borderId="0" xfId="0" applyFill="1"/>
    <xf numFmtId="0" fontId="1" fillId="2" borderId="1" xfId="0" applyFont="1" applyFill="1" applyBorder="1" applyAlignment="1">
      <alignment horizontal="center" textRotation="90"/>
    </xf>
    <xf numFmtId="0" fontId="0" fillId="0" borderId="0" xfId="0" applyAlignment="1">
      <alignment horizontal="center"/>
    </xf>
    <xf numFmtId="0" fontId="3" fillId="3" borderId="6" xfId="0" applyFont="1" applyFill="1" applyBorder="1" applyAlignment="1">
      <alignment horizontal="center" textRotation="90"/>
    </xf>
    <xf numFmtId="0" fontId="3" fillId="3" borderId="5" xfId="0" applyFont="1" applyFill="1" applyBorder="1" applyAlignment="1">
      <alignment horizontal="center" textRotation="90"/>
    </xf>
    <xf numFmtId="0" fontId="1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/>
    </xf>
    <xf numFmtId="0" fontId="1" fillId="7" borderId="4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FFD09996"/>
          <bgColor rgb="FFD09996"/>
        </patternFill>
      </fill>
    </dxf>
    <dxf>
      <fill>
        <patternFill patternType="solid">
          <fgColor rgb="FFC8D6A1"/>
          <bgColor rgb="FFC8D6A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92"/>
  <sheetViews>
    <sheetView tabSelected="1"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 x14ac:dyDescent="0.2"/>
  <sheetData>
    <row r="1" spans="1:29" ht="125" customHeight="1" x14ac:dyDescent="0.2">
      <c r="A1" s="12" t="s">
        <v>0</v>
      </c>
      <c r="B1" s="12" t="s">
        <v>27</v>
      </c>
      <c r="C1" s="12" t="s">
        <v>1</v>
      </c>
      <c r="D1" s="12" t="s">
        <v>2</v>
      </c>
      <c r="E1" s="12" t="s">
        <v>3</v>
      </c>
      <c r="F1" s="12" t="s">
        <v>28</v>
      </c>
      <c r="G1" s="12" t="s">
        <v>29</v>
      </c>
      <c r="H1" s="12" t="s">
        <v>30</v>
      </c>
      <c r="I1" s="12" t="s">
        <v>31</v>
      </c>
      <c r="J1" s="12" t="s">
        <v>32</v>
      </c>
      <c r="K1" s="12" t="s">
        <v>33</v>
      </c>
      <c r="L1" s="12" t="s">
        <v>34</v>
      </c>
      <c r="M1" s="12" t="s">
        <v>35</v>
      </c>
      <c r="N1" s="12" t="s">
        <v>36</v>
      </c>
      <c r="O1" s="12" t="s">
        <v>37</v>
      </c>
      <c r="P1" s="12" t="s">
        <v>38</v>
      </c>
      <c r="Q1" s="12" t="s">
        <v>39</v>
      </c>
      <c r="R1" s="12" t="s">
        <v>40</v>
      </c>
      <c r="S1" s="12" t="s">
        <v>41</v>
      </c>
      <c r="T1" s="12" t="s">
        <v>42</v>
      </c>
      <c r="U1" s="12" t="s">
        <v>69</v>
      </c>
      <c r="V1" s="12" t="s">
        <v>43</v>
      </c>
      <c r="W1" s="12" t="s">
        <v>44</v>
      </c>
      <c r="X1" s="12" t="s">
        <v>45</v>
      </c>
      <c r="Y1" s="12" t="s">
        <v>46</v>
      </c>
      <c r="Z1" s="12" t="s">
        <v>47</v>
      </c>
      <c r="AA1" s="12" t="s">
        <v>48</v>
      </c>
      <c r="AB1" s="12" t="s">
        <v>49</v>
      </c>
      <c r="AC1" s="12" t="s">
        <v>4</v>
      </c>
    </row>
    <row r="2" spans="1:29" ht="16" customHeight="1" x14ac:dyDescent="0.2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29" ht="16" customHeight="1" x14ac:dyDescent="0.2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spans="1:29" ht="16" customHeight="1" x14ac:dyDescent="0.2">
      <c r="A4" s="1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spans="1:29" ht="16" customHeight="1" x14ac:dyDescent="0.2">
      <c r="A5" s="1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spans="1:29" ht="16" customHeight="1" x14ac:dyDescent="0.2">
      <c r="A6" s="1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29" ht="16" customHeight="1" x14ac:dyDescent="0.2">
      <c r="A7" s="1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1:29" ht="16" customHeight="1" x14ac:dyDescent="0.2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</row>
    <row r="9" spans="1:29" ht="16" customHeight="1" x14ac:dyDescent="0.2">
      <c r="A9" s="1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29" ht="16" customHeight="1" x14ac:dyDescent="0.2">
      <c r="A10" s="1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</row>
    <row r="11" spans="1:29" ht="16" customHeight="1" x14ac:dyDescent="0.2">
      <c r="A11" s="1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29" ht="16" customHeight="1" x14ac:dyDescent="0.2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29" ht="16" customHeight="1" x14ac:dyDescent="0.2">
      <c r="A13" s="1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  <row r="14" spans="1:29" ht="16" customHeight="1" x14ac:dyDescent="0.2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spans="1:29" ht="16" customHeight="1" x14ac:dyDescent="0.2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spans="1:29" ht="16" customHeight="1" x14ac:dyDescent="0.2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</row>
    <row r="17" spans="1:18" ht="16" customHeight="1" x14ac:dyDescent="0.2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spans="1:18" ht="16" customHeight="1" x14ac:dyDescent="0.2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spans="1:18" ht="16" customHeight="1" x14ac:dyDescent="0.2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</row>
    <row r="20" spans="1:18" ht="16" customHeight="1" x14ac:dyDescent="0.2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18" ht="16" customHeight="1" x14ac:dyDescent="0.2">
      <c r="A21" s="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8" ht="16" customHeight="1" x14ac:dyDescent="0.2">
      <c r="A22" s="1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18" ht="16" customHeight="1" x14ac:dyDescent="0.2">
      <c r="A23" s="1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8" ht="16" customHeight="1" x14ac:dyDescent="0.2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8" ht="16" customHeight="1" x14ac:dyDescent="0.2">
      <c r="A25" s="1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18" ht="16" customHeight="1" x14ac:dyDescent="0.2">
      <c r="A26" s="1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18" ht="16" customHeight="1" x14ac:dyDescent="0.2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8" ht="16" customHeight="1" x14ac:dyDescent="0.2">
      <c r="A28" s="1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18" ht="16" customHeight="1" x14ac:dyDescent="0.2">
      <c r="A29" s="1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18" ht="16" customHeight="1" x14ac:dyDescent="0.2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ht="16" customHeight="1" x14ac:dyDescent="0.2">
      <c r="A31" s="1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8" ht="16" customHeight="1" x14ac:dyDescent="0.2">
      <c r="A32" s="1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1:18" ht="16" customHeight="1" x14ac:dyDescent="0.2">
      <c r="A33" s="1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1:18" ht="16" customHeight="1" x14ac:dyDescent="0.2">
      <c r="A34" s="1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1:18" ht="16" customHeight="1" x14ac:dyDescent="0.2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1:18" ht="16" customHeight="1" x14ac:dyDescent="0.2">
      <c r="A36" s="1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ht="16" customHeight="1" x14ac:dyDescent="0.2">
      <c r="A37" s="1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1:18" ht="16" customHeight="1" x14ac:dyDescent="0.2">
      <c r="A38" s="1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1:18" ht="16" customHeight="1" x14ac:dyDescent="0.2">
      <c r="A39" s="1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ht="16" customHeight="1" x14ac:dyDescent="0.2">
      <c r="A40" s="1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1:18" ht="16" customHeight="1" x14ac:dyDescent="0.2">
      <c r="A41" s="1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1:18" ht="16" customHeight="1" x14ac:dyDescent="0.2">
      <c r="A42" s="1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1:18" ht="16" customHeight="1" x14ac:dyDescent="0.2">
      <c r="A43" s="1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1:18" ht="16" customHeight="1" x14ac:dyDescent="0.2">
      <c r="A44" s="1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1:18" ht="16" customHeight="1" x14ac:dyDescent="0.2">
      <c r="A45" s="1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1:18" ht="16" customHeight="1" x14ac:dyDescent="0.2">
      <c r="A46" s="1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1:18" ht="16" customHeight="1" x14ac:dyDescent="0.2">
      <c r="A47" s="1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1:18" ht="16" customHeight="1" x14ac:dyDescent="0.2">
      <c r="A48" s="1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1:18" ht="16" customHeight="1" x14ac:dyDescent="0.2">
      <c r="A49" s="1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1:18" ht="16" customHeight="1" x14ac:dyDescent="0.2">
      <c r="A50" s="1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1:18" ht="16" customHeight="1" x14ac:dyDescent="0.2">
      <c r="A51" s="1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1:18" ht="16" customHeight="1" x14ac:dyDescent="0.2">
      <c r="A52" s="1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1:18" ht="16" customHeight="1" x14ac:dyDescent="0.2">
      <c r="A53" s="1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1:18" ht="16" customHeight="1" x14ac:dyDescent="0.2">
      <c r="A54" s="1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spans="1:18" ht="16" customHeight="1" x14ac:dyDescent="0.2">
      <c r="A55" s="1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</row>
    <row r="56" spans="1:18" ht="16" customHeight="1" x14ac:dyDescent="0.2">
      <c r="A56" s="1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</row>
    <row r="57" spans="1:18" ht="16" customHeight="1" x14ac:dyDescent="0.2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spans="1:18" ht="16" customHeight="1" x14ac:dyDescent="0.2">
      <c r="A58" s="1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</row>
    <row r="59" spans="1:18" ht="16" customHeight="1" x14ac:dyDescent="0.2">
      <c r="A59" s="1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</row>
    <row r="60" spans="1:18" ht="16" customHeight="1" x14ac:dyDescent="0.2">
      <c r="A60" s="1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spans="1:18" ht="16" customHeight="1" x14ac:dyDescent="0.2">
      <c r="A61" s="1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</row>
    <row r="62" spans="1:18" ht="16" customHeight="1" x14ac:dyDescent="0.2">
      <c r="A62" s="1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</row>
    <row r="63" spans="1:18" ht="16" customHeight="1" x14ac:dyDescent="0.2">
      <c r="A63" s="1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spans="1:18" ht="16" customHeight="1" x14ac:dyDescent="0.2">
      <c r="A64" s="1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</row>
    <row r="65" spans="1:18" ht="16" customHeight="1" x14ac:dyDescent="0.2">
      <c r="A65" s="1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</row>
    <row r="66" spans="1:18" ht="16" customHeight="1" x14ac:dyDescent="0.2">
      <c r="A66" s="1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spans="1:18" ht="16" customHeight="1" x14ac:dyDescent="0.2">
      <c r="A67" s="1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</row>
    <row r="68" spans="1:18" ht="16" customHeight="1" x14ac:dyDescent="0.2">
      <c r="A68" s="1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</row>
    <row r="69" spans="1:18" ht="16" customHeight="1" x14ac:dyDescent="0.2">
      <c r="A69" s="1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spans="1:18" ht="16" customHeight="1" x14ac:dyDescent="0.2">
      <c r="A70" s="1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</row>
    <row r="71" spans="1:18" ht="16" customHeight="1" x14ac:dyDescent="0.2">
      <c r="A71" s="1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</row>
    <row r="72" spans="1:18" ht="16" customHeight="1" x14ac:dyDescent="0.2">
      <c r="A72" s="1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spans="1:18" ht="16" customHeight="1" x14ac:dyDescent="0.2">
      <c r="A73" s="1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</row>
    <row r="74" spans="1:18" ht="16" customHeight="1" x14ac:dyDescent="0.2">
      <c r="A74" s="1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</row>
    <row r="75" spans="1:18" ht="16" customHeight="1" x14ac:dyDescent="0.2">
      <c r="A75" s="1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spans="1:18" ht="16" customHeight="1" x14ac:dyDescent="0.2">
      <c r="A76" s="1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</row>
    <row r="77" spans="1:18" ht="16" customHeight="1" x14ac:dyDescent="0.2">
      <c r="A77" s="1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</row>
    <row r="78" spans="1:18" ht="16" customHeight="1" x14ac:dyDescent="0.2">
      <c r="A78" s="1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spans="1:18" ht="16" customHeight="1" x14ac:dyDescent="0.2">
      <c r="A79" s="1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</row>
    <row r="80" spans="1:18" ht="16" customHeight="1" x14ac:dyDescent="0.2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</row>
    <row r="81" spans="1:18" ht="16" customHeight="1" x14ac:dyDescent="0.2">
      <c r="A81" s="1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spans="1:18" ht="16" customHeight="1" x14ac:dyDescent="0.2">
      <c r="A82" s="1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</row>
    <row r="83" spans="1:18" ht="16" customHeight="1" x14ac:dyDescent="0.2">
      <c r="A83" s="1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</row>
    <row r="84" spans="1:18" ht="16" customHeight="1" x14ac:dyDescent="0.2">
      <c r="A84" s="1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spans="1:18" ht="16" customHeight="1" x14ac:dyDescent="0.2">
      <c r="A85" s="1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</row>
    <row r="86" spans="1:18" ht="16" customHeight="1" x14ac:dyDescent="0.2">
      <c r="A86" s="1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</row>
    <row r="87" spans="1:18" ht="16" customHeight="1" x14ac:dyDescent="0.2">
      <c r="A87" s="1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spans="1:18" ht="16" customHeight="1" x14ac:dyDescent="0.2">
      <c r="A88" s="1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</row>
    <row r="89" spans="1:18" ht="16" customHeight="1" x14ac:dyDescent="0.2">
      <c r="A89" s="1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</row>
    <row r="90" spans="1:18" ht="16" customHeight="1" x14ac:dyDescent="0.2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spans="1:18" ht="16" customHeight="1" x14ac:dyDescent="0.2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</row>
    <row r="92" spans="1:18" ht="16" customHeight="1" x14ac:dyDescent="0.2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</row>
    <row r="93" spans="1:18" ht="16" customHeight="1" x14ac:dyDescent="0.2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</row>
    <row r="94" spans="1:18" ht="16" customHeight="1" x14ac:dyDescent="0.2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</row>
    <row r="95" spans="1:18" ht="16" customHeight="1" x14ac:dyDescent="0.2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</row>
    <row r="96" spans="1:18" ht="16" customHeight="1" x14ac:dyDescent="0.2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</row>
    <row r="97" spans="1:18" ht="16" customHeight="1" x14ac:dyDescent="0.2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</row>
    <row r="98" spans="1:18" ht="16" customHeight="1" x14ac:dyDescent="0.2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</row>
    <row r="99" spans="1:18" ht="16" customHeight="1" x14ac:dyDescent="0.2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</row>
    <row r="100" spans="1:18" ht="16" customHeight="1" x14ac:dyDescent="0.2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</row>
    <row r="101" spans="1:18" ht="16" customHeight="1" x14ac:dyDescent="0.2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</row>
    <row r="102" spans="1:18" ht="16" customHeight="1" x14ac:dyDescent="0.2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</row>
    <row r="103" spans="1:18" ht="16" customHeight="1" x14ac:dyDescent="0.2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</row>
    <row r="104" spans="1:18" ht="16" customHeight="1" x14ac:dyDescent="0.2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</row>
    <row r="105" spans="1:18" ht="16" customHeight="1" x14ac:dyDescent="0.2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</row>
    <row r="106" spans="1:18" ht="16" customHeight="1" x14ac:dyDescent="0.2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</row>
    <row r="107" spans="1:18" ht="16" customHeight="1" x14ac:dyDescent="0.2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</row>
    <row r="108" spans="1:18" ht="16" customHeight="1" x14ac:dyDescent="0.2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</row>
    <row r="109" spans="1:18" ht="16" customHeight="1" x14ac:dyDescent="0.2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</row>
    <row r="110" spans="1:18" ht="16" customHeight="1" x14ac:dyDescent="0.2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</row>
    <row r="111" spans="1:18" ht="16" customHeight="1" x14ac:dyDescent="0.2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</row>
    <row r="112" spans="1:18" ht="16" customHeight="1" x14ac:dyDescent="0.2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</row>
    <row r="113" spans="1:18" ht="16" customHeight="1" x14ac:dyDescent="0.2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</row>
    <row r="114" spans="1:18" ht="16" customHeight="1" x14ac:dyDescent="0.2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</row>
    <row r="115" spans="1:18" ht="16" customHeight="1" x14ac:dyDescent="0.2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</row>
    <row r="116" spans="1:18" ht="16" customHeight="1" x14ac:dyDescent="0.2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</row>
    <row r="117" spans="1:18" ht="16" customHeight="1" x14ac:dyDescent="0.2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</row>
    <row r="118" spans="1:18" ht="16" customHeight="1" x14ac:dyDescent="0.2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</row>
    <row r="119" spans="1:18" ht="16" customHeight="1" x14ac:dyDescent="0.2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</row>
    <row r="120" spans="1:18" ht="16" customHeight="1" x14ac:dyDescent="0.2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</row>
    <row r="121" spans="1:18" ht="16" customHeight="1" x14ac:dyDescent="0.2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</row>
    <row r="122" spans="1:18" ht="16" customHeight="1" x14ac:dyDescent="0.2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</row>
    <row r="123" spans="1:18" ht="16" customHeight="1" x14ac:dyDescent="0.2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</row>
    <row r="124" spans="1:18" ht="16" customHeight="1" x14ac:dyDescent="0.2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</row>
    <row r="125" spans="1:18" ht="16" customHeight="1" x14ac:dyDescent="0.2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</row>
    <row r="126" spans="1:18" ht="16" customHeight="1" x14ac:dyDescent="0.2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</row>
    <row r="127" spans="1:18" ht="16" customHeight="1" x14ac:dyDescent="0.2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</row>
    <row r="128" spans="1:18" ht="16" customHeight="1" x14ac:dyDescent="0.2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</row>
    <row r="129" spans="1:18" ht="16" customHeight="1" x14ac:dyDescent="0.2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</row>
    <row r="130" spans="1:18" ht="16" customHeight="1" x14ac:dyDescent="0.2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</row>
    <row r="131" spans="1:18" ht="16" customHeight="1" x14ac:dyDescent="0.2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</row>
    <row r="132" spans="1:18" ht="16" customHeight="1" x14ac:dyDescent="0.2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</row>
    <row r="133" spans="1:18" ht="16" customHeight="1" x14ac:dyDescent="0.2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</row>
    <row r="134" spans="1:18" ht="16" customHeight="1" x14ac:dyDescent="0.2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</row>
    <row r="135" spans="1:18" ht="16" customHeight="1" x14ac:dyDescent="0.2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</row>
    <row r="136" spans="1:18" ht="16" customHeight="1" x14ac:dyDescent="0.2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</row>
    <row r="137" spans="1:18" ht="16" customHeight="1" x14ac:dyDescent="0.2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</row>
    <row r="138" spans="1:18" ht="16" customHeight="1" x14ac:dyDescent="0.2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</row>
    <row r="139" spans="1:18" ht="16" customHeight="1" x14ac:dyDescent="0.2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</row>
    <row r="140" spans="1:18" ht="16" customHeight="1" x14ac:dyDescent="0.2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</row>
    <row r="141" spans="1:18" ht="16" customHeight="1" x14ac:dyDescent="0.2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</row>
    <row r="142" spans="1:18" ht="16" customHeight="1" x14ac:dyDescent="0.2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</row>
    <row r="143" spans="1:18" ht="16" customHeight="1" x14ac:dyDescent="0.2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</row>
    <row r="144" spans="1:18" ht="16" customHeight="1" x14ac:dyDescent="0.2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</row>
    <row r="145" spans="1:18" ht="16" customHeight="1" x14ac:dyDescent="0.2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</row>
    <row r="146" spans="1:18" ht="16" customHeight="1" x14ac:dyDescent="0.2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</row>
    <row r="147" spans="1:18" ht="16" customHeight="1" x14ac:dyDescent="0.2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</row>
    <row r="148" spans="1:18" ht="16" customHeight="1" x14ac:dyDescent="0.2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</row>
    <row r="149" spans="1:18" ht="16" customHeight="1" x14ac:dyDescent="0.2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</row>
    <row r="150" spans="1:18" ht="16" customHeight="1" x14ac:dyDescent="0.2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</row>
    <row r="151" spans="1:18" ht="16" customHeight="1" x14ac:dyDescent="0.2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</row>
    <row r="152" spans="1:18" ht="16" customHeight="1" x14ac:dyDescent="0.2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</row>
    <row r="153" spans="1:18" ht="16" customHeight="1" x14ac:dyDescent="0.2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</row>
    <row r="154" spans="1:18" ht="16" customHeight="1" x14ac:dyDescent="0.2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</row>
    <row r="155" spans="1:18" ht="16" customHeight="1" x14ac:dyDescent="0.2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</row>
    <row r="156" spans="1:18" ht="16" customHeight="1" x14ac:dyDescent="0.2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</row>
    <row r="157" spans="1:18" ht="16" customHeight="1" x14ac:dyDescent="0.2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</row>
    <row r="158" spans="1:18" ht="16" customHeight="1" x14ac:dyDescent="0.2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</row>
    <row r="159" spans="1:18" ht="16" customHeight="1" x14ac:dyDescent="0.2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</row>
    <row r="160" spans="1:18" ht="16" customHeight="1" x14ac:dyDescent="0.2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</row>
    <row r="161" spans="1:18" ht="16" customHeight="1" x14ac:dyDescent="0.2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</row>
    <row r="162" spans="1:18" ht="16" customHeight="1" x14ac:dyDescent="0.2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</row>
    <row r="163" spans="1:18" ht="16" customHeight="1" x14ac:dyDescent="0.2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</row>
    <row r="164" spans="1:18" ht="16" customHeight="1" x14ac:dyDescent="0.2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</row>
    <row r="165" spans="1:18" ht="16" customHeight="1" x14ac:dyDescent="0.2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</row>
    <row r="166" spans="1:18" ht="16" customHeight="1" x14ac:dyDescent="0.2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</row>
    <row r="167" spans="1:18" ht="16" customHeight="1" x14ac:dyDescent="0.2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</row>
    <row r="168" spans="1:18" ht="16" customHeight="1" x14ac:dyDescent="0.2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</row>
    <row r="169" spans="1:18" ht="16" customHeight="1" x14ac:dyDescent="0.2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</row>
    <row r="170" spans="1:18" ht="16" customHeight="1" x14ac:dyDescent="0.2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</row>
    <row r="171" spans="1:18" ht="16" customHeight="1" x14ac:dyDescent="0.2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</row>
    <row r="172" spans="1:18" ht="16" customHeight="1" x14ac:dyDescent="0.2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</row>
    <row r="173" spans="1:18" ht="16" customHeight="1" x14ac:dyDescent="0.2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</row>
    <row r="174" spans="1:18" ht="16" customHeight="1" x14ac:dyDescent="0.2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</row>
    <row r="175" spans="1:18" ht="16" customHeight="1" x14ac:dyDescent="0.2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</row>
    <row r="176" spans="1:18" ht="16" customHeight="1" x14ac:dyDescent="0.2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</row>
    <row r="177" spans="1:18" ht="16" customHeight="1" x14ac:dyDescent="0.2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</row>
    <row r="178" spans="1:18" ht="16" customHeight="1" x14ac:dyDescent="0.2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</row>
    <row r="179" spans="1:18" ht="16" customHeight="1" x14ac:dyDescent="0.2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</row>
    <row r="180" spans="1:18" ht="16" customHeight="1" x14ac:dyDescent="0.2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</row>
    <row r="181" spans="1:18" ht="16" customHeight="1" x14ac:dyDescent="0.2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</row>
    <row r="182" spans="1:18" ht="16" customHeight="1" x14ac:dyDescent="0.2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</row>
    <row r="183" spans="1:18" ht="16" customHeight="1" x14ac:dyDescent="0.2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</row>
    <row r="184" spans="1:18" ht="16" customHeight="1" x14ac:dyDescent="0.2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</row>
    <row r="185" spans="1:18" ht="16" customHeight="1" x14ac:dyDescent="0.2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</row>
    <row r="186" spans="1:18" ht="16" customHeight="1" x14ac:dyDescent="0.2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</row>
    <row r="187" spans="1:18" ht="16" customHeight="1" x14ac:dyDescent="0.2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</row>
    <row r="188" spans="1:18" ht="16" customHeight="1" x14ac:dyDescent="0.2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</row>
    <row r="189" spans="1:18" ht="16" customHeight="1" x14ac:dyDescent="0.2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</row>
    <row r="190" spans="1:18" ht="16" customHeight="1" x14ac:dyDescent="0.2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</row>
    <row r="191" spans="1:18" ht="16" customHeight="1" x14ac:dyDescent="0.2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</row>
    <row r="192" spans="1:18" ht="16" customHeight="1" x14ac:dyDescent="0.2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</row>
    <row r="193" spans="1:18" ht="16" customHeight="1" x14ac:dyDescent="0.2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</row>
    <row r="194" spans="1:18" ht="16" customHeight="1" x14ac:dyDescent="0.2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</row>
    <row r="195" spans="1:18" ht="16" customHeight="1" x14ac:dyDescent="0.2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</row>
    <row r="196" spans="1:18" ht="16" customHeight="1" x14ac:dyDescent="0.2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</row>
    <row r="197" spans="1:18" ht="16" customHeight="1" x14ac:dyDescent="0.2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</row>
    <row r="198" spans="1:18" ht="16" customHeight="1" x14ac:dyDescent="0.2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</row>
    <row r="199" spans="1:18" ht="16" customHeight="1" x14ac:dyDescent="0.2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</row>
    <row r="200" spans="1:18" ht="16" customHeight="1" x14ac:dyDescent="0.2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</row>
    <row r="201" spans="1:18" ht="16" customHeight="1" x14ac:dyDescent="0.2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</row>
    <row r="202" spans="1:18" ht="16" customHeight="1" x14ac:dyDescent="0.2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</row>
    <row r="203" spans="1:18" ht="16" customHeight="1" x14ac:dyDescent="0.2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</row>
    <row r="204" spans="1:18" ht="16" customHeight="1" x14ac:dyDescent="0.2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</row>
    <row r="205" spans="1:18" ht="16" customHeight="1" x14ac:dyDescent="0.2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</row>
    <row r="206" spans="1:18" ht="16" customHeight="1" x14ac:dyDescent="0.2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</row>
    <row r="207" spans="1:18" ht="16" customHeight="1" x14ac:dyDescent="0.2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</row>
    <row r="208" spans="1:18" ht="16" customHeight="1" x14ac:dyDescent="0.2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</row>
    <row r="209" spans="1:18" ht="16" customHeight="1" x14ac:dyDescent="0.2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</row>
    <row r="210" spans="1:18" ht="16" customHeight="1" x14ac:dyDescent="0.2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</row>
    <row r="211" spans="1:18" ht="16" customHeight="1" x14ac:dyDescent="0.2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</row>
    <row r="212" spans="1:18" ht="16" customHeight="1" x14ac:dyDescent="0.2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</row>
    <row r="213" spans="1:18" ht="16" customHeight="1" x14ac:dyDescent="0.2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</row>
    <row r="214" spans="1:18" ht="16" customHeight="1" x14ac:dyDescent="0.2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</row>
    <row r="215" spans="1:18" ht="16" customHeight="1" x14ac:dyDescent="0.2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</row>
    <row r="216" spans="1:18" ht="16" customHeight="1" x14ac:dyDescent="0.2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</row>
    <row r="217" spans="1:18" ht="16" customHeight="1" x14ac:dyDescent="0.2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</row>
    <row r="218" spans="1:18" ht="16" customHeight="1" x14ac:dyDescent="0.2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</row>
    <row r="219" spans="1:18" ht="16" customHeight="1" x14ac:dyDescent="0.2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</row>
    <row r="220" spans="1:18" ht="16" customHeight="1" x14ac:dyDescent="0.2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</row>
    <row r="221" spans="1:18" ht="16" customHeight="1" x14ac:dyDescent="0.2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</row>
    <row r="222" spans="1:18" ht="16" customHeight="1" x14ac:dyDescent="0.2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</row>
    <row r="223" spans="1:18" ht="16" customHeight="1" x14ac:dyDescent="0.2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</row>
    <row r="224" spans="1:18" ht="16" customHeight="1" x14ac:dyDescent="0.2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</row>
    <row r="225" spans="1:18" ht="16" customHeight="1" x14ac:dyDescent="0.2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</row>
    <row r="226" spans="1:18" ht="16" customHeight="1" x14ac:dyDescent="0.2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</row>
    <row r="227" spans="1:18" ht="16" customHeight="1" x14ac:dyDescent="0.2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</row>
    <row r="228" spans="1:18" ht="16" customHeight="1" x14ac:dyDescent="0.2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</row>
    <row r="229" spans="1:18" ht="16" customHeight="1" x14ac:dyDescent="0.2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</row>
    <row r="230" spans="1:18" ht="16" customHeight="1" x14ac:dyDescent="0.2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</row>
    <row r="231" spans="1:18" ht="16" customHeight="1" x14ac:dyDescent="0.2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</row>
    <row r="232" spans="1:18" ht="16" customHeight="1" x14ac:dyDescent="0.2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</row>
    <row r="233" spans="1:18" ht="16" customHeight="1" x14ac:dyDescent="0.2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</row>
    <row r="234" spans="1:18" ht="16" customHeight="1" x14ac:dyDescent="0.2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</row>
    <row r="235" spans="1:18" ht="16" customHeight="1" x14ac:dyDescent="0.2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</row>
    <row r="236" spans="1:18" ht="16" customHeight="1" x14ac:dyDescent="0.2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</row>
    <row r="237" spans="1:18" ht="16" customHeight="1" x14ac:dyDescent="0.2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</row>
    <row r="238" spans="1:18" ht="16" customHeight="1" x14ac:dyDescent="0.2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</row>
    <row r="239" spans="1:18" ht="16" customHeight="1" x14ac:dyDescent="0.2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</row>
    <row r="240" spans="1:18" ht="16" customHeight="1" x14ac:dyDescent="0.2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</row>
    <row r="241" spans="1:18" ht="16" customHeight="1" x14ac:dyDescent="0.2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</row>
    <row r="242" spans="1:18" ht="16" customHeight="1" x14ac:dyDescent="0.2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</row>
    <row r="243" spans="1:18" ht="16" customHeight="1" x14ac:dyDescent="0.2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</row>
    <row r="244" spans="1:18" ht="16" customHeight="1" x14ac:dyDescent="0.2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</row>
    <row r="245" spans="1:18" ht="16" customHeight="1" x14ac:dyDescent="0.2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</row>
    <row r="246" spans="1:18" ht="16" customHeight="1" x14ac:dyDescent="0.2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</row>
    <row r="247" spans="1:18" ht="16" customHeight="1" x14ac:dyDescent="0.2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</row>
    <row r="248" spans="1:18" ht="16" customHeight="1" x14ac:dyDescent="0.2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</row>
    <row r="249" spans="1:18" ht="16" customHeight="1" x14ac:dyDescent="0.2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</row>
    <row r="250" spans="1:18" ht="16" customHeight="1" x14ac:dyDescent="0.2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spans="1:18" ht="16" customHeight="1" x14ac:dyDescent="0.2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</row>
    <row r="252" spans="1:18" ht="16" customHeight="1" x14ac:dyDescent="0.2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</row>
    <row r="253" spans="1:18" ht="16" customHeight="1" x14ac:dyDescent="0.2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</row>
    <row r="254" spans="1:18" ht="16" customHeight="1" x14ac:dyDescent="0.2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</row>
    <row r="255" spans="1:18" ht="16" customHeight="1" x14ac:dyDescent="0.2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</row>
    <row r="256" spans="1:18" ht="16" customHeight="1" x14ac:dyDescent="0.2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</row>
    <row r="257" spans="1:18" ht="16" customHeight="1" x14ac:dyDescent="0.2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</row>
    <row r="258" spans="1:18" ht="16" customHeight="1" x14ac:dyDescent="0.2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</row>
    <row r="259" spans="1:18" ht="16" customHeight="1" x14ac:dyDescent="0.2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</row>
    <row r="260" spans="1:18" ht="16" customHeight="1" x14ac:dyDescent="0.2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spans="1:18" ht="16" customHeight="1" x14ac:dyDescent="0.2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spans="1:18" ht="16" customHeight="1" x14ac:dyDescent="0.2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</row>
    <row r="263" spans="1:18" ht="16" customHeight="1" x14ac:dyDescent="0.2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</row>
    <row r="264" spans="1:18" ht="16" customHeight="1" x14ac:dyDescent="0.2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</row>
    <row r="265" spans="1:18" ht="16" customHeight="1" x14ac:dyDescent="0.2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</row>
    <row r="266" spans="1:18" ht="16" customHeight="1" x14ac:dyDescent="0.2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</row>
    <row r="267" spans="1:18" ht="16" customHeight="1" x14ac:dyDescent="0.2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</row>
    <row r="268" spans="1:18" ht="16" customHeight="1" x14ac:dyDescent="0.2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</row>
    <row r="269" spans="1:18" ht="16" customHeight="1" x14ac:dyDescent="0.2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</row>
    <row r="270" spans="1:18" ht="16" customHeight="1" x14ac:dyDescent="0.2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</row>
    <row r="271" spans="1:18" ht="16" customHeight="1" x14ac:dyDescent="0.2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</row>
    <row r="272" spans="1:18" ht="16" customHeight="1" x14ac:dyDescent="0.2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</row>
    <row r="273" spans="1:18" ht="16" customHeight="1" x14ac:dyDescent="0.2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</row>
    <row r="274" spans="1:18" ht="16" customHeight="1" x14ac:dyDescent="0.2">
      <c r="A274" s="1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</row>
    <row r="275" spans="1:18" ht="16" customHeight="1" x14ac:dyDescent="0.2">
      <c r="A275" s="1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</row>
    <row r="276" spans="1:18" ht="16" customHeight="1" x14ac:dyDescent="0.2">
      <c r="A276" s="1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</row>
    <row r="277" spans="1:18" ht="16" customHeight="1" x14ac:dyDescent="0.2">
      <c r="A277" s="1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</row>
    <row r="278" spans="1:18" ht="16" customHeight="1" x14ac:dyDescent="0.2">
      <c r="A278" s="1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</row>
    <row r="279" spans="1:18" ht="16" customHeight="1" x14ac:dyDescent="0.2">
      <c r="A279" s="1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</row>
    <row r="280" spans="1:18" ht="16" customHeight="1" x14ac:dyDescent="0.2">
      <c r="A280" s="1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</row>
    <row r="281" spans="1:18" ht="16" customHeight="1" x14ac:dyDescent="0.2">
      <c r="A281" s="1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</row>
    <row r="282" spans="1:18" ht="16" customHeight="1" x14ac:dyDescent="0.2">
      <c r="A282" s="1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</row>
    <row r="283" spans="1:18" ht="16" customHeight="1" x14ac:dyDescent="0.2">
      <c r="A283" s="1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</row>
    <row r="284" spans="1:18" ht="16" customHeight="1" x14ac:dyDescent="0.2">
      <c r="A284" s="1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</row>
    <row r="285" spans="1:18" ht="16" customHeight="1" x14ac:dyDescent="0.2">
      <c r="A285" s="1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</row>
    <row r="286" spans="1:18" ht="16" customHeight="1" x14ac:dyDescent="0.2">
      <c r="A286" s="1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</row>
    <row r="287" spans="1:18" ht="16" customHeight="1" x14ac:dyDescent="0.2">
      <c r="A287" s="1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</row>
    <row r="288" spans="1:18" ht="16" customHeight="1" x14ac:dyDescent="0.2">
      <c r="A288" s="1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</row>
    <row r="289" spans="1:18" ht="16" customHeight="1" x14ac:dyDescent="0.2">
      <c r="A289" s="1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</row>
    <row r="290" spans="1:18" ht="16" customHeight="1" x14ac:dyDescent="0.2">
      <c r="A290" s="1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</row>
    <row r="291" spans="1:18" ht="16" customHeight="1" x14ac:dyDescent="0.2">
      <c r="A291" s="1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</row>
    <row r="292" spans="1:18" ht="16" customHeight="1" x14ac:dyDescent="0.2">
      <c r="A292" s="1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</row>
    <row r="293" spans="1:18" ht="16" customHeight="1" x14ac:dyDescent="0.2">
      <c r="A293" s="1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</row>
    <row r="294" spans="1:18" ht="16" customHeight="1" x14ac:dyDescent="0.2">
      <c r="A294" s="1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</row>
    <row r="295" spans="1:18" ht="16" customHeight="1" x14ac:dyDescent="0.2">
      <c r="A295" s="1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</row>
    <row r="296" spans="1:18" ht="16" customHeight="1" x14ac:dyDescent="0.2">
      <c r="A296" s="1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</row>
    <row r="297" spans="1:18" ht="16" customHeight="1" x14ac:dyDescent="0.2">
      <c r="A297" s="1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</row>
    <row r="298" spans="1:18" ht="16" customHeight="1" x14ac:dyDescent="0.2">
      <c r="A298" s="1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</row>
    <row r="299" spans="1:18" ht="16" customHeight="1" x14ac:dyDescent="0.2">
      <c r="A299" s="1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</row>
    <row r="300" spans="1:18" ht="16" customHeight="1" x14ac:dyDescent="0.2">
      <c r="A300" s="1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</row>
    <row r="301" spans="1:18" ht="16" customHeight="1" x14ac:dyDescent="0.2">
      <c r="A301" s="1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</row>
    <row r="302" spans="1:18" ht="16" customHeight="1" x14ac:dyDescent="0.2">
      <c r="A302" s="1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</row>
    <row r="303" spans="1:18" ht="16" customHeight="1" x14ac:dyDescent="0.2">
      <c r="A303" s="1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</row>
    <row r="304" spans="1:18" ht="16" customHeight="1" x14ac:dyDescent="0.2">
      <c r="A304" s="1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</row>
    <row r="305" spans="1:18" ht="16" customHeight="1" x14ac:dyDescent="0.2">
      <c r="A305" s="1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</row>
    <row r="306" spans="1:18" ht="16" customHeight="1" x14ac:dyDescent="0.2">
      <c r="A306" s="1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</row>
    <row r="307" spans="1:18" ht="16" customHeight="1" x14ac:dyDescent="0.2">
      <c r="A307" s="1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</row>
    <row r="308" spans="1:18" ht="16" customHeight="1" x14ac:dyDescent="0.2">
      <c r="A308" s="1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</row>
    <row r="309" spans="1:18" ht="16" customHeight="1" x14ac:dyDescent="0.2">
      <c r="A309" s="1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</row>
    <row r="310" spans="1:18" ht="16" customHeight="1" x14ac:dyDescent="0.2">
      <c r="A310" s="1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</row>
    <row r="311" spans="1:18" ht="16" customHeight="1" x14ac:dyDescent="0.2">
      <c r="A311" s="1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</row>
    <row r="312" spans="1:18" ht="16" customHeight="1" x14ac:dyDescent="0.2">
      <c r="A312" s="1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</row>
    <row r="313" spans="1:18" ht="16" customHeight="1" x14ac:dyDescent="0.2">
      <c r="A313" s="1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</row>
    <row r="314" spans="1:18" ht="16" customHeight="1" x14ac:dyDescent="0.2">
      <c r="A314" s="1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</row>
    <row r="315" spans="1:18" ht="16" customHeight="1" x14ac:dyDescent="0.2">
      <c r="A315" s="1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</row>
    <row r="316" spans="1:18" ht="16" customHeight="1" x14ac:dyDescent="0.2">
      <c r="A316" s="1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</row>
    <row r="317" spans="1:18" ht="16" customHeight="1" x14ac:dyDescent="0.2">
      <c r="A317" s="1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</row>
    <row r="318" spans="1:18" ht="16" customHeight="1" x14ac:dyDescent="0.2">
      <c r="A318" s="1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</row>
    <row r="319" spans="1:18" ht="16" customHeight="1" x14ac:dyDescent="0.2">
      <c r="A319" s="1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</row>
    <row r="320" spans="1:18" ht="16" customHeight="1" x14ac:dyDescent="0.2">
      <c r="A320" s="1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spans="1:18" ht="16" customHeight="1" x14ac:dyDescent="0.2">
      <c r="A321" s="1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spans="1:18" ht="16" customHeight="1" x14ac:dyDescent="0.2">
      <c r="A322" s="1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spans="1:18" ht="16" customHeight="1" x14ac:dyDescent="0.2">
      <c r="A323" s="1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spans="1:18" ht="16" customHeight="1" x14ac:dyDescent="0.2">
      <c r="A324" s="1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spans="1:18" ht="16" customHeight="1" x14ac:dyDescent="0.2">
      <c r="A325" s="1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spans="1:18" ht="16" customHeight="1" x14ac:dyDescent="0.2">
      <c r="A326" s="1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spans="1:18" ht="16" customHeight="1" x14ac:dyDescent="0.2">
      <c r="A327" s="1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spans="1:18" ht="16" customHeight="1" x14ac:dyDescent="0.2">
      <c r="A328" s="1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spans="1:18" ht="16" customHeight="1" x14ac:dyDescent="0.2">
      <c r="A329" s="1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spans="1:18" ht="16" customHeight="1" x14ac:dyDescent="0.2">
      <c r="A330" s="1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</row>
    <row r="331" spans="1:18" ht="16" customHeight="1" x14ac:dyDescent="0.2">
      <c r="A331" s="1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</row>
    <row r="332" spans="1:18" ht="16" customHeight="1" x14ac:dyDescent="0.2">
      <c r="A332" s="1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</row>
    <row r="333" spans="1:18" ht="16" customHeight="1" x14ac:dyDescent="0.2">
      <c r="A333" s="1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</row>
    <row r="334" spans="1:18" ht="16" customHeight="1" x14ac:dyDescent="0.2">
      <c r="A334" s="1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</row>
    <row r="335" spans="1:18" ht="16" customHeight="1" x14ac:dyDescent="0.2">
      <c r="A335" s="1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</row>
    <row r="336" spans="1:18" ht="16" customHeight="1" x14ac:dyDescent="0.2">
      <c r="A336" s="1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</row>
    <row r="337" spans="1:18" ht="16" customHeight="1" x14ac:dyDescent="0.2">
      <c r="A337" s="1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</row>
    <row r="338" spans="1:18" ht="16" customHeight="1" x14ac:dyDescent="0.2">
      <c r="A338" s="1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</row>
    <row r="339" spans="1:18" ht="16" customHeight="1" x14ac:dyDescent="0.2">
      <c r="A339" s="1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</row>
    <row r="340" spans="1:18" ht="16" customHeight="1" x14ac:dyDescent="0.2">
      <c r="A340" s="1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</row>
    <row r="341" spans="1:18" ht="16" customHeight="1" x14ac:dyDescent="0.2">
      <c r="A341" s="1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</row>
    <row r="342" spans="1:18" ht="16" customHeight="1" x14ac:dyDescent="0.2">
      <c r="A342" s="1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</row>
    <row r="343" spans="1:18" ht="16" customHeight="1" x14ac:dyDescent="0.2">
      <c r="A343" s="1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</row>
    <row r="344" spans="1:18" ht="16" customHeight="1" x14ac:dyDescent="0.2">
      <c r="A344" s="1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</row>
    <row r="345" spans="1:18" ht="16" customHeight="1" x14ac:dyDescent="0.2">
      <c r="A345" s="1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</row>
    <row r="346" spans="1:18" ht="16" customHeight="1" x14ac:dyDescent="0.2">
      <c r="A346" s="1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</row>
    <row r="347" spans="1:18" ht="16" customHeight="1" x14ac:dyDescent="0.2">
      <c r="A347" s="1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</row>
    <row r="348" spans="1:18" ht="16" customHeight="1" x14ac:dyDescent="0.2">
      <c r="A348" s="1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</row>
    <row r="349" spans="1:18" ht="16" customHeight="1" x14ac:dyDescent="0.2">
      <c r="A349" s="1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</row>
    <row r="350" spans="1:18" ht="16" customHeight="1" x14ac:dyDescent="0.2">
      <c r="A350" s="1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</row>
    <row r="351" spans="1:18" ht="16" customHeight="1" x14ac:dyDescent="0.2">
      <c r="A351" s="1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</row>
    <row r="352" spans="1:18" ht="16" customHeight="1" x14ac:dyDescent="0.2">
      <c r="A352" s="1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</row>
    <row r="353" spans="1:18" ht="16" customHeight="1" x14ac:dyDescent="0.2">
      <c r="A353" s="1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</row>
    <row r="354" spans="1:18" ht="16" customHeight="1" x14ac:dyDescent="0.2">
      <c r="A354" s="1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</row>
    <row r="355" spans="1:18" ht="16" customHeight="1" x14ac:dyDescent="0.2">
      <c r="A355" s="1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</row>
    <row r="356" spans="1:18" ht="16" customHeight="1" x14ac:dyDescent="0.2">
      <c r="A356" s="1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</row>
    <row r="357" spans="1:18" ht="16" customHeight="1" x14ac:dyDescent="0.2">
      <c r="A357" s="1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</row>
    <row r="358" spans="1:18" ht="16" customHeight="1" x14ac:dyDescent="0.2">
      <c r="A358" s="1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</row>
    <row r="359" spans="1:18" ht="16" customHeight="1" x14ac:dyDescent="0.2">
      <c r="A359" s="1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</row>
    <row r="360" spans="1:18" ht="16" customHeight="1" x14ac:dyDescent="0.2">
      <c r="A360" s="1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</row>
    <row r="361" spans="1:18" ht="16" customHeight="1" x14ac:dyDescent="0.2">
      <c r="A361" s="1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</row>
    <row r="362" spans="1:18" ht="16" customHeight="1" x14ac:dyDescent="0.2">
      <c r="A362" s="1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</row>
    <row r="363" spans="1:18" ht="16" customHeight="1" x14ac:dyDescent="0.2">
      <c r="A363" s="1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</row>
    <row r="364" spans="1:18" ht="16" customHeight="1" x14ac:dyDescent="0.2">
      <c r="A364" s="1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</row>
    <row r="365" spans="1:18" ht="16" customHeight="1" x14ac:dyDescent="0.2">
      <c r="A365" s="1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</row>
    <row r="366" spans="1:18" ht="16" customHeight="1" x14ac:dyDescent="0.2">
      <c r="A366" s="1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</row>
    <row r="367" spans="1:18" ht="16" customHeight="1" x14ac:dyDescent="0.2">
      <c r="A367" s="1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</row>
    <row r="368" spans="1:18" ht="16" customHeight="1" x14ac:dyDescent="0.2">
      <c r="A368" s="1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</row>
    <row r="369" spans="1:18" ht="16" customHeight="1" x14ac:dyDescent="0.2">
      <c r="A369" s="1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</row>
    <row r="370" spans="1:18" ht="16" customHeight="1" x14ac:dyDescent="0.2">
      <c r="A370" s="1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</row>
    <row r="371" spans="1:18" ht="16" customHeight="1" x14ac:dyDescent="0.2">
      <c r="A371" s="1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</row>
    <row r="372" spans="1:18" ht="16" customHeight="1" x14ac:dyDescent="0.2">
      <c r="A372" s="1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</row>
    <row r="373" spans="1:18" ht="16" customHeight="1" x14ac:dyDescent="0.2">
      <c r="A373" s="1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spans="1:18" ht="16" customHeight="1" x14ac:dyDescent="0.2">
      <c r="A374" s="1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spans="1:18" ht="16" customHeight="1" x14ac:dyDescent="0.2">
      <c r="A375" s="1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spans="1:18" ht="16" customHeight="1" x14ac:dyDescent="0.2">
      <c r="A376" s="1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spans="1:18" ht="16" customHeight="1" x14ac:dyDescent="0.2">
      <c r="A377" s="1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spans="1:18" ht="16" customHeight="1" x14ac:dyDescent="0.2">
      <c r="A378" s="1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spans="1:18" ht="16" customHeight="1" x14ac:dyDescent="0.2">
      <c r="A379" s="1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spans="1:18" ht="16" customHeight="1" x14ac:dyDescent="0.2">
      <c r="A380" s="1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spans="1:18" ht="16" customHeight="1" x14ac:dyDescent="0.2">
      <c r="A381" s="1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spans="1:18" ht="16" customHeight="1" x14ac:dyDescent="0.2">
      <c r="A382" s="1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spans="1:18" ht="16" customHeight="1" x14ac:dyDescent="0.2">
      <c r="A383" s="1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spans="1:18" ht="16" customHeight="1" x14ac:dyDescent="0.2">
      <c r="A384" s="1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spans="1:18" ht="16" customHeight="1" x14ac:dyDescent="0.2">
      <c r="A385" s="1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spans="1:18" ht="16" customHeight="1" x14ac:dyDescent="0.2">
      <c r="A386" s="1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spans="1:18" ht="16" customHeight="1" x14ac:dyDescent="0.2">
      <c r="A387" s="1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spans="1:18" ht="16" customHeight="1" x14ac:dyDescent="0.2">
      <c r="A388" s="1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spans="1:18" ht="16" customHeight="1" x14ac:dyDescent="0.2">
      <c r="A389" s="1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spans="1:18" ht="16" customHeight="1" x14ac:dyDescent="0.2">
      <c r="A390" s="1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spans="1:18" ht="16" customHeight="1" x14ac:dyDescent="0.2">
      <c r="A391" s="1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spans="1:18" ht="16" customHeight="1" x14ac:dyDescent="0.2">
      <c r="A392" s="1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spans="1:18" ht="16" customHeight="1" x14ac:dyDescent="0.2">
      <c r="A393" s="1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spans="1:18" ht="16" customHeight="1" x14ac:dyDescent="0.2">
      <c r="A394" s="1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spans="1:18" ht="16" customHeight="1" x14ac:dyDescent="0.2">
      <c r="A395" s="1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spans="1:18" ht="16" customHeight="1" x14ac:dyDescent="0.2">
      <c r="A396" s="1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spans="1:18" ht="16" customHeight="1" x14ac:dyDescent="0.2">
      <c r="A397" s="1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spans="1:18" ht="16" customHeight="1" x14ac:dyDescent="0.2">
      <c r="A398" s="1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spans="1:18" ht="16" customHeight="1" x14ac:dyDescent="0.2">
      <c r="A399" s="1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spans="1:18" ht="16" customHeight="1" x14ac:dyDescent="0.2">
      <c r="A400" s="1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spans="1:18" ht="16" customHeight="1" x14ac:dyDescent="0.2">
      <c r="A401" s="1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spans="1:18" ht="16" customHeight="1" x14ac:dyDescent="0.2">
      <c r="A402" s="1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spans="1:18" ht="16" customHeight="1" x14ac:dyDescent="0.2">
      <c r="A403" s="1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spans="1:18" ht="16" customHeight="1" x14ac:dyDescent="0.2">
      <c r="A404" s="1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spans="1:18" ht="16" customHeight="1" x14ac:dyDescent="0.2">
      <c r="A405" s="1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spans="1:18" ht="16" customHeight="1" x14ac:dyDescent="0.2">
      <c r="A406" s="1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spans="1:18" ht="16" customHeight="1" x14ac:dyDescent="0.2">
      <c r="A407" s="1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spans="1:18" ht="16" customHeight="1" x14ac:dyDescent="0.2">
      <c r="A408" s="1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spans="1:18" ht="16" customHeight="1" x14ac:dyDescent="0.2">
      <c r="A409" s="1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spans="1:18" ht="16" customHeight="1" x14ac:dyDescent="0.2">
      <c r="A410" s="1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spans="1:18" ht="16" customHeight="1" x14ac:dyDescent="0.2">
      <c r="A411" s="1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spans="1:18" ht="16" customHeight="1" x14ac:dyDescent="0.2">
      <c r="A412" s="1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spans="1:18" ht="16" customHeight="1" x14ac:dyDescent="0.2">
      <c r="A413" s="1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spans="1:18" ht="16" customHeight="1" x14ac:dyDescent="0.2">
      <c r="A414" s="1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spans="1:18" ht="16" customHeight="1" x14ac:dyDescent="0.2">
      <c r="A415" s="1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spans="1:18" ht="16" customHeight="1" x14ac:dyDescent="0.2">
      <c r="A416" s="1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spans="1:18" ht="16" customHeight="1" x14ac:dyDescent="0.2">
      <c r="A417" s="1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spans="1:18" ht="16" customHeight="1" x14ac:dyDescent="0.2">
      <c r="A418" s="1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spans="1:18" ht="16" customHeight="1" x14ac:dyDescent="0.2">
      <c r="A419" s="1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spans="1:18" ht="16" customHeight="1" x14ac:dyDescent="0.2">
      <c r="A420" s="1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spans="1:18" ht="16" customHeight="1" x14ac:dyDescent="0.2">
      <c r="A421" s="1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spans="1:18" ht="16" customHeight="1" x14ac:dyDescent="0.2">
      <c r="A422" s="1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spans="1:18" ht="16" customHeight="1" x14ac:dyDescent="0.2">
      <c r="A423" s="1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spans="1:18" ht="16" customHeight="1" x14ac:dyDescent="0.2">
      <c r="A424" s="1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spans="1:18" ht="16" customHeight="1" x14ac:dyDescent="0.2">
      <c r="A425" s="1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spans="1:18" ht="16" customHeight="1" x14ac:dyDescent="0.2">
      <c r="A426" s="1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spans="1:18" ht="16" customHeight="1" x14ac:dyDescent="0.2">
      <c r="A427" s="1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spans="1:18" ht="16" customHeight="1" x14ac:dyDescent="0.2">
      <c r="A428" s="1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spans="1:18" ht="16" customHeight="1" x14ac:dyDescent="0.2">
      <c r="A429" s="1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spans="1:18" ht="16" customHeight="1" x14ac:dyDescent="0.2">
      <c r="A430" s="1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spans="1:18" ht="16" customHeight="1" x14ac:dyDescent="0.2">
      <c r="A431" s="1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spans="1:18" ht="16" customHeight="1" x14ac:dyDescent="0.2">
      <c r="A432" s="1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spans="1:18" ht="16" customHeight="1" x14ac:dyDescent="0.2">
      <c r="A433" s="1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spans="1:18" ht="16" customHeight="1" x14ac:dyDescent="0.2">
      <c r="A434" s="1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spans="1:18" ht="16" customHeight="1" x14ac:dyDescent="0.2">
      <c r="A435" s="1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spans="1:18" ht="16" customHeight="1" x14ac:dyDescent="0.2">
      <c r="A436" s="1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spans="1:18" ht="16" customHeight="1" x14ac:dyDescent="0.2">
      <c r="A437" s="1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spans="1:18" ht="16" customHeight="1" x14ac:dyDescent="0.2">
      <c r="A438" s="1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spans="1:18" ht="16" customHeight="1" x14ac:dyDescent="0.2">
      <c r="A439" s="1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spans="1:18" ht="16" customHeight="1" x14ac:dyDescent="0.2">
      <c r="A440" s="1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spans="1:18" ht="16" customHeight="1" x14ac:dyDescent="0.2">
      <c r="A441" s="1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spans="1:18" ht="16" customHeight="1" x14ac:dyDescent="0.2">
      <c r="A442" s="1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spans="1:18" ht="16" customHeight="1" x14ac:dyDescent="0.2">
      <c r="A443" s="1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spans="1:18" ht="16" customHeight="1" x14ac:dyDescent="0.2">
      <c r="A444" s="1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spans="1:18" ht="16" customHeight="1" x14ac:dyDescent="0.2">
      <c r="A445" s="1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spans="1:18" ht="16" customHeight="1" x14ac:dyDescent="0.2">
      <c r="A446" s="1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spans="1:18" ht="16" customHeight="1" x14ac:dyDescent="0.2">
      <c r="A447" s="1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spans="1:18" ht="16" customHeight="1" x14ac:dyDescent="0.2">
      <c r="A448" s="1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spans="1:18" ht="16" customHeight="1" x14ac:dyDescent="0.2">
      <c r="A449" s="1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spans="1:18" ht="16" customHeight="1" x14ac:dyDescent="0.2">
      <c r="A450" s="1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spans="1:18" ht="16" customHeight="1" x14ac:dyDescent="0.2">
      <c r="A451" s="1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spans="1:18" ht="16" customHeight="1" x14ac:dyDescent="0.2">
      <c r="A452" s="1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spans="1:18" ht="16" customHeight="1" x14ac:dyDescent="0.2">
      <c r="A453" s="1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spans="1:18" ht="16" customHeight="1" x14ac:dyDescent="0.2">
      <c r="A454" s="1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spans="1:18" ht="16" customHeight="1" x14ac:dyDescent="0.2">
      <c r="A455" s="1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spans="1:18" ht="16" customHeight="1" x14ac:dyDescent="0.2">
      <c r="A456" s="1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spans="1:18" ht="16" customHeight="1" x14ac:dyDescent="0.2">
      <c r="A457" s="1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spans="1:18" ht="16" customHeight="1" x14ac:dyDescent="0.2">
      <c r="A458" s="1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spans="1:18" ht="16" customHeight="1" x14ac:dyDescent="0.2">
      <c r="A459" s="1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spans="1:18" ht="16" customHeight="1" x14ac:dyDescent="0.2">
      <c r="A460" s="1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spans="1:18" ht="16" customHeight="1" x14ac:dyDescent="0.2">
      <c r="A461" s="1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spans="1:18" ht="16" customHeight="1" x14ac:dyDescent="0.2">
      <c r="A462" s="1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spans="1:18" ht="16" customHeight="1" x14ac:dyDescent="0.2">
      <c r="A463" s="1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spans="1:18" ht="16" customHeight="1" x14ac:dyDescent="0.2">
      <c r="A464" s="1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spans="1:18" ht="16" customHeight="1" x14ac:dyDescent="0.2">
      <c r="A465" s="1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spans="1:18" ht="16" customHeight="1" x14ac:dyDescent="0.2">
      <c r="A466" s="1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spans="1:18" ht="16" customHeight="1" x14ac:dyDescent="0.2">
      <c r="A467" s="1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spans="1:18" ht="16" customHeight="1" x14ac:dyDescent="0.2">
      <c r="A468" s="1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spans="1:18" ht="16" customHeight="1" x14ac:dyDescent="0.2">
      <c r="A469" s="1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spans="1:18" ht="16" customHeight="1" x14ac:dyDescent="0.2">
      <c r="A470" s="1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spans="1:18" ht="16" customHeight="1" x14ac:dyDescent="0.2">
      <c r="A471" s="1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spans="1:18" ht="16" customHeight="1" x14ac:dyDescent="0.2">
      <c r="A472" s="1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spans="1:18" ht="16" customHeight="1" x14ac:dyDescent="0.2">
      <c r="A473" s="1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spans="1:18" ht="16" customHeight="1" x14ac:dyDescent="0.2">
      <c r="A474" s="1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spans="1:18" ht="16" customHeight="1" x14ac:dyDescent="0.2">
      <c r="A475" s="1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spans="1:18" ht="16" customHeight="1" x14ac:dyDescent="0.2">
      <c r="A476" s="1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spans="1:18" ht="16" customHeight="1" x14ac:dyDescent="0.2">
      <c r="A477" s="1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spans="1:18" ht="16" customHeight="1" x14ac:dyDescent="0.2">
      <c r="A478" s="1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spans="1:18" ht="16" customHeight="1" x14ac:dyDescent="0.2">
      <c r="A479" s="1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spans="1:18" ht="16" customHeight="1" x14ac:dyDescent="0.2">
      <c r="A480" s="1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spans="1:18" ht="16" customHeight="1" x14ac:dyDescent="0.2">
      <c r="A481" s="1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spans="1:18" ht="16" customHeight="1" x14ac:dyDescent="0.2">
      <c r="A482" s="1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spans="1:18" ht="16" customHeight="1" x14ac:dyDescent="0.2">
      <c r="A483" s="1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spans="1:18" ht="16" customHeight="1" x14ac:dyDescent="0.2">
      <c r="A484" s="1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spans="1:18" ht="16" customHeight="1" x14ac:dyDescent="0.2">
      <c r="A485" s="1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spans="1:18" ht="16" customHeight="1" x14ac:dyDescent="0.2">
      <c r="A486" s="1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spans="1:18" ht="16" customHeight="1" x14ac:dyDescent="0.2">
      <c r="A487" s="1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spans="1:18" ht="16" customHeight="1" x14ac:dyDescent="0.2">
      <c r="A488" s="1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spans="1:18" ht="16" customHeight="1" x14ac:dyDescent="0.2">
      <c r="A489" s="1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spans="1:18" ht="16" customHeight="1" x14ac:dyDescent="0.2">
      <c r="A490" s="1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spans="1:18" ht="16" customHeight="1" x14ac:dyDescent="0.2">
      <c r="A491" s="1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spans="1:18" ht="16" customHeight="1" x14ac:dyDescent="0.2">
      <c r="A492" s="1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spans="1:18" ht="16" customHeight="1" x14ac:dyDescent="0.2">
      <c r="A493" s="1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spans="1:18" ht="16" customHeight="1" x14ac:dyDescent="0.2">
      <c r="A494" s="1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spans="1:18" ht="16" customHeight="1" x14ac:dyDescent="0.2">
      <c r="A495" s="1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spans="1:18" ht="16" customHeight="1" x14ac:dyDescent="0.2">
      <c r="A496" s="1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spans="1:18" ht="16" customHeight="1" x14ac:dyDescent="0.2">
      <c r="A497" s="1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spans="1:18" ht="16" customHeight="1" x14ac:dyDescent="0.2">
      <c r="A498" s="1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spans="1:18" ht="16" customHeight="1" x14ac:dyDescent="0.2">
      <c r="A499" s="1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spans="1:18" ht="16" customHeight="1" x14ac:dyDescent="0.2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spans="1:18" ht="16" customHeight="1" x14ac:dyDescent="0.2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spans="1:18" ht="16" customHeight="1" x14ac:dyDescent="0.2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spans="1:18" ht="16" customHeight="1" x14ac:dyDescent="0.2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spans="1:18" ht="16" customHeight="1" x14ac:dyDescent="0.2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spans="1:18" ht="16" customHeight="1" x14ac:dyDescent="0.2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spans="1:18" ht="16" customHeight="1" x14ac:dyDescent="0.2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spans="1:18" ht="16" customHeight="1" x14ac:dyDescent="0.2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spans="1:18" ht="16" customHeight="1" x14ac:dyDescent="0.2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spans="1:18" ht="16" customHeight="1" x14ac:dyDescent="0.2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spans="1:18" ht="16" customHeight="1" x14ac:dyDescent="0.2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spans="1:18" ht="16" customHeight="1" x14ac:dyDescent="0.2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spans="1:18" ht="16" customHeight="1" x14ac:dyDescent="0.2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spans="1:18" ht="16" customHeight="1" x14ac:dyDescent="0.2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spans="1:18" ht="16" customHeight="1" x14ac:dyDescent="0.2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spans="1:18" ht="16" customHeight="1" x14ac:dyDescent="0.2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spans="1:18" ht="16" customHeight="1" x14ac:dyDescent="0.2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spans="1:18" ht="16" customHeight="1" x14ac:dyDescent="0.2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spans="1:18" ht="16" customHeight="1" x14ac:dyDescent="0.2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spans="1:18" ht="16" customHeight="1" x14ac:dyDescent="0.2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spans="1:18" ht="16" customHeight="1" x14ac:dyDescent="0.2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spans="1:18" ht="16" customHeight="1" x14ac:dyDescent="0.2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spans="1:18" ht="16" customHeight="1" x14ac:dyDescent="0.2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spans="1:18" ht="16" customHeight="1" x14ac:dyDescent="0.2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spans="1:18" ht="16" customHeight="1" x14ac:dyDescent="0.2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spans="1:18" ht="16" customHeight="1" x14ac:dyDescent="0.2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spans="1:18" ht="16" customHeight="1" x14ac:dyDescent="0.2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spans="1:18" ht="16" customHeight="1" x14ac:dyDescent="0.2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spans="1:18" ht="16" customHeight="1" x14ac:dyDescent="0.2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spans="1:18" ht="16" customHeight="1" x14ac:dyDescent="0.2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spans="1:18" ht="16" customHeight="1" x14ac:dyDescent="0.2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spans="1:18" ht="16" customHeight="1" x14ac:dyDescent="0.2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spans="1:18" ht="16" customHeight="1" x14ac:dyDescent="0.2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spans="1:18" ht="16" customHeight="1" x14ac:dyDescent="0.2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spans="1:18" ht="16" customHeight="1" x14ac:dyDescent="0.2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spans="1:18" ht="16" customHeight="1" x14ac:dyDescent="0.2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spans="1:18" ht="16" customHeight="1" x14ac:dyDescent="0.2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spans="1:18" ht="16" customHeight="1" x14ac:dyDescent="0.2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spans="1:18" ht="16" customHeight="1" x14ac:dyDescent="0.2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spans="1:18" ht="16" customHeight="1" x14ac:dyDescent="0.2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spans="1:18" ht="16" customHeight="1" x14ac:dyDescent="0.2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spans="1:18" ht="16" customHeight="1" x14ac:dyDescent="0.2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spans="1:18" ht="16" customHeight="1" x14ac:dyDescent="0.2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spans="1:18" ht="16" customHeight="1" x14ac:dyDescent="0.2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spans="1:18" ht="16" customHeight="1" x14ac:dyDescent="0.2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spans="1:18" ht="16" customHeigh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spans="1:18" ht="16" customHeight="1" x14ac:dyDescent="0.2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spans="1:18" ht="16" customHeight="1" x14ac:dyDescent="0.2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spans="1:18" ht="16" customHeight="1" x14ac:dyDescent="0.2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spans="1:18" ht="16" customHeight="1" x14ac:dyDescent="0.2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spans="1:18" ht="16" customHeight="1" x14ac:dyDescent="0.2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spans="1:18" ht="16" customHeight="1" x14ac:dyDescent="0.2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spans="1:18" ht="16" customHeight="1" x14ac:dyDescent="0.2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spans="1:18" ht="16" customHeight="1" x14ac:dyDescent="0.2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spans="1:18" ht="16" customHeight="1" x14ac:dyDescent="0.2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spans="1:18" ht="16" customHeight="1" x14ac:dyDescent="0.2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spans="1:18" ht="16" customHeight="1" x14ac:dyDescent="0.2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spans="1:18" ht="16" customHeight="1" x14ac:dyDescent="0.2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spans="1:18" ht="16" customHeight="1" x14ac:dyDescent="0.2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spans="1:18" ht="16" customHeight="1" x14ac:dyDescent="0.2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spans="1:18" ht="16" customHeigh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spans="1:18" ht="16" customHeigh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spans="1:18" ht="16" customHeight="1" x14ac:dyDescent="0.2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spans="1:18" ht="16" customHeight="1" x14ac:dyDescent="0.2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spans="1:18" ht="16" customHeight="1" x14ac:dyDescent="0.2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spans="1:18" ht="16" customHeigh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spans="1:18" ht="16" customHeight="1" x14ac:dyDescent="0.2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spans="1:18" ht="16" customHeight="1" x14ac:dyDescent="0.2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spans="1:18" ht="16" customHeight="1" x14ac:dyDescent="0.2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spans="1:18" ht="16" customHeigh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spans="1:18" ht="16" customHeight="1" x14ac:dyDescent="0.2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spans="1:18" ht="16" customHeight="1" x14ac:dyDescent="0.2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spans="1:18" ht="16" customHeight="1" x14ac:dyDescent="0.2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spans="1:18" ht="16" customHeight="1" x14ac:dyDescent="0.2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spans="1:18" ht="16" customHeight="1" x14ac:dyDescent="0.2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spans="1:18" ht="16" customHeight="1" x14ac:dyDescent="0.2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spans="1:18" ht="16" customHeight="1" x14ac:dyDescent="0.2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spans="1:18" ht="16" customHeight="1" x14ac:dyDescent="0.2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spans="1:18" ht="16" customHeight="1" x14ac:dyDescent="0.2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spans="1:18" ht="16" customHeight="1" x14ac:dyDescent="0.2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spans="1:18" ht="16" customHeight="1" x14ac:dyDescent="0.2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spans="1:18" ht="16" customHeight="1" x14ac:dyDescent="0.2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spans="1:18" ht="16" customHeight="1" x14ac:dyDescent="0.2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spans="1:18" ht="16" customHeight="1" x14ac:dyDescent="0.2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spans="1:18" ht="16" customHeight="1" x14ac:dyDescent="0.2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spans="1:18" ht="16" customHeight="1" x14ac:dyDescent="0.2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spans="1:18" ht="16" customHeight="1" x14ac:dyDescent="0.2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spans="1:18" ht="16" customHeight="1" x14ac:dyDescent="0.2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spans="1:18" ht="16" customHeight="1" x14ac:dyDescent="0.2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spans="1:18" ht="16" customHeight="1" x14ac:dyDescent="0.2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spans="1:18" ht="16" customHeight="1" x14ac:dyDescent="0.2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spans="1:18" ht="16" customHeight="1" x14ac:dyDescent="0.2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spans="1:18" ht="16" customHeight="1" x14ac:dyDescent="0.2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spans="1:18" ht="16" customHeight="1" x14ac:dyDescent="0.2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spans="1:18" ht="16" customHeight="1" x14ac:dyDescent="0.2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spans="1:18" ht="16" customHeight="1" x14ac:dyDescent="0.2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spans="1:18" ht="16" customHeight="1" x14ac:dyDescent="0.2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spans="1:18" ht="16" customHeight="1" x14ac:dyDescent="0.2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spans="1:18" ht="16" customHeight="1" x14ac:dyDescent="0.2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spans="1:18" ht="16" customHeight="1" x14ac:dyDescent="0.2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spans="1:18" ht="16" customHeight="1" x14ac:dyDescent="0.2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spans="1:18" ht="16" customHeight="1" x14ac:dyDescent="0.2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spans="1:18" ht="16" customHeight="1" x14ac:dyDescent="0.2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spans="1:18" ht="16" customHeight="1" x14ac:dyDescent="0.2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spans="1:18" ht="16" customHeight="1" x14ac:dyDescent="0.2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spans="1:18" ht="16" customHeight="1" x14ac:dyDescent="0.2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spans="1:18" ht="16" customHeight="1" x14ac:dyDescent="0.2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spans="1:18" ht="16" customHeight="1" x14ac:dyDescent="0.2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spans="1:18" ht="16" customHeight="1" x14ac:dyDescent="0.2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spans="1:18" ht="16" customHeight="1" x14ac:dyDescent="0.2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spans="1:18" ht="16" customHeight="1" x14ac:dyDescent="0.2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spans="1:18" ht="16" customHeight="1" x14ac:dyDescent="0.2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spans="1:18" ht="16" customHeight="1" x14ac:dyDescent="0.2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spans="1:18" ht="16" customHeight="1" x14ac:dyDescent="0.2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spans="1:18" ht="16" customHeight="1" x14ac:dyDescent="0.2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spans="1:18" ht="16" customHeight="1" x14ac:dyDescent="0.2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spans="1:18" ht="16" customHeight="1" x14ac:dyDescent="0.2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spans="1:18" ht="16" customHeight="1" x14ac:dyDescent="0.2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spans="1:18" ht="16" customHeight="1" x14ac:dyDescent="0.2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spans="1:18" ht="16" customHeight="1" x14ac:dyDescent="0.2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spans="1:18" ht="16" customHeight="1" x14ac:dyDescent="0.2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spans="1:18" ht="16" customHeight="1" x14ac:dyDescent="0.2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spans="1:18" ht="16" customHeight="1" x14ac:dyDescent="0.2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spans="1:18" ht="16" customHeight="1" x14ac:dyDescent="0.2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spans="1:18" ht="16" customHeight="1" x14ac:dyDescent="0.2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spans="1:18" ht="16" customHeight="1" x14ac:dyDescent="0.2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spans="1:18" ht="16" customHeight="1" x14ac:dyDescent="0.2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spans="1:18" ht="16" customHeight="1" x14ac:dyDescent="0.2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spans="1:18" ht="16" customHeight="1" x14ac:dyDescent="0.2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spans="1:18" ht="16" customHeight="1" x14ac:dyDescent="0.2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spans="1:18" ht="16" customHeight="1" x14ac:dyDescent="0.2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spans="1:18" ht="16" customHeight="1" x14ac:dyDescent="0.2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spans="1:18" ht="16" customHeight="1" x14ac:dyDescent="0.2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spans="1:18" ht="16" customHeight="1" x14ac:dyDescent="0.2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spans="1:18" ht="16" customHeight="1" x14ac:dyDescent="0.2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spans="1:18" ht="16" customHeight="1" x14ac:dyDescent="0.2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spans="1:18" ht="16" customHeight="1" x14ac:dyDescent="0.2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spans="1:18" ht="16" customHeight="1" x14ac:dyDescent="0.2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spans="1:18" ht="16" customHeight="1" x14ac:dyDescent="0.2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spans="1:18" ht="16" customHeight="1" x14ac:dyDescent="0.2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spans="1:18" ht="16" customHeight="1" x14ac:dyDescent="0.2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spans="1:18" ht="16" customHeigh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spans="1:18" ht="16" customHeight="1" x14ac:dyDescent="0.2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spans="1:18" ht="16" customHeight="1" x14ac:dyDescent="0.2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spans="1:18" ht="16" customHeight="1" x14ac:dyDescent="0.2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spans="1:18" ht="16" customHeight="1" x14ac:dyDescent="0.2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spans="1:18" ht="16" customHeight="1" x14ac:dyDescent="0.2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spans="1:18" ht="16" customHeight="1" x14ac:dyDescent="0.2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spans="1:18" ht="16" customHeight="1" x14ac:dyDescent="0.2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spans="1:18" ht="16" customHeight="1" x14ac:dyDescent="0.2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spans="1:18" ht="16" customHeight="1" x14ac:dyDescent="0.2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spans="1:18" ht="16" customHeight="1" x14ac:dyDescent="0.2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spans="1:18" ht="16" customHeight="1" x14ac:dyDescent="0.2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spans="1:18" ht="16" customHeight="1" x14ac:dyDescent="0.2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spans="1:18" ht="16" customHeight="1" x14ac:dyDescent="0.2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spans="1:18" ht="16" customHeight="1" x14ac:dyDescent="0.2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spans="1:18" ht="16" customHeight="1" x14ac:dyDescent="0.2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spans="1:18" ht="16" customHeight="1" x14ac:dyDescent="0.2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spans="1:18" ht="16" customHeight="1" x14ac:dyDescent="0.2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spans="1:18" ht="16" customHeight="1" x14ac:dyDescent="0.2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spans="1:18" ht="16" customHeight="1" x14ac:dyDescent="0.2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spans="1:18" ht="16" customHeight="1" x14ac:dyDescent="0.2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spans="1:18" ht="16" customHeight="1" x14ac:dyDescent="0.2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spans="1:18" ht="16" customHeight="1" x14ac:dyDescent="0.2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spans="1:18" ht="16" customHeight="1" x14ac:dyDescent="0.2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spans="1:18" ht="16" customHeight="1" x14ac:dyDescent="0.2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spans="1:18" ht="16" customHeight="1" x14ac:dyDescent="0.2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spans="1:18" ht="16" customHeight="1" x14ac:dyDescent="0.2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spans="1:18" ht="16" customHeight="1" x14ac:dyDescent="0.2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spans="1:18" ht="16" customHeight="1" x14ac:dyDescent="0.2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spans="1:18" ht="16" customHeight="1" x14ac:dyDescent="0.2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spans="1:18" ht="16" customHeight="1" x14ac:dyDescent="0.2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spans="1:18" ht="16" customHeight="1" x14ac:dyDescent="0.2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spans="1:18" ht="16" customHeight="1" x14ac:dyDescent="0.2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spans="1:18" ht="16" customHeight="1" x14ac:dyDescent="0.2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spans="1:18" ht="16" customHeight="1" x14ac:dyDescent="0.2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spans="1:18" ht="16" customHeight="1" x14ac:dyDescent="0.2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spans="1:18" ht="16" customHeight="1" x14ac:dyDescent="0.2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spans="1:18" ht="16" customHeight="1" x14ac:dyDescent="0.2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spans="1:18" ht="16" customHeight="1" x14ac:dyDescent="0.2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spans="1:18" ht="16" customHeight="1" x14ac:dyDescent="0.2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spans="1:18" ht="16" customHeight="1" x14ac:dyDescent="0.2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spans="1:18" ht="16" customHeight="1" x14ac:dyDescent="0.2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spans="1:18" ht="16" customHeight="1" x14ac:dyDescent="0.2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spans="1:18" ht="16" customHeight="1" x14ac:dyDescent="0.2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spans="1:18" ht="16" customHeight="1" x14ac:dyDescent="0.2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spans="1:18" ht="16" customHeight="1" x14ac:dyDescent="0.2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spans="1:18" ht="16" customHeight="1" x14ac:dyDescent="0.2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spans="1:18" ht="16" customHeight="1" x14ac:dyDescent="0.2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spans="1:18" ht="16" customHeight="1" x14ac:dyDescent="0.2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spans="1:18" ht="16" customHeight="1" x14ac:dyDescent="0.2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spans="1:18" ht="16" customHeight="1" x14ac:dyDescent="0.2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spans="1:18" ht="16" customHeight="1" x14ac:dyDescent="0.2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spans="1:18" ht="16" customHeight="1" x14ac:dyDescent="0.2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spans="1:18" ht="16" customHeight="1" x14ac:dyDescent="0.2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spans="1:18" ht="16" customHeight="1" x14ac:dyDescent="0.2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spans="1:18" ht="16" customHeight="1" x14ac:dyDescent="0.2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spans="1:18" ht="16" customHeight="1" x14ac:dyDescent="0.2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spans="1:18" ht="16" customHeight="1" x14ac:dyDescent="0.2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spans="1:18" ht="16" customHeight="1" x14ac:dyDescent="0.2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spans="1:18" ht="16" customHeight="1" x14ac:dyDescent="0.2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spans="1:18" ht="16" customHeight="1" x14ac:dyDescent="0.2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spans="1:18" ht="16" customHeight="1" x14ac:dyDescent="0.2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spans="1:18" ht="16" customHeight="1" x14ac:dyDescent="0.2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spans="1:18" ht="16" customHeight="1" x14ac:dyDescent="0.2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spans="1:18" ht="16" customHeight="1" x14ac:dyDescent="0.2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spans="1:18" ht="16" customHeight="1" x14ac:dyDescent="0.2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spans="1:18" ht="16" customHeight="1" x14ac:dyDescent="0.2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spans="1:18" ht="16" customHeight="1" x14ac:dyDescent="0.2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spans="1:18" ht="16" customHeight="1" x14ac:dyDescent="0.2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spans="1:18" ht="16" customHeight="1" x14ac:dyDescent="0.2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spans="1:18" ht="16" customHeight="1" x14ac:dyDescent="0.2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spans="1:18" ht="16" customHeight="1" x14ac:dyDescent="0.2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spans="1:18" ht="16" customHeight="1" x14ac:dyDescent="0.2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spans="1:18" ht="16" customHeight="1" x14ac:dyDescent="0.2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spans="1:18" ht="16" customHeight="1" x14ac:dyDescent="0.2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spans="1:18" ht="16" customHeight="1" x14ac:dyDescent="0.2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spans="1:18" ht="16" customHeight="1" x14ac:dyDescent="0.2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spans="1:18" ht="16" customHeight="1" x14ac:dyDescent="0.2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spans="1:18" ht="16" customHeight="1" x14ac:dyDescent="0.2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spans="1:18" ht="16" customHeight="1" x14ac:dyDescent="0.2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spans="1:18" ht="16" customHeight="1" x14ac:dyDescent="0.2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spans="1:18" ht="16" customHeight="1" x14ac:dyDescent="0.2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spans="1:18" ht="16" customHeight="1" x14ac:dyDescent="0.2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spans="1:18" ht="16" customHeight="1" x14ac:dyDescent="0.2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spans="1:18" ht="16" customHeight="1" x14ac:dyDescent="0.2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spans="1:18" ht="16" customHeight="1" x14ac:dyDescent="0.2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spans="1:18" ht="16" customHeight="1" x14ac:dyDescent="0.2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spans="1:18" ht="16" customHeight="1" x14ac:dyDescent="0.2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spans="1:18" ht="16" customHeight="1" x14ac:dyDescent="0.2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spans="1:18" ht="16" customHeight="1" x14ac:dyDescent="0.2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spans="1:18" ht="16" customHeight="1" x14ac:dyDescent="0.2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spans="1:18" ht="16" customHeight="1" x14ac:dyDescent="0.2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spans="1:18" ht="16" customHeight="1" x14ac:dyDescent="0.2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spans="1:18" ht="16" customHeight="1" x14ac:dyDescent="0.2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spans="1:18" ht="16" customHeight="1" x14ac:dyDescent="0.2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spans="1:18" ht="16" customHeight="1" x14ac:dyDescent="0.2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spans="1:18" ht="16" customHeight="1" x14ac:dyDescent="0.2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spans="1:18" ht="16" customHeight="1" x14ac:dyDescent="0.2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spans="1:18" ht="16" customHeight="1" x14ac:dyDescent="0.2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spans="1:18" ht="16" customHeight="1" x14ac:dyDescent="0.2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spans="1:18" ht="16" customHeight="1" x14ac:dyDescent="0.2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spans="1:18" ht="16" customHeight="1" x14ac:dyDescent="0.2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spans="1:18" ht="16" customHeight="1" x14ac:dyDescent="0.2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spans="1:18" ht="16" customHeight="1" x14ac:dyDescent="0.2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spans="1:18" ht="16" customHeight="1" x14ac:dyDescent="0.2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spans="1:18" ht="16" customHeight="1" x14ac:dyDescent="0.2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spans="1:18" ht="16" customHeight="1" x14ac:dyDescent="0.2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spans="1:18" ht="16" customHeight="1" x14ac:dyDescent="0.2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spans="1:18" ht="16" customHeight="1" x14ac:dyDescent="0.2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spans="1:18" ht="16" customHeight="1" x14ac:dyDescent="0.2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spans="1:18" ht="16" customHeight="1" x14ac:dyDescent="0.2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spans="1:18" ht="16" customHeight="1" x14ac:dyDescent="0.2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spans="1:18" ht="16" customHeight="1" x14ac:dyDescent="0.2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spans="1:18" ht="16" customHeight="1" x14ac:dyDescent="0.2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spans="1:18" ht="16" customHeight="1" x14ac:dyDescent="0.2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spans="1:18" ht="16" customHeight="1" x14ac:dyDescent="0.2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spans="1:18" ht="16" customHeight="1" x14ac:dyDescent="0.2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spans="1:18" ht="16" customHeight="1" x14ac:dyDescent="0.2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spans="1:18" ht="16" customHeight="1" x14ac:dyDescent="0.2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spans="1:18" ht="16" customHeight="1" x14ac:dyDescent="0.2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spans="1:18" ht="16" customHeight="1" x14ac:dyDescent="0.2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spans="1:18" ht="16" customHeight="1" x14ac:dyDescent="0.2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spans="1:18" ht="16" customHeight="1" x14ac:dyDescent="0.2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spans="1:18" ht="16" customHeight="1" x14ac:dyDescent="0.2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spans="1:18" ht="16" customHeight="1" x14ac:dyDescent="0.2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spans="1:18" ht="16" customHeight="1" x14ac:dyDescent="0.2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spans="1:18" ht="16" customHeight="1" x14ac:dyDescent="0.2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spans="1:18" ht="16" customHeight="1" x14ac:dyDescent="0.2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spans="1:18" ht="16" customHeight="1" x14ac:dyDescent="0.2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spans="1:18" ht="16" customHeight="1" x14ac:dyDescent="0.2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spans="1:18" ht="16" customHeight="1" x14ac:dyDescent="0.2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spans="1:18" ht="16" customHeight="1" x14ac:dyDescent="0.2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spans="1:18" ht="16" customHeight="1" x14ac:dyDescent="0.2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spans="1:18" ht="16" customHeight="1" x14ac:dyDescent="0.2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spans="1:18" ht="16" customHeight="1" x14ac:dyDescent="0.2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spans="1:18" ht="16" customHeight="1" x14ac:dyDescent="0.2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spans="1:18" ht="16" customHeight="1" x14ac:dyDescent="0.2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spans="1:18" ht="16" customHeight="1" x14ac:dyDescent="0.2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spans="1:18" ht="16" customHeight="1" x14ac:dyDescent="0.2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spans="1:18" ht="16" customHeight="1" x14ac:dyDescent="0.2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spans="1:18" ht="16" customHeight="1" x14ac:dyDescent="0.2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spans="1:18" ht="16" customHeight="1" x14ac:dyDescent="0.2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spans="1:18" ht="16" customHeight="1" x14ac:dyDescent="0.2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spans="1:18" ht="16" customHeight="1" x14ac:dyDescent="0.2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spans="1:18" ht="16" customHeight="1" x14ac:dyDescent="0.2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spans="1:18" ht="16" customHeight="1" x14ac:dyDescent="0.2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spans="1:18" ht="16" customHeight="1" x14ac:dyDescent="0.2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spans="1:18" ht="16" customHeight="1" x14ac:dyDescent="0.2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spans="1:18" ht="16" customHeight="1" x14ac:dyDescent="0.2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spans="1:18" ht="16" customHeight="1" x14ac:dyDescent="0.2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spans="1:18" ht="16" customHeight="1" x14ac:dyDescent="0.2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spans="1:18" ht="16" customHeight="1" x14ac:dyDescent="0.2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spans="1:18" ht="16" customHeight="1" x14ac:dyDescent="0.2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spans="1:18" ht="16" customHeight="1" x14ac:dyDescent="0.2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spans="1:18" ht="16" customHeight="1" x14ac:dyDescent="0.2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spans="1:18" ht="16" customHeight="1" x14ac:dyDescent="0.2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spans="1:18" ht="16" customHeight="1" x14ac:dyDescent="0.2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spans="1:18" ht="16" customHeight="1" x14ac:dyDescent="0.2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spans="1:18" ht="16" customHeight="1" x14ac:dyDescent="0.2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spans="1:18" ht="16" customHeight="1" x14ac:dyDescent="0.2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spans="1:18" ht="16" customHeight="1" x14ac:dyDescent="0.2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spans="1:18" ht="16" customHeight="1" x14ac:dyDescent="0.2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spans="1:18" ht="16" customHeight="1" x14ac:dyDescent="0.2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spans="1:18" ht="16" customHeight="1" x14ac:dyDescent="0.2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spans="1:18" ht="16" customHeight="1" x14ac:dyDescent="0.2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spans="1:18" ht="16" customHeight="1" x14ac:dyDescent="0.2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spans="1:18" ht="16" customHeight="1" x14ac:dyDescent="0.2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spans="1:18" ht="16" customHeight="1" x14ac:dyDescent="0.2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spans="1:18" ht="16" customHeight="1" x14ac:dyDescent="0.2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spans="1:18" ht="16" customHeight="1" x14ac:dyDescent="0.2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spans="1:18" ht="16" customHeight="1" x14ac:dyDescent="0.2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spans="1:18" ht="16" customHeight="1" x14ac:dyDescent="0.2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spans="1:18" ht="16" customHeight="1" x14ac:dyDescent="0.2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spans="1:18" ht="16" customHeight="1" x14ac:dyDescent="0.2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spans="1:18" ht="16" customHeight="1" x14ac:dyDescent="0.2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spans="1:18" ht="16" customHeight="1" x14ac:dyDescent="0.2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spans="1:18" ht="16" customHeight="1" x14ac:dyDescent="0.2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spans="1:18" ht="16" customHeight="1" x14ac:dyDescent="0.2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spans="1:18" ht="16" customHeight="1" x14ac:dyDescent="0.2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spans="1:18" ht="16" customHeight="1" x14ac:dyDescent="0.2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spans="1:18" ht="16" customHeight="1" x14ac:dyDescent="0.2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spans="1:18" ht="16" customHeight="1" x14ac:dyDescent="0.2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spans="1:18" ht="16" customHeight="1" x14ac:dyDescent="0.2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spans="1:18" ht="16" customHeight="1" x14ac:dyDescent="0.2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spans="1:18" ht="16" customHeight="1" x14ac:dyDescent="0.2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spans="1:18" ht="16" customHeight="1" x14ac:dyDescent="0.2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spans="1:18" ht="16" customHeight="1" x14ac:dyDescent="0.2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spans="1:18" ht="16" customHeight="1" x14ac:dyDescent="0.2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spans="1:18" ht="16" customHeight="1" x14ac:dyDescent="0.2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spans="1:18" ht="16" customHeight="1" x14ac:dyDescent="0.2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spans="1:18" ht="16" customHeight="1" x14ac:dyDescent="0.2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spans="1:18" ht="16" customHeight="1" x14ac:dyDescent="0.2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spans="1:18" ht="16" customHeight="1" x14ac:dyDescent="0.2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spans="1:18" ht="16" customHeight="1" x14ac:dyDescent="0.2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spans="1:18" ht="16" customHeight="1" x14ac:dyDescent="0.2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spans="1:18" ht="16" customHeight="1" x14ac:dyDescent="0.2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spans="1:18" ht="16" customHeight="1" x14ac:dyDescent="0.2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spans="1:18" ht="16" customHeight="1" x14ac:dyDescent="0.2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spans="1:18" ht="16" customHeight="1" x14ac:dyDescent="0.2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spans="1:18" ht="16" customHeight="1" x14ac:dyDescent="0.2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spans="1:18" ht="16" customHeight="1" x14ac:dyDescent="0.2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spans="1:18" ht="16" customHeight="1" x14ac:dyDescent="0.2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spans="1:18" ht="16" customHeight="1" x14ac:dyDescent="0.2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spans="1:18" ht="16" customHeight="1" x14ac:dyDescent="0.2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spans="1:18" ht="16" customHeight="1" x14ac:dyDescent="0.2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spans="1:18" ht="16" customHeight="1" x14ac:dyDescent="0.2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spans="1:18" ht="16" customHeight="1" x14ac:dyDescent="0.2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spans="1:18" ht="16" customHeight="1" x14ac:dyDescent="0.2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spans="1:18" ht="16" customHeight="1" x14ac:dyDescent="0.2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spans="1:18" ht="16" customHeight="1" x14ac:dyDescent="0.2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spans="1:18" ht="16" customHeight="1" x14ac:dyDescent="0.2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spans="1:18" ht="16" customHeight="1" x14ac:dyDescent="0.2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spans="1:18" ht="16" customHeight="1" x14ac:dyDescent="0.2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spans="1:18" ht="16" customHeight="1" x14ac:dyDescent="0.2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spans="1:18" ht="16" customHeight="1" x14ac:dyDescent="0.2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spans="1:18" ht="16" customHeight="1" x14ac:dyDescent="0.2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spans="1:18" ht="16" customHeight="1" x14ac:dyDescent="0.2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spans="1:18" ht="16" customHeight="1" x14ac:dyDescent="0.2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spans="1:18" ht="16" customHeight="1" x14ac:dyDescent="0.2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spans="1:18" ht="16" customHeight="1" x14ac:dyDescent="0.2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spans="1:18" ht="16" customHeight="1" x14ac:dyDescent="0.2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spans="1:18" ht="16" customHeight="1" x14ac:dyDescent="0.2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spans="1:18" ht="16" customHeight="1" x14ac:dyDescent="0.2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spans="1:18" ht="16" customHeight="1" x14ac:dyDescent="0.2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spans="1:18" ht="16" customHeight="1" x14ac:dyDescent="0.2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spans="1:18" ht="16" customHeight="1" x14ac:dyDescent="0.2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spans="1:18" ht="16" customHeight="1" x14ac:dyDescent="0.2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spans="1:18" ht="16" customHeight="1" x14ac:dyDescent="0.2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spans="1:18" ht="16" customHeight="1" x14ac:dyDescent="0.2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spans="1:18" ht="16" customHeight="1" x14ac:dyDescent="0.2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spans="1:18" ht="16" customHeight="1" x14ac:dyDescent="0.2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spans="1:18" ht="16" customHeight="1" x14ac:dyDescent="0.2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spans="1:18" ht="16" customHeight="1" x14ac:dyDescent="0.2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spans="1:18" ht="16" customHeight="1" x14ac:dyDescent="0.2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spans="1:18" ht="16" customHeight="1" x14ac:dyDescent="0.2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spans="1:18" ht="16" customHeight="1" x14ac:dyDescent="0.2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spans="1:18" ht="16" customHeight="1" x14ac:dyDescent="0.2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spans="1:18" ht="16" customHeight="1" x14ac:dyDescent="0.2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spans="1:18" ht="16" customHeight="1" x14ac:dyDescent="0.2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spans="1:18" ht="16" customHeight="1" x14ac:dyDescent="0.2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spans="1:18" ht="16" customHeight="1" x14ac:dyDescent="0.2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spans="1:18" ht="16" customHeight="1" x14ac:dyDescent="0.2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spans="1:18" ht="16" customHeight="1" x14ac:dyDescent="0.2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spans="1:18" ht="16" customHeight="1" x14ac:dyDescent="0.2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spans="1:18" ht="16" customHeight="1" x14ac:dyDescent="0.2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spans="1:18" ht="16" customHeight="1" x14ac:dyDescent="0.2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spans="1:18" ht="16" customHeight="1" x14ac:dyDescent="0.2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spans="1:18" ht="16" customHeight="1" x14ac:dyDescent="0.2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spans="1:18" ht="16" customHeight="1" x14ac:dyDescent="0.2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spans="1:18" ht="16" customHeight="1" x14ac:dyDescent="0.2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spans="1:18" ht="16" customHeight="1" x14ac:dyDescent="0.2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spans="1:18" ht="16" customHeight="1" x14ac:dyDescent="0.2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spans="1:18" ht="16" customHeight="1" x14ac:dyDescent="0.2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spans="1:18" ht="16" customHeight="1" x14ac:dyDescent="0.2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spans="1:18" ht="16" customHeight="1" x14ac:dyDescent="0.2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spans="1:18" ht="16" customHeight="1" x14ac:dyDescent="0.2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spans="1:18" ht="16" customHeight="1" x14ac:dyDescent="0.2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spans="1:18" ht="16" customHeight="1" x14ac:dyDescent="0.2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spans="1:18" ht="16" customHeight="1" x14ac:dyDescent="0.2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spans="1:18" ht="16" customHeight="1" x14ac:dyDescent="0.2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spans="1:18" ht="16" customHeight="1" x14ac:dyDescent="0.2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spans="1:18" ht="16" customHeight="1" x14ac:dyDescent="0.2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spans="1:18" ht="16" customHeight="1" x14ac:dyDescent="0.2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spans="1:18" ht="16" customHeight="1" x14ac:dyDescent="0.2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spans="1:18" ht="16" customHeight="1" x14ac:dyDescent="0.2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spans="1:18" ht="16" customHeight="1" x14ac:dyDescent="0.2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spans="1:18" ht="16" customHeight="1" x14ac:dyDescent="0.2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spans="1:18" ht="16" customHeight="1" x14ac:dyDescent="0.2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spans="1:18" ht="16" customHeight="1" x14ac:dyDescent="0.2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spans="1:18" ht="16" customHeight="1" x14ac:dyDescent="0.2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spans="1:18" ht="16" customHeight="1" x14ac:dyDescent="0.2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spans="1:18" ht="16" customHeight="1" x14ac:dyDescent="0.2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spans="1:18" ht="16" customHeight="1" x14ac:dyDescent="0.2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spans="1:18" ht="16" customHeight="1" x14ac:dyDescent="0.2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spans="1:18" ht="16" customHeight="1" x14ac:dyDescent="0.2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spans="1:18" ht="16" customHeight="1" x14ac:dyDescent="0.2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spans="1:18" ht="16" customHeight="1" x14ac:dyDescent="0.2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spans="1:18" ht="16" customHeight="1" x14ac:dyDescent="0.2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spans="1:18" ht="16" customHeight="1" x14ac:dyDescent="0.2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spans="1:18" ht="16" customHeight="1" x14ac:dyDescent="0.2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spans="1:18" ht="16" customHeight="1" x14ac:dyDescent="0.2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spans="1:18" ht="16" customHeight="1" x14ac:dyDescent="0.2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spans="1:18" ht="16" customHeight="1" x14ac:dyDescent="0.2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spans="1:18" ht="16" customHeight="1" x14ac:dyDescent="0.2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spans="1:18" ht="16" customHeight="1" x14ac:dyDescent="0.2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spans="1:18" ht="16" customHeight="1" x14ac:dyDescent="0.2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spans="1:18" ht="16" customHeight="1" x14ac:dyDescent="0.2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spans="1:18" ht="16" customHeight="1" x14ac:dyDescent="0.2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spans="1:18" ht="16" customHeight="1" x14ac:dyDescent="0.2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spans="1:18" ht="16" customHeight="1" x14ac:dyDescent="0.2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spans="1:18" ht="16" customHeight="1" x14ac:dyDescent="0.2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spans="1:18" ht="16" customHeight="1" x14ac:dyDescent="0.2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spans="1:18" ht="16" customHeight="1" x14ac:dyDescent="0.2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spans="1:18" ht="16" customHeight="1" x14ac:dyDescent="0.2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spans="1:18" ht="16" customHeight="1" x14ac:dyDescent="0.2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spans="1:18" ht="16" customHeight="1" x14ac:dyDescent="0.2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spans="1:18" ht="16" customHeight="1" x14ac:dyDescent="0.2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spans="1:18" ht="16" customHeight="1" x14ac:dyDescent="0.2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spans="1:18" ht="16" customHeight="1" x14ac:dyDescent="0.2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spans="1:18" ht="16" customHeight="1" x14ac:dyDescent="0.2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spans="1:18" ht="16" customHeight="1" x14ac:dyDescent="0.2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spans="1:18" ht="16" customHeight="1" x14ac:dyDescent="0.2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spans="1:18" ht="16" customHeight="1" x14ac:dyDescent="0.2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spans="1:18" ht="16" customHeight="1" x14ac:dyDescent="0.2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spans="1:18" ht="16" customHeight="1" x14ac:dyDescent="0.2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spans="1:18" ht="16" customHeight="1" x14ac:dyDescent="0.2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spans="1:18" ht="16" customHeight="1" x14ac:dyDescent="0.2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spans="1:18" ht="16" customHeight="1" x14ac:dyDescent="0.2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spans="1:18" ht="16" customHeight="1" x14ac:dyDescent="0.2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spans="1:18" ht="16" customHeight="1" x14ac:dyDescent="0.2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spans="1:18" ht="16" customHeight="1" x14ac:dyDescent="0.2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spans="1:18" ht="16" customHeight="1" x14ac:dyDescent="0.2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spans="1:18" ht="16" customHeight="1" x14ac:dyDescent="0.2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spans="1:18" ht="16" customHeight="1" x14ac:dyDescent="0.2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spans="1:18" ht="16" customHeight="1" x14ac:dyDescent="0.2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spans="1:18" ht="16" customHeight="1" x14ac:dyDescent="0.2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spans="1:18" ht="16" customHeight="1" x14ac:dyDescent="0.2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spans="1:18" ht="16" customHeight="1" x14ac:dyDescent="0.2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spans="1:18" ht="16" customHeight="1" x14ac:dyDescent="0.2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spans="1:18" ht="16" customHeight="1" x14ac:dyDescent="0.2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spans="1:18" ht="16" customHeight="1" x14ac:dyDescent="0.2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spans="1:18" ht="16" customHeight="1" x14ac:dyDescent="0.2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spans="1:18" ht="16" customHeight="1" x14ac:dyDescent="0.2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spans="1:18" ht="16" customHeight="1" x14ac:dyDescent="0.2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spans="1:18" ht="16" customHeight="1" x14ac:dyDescent="0.2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spans="1:18" ht="16" customHeight="1" x14ac:dyDescent="0.2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spans="1:18" ht="16" customHeight="1" x14ac:dyDescent="0.2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spans="1:18" ht="16" customHeight="1" x14ac:dyDescent="0.2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spans="1:18" ht="16" customHeight="1" x14ac:dyDescent="0.2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spans="1:18" ht="16" customHeight="1" x14ac:dyDescent="0.2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spans="1:18" ht="16" customHeight="1" x14ac:dyDescent="0.2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spans="1:18" ht="16" customHeight="1" x14ac:dyDescent="0.2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spans="1:18" ht="16" customHeight="1" x14ac:dyDescent="0.2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spans="1:18" ht="16" customHeight="1" x14ac:dyDescent="0.2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spans="1:18" ht="16" customHeight="1" x14ac:dyDescent="0.2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spans="1:18" ht="16" customHeight="1" x14ac:dyDescent="0.2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spans="1:18" ht="16" customHeight="1" x14ac:dyDescent="0.2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spans="1:18" ht="16" customHeight="1" x14ac:dyDescent="0.2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spans="1:18" ht="16" customHeight="1" x14ac:dyDescent="0.2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spans="1:18" ht="16" customHeight="1" x14ac:dyDescent="0.2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spans="1:18" ht="16" customHeight="1" x14ac:dyDescent="0.2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spans="1:18" ht="16" customHeight="1" x14ac:dyDescent="0.2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spans="1:18" ht="16" customHeight="1" x14ac:dyDescent="0.2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spans="1:18" ht="16" customHeight="1" x14ac:dyDescent="0.2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spans="1:18" ht="16" customHeight="1" x14ac:dyDescent="0.2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spans="1:18" ht="16" customHeight="1" x14ac:dyDescent="0.2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spans="1:18" ht="16" customHeight="1" x14ac:dyDescent="0.2">
      <c r="A987" s="1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spans="1:18" ht="16" customHeight="1" x14ac:dyDescent="0.2">
      <c r="A988" s="1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spans="1:18" ht="16" customHeight="1" x14ac:dyDescent="0.2">
      <c r="A989" s="1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spans="1:18" ht="16" customHeight="1" x14ac:dyDescent="0.2">
      <c r="A990" s="1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spans="1:18" ht="16" customHeight="1" x14ac:dyDescent="0.2">
      <c r="A991" s="1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spans="1:18" ht="16" customHeight="1" x14ac:dyDescent="0.2">
      <c r="A992" s="1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</sheetData>
  <autoFilter ref="A1:AI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x14ac:dyDescent="0.2"/>
  <cols>
    <col min="1" max="1" width="15" customWidth="1"/>
    <col min="2" max="2" width="50" customWidth="1"/>
  </cols>
  <sheetData>
    <row r="1" spans="1:2" ht="16" x14ac:dyDescent="0.2">
      <c r="A1" s="3" t="s">
        <v>5</v>
      </c>
      <c r="B1" s="4"/>
    </row>
    <row r="2" spans="1:2" ht="16" x14ac:dyDescent="0.2">
      <c r="A2" s="3" t="s">
        <v>6</v>
      </c>
      <c r="B2" s="4"/>
    </row>
    <row r="3" spans="1:2" ht="16" x14ac:dyDescent="0.2">
      <c r="A3" s="3" t="s">
        <v>7</v>
      </c>
      <c r="B3" s="4"/>
    </row>
    <row r="4" spans="1:2" ht="16" x14ac:dyDescent="0.2">
      <c r="A4" s="3" t="s">
        <v>8</v>
      </c>
      <c r="B4" s="4"/>
    </row>
    <row r="5" spans="1:2" ht="16" x14ac:dyDescent="0.2">
      <c r="A5" s="3" t="s">
        <v>9</v>
      </c>
      <c r="B5" s="4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zoomScale="150" zoomScaleNormal="15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6.5" customWidth="1"/>
    <col min="2" max="2" width="35" customWidth="1"/>
    <col min="3" max="3" width="50" customWidth="1"/>
    <col min="4" max="4" width="20" customWidth="1"/>
    <col min="5" max="5" width="15" customWidth="1"/>
  </cols>
  <sheetData>
    <row r="1" spans="1:31" ht="20" customHeight="1" x14ac:dyDescent="0.2">
      <c r="A1" s="5" t="s">
        <v>10</v>
      </c>
      <c r="B1" s="5" t="s">
        <v>11</v>
      </c>
      <c r="C1" s="5" t="s">
        <v>12</v>
      </c>
      <c r="D1" s="5" t="s">
        <v>13</v>
      </c>
      <c r="E1" s="5" t="s">
        <v>5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 spans="1:31" ht="16" x14ac:dyDescent="0.2">
      <c r="A2" s="4"/>
    </row>
    <row r="3" spans="1:31" ht="16" x14ac:dyDescent="0.2">
      <c r="A3" s="4"/>
    </row>
    <row r="4" spans="1:31" ht="16" x14ac:dyDescent="0.2">
      <c r="A4" s="4"/>
    </row>
    <row r="5" spans="1:31" ht="16" x14ac:dyDescent="0.2">
      <c r="A5" s="4"/>
    </row>
    <row r="6" spans="1:31" ht="16" x14ac:dyDescent="0.2">
      <c r="A6" s="4"/>
    </row>
    <row r="7" spans="1:31" ht="16" x14ac:dyDescent="0.2">
      <c r="A7" s="4"/>
    </row>
    <row r="8" spans="1:31" ht="16" x14ac:dyDescent="0.2">
      <c r="A8" s="4"/>
    </row>
    <row r="9" spans="1:31" ht="16" x14ac:dyDescent="0.2">
      <c r="A9" s="4"/>
    </row>
    <row r="10" spans="1:31" ht="16" x14ac:dyDescent="0.2">
      <c r="A10" s="4"/>
    </row>
    <row r="11" spans="1:31" ht="16" x14ac:dyDescent="0.2">
      <c r="A11" s="4"/>
    </row>
    <row r="12" spans="1:31" ht="16" x14ac:dyDescent="0.2">
      <c r="A12" s="4"/>
    </row>
    <row r="13" spans="1:31" ht="16" x14ac:dyDescent="0.2">
      <c r="A13" s="4"/>
    </row>
    <row r="14" spans="1:31" ht="16" x14ac:dyDescent="0.2">
      <c r="A14" s="4"/>
    </row>
    <row r="15" spans="1:31" ht="16" x14ac:dyDescent="0.2">
      <c r="A15" s="4"/>
    </row>
    <row r="16" spans="1:31" ht="16" x14ac:dyDescent="0.2">
      <c r="A16" s="4"/>
    </row>
    <row r="17" spans="1:1" ht="16" x14ac:dyDescent="0.2">
      <c r="A17" s="4"/>
    </row>
    <row r="18" spans="1:1" ht="16" x14ac:dyDescent="0.2">
      <c r="A18" s="4"/>
    </row>
    <row r="19" spans="1:1" ht="16" x14ac:dyDescent="0.2">
      <c r="A19" s="4"/>
    </row>
    <row r="20" spans="1:1" ht="16" x14ac:dyDescent="0.2">
      <c r="A20" s="4"/>
    </row>
    <row r="21" spans="1:1" ht="16" x14ac:dyDescent="0.2">
      <c r="A21" s="4"/>
    </row>
    <row r="22" spans="1:1" ht="16" x14ac:dyDescent="0.2">
      <c r="A22" s="4"/>
    </row>
    <row r="23" spans="1:1" ht="16" x14ac:dyDescent="0.2">
      <c r="A23" s="4"/>
    </row>
    <row r="24" spans="1:1" ht="16" x14ac:dyDescent="0.2">
      <c r="A24" s="4"/>
    </row>
    <row r="25" spans="1:1" ht="16" x14ac:dyDescent="0.2">
      <c r="A25" s="4"/>
    </row>
    <row r="26" spans="1:1" ht="16" x14ac:dyDescent="0.2">
      <c r="A26" s="4"/>
    </row>
    <row r="27" spans="1:1" ht="16" x14ac:dyDescent="0.2">
      <c r="A27" s="4"/>
    </row>
    <row r="28" spans="1:1" ht="16" x14ac:dyDescent="0.2">
      <c r="A28" s="4"/>
    </row>
    <row r="29" spans="1:1" ht="16" x14ac:dyDescent="0.2">
      <c r="A29" s="4"/>
    </row>
    <row r="30" spans="1:1" ht="16" x14ac:dyDescent="0.2">
      <c r="A30" s="4"/>
    </row>
    <row r="31" spans="1:1" ht="16" x14ac:dyDescent="0.2">
      <c r="A31" s="4"/>
    </row>
    <row r="32" spans="1:1" ht="16" x14ac:dyDescent="0.2">
      <c r="A32" s="4"/>
    </row>
  </sheetData>
  <autoFilter ref="A1:E1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"/>
  <sheetViews>
    <sheetView zoomScale="150" zoomScaleNormal="150" workbookViewId="0">
      <pane ySplit="1" topLeftCell="A2" activePane="bottomLeft" state="frozen"/>
      <selection pane="bottomLeft" activeCell="J3" sqref="J3"/>
    </sheetView>
  </sheetViews>
  <sheetFormatPr baseColWidth="10" defaultColWidth="8.83203125" defaultRowHeight="15" x14ac:dyDescent="0.2"/>
  <cols>
    <col min="1" max="1" width="15" customWidth="1"/>
    <col min="2" max="2" width="25" customWidth="1"/>
    <col min="3" max="8" width="15" customWidth="1"/>
    <col min="10" max="10" width="35.83203125" customWidth="1"/>
  </cols>
  <sheetData>
    <row r="1" spans="1:10" ht="20" customHeight="1" x14ac:dyDescent="0.2">
      <c r="A1" s="5" t="s">
        <v>1</v>
      </c>
      <c r="B1" s="5" t="s">
        <v>14</v>
      </c>
      <c r="C1" s="9" t="s">
        <v>76</v>
      </c>
      <c r="D1" s="9" t="s">
        <v>77</v>
      </c>
      <c r="E1" s="9" t="s">
        <v>78</v>
      </c>
      <c r="F1" s="10" t="s">
        <v>79</v>
      </c>
      <c r="G1" s="10" t="s">
        <v>80</v>
      </c>
      <c r="H1" s="10" t="s">
        <v>81</v>
      </c>
    </row>
    <row r="2" spans="1:10" x14ac:dyDescent="0.2">
      <c r="J2" t="s">
        <v>82</v>
      </c>
    </row>
    <row r="3" spans="1:10" x14ac:dyDescent="0.2">
      <c r="J3" s="20" t="s">
        <v>83</v>
      </c>
    </row>
    <row r="4" spans="1:10" x14ac:dyDescent="0.2">
      <c r="J4" s="22" t="s">
        <v>84</v>
      </c>
    </row>
    <row r="5" spans="1:10" x14ac:dyDescent="0.2">
      <c r="J5" t="s">
        <v>85</v>
      </c>
    </row>
    <row r="8" spans="1:10" ht="16" x14ac:dyDescent="0.2">
      <c r="J8" s="21"/>
    </row>
  </sheetData>
  <autoFilter ref="A1:H1" xr:uid="{00000000-0009-0000-0000-000003000000}"/>
  <pageMargins left="0.75" right="0.75" top="1" bottom="1" header="0.5" footer="0.5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00000000-000E-0000-0300-000001000000}">
            <xm:f>COUNTIF(MatchScoutingData!$A$2:$A$992,CONCATENATE($A2,".",C$1)) = 1</xm:f>
            <x14:dxf>
              <fill>
                <patternFill patternType="solid">
                  <fgColor rgb="FFC8D6A1"/>
                  <bgColor rgb="FFC8D6A1"/>
                </patternFill>
              </fill>
            </x14:dxf>
          </x14:cfRule>
          <x14:cfRule type="expression" priority="18" id="{00000000-000E-0000-0300-000002000000}">
            <xm:f>COUNTIF(MatchScoutingData!$A$2:$A$992,CONCATENATE($A2,".",C$1)) &gt; 1</xm:f>
            <x14:dxf>
              <fill>
                <patternFill patternType="solid">
                  <fgColor rgb="FFD09996"/>
                  <bgColor rgb="FFD09996"/>
                </patternFill>
              </fill>
            </x14:dxf>
          </x14:cfRule>
          <xm:sqref>C2:H954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99"/>
  <sheetViews>
    <sheetView zoomScale="150" zoomScaleNormal="150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baseColWidth="10" defaultColWidth="8.83203125" defaultRowHeight="15" x14ac:dyDescent="0.2"/>
  <cols>
    <col min="2" max="26" width="6.83203125" customWidth="1"/>
  </cols>
  <sheetData>
    <row r="1" spans="1:26" ht="17" thickBot="1" x14ac:dyDescent="0.25">
      <c r="A1" s="6"/>
      <c r="B1" s="6"/>
      <c r="C1" s="27" t="s">
        <v>15</v>
      </c>
      <c r="D1" s="28"/>
      <c r="E1" s="28"/>
      <c r="F1" s="28"/>
      <c r="G1" s="28"/>
      <c r="H1" s="29" t="s">
        <v>16</v>
      </c>
      <c r="I1" s="30"/>
      <c r="J1" s="30"/>
      <c r="K1" s="30"/>
      <c r="L1" s="30"/>
      <c r="M1" s="30"/>
      <c r="N1" s="30"/>
      <c r="O1" s="30"/>
      <c r="P1" s="31" t="s">
        <v>17</v>
      </c>
      <c r="Q1" s="32"/>
      <c r="R1" s="32"/>
      <c r="S1" s="32"/>
      <c r="T1" s="32"/>
      <c r="U1" s="33" t="s">
        <v>72</v>
      </c>
      <c r="V1" s="33"/>
      <c r="W1" s="33"/>
      <c r="X1" s="33"/>
      <c r="Y1" s="33"/>
      <c r="Z1" s="35"/>
    </row>
    <row r="2" spans="1:26" ht="130" thickBot="1" x14ac:dyDescent="0.25">
      <c r="A2" s="13" t="s">
        <v>3</v>
      </c>
      <c r="B2" s="14" t="s">
        <v>74</v>
      </c>
      <c r="C2" s="15" t="s">
        <v>50</v>
      </c>
      <c r="D2" s="15" t="s">
        <v>51</v>
      </c>
      <c r="E2" s="15" t="s">
        <v>52</v>
      </c>
      <c r="F2" s="15" t="s">
        <v>53</v>
      </c>
      <c r="G2" s="15" t="s">
        <v>70</v>
      </c>
      <c r="H2" s="16" t="s">
        <v>56</v>
      </c>
      <c r="I2" s="16" t="s">
        <v>54</v>
      </c>
      <c r="J2" s="16" t="s">
        <v>55</v>
      </c>
      <c r="K2" s="16" t="s">
        <v>57</v>
      </c>
      <c r="L2" s="16" t="s">
        <v>58</v>
      </c>
      <c r="M2" s="16" t="s">
        <v>59</v>
      </c>
      <c r="N2" s="16" t="s">
        <v>60</v>
      </c>
      <c r="O2" s="16" t="s">
        <v>40</v>
      </c>
      <c r="P2" s="17" t="s">
        <v>61</v>
      </c>
      <c r="Q2" s="17" t="s">
        <v>62</v>
      </c>
      <c r="R2" s="17" t="s">
        <v>69</v>
      </c>
      <c r="S2" s="17" t="s">
        <v>63</v>
      </c>
      <c r="T2" s="17" t="s">
        <v>64</v>
      </c>
      <c r="U2" s="23" t="s">
        <v>73</v>
      </c>
      <c r="V2" s="23" t="s">
        <v>68</v>
      </c>
      <c r="W2" s="23" t="s">
        <v>65</v>
      </c>
      <c r="X2" s="23" t="s">
        <v>66</v>
      </c>
      <c r="Y2" s="23" t="s">
        <v>67</v>
      </c>
      <c r="Z2" s="18" t="s">
        <v>71</v>
      </c>
    </row>
    <row r="3" spans="1:26" x14ac:dyDescent="0.2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x14ac:dyDescent="0.2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x14ac:dyDescent="0.2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x14ac:dyDescent="0.2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x14ac:dyDescent="0.2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x14ac:dyDescent="0.2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x14ac:dyDescent="0.2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x14ac:dyDescent="0.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x14ac:dyDescent="0.2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x14ac:dyDescent="0.2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x14ac:dyDescent="0.2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x14ac:dyDescent="0.2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x14ac:dyDescent="0.2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x14ac:dyDescent="0.2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x14ac:dyDescent="0.2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x14ac:dyDescent="0.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x14ac:dyDescent="0.2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x14ac:dyDescent="0.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x14ac:dyDescent="0.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x14ac:dyDescent="0.2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x14ac:dyDescent="0.2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x14ac:dyDescent="0.2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x14ac:dyDescent="0.2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x14ac:dyDescent="0.2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x14ac:dyDescent="0.2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x14ac:dyDescent="0.2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x14ac:dyDescent="0.2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x14ac:dyDescent="0.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x14ac:dyDescent="0.2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x14ac:dyDescent="0.2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x14ac:dyDescent="0.2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x14ac:dyDescent="0.2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x14ac:dyDescent="0.2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x14ac:dyDescent="0.2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x14ac:dyDescent="0.2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x14ac:dyDescent="0.2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x14ac:dyDescent="0.2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x14ac:dyDescent="0.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x14ac:dyDescent="0.2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x14ac:dyDescent="0.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x14ac:dyDescent="0.2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x14ac:dyDescent="0.2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x14ac:dyDescent="0.2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x14ac:dyDescent="0.2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x14ac:dyDescent="0.2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x14ac:dyDescent="0.2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x14ac:dyDescent="0.2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x14ac:dyDescent="0.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x14ac:dyDescent="0.2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x14ac:dyDescent="0.2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x14ac:dyDescent="0.2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x14ac:dyDescent="0.2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x14ac:dyDescent="0.2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x14ac:dyDescent="0.2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x14ac:dyDescent="0.2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x14ac:dyDescent="0.2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x14ac:dyDescent="0.2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x14ac:dyDescent="0.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x14ac:dyDescent="0.2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x14ac:dyDescent="0.2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x14ac:dyDescent="0.2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x14ac:dyDescent="0.2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x14ac:dyDescent="0.2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x14ac:dyDescent="0.2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x14ac:dyDescent="0.2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x14ac:dyDescent="0.2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x14ac:dyDescent="0.2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x14ac:dyDescent="0.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x14ac:dyDescent="0.2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x14ac:dyDescent="0.2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x14ac:dyDescent="0.2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x14ac:dyDescent="0.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x14ac:dyDescent="0.2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x14ac:dyDescent="0.2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x14ac:dyDescent="0.2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x14ac:dyDescent="0.2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x14ac:dyDescent="0.2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x14ac:dyDescent="0.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x14ac:dyDescent="0.2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x14ac:dyDescent="0.2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x14ac:dyDescent="0.2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x14ac:dyDescent="0.2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x14ac:dyDescent="0.2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x14ac:dyDescent="0.2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x14ac:dyDescent="0.2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x14ac:dyDescent="0.2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x14ac:dyDescent="0.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x14ac:dyDescent="0.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x14ac:dyDescent="0.2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x14ac:dyDescent="0.2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x14ac:dyDescent="0.2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x14ac:dyDescent="0.2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x14ac:dyDescent="0.2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x14ac:dyDescent="0.2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x14ac:dyDescent="0.2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x14ac:dyDescent="0.2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x14ac:dyDescent="0.2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 x14ac:dyDescent="0.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 x14ac:dyDescent="0.2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 x14ac:dyDescent="0.2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 x14ac:dyDescent="0.2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 x14ac:dyDescent="0.2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 x14ac:dyDescent="0.2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 x14ac:dyDescent="0.2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 x14ac:dyDescent="0.2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 x14ac:dyDescent="0.2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 x14ac:dyDescent="0.2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 x14ac:dyDescent="0.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x14ac:dyDescent="0.2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x14ac:dyDescent="0.2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x14ac:dyDescent="0.2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x14ac:dyDescent="0.2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x14ac:dyDescent="0.2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x14ac:dyDescent="0.2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x14ac:dyDescent="0.2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x14ac:dyDescent="0.2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x14ac:dyDescent="0.2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x14ac:dyDescent="0.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x14ac:dyDescent="0.2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x14ac:dyDescent="0.2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x14ac:dyDescent="0.2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x14ac:dyDescent="0.2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x14ac:dyDescent="0.2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x14ac:dyDescent="0.2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x14ac:dyDescent="0.2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x14ac:dyDescent="0.2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x14ac:dyDescent="0.2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x14ac:dyDescent="0.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x14ac:dyDescent="0.2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x14ac:dyDescent="0.2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x14ac:dyDescent="0.2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x14ac:dyDescent="0.2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x14ac:dyDescent="0.2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x14ac:dyDescent="0.2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x14ac:dyDescent="0.2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x14ac:dyDescent="0.2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x14ac:dyDescent="0.2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x14ac:dyDescent="0.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x14ac:dyDescent="0.2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x14ac:dyDescent="0.2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x14ac:dyDescent="0.2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x14ac:dyDescent="0.2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x14ac:dyDescent="0.2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1:26" x14ac:dyDescent="0.2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x14ac:dyDescent="0.2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x14ac:dyDescent="0.2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x14ac:dyDescent="0.2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x14ac:dyDescent="0.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x14ac:dyDescent="0.2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x14ac:dyDescent="0.2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x14ac:dyDescent="0.2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x14ac:dyDescent="0.2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x14ac:dyDescent="0.2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x14ac:dyDescent="0.2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x14ac:dyDescent="0.2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x14ac:dyDescent="0.2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x14ac:dyDescent="0.2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x14ac:dyDescent="0.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x14ac:dyDescent="0.2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x14ac:dyDescent="0.2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x14ac:dyDescent="0.2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x14ac:dyDescent="0.2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x14ac:dyDescent="0.2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x14ac:dyDescent="0.2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x14ac:dyDescent="0.2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x14ac:dyDescent="0.2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x14ac:dyDescent="0.2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x14ac:dyDescent="0.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x14ac:dyDescent="0.2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x14ac:dyDescent="0.2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x14ac:dyDescent="0.2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x14ac:dyDescent="0.2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x14ac:dyDescent="0.2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x14ac:dyDescent="0.2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x14ac:dyDescent="0.2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x14ac:dyDescent="0.2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x14ac:dyDescent="0.2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x14ac:dyDescent="0.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x14ac:dyDescent="0.2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x14ac:dyDescent="0.2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x14ac:dyDescent="0.2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x14ac:dyDescent="0.2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x14ac:dyDescent="0.2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x14ac:dyDescent="0.2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x14ac:dyDescent="0.2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x14ac:dyDescent="0.2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x14ac:dyDescent="0.2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x14ac:dyDescent="0.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x14ac:dyDescent="0.2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x14ac:dyDescent="0.2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x14ac:dyDescent="0.2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x14ac:dyDescent="0.2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x14ac:dyDescent="0.2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x14ac:dyDescent="0.2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x14ac:dyDescent="0.2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x14ac:dyDescent="0.2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x14ac:dyDescent="0.2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spans="1:26" x14ac:dyDescent="0.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spans="1:26" x14ac:dyDescent="0.2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spans="1:26" x14ac:dyDescent="0.2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spans="1:26" x14ac:dyDescent="0.2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spans="1:26" x14ac:dyDescent="0.2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spans="1:26" x14ac:dyDescent="0.2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spans="1:26" x14ac:dyDescent="0.2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1:26" x14ac:dyDescent="0.2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1:26" x14ac:dyDescent="0.2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26" x14ac:dyDescent="0.2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spans="1:26" x14ac:dyDescent="0.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spans="1:26" x14ac:dyDescent="0.2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spans="1:26" x14ac:dyDescent="0.2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spans="1:26" x14ac:dyDescent="0.2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spans="1:26" x14ac:dyDescent="0.2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spans="1:26" x14ac:dyDescent="0.2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spans="1:26" x14ac:dyDescent="0.2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spans="1:26" x14ac:dyDescent="0.2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spans="1:26" x14ac:dyDescent="0.2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spans="1:26" x14ac:dyDescent="0.2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spans="1:26" x14ac:dyDescent="0.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spans="1:26" x14ac:dyDescent="0.2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spans="1:26" x14ac:dyDescent="0.2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spans="1:26" x14ac:dyDescent="0.2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spans="1:26" x14ac:dyDescent="0.2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spans="1:26" x14ac:dyDescent="0.2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spans="1:26" x14ac:dyDescent="0.2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spans="1:26" x14ac:dyDescent="0.2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spans="1:26" x14ac:dyDescent="0.2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spans="1:26" x14ac:dyDescent="0.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spans="1:26" x14ac:dyDescent="0.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spans="1:26" x14ac:dyDescent="0.2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spans="1:26" x14ac:dyDescent="0.2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spans="1:26" x14ac:dyDescent="0.2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spans="1:26" x14ac:dyDescent="0.2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spans="1:26" x14ac:dyDescent="0.2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spans="1:26" x14ac:dyDescent="0.2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spans="1:26" x14ac:dyDescent="0.2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spans="1:26" x14ac:dyDescent="0.2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spans="1:26" x14ac:dyDescent="0.2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spans="1:26" x14ac:dyDescent="0.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spans="1:26" x14ac:dyDescent="0.2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spans="1:26" x14ac:dyDescent="0.2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spans="1:26" x14ac:dyDescent="0.2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spans="1:26" x14ac:dyDescent="0.2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spans="1:26" x14ac:dyDescent="0.2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spans="1:26" x14ac:dyDescent="0.2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spans="1:26" x14ac:dyDescent="0.2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spans="1:26" x14ac:dyDescent="0.2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spans="1:26" x14ac:dyDescent="0.2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spans="1:26" x14ac:dyDescent="0.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spans="1:26" x14ac:dyDescent="0.2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spans="1:26" x14ac:dyDescent="0.2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spans="1:26" x14ac:dyDescent="0.2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spans="1:26" x14ac:dyDescent="0.2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spans="1:26" x14ac:dyDescent="0.2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spans="1:26" x14ac:dyDescent="0.2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spans="1:26" x14ac:dyDescent="0.2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spans="1:26" x14ac:dyDescent="0.2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spans="1:26" x14ac:dyDescent="0.2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spans="1:26" x14ac:dyDescent="0.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spans="1:26" x14ac:dyDescent="0.2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spans="1:26" x14ac:dyDescent="0.2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spans="1:26" x14ac:dyDescent="0.2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spans="1:26" x14ac:dyDescent="0.2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spans="1:26" x14ac:dyDescent="0.2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spans="1:26" x14ac:dyDescent="0.2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spans="1:26" x14ac:dyDescent="0.2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spans="1:26" x14ac:dyDescent="0.2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spans="1:26" x14ac:dyDescent="0.2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spans="1:26" x14ac:dyDescent="0.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spans="1:26" x14ac:dyDescent="0.2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spans="1:26" x14ac:dyDescent="0.2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spans="1:26" x14ac:dyDescent="0.2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spans="1:26" x14ac:dyDescent="0.2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spans="1:26" x14ac:dyDescent="0.2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spans="1:26" x14ac:dyDescent="0.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spans="1:26" x14ac:dyDescent="0.2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spans="1:26" x14ac:dyDescent="0.2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spans="1:26" x14ac:dyDescent="0.2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spans="1:26" x14ac:dyDescent="0.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spans="1:26" x14ac:dyDescent="0.2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spans="1:26" x14ac:dyDescent="0.2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spans="1:26" x14ac:dyDescent="0.2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spans="1:26" x14ac:dyDescent="0.2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spans="1:26" x14ac:dyDescent="0.2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spans="1:26" x14ac:dyDescent="0.2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spans="1:26" x14ac:dyDescent="0.2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spans="1:26" x14ac:dyDescent="0.2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spans="1:26" x14ac:dyDescent="0.2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spans="1:26" x14ac:dyDescent="0.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spans="1:26" x14ac:dyDescent="0.2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spans="1:26" x14ac:dyDescent="0.2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spans="1:26" x14ac:dyDescent="0.2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spans="1:26" x14ac:dyDescent="0.2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spans="1:26" x14ac:dyDescent="0.2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spans="1:26" x14ac:dyDescent="0.2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spans="1:26" x14ac:dyDescent="0.2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</sheetData>
  <autoFilter ref="A2:Z2" xr:uid="{00000000-0001-0000-0400-000000000000}"/>
  <mergeCells count="4">
    <mergeCell ref="U1:Z1"/>
    <mergeCell ref="C1:G1"/>
    <mergeCell ref="H1:O1"/>
    <mergeCell ref="P1:T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AA4A-5D09-AD47-9627-5C6D2535B1BB}">
  <dimension ref="A1:AE3"/>
  <sheetViews>
    <sheetView zoomScale="150" zoomScaleNormal="150" workbookViewId="0">
      <pane xSplit="1" topLeftCell="B1" activePane="topRight" state="frozen"/>
      <selection pane="topRight" sqref="A1:A2"/>
    </sheetView>
  </sheetViews>
  <sheetFormatPr baseColWidth="10" defaultColWidth="8.83203125" defaultRowHeight="15" x14ac:dyDescent="0.2"/>
  <cols>
    <col min="2" max="31" width="6.83203125" customWidth="1"/>
  </cols>
  <sheetData>
    <row r="1" spans="1:31" ht="17" customHeight="1" thickBot="1" x14ac:dyDescent="0.25">
      <c r="A1" s="25" t="s">
        <v>3</v>
      </c>
      <c r="B1" s="6"/>
      <c r="C1" s="27" t="s">
        <v>15</v>
      </c>
      <c r="D1" s="28"/>
      <c r="E1" s="28"/>
      <c r="F1" s="28"/>
      <c r="G1" s="28"/>
      <c r="H1" s="29" t="s">
        <v>16</v>
      </c>
      <c r="I1" s="30"/>
      <c r="J1" s="30"/>
      <c r="K1" s="30"/>
      <c r="L1" s="30"/>
      <c r="M1" s="30"/>
      <c r="N1" s="30"/>
      <c r="O1" s="30"/>
      <c r="P1" s="31" t="s">
        <v>17</v>
      </c>
      <c r="Q1" s="32"/>
      <c r="R1" s="32"/>
      <c r="S1" s="32"/>
      <c r="T1" s="32"/>
      <c r="U1" s="33" t="s">
        <v>72</v>
      </c>
      <c r="V1" s="33"/>
      <c r="W1" s="33"/>
      <c r="X1" s="33"/>
      <c r="Y1" s="33"/>
      <c r="Z1" s="33"/>
      <c r="AA1" s="34" t="s">
        <v>18</v>
      </c>
      <c r="AB1" s="34"/>
      <c r="AC1" s="34"/>
      <c r="AD1" s="34"/>
      <c r="AE1" s="34"/>
    </row>
    <row r="2" spans="1:31" ht="130" thickBot="1" x14ac:dyDescent="0.25">
      <c r="A2" s="26"/>
      <c r="B2" s="14" t="s">
        <v>74</v>
      </c>
      <c r="C2" s="15" t="s">
        <v>50</v>
      </c>
      <c r="D2" s="15" t="s">
        <v>51</v>
      </c>
      <c r="E2" s="15" t="s">
        <v>52</v>
      </c>
      <c r="F2" s="15" t="s">
        <v>53</v>
      </c>
      <c r="G2" s="15" t="s">
        <v>70</v>
      </c>
      <c r="H2" s="16" t="s">
        <v>56</v>
      </c>
      <c r="I2" s="16" t="s">
        <v>54</v>
      </c>
      <c r="J2" s="16" t="s">
        <v>55</v>
      </c>
      <c r="K2" s="16" t="s">
        <v>57</v>
      </c>
      <c r="L2" s="16" t="s">
        <v>58</v>
      </c>
      <c r="M2" s="16" t="s">
        <v>59</v>
      </c>
      <c r="N2" s="16" t="s">
        <v>60</v>
      </c>
      <c r="O2" s="16" t="s">
        <v>40</v>
      </c>
      <c r="P2" s="17" t="s">
        <v>61</v>
      </c>
      <c r="Q2" s="17" t="s">
        <v>62</v>
      </c>
      <c r="R2" s="17" t="s">
        <v>69</v>
      </c>
      <c r="S2" s="17" t="s">
        <v>63</v>
      </c>
      <c r="T2" s="17" t="s">
        <v>64</v>
      </c>
      <c r="U2" s="23" t="s">
        <v>73</v>
      </c>
      <c r="V2" s="23" t="s">
        <v>68</v>
      </c>
      <c r="W2" s="23" t="s">
        <v>65</v>
      </c>
      <c r="X2" s="23" t="s">
        <v>66</v>
      </c>
      <c r="Y2" s="23" t="s">
        <v>67</v>
      </c>
      <c r="Z2" s="18" t="s">
        <v>71</v>
      </c>
      <c r="AA2" s="15" t="s">
        <v>15</v>
      </c>
      <c r="AB2" s="16" t="s">
        <v>16</v>
      </c>
      <c r="AC2" s="17" t="s">
        <v>17</v>
      </c>
      <c r="AD2" s="18" t="s">
        <v>72</v>
      </c>
      <c r="AE2" s="19" t="s">
        <v>75</v>
      </c>
    </row>
    <row r="3" spans="1:31" x14ac:dyDescent="0.2">
      <c r="A3" s="24"/>
    </row>
  </sheetData>
  <autoFilter ref="A2:AE2" xr:uid="{8299AA4A-5D09-AD47-9627-5C6D2535B1BB}"/>
  <mergeCells count="6">
    <mergeCell ref="AA1:AE1"/>
    <mergeCell ref="A1:A2"/>
    <mergeCell ref="C1:G1"/>
    <mergeCell ref="H1:O1"/>
    <mergeCell ref="P1:T1"/>
    <mergeCell ref="U1:Z1"/>
  </mergeCell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7406-71CB-8848-9683-0925184C5408}">
  <dimension ref="A1:B101"/>
  <sheetViews>
    <sheetView zoomScale="150" zoomScaleNormal="150" workbookViewId="0">
      <selection activeCell="A2" sqref="A2"/>
    </sheetView>
  </sheetViews>
  <sheetFormatPr baseColWidth="10" defaultRowHeight="15" x14ac:dyDescent="0.2"/>
  <cols>
    <col min="1" max="2" width="25.83203125" customWidth="1"/>
  </cols>
  <sheetData>
    <row r="1" spans="1:2" ht="16" x14ac:dyDescent="0.2">
      <c r="A1" s="5" t="s">
        <v>25</v>
      </c>
      <c r="B1" s="5" t="s">
        <v>26</v>
      </c>
    </row>
    <row r="2" spans="1:2" x14ac:dyDescent="0.2">
      <c r="A2" s="8" cm="1">
        <f t="array" ref="A2">_xlfn._xlws.SORT(_xlfn.UNIQUE(MatchScoutingData!B2:B9991))</f>
        <v>0</v>
      </c>
      <c r="B2" s="8">
        <f>COUNTIF(MatchScoutingData!B$2:B$9991, $A2)</f>
        <v>0</v>
      </c>
    </row>
    <row r="3" spans="1:2" x14ac:dyDescent="0.2">
      <c r="A3" s="8"/>
      <c r="B3" s="8">
        <f>COUNTIF(MatchScoutingData!B$2:B$9991, $A3)</f>
        <v>0</v>
      </c>
    </row>
    <row r="4" spans="1:2" x14ac:dyDescent="0.2">
      <c r="A4" s="8"/>
      <c r="B4" s="8">
        <f>COUNTIF(MatchScoutingData!B$2:B$9991, $A4)</f>
        <v>0</v>
      </c>
    </row>
    <row r="5" spans="1:2" x14ac:dyDescent="0.2">
      <c r="A5" s="8"/>
      <c r="B5" s="8">
        <f>COUNTIF(MatchScoutingData!B$2:B$9991, $A5)</f>
        <v>0</v>
      </c>
    </row>
    <row r="6" spans="1:2" x14ac:dyDescent="0.2">
      <c r="A6" s="8"/>
      <c r="B6" s="8">
        <f>COUNTIF(MatchScoutingData!B$2:B$9991, $A6)</f>
        <v>0</v>
      </c>
    </row>
    <row r="7" spans="1:2" x14ac:dyDescent="0.2">
      <c r="A7" s="8"/>
      <c r="B7" s="8">
        <f>COUNTIF(MatchScoutingData!B$2:B$9991, $A7)</f>
        <v>0</v>
      </c>
    </row>
    <row r="8" spans="1:2" x14ac:dyDescent="0.2">
      <c r="A8" s="8"/>
      <c r="B8" s="8">
        <f>COUNTIF(MatchScoutingData!B$2:B$9991, $A8)</f>
        <v>0</v>
      </c>
    </row>
    <row r="9" spans="1:2" x14ac:dyDescent="0.2">
      <c r="A9" s="8"/>
      <c r="B9" s="8">
        <f>COUNTIF(MatchScoutingData!B$2:B$9991, $A9)</f>
        <v>0</v>
      </c>
    </row>
    <row r="10" spans="1:2" x14ac:dyDescent="0.2">
      <c r="A10" s="8"/>
      <c r="B10" s="8">
        <f>COUNTIF(MatchScoutingData!B$2:B$9991, $A10)</f>
        <v>0</v>
      </c>
    </row>
    <row r="11" spans="1:2" x14ac:dyDescent="0.2">
      <c r="A11" s="8"/>
      <c r="B11" s="8">
        <f>COUNTIF(MatchScoutingData!B$2:B$9991, $A11)</f>
        <v>0</v>
      </c>
    </row>
    <row r="12" spans="1:2" x14ac:dyDescent="0.2">
      <c r="A12" s="8"/>
      <c r="B12" s="8">
        <f>COUNTIF(MatchScoutingData!B$2:B$9991, $A12)</f>
        <v>0</v>
      </c>
    </row>
    <row r="13" spans="1:2" x14ac:dyDescent="0.2">
      <c r="A13" s="8"/>
      <c r="B13" s="8">
        <f>COUNTIF(MatchScoutingData!B$2:B$9991, $A13)</f>
        <v>0</v>
      </c>
    </row>
    <row r="14" spans="1:2" x14ac:dyDescent="0.2">
      <c r="A14" s="8"/>
      <c r="B14" s="8">
        <f>COUNTIF(MatchScoutingData!B$2:B$9991, $A14)</f>
        <v>0</v>
      </c>
    </row>
    <row r="15" spans="1:2" x14ac:dyDescent="0.2">
      <c r="A15" s="8"/>
      <c r="B15" s="8">
        <f>COUNTIF(MatchScoutingData!B$2:B$9991, $A15)</f>
        <v>0</v>
      </c>
    </row>
    <row r="16" spans="1:2" x14ac:dyDescent="0.2">
      <c r="A16" s="8"/>
      <c r="B16" s="8">
        <f>COUNTIF(MatchScoutingData!B$2:B$9991, $A16)</f>
        <v>0</v>
      </c>
    </row>
    <row r="17" spans="1:2" x14ac:dyDescent="0.2">
      <c r="A17" s="8"/>
      <c r="B17" s="8">
        <f>COUNTIF(MatchScoutingData!B$2:B$9991, $A17)</f>
        <v>0</v>
      </c>
    </row>
    <row r="18" spans="1:2" x14ac:dyDescent="0.2">
      <c r="A18" s="8"/>
      <c r="B18" s="8">
        <f>COUNTIF(MatchScoutingData!B$2:B$9991, $A18)</f>
        <v>0</v>
      </c>
    </row>
    <row r="19" spans="1:2" x14ac:dyDescent="0.2">
      <c r="A19" s="8"/>
      <c r="B19" s="8">
        <f>COUNTIF(MatchScoutingData!B$2:B$9991, $A19)</f>
        <v>0</v>
      </c>
    </row>
    <row r="20" spans="1:2" x14ac:dyDescent="0.2">
      <c r="A20" s="8"/>
      <c r="B20" s="8">
        <f>COUNTIF(MatchScoutingData!B$2:B$9991, $A20)</f>
        <v>0</v>
      </c>
    </row>
    <row r="21" spans="1:2" x14ac:dyDescent="0.2">
      <c r="A21" s="8"/>
      <c r="B21" s="8">
        <f>COUNTIF(MatchScoutingData!B$2:B$9991, $A21)</f>
        <v>0</v>
      </c>
    </row>
    <row r="22" spans="1:2" x14ac:dyDescent="0.2">
      <c r="A22" s="8"/>
      <c r="B22" s="8">
        <f>COUNTIF(MatchScoutingData!B$2:B$9991, $A22)</f>
        <v>0</v>
      </c>
    </row>
    <row r="23" spans="1:2" x14ac:dyDescent="0.2">
      <c r="A23" s="8"/>
      <c r="B23" s="8">
        <f>COUNTIF(MatchScoutingData!B$2:B$9991, $A23)</f>
        <v>0</v>
      </c>
    </row>
    <row r="24" spans="1:2" x14ac:dyDescent="0.2">
      <c r="A24" s="8"/>
      <c r="B24" s="8">
        <f>COUNTIF(MatchScoutingData!B$2:B$9991, $A24)</f>
        <v>0</v>
      </c>
    </row>
    <row r="25" spans="1:2" x14ac:dyDescent="0.2">
      <c r="A25" s="8"/>
      <c r="B25" s="8">
        <f>COUNTIF(MatchScoutingData!B$2:B$9991, $A25)</f>
        <v>0</v>
      </c>
    </row>
    <row r="26" spans="1:2" x14ac:dyDescent="0.2">
      <c r="A26" s="8"/>
      <c r="B26" s="8">
        <f>COUNTIF(MatchScoutingData!B$2:B$9991, $A26)</f>
        <v>0</v>
      </c>
    </row>
    <row r="27" spans="1:2" x14ac:dyDescent="0.2">
      <c r="A27" s="8"/>
      <c r="B27" s="8">
        <f>COUNTIF(MatchScoutingData!B$2:B$9991, $A27)</f>
        <v>0</v>
      </c>
    </row>
    <row r="28" spans="1:2" x14ac:dyDescent="0.2">
      <c r="A28" s="8"/>
      <c r="B28" s="8">
        <f>COUNTIF(MatchScoutingData!B$2:B$9991, $A28)</f>
        <v>0</v>
      </c>
    </row>
    <row r="29" spans="1:2" x14ac:dyDescent="0.2">
      <c r="A29" s="8"/>
      <c r="B29" s="8">
        <f>COUNTIF(MatchScoutingData!B$2:B$9991, $A29)</f>
        <v>0</v>
      </c>
    </row>
    <row r="30" spans="1:2" x14ac:dyDescent="0.2">
      <c r="A30" s="8"/>
      <c r="B30" s="8">
        <f>COUNTIF(MatchScoutingData!B$2:B$9991, $A30)</f>
        <v>0</v>
      </c>
    </row>
    <row r="31" spans="1:2" x14ac:dyDescent="0.2">
      <c r="A31" s="8"/>
      <c r="B31" s="8">
        <f>COUNTIF(MatchScoutingData!B$2:B$9991, $A31)</f>
        <v>0</v>
      </c>
    </row>
    <row r="32" spans="1:2" x14ac:dyDescent="0.2">
      <c r="A32" s="8"/>
      <c r="B32" s="8">
        <f>COUNTIF(MatchScoutingData!B$2:B$9991, $A32)</f>
        <v>0</v>
      </c>
    </row>
    <row r="33" spans="1:2" x14ac:dyDescent="0.2">
      <c r="A33" s="8"/>
      <c r="B33" s="8">
        <f>COUNTIF(MatchScoutingData!B$2:B$9991, $A33)</f>
        <v>0</v>
      </c>
    </row>
    <row r="34" spans="1:2" x14ac:dyDescent="0.2">
      <c r="A34" s="8"/>
      <c r="B34" s="8">
        <f>COUNTIF(MatchScoutingData!B$2:B$9991, $A34)</f>
        <v>0</v>
      </c>
    </row>
    <row r="35" spans="1:2" x14ac:dyDescent="0.2">
      <c r="A35" s="8"/>
      <c r="B35" s="8">
        <f>COUNTIF(MatchScoutingData!B$2:B$9991, $A35)</f>
        <v>0</v>
      </c>
    </row>
    <row r="36" spans="1:2" x14ac:dyDescent="0.2">
      <c r="A36" s="8"/>
      <c r="B36" s="8">
        <f>COUNTIF(MatchScoutingData!B$2:B$9991, $A36)</f>
        <v>0</v>
      </c>
    </row>
    <row r="37" spans="1:2" x14ac:dyDescent="0.2">
      <c r="A37" s="8"/>
      <c r="B37" s="8">
        <f>COUNTIF(MatchScoutingData!B$2:B$9991, $A37)</f>
        <v>0</v>
      </c>
    </row>
    <row r="38" spans="1:2" x14ac:dyDescent="0.2">
      <c r="A38" s="8"/>
      <c r="B38" s="8">
        <f>COUNTIF(MatchScoutingData!B$2:B$9991, $A38)</f>
        <v>0</v>
      </c>
    </row>
    <row r="39" spans="1:2" x14ac:dyDescent="0.2">
      <c r="A39" s="8"/>
      <c r="B39" s="8">
        <f>COUNTIF(MatchScoutingData!B$2:B$9991, $A39)</f>
        <v>0</v>
      </c>
    </row>
    <row r="40" spans="1:2" x14ac:dyDescent="0.2">
      <c r="A40" s="8"/>
      <c r="B40" s="8">
        <f>COUNTIF(MatchScoutingData!B$2:B$9991, $A40)</f>
        <v>0</v>
      </c>
    </row>
    <row r="41" spans="1:2" x14ac:dyDescent="0.2">
      <c r="A41" s="8"/>
      <c r="B41" s="8">
        <f>COUNTIF(MatchScoutingData!B$2:B$9991, $A41)</f>
        <v>0</v>
      </c>
    </row>
    <row r="42" spans="1:2" x14ac:dyDescent="0.2">
      <c r="A42" s="8"/>
      <c r="B42" s="8">
        <f>COUNTIF(MatchScoutingData!B$2:B$9991, $A42)</f>
        <v>0</v>
      </c>
    </row>
    <row r="43" spans="1:2" x14ac:dyDescent="0.2">
      <c r="A43" s="8"/>
      <c r="B43" s="8">
        <f>COUNTIF(MatchScoutingData!B$2:B$9991, $A43)</f>
        <v>0</v>
      </c>
    </row>
    <row r="44" spans="1:2" x14ac:dyDescent="0.2">
      <c r="A44" s="8"/>
      <c r="B44" s="8">
        <f>COUNTIF(MatchScoutingData!B$2:B$9991, $A44)</f>
        <v>0</v>
      </c>
    </row>
    <row r="45" spans="1:2" x14ac:dyDescent="0.2">
      <c r="A45" s="8"/>
      <c r="B45" s="8">
        <f>COUNTIF(MatchScoutingData!B$2:B$9991, $A45)</f>
        <v>0</v>
      </c>
    </row>
    <row r="46" spans="1:2" x14ac:dyDescent="0.2">
      <c r="A46" s="8"/>
      <c r="B46" s="8">
        <f>COUNTIF(MatchScoutingData!B$2:B$9991, $A46)</f>
        <v>0</v>
      </c>
    </row>
    <row r="47" spans="1:2" x14ac:dyDescent="0.2">
      <c r="A47" s="8"/>
      <c r="B47" s="8">
        <f>COUNTIF(MatchScoutingData!B$2:B$9991, $A47)</f>
        <v>0</v>
      </c>
    </row>
    <row r="48" spans="1:2" x14ac:dyDescent="0.2">
      <c r="A48" s="8"/>
      <c r="B48" s="8">
        <f>COUNTIF(MatchScoutingData!B$2:B$9991, $A48)</f>
        <v>0</v>
      </c>
    </row>
    <row r="49" spans="1:2" x14ac:dyDescent="0.2">
      <c r="A49" s="8"/>
      <c r="B49" s="8">
        <f>COUNTIF(MatchScoutingData!B$2:B$9991, $A49)</f>
        <v>0</v>
      </c>
    </row>
    <row r="50" spans="1:2" x14ac:dyDescent="0.2">
      <c r="A50" s="8"/>
      <c r="B50" s="8">
        <f>COUNTIF(MatchScoutingData!B$2:B$9991, $A50)</f>
        <v>0</v>
      </c>
    </row>
    <row r="51" spans="1:2" x14ac:dyDescent="0.2">
      <c r="A51" s="8"/>
      <c r="B51" s="8">
        <f>COUNTIF(MatchScoutingData!B$2:B$9991, $A51)</f>
        <v>0</v>
      </c>
    </row>
    <row r="52" spans="1:2" x14ac:dyDescent="0.2">
      <c r="A52" s="8"/>
      <c r="B52" s="8">
        <f>COUNTIF(MatchScoutingData!B$2:B$9991, $A52)</f>
        <v>0</v>
      </c>
    </row>
    <row r="53" spans="1:2" x14ac:dyDescent="0.2">
      <c r="A53" s="8"/>
      <c r="B53" s="8">
        <f>COUNTIF(MatchScoutingData!B$2:B$9991, $A53)</f>
        <v>0</v>
      </c>
    </row>
    <row r="54" spans="1:2" x14ac:dyDescent="0.2">
      <c r="A54" s="8"/>
      <c r="B54" s="8">
        <f>COUNTIF(MatchScoutingData!B$2:B$9991, $A54)</f>
        <v>0</v>
      </c>
    </row>
    <row r="55" spans="1:2" x14ac:dyDescent="0.2">
      <c r="A55" s="8"/>
      <c r="B55" s="8">
        <f>COUNTIF(MatchScoutingData!B$2:B$9991, $A55)</f>
        <v>0</v>
      </c>
    </row>
    <row r="56" spans="1:2" x14ac:dyDescent="0.2">
      <c r="A56" s="8"/>
      <c r="B56" s="8">
        <f>COUNTIF(MatchScoutingData!B$2:B$9991, $A56)</f>
        <v>0</v>
      </c>
    </row>
    <row r="57" spans="1:2" x14ac:dyDescent="0.2">
      <c r="A57" s="8"/>
      <c r="B57" s="8">
        <f>COUNTIF(MatchScoutingData!B$2:B$9991, $A57)</f>
        <v>0</v>
      </c>
    </row>
    <row r="58" spans="1:2" x14ac:dyDescent="0.2">
      <c r="A58" s="8"/>
      <c r="B58" s="8">
        <f>COUNTIF(MatchScoutingData!B$2:B$9991, $A58)</f>
        <v>0</v>
      </c>
    </row>
    <row r="59" spans="1:2" x14ac:dyDescent="0.2">
      <c r="A59" s="8"/>
      <c r="B59" s="8">
        <f>COUNTIF(MatchScoutingData!B$2:B$9991, $A59)</f>
        <v>0</v>
      </c>
    </row>
    <row r="60" spans="1:2" x14ac:dyDescent="0.2">
      <c r="A60" s="8"/>
      <c r="B60" s="8">
        <f>COUNTIF(MatchScoutingData!B$2:B$9991, $A60)</f>
        <v>0</v>
      </c>
    </row>
    <row r="61" spans="1:2" x14ac:dyDescent="0.2">
      <c r="A61" s="8"/>
      <c r="B61" s="8">
        <f>COUNTIF(MatchScoutingData!B$2:B$9991, $A61)</f>
        <v>0</v>
      </c>
    </row>
    <row r="62" spans="1:2" x14ac:dyDescent="0.2">
      <c r="A62" s="8"/>
      <c r="B62" s="8">
        <f>COUNTIF(MatchScoutingData!B$2:B$9991, $A62)</f>
        <v>0</v>
      </c>
    </row>
    <row r="63" spans="1:2" x14ac:dyDescent="0.2">
      <c r="A63" s="8"/>
      <c r="B63" s="8">
        <f>COUNTIF(MatchScoutingData!B$2:B$9991, $A63)</f>
        <v>0</v>
      </c>
    </row>
    <row r="64" spans="1:2" x14ac:dyDescent="0.2">
      <c r="A64" s="8"/>
      <c r="B64" s="8">
        <f>COUNTIF(MatchScoutingData!B$2:B$9991, $A64)</f>
        <v>0</v>
      </c>
    </row>
    <row r="65" spans="1:2" x14ac:dyDescent="0.2">
      <c r="A65" s="8"/>
      <c r="B65" s="8">
        <f>COUNTIF(MatchScoutingData!B$2:B$9991, $A65)</f>
        <v>0</v>
      </c>
    </row>
    <row r="66" spans="1:2" x14ac:dyDescent="0.2">
      <c r="A66" s="8"/>
      <c r="B66" s="8">
        <f>COUNTIF(MatchScoutingData!B$2:B$9991, $A66)</f>
        <v>0</v>
      </c>
    </row>
    <row r="67" spans="1:2" x14ac:dyDescent="0.2">
      <c r="A67" s="8"/>
      <c r="B67" s="8">
        <f>COUNTIF(MatchScoutingData!B$2:B$9991, $A67)</f>
        <v>0</v>
      </c>
    </row>
    <row r="68" spans="1:2" x14ac:dyDescent="0.2">
      <c r="A68" s="8"/>
      <c r="B68" s="8">
        <f>COUNTIF(MatchScoutingData!B$2:B$9991, $A68)</f>
        <v>0</v>
      </c>
    </row>
    <row r="69" spans="1:2" x14ac:dyDescent="0.2">
      <c r="A69" s="8"/>
      <c r="B69" s="8">
        <f>COUNTIF(MatchScoutingData!B$2:B$9991, $A69)</f>
        <v>0</v>
      </c>
    </row>
    <row r="70" spans="1:2" x14ac:dyDescent="0.2">
      <c r="A70" s="8"/>
      <c r="B70" s="8">
        <f>COUNTIF(MatchScoutingData!B$2:B$9991, $A70)</f>
        <v>0</v>
      </c>
    </row>
    <row r="71" spans="1:2" x14ac:dyDescent="0.2">
      <c r="A71" s="8"/>
      <c r="B71" s="8">
        <f>COUNTIF(MatchScoutingData!B$2:B$9991, $A71)</f>
        <v>0</v>
      </c>
    </row>
    <row r="72" spans="1:2" x14ac:dyDescent="0.2">
      <c r="A72" s="8"/>
      <c r="B72" s="8">
        <f>COUNTIF(MatchScoutingData!B$2:B$9991, $A72)</f>
        <v>0</v>
      </c>
    </row>
    <row r="73" spans="1:2" x14ac:dyDescent="0.2">
      <c r="A73" s="8"/>
      <c r="B73" s="8">
        <f>COUNTIF(MatchScoutingData!B$2:B$9991, $A73)</f>
        <v>0</v>
      </c>
    </row>
    <row r="74" spans="1:2" x14ac:dyDescent="0.2">
      <c r="A74" s="8"/>
      <c r="B74" s="8">
        <f>COUNTIF(MatchScoutingData!B$2:B$9991, $A74)</f>
        <v>0</v>
      </c>
    </row>
    <row r="75" spans="1:2" x14ac:dyDescent="0.2">
      <c r="A75" s="8"/>
      <c r="B75" s="8">
        <f>COUNTIF(MatchScoutingData!B$2:B$9991, $A75)</f>
        <v>0</v>
      </c>
    </row>
    <row r="76" spans="1:2" x14ac:dyDescent="0.2">
      <c r="A76" s="8"/>
      <c r="B76" s="8">
        <f>COUNTIF(MatchScoutingData!B$2:B$9991, $A76)</f>
        <v>0</v>
      </c>
    </row>
    <row r="77" spans="1:2" x14ac:dyDescent="0.2">
      <c r="A77" s="8"/>
      <c r="B77" s="8">
        <f>COUNTIF(MatchScoutingData!B$2:B$9991, $A77)</f>
        <v>0</v>
      </c>
    </row>
    <row r="78" spans="1:2" x14ac:dyDescent="0.2">
      <c r="A78" s="8"/>
      <c r="B78" s="8">
        <f>COUNTIF(MatchScoutingData!B$2:B$9991, $A78)</f>
        <v>0</v>
      </c>
    </row>
    <row r="79" spans="1:2" x14ac:dyDescent="0.2">
      <c r="A79" s="8"/>
      <c r="B79" s="8">
        <f>COUNTIF(MatchScoutingData!B$2:B$9991, $A79)</f>
        <v>0</v>
      </c>
    </row>
    <row r="80" spans="1:2" x14ac:dyDescent="0.2">
      <c r="A80" s="8"/>
      <c r="B80" s="8">
        <f>COUNTIF(MatchScoutingData!B$2:B$9991, $A80)</f>
        <v>0</v>
      </c>
    </row>
    <row r="81" spans="1:2" x14ac:dyDescent="0.2">
      <c r="A81" s="8"/>
      <c r="B81" s="8">
        <f>COUNTIF(MatchScoutingData!B$2:B$9991, $A81)</f>
        <v>0</v>
      </c>
    </row>
    <row r="82" spans="1:2" x14ac:dyDescent="0.2">
      <c r="A82" s="8"/>
      <c r="B82" s="8">
        <f>COUNTIF(MatchScoutingData!B$2:B$9991, $A82)</f>
        <v>0</v>
      </c>
    </row>
    <row r="83" spans="1:2" x14ac:dyDescent="0.2">
      <c r="A83" s="8"/>
      <c r="B83" s="8">
        <f>COUNTIF(MatchScoutingData!B$2:B$9991, $A83)</f>
        <v>0</v>
      </c>
    </row>
    <row r="84" spans="1:2" x14ac:dyDescent="0.2">
      <c r="A84" s="8"/>
      <c r="B84" s="8">
        <f>COUNTIF(MatchScoutingData!B$2:B$9991, $A84)</f>
        <v>0</v>
      </c>
    </row>
    <row r="85" spans="1:2" x14ac:dyDescent="0.2">
      <c r="A85" s="8"/>
      <c r="B85" s="8">
        <f>COUNTIF(MatchScoutingData!B$2:B$9991, $A85)</f>
        <v>0</v>
      </c>
    </row>
    <row r="86" spans="1:2" x14ac:dyDescent="0.2">
      <c r="A86" s="8"/>
      <c r="B86" s="8">
        <f>COUNTIF(MatchScoutingData!B$2:B$9991, $A86)</f>
        <v>0</v>
      </c>
    </row>
    <row r="87" spans="1:2" x14ac:dyDescent="0.2">
      <c r="A87" s="8"/>
      <c r="B87" s="8">
        <f>COUNTIF(MatchScoutingData!B$2:B$9991, $A87)</f>
        <v>0</v>
      </c>
    </row>
    <row r="88" spans="1:2" x14ac:dyDescent="0.2">
      <c r="A88" s="8"/>
      <c r="B88" s="8">
        <f>COUNTIF(MatchScoutingData!B$2:B$9991, $A88)</f>
        <v>0</v>
      </c>
    </row>
    <row r="89" spans="1:2" x14ac:dyDescent="0.2">
      <c r="A89" s="8"/>
      <c r="B89" s="8">
        <f>COUNTIF(MatchScoutingData!B$2:B$9991, $A89)</f>
        <v>0</v>
      </c>
    </row>
    <row r="90" spans="1:2" x14ac:dyDescent="0.2">
      <c r="A90" s="8"/>
      <c r="B90" s="8">
        <f>COUNTIF(MatchScoutingData!B$2:B$9991, $A90)</f>
        <v>0</v>
      </c>
    </row>
    <row r="91" spans="1:2" x14ac:dyDescent="0.2">
      <c r="A91" s="8"/>
      <c r="B91" s="8">
        <f>COUNTIF(MatchScoutingData!B$2:B$9991, $A91)</f>
        <v>0</v>
      </c>
    </row>
    <row r="92" spans="1:2" x14ac:dyDescent="0.2">
      <c r="A92" s="8"/>
      <c r="B92" s="8">
        <f>COUNTIF(MatchScoutingData!B$2:B$9991, $A92)</f>
        <v>0</v>
      </c>
    </row>
    <row r="93" spans="1:2" x14ac:dyDescent="0.2">
      <c r="A93" s="8"/>
      <c r="B93" s="8">
        <f>COUNTIF(MatchScoutingData!B$2:B$9991, $A93)</f>
        <v>0</v>
      </c>
    </row>
    <row r="94" spans="1:2" x14ac:dyDescent="0.2">
      <c r="A94" s="8"/>
      <c r="B94" s="8">
        <f>COUNTIF(MatchScoutingData!B$2:B$9991, $A94)</f>
        <v>0</v>
      </c>
    </row>
    <row r="95" spans="1:2" x14ac:dyDescent="0.2">
      <c r="A95" s="8"/>
      <c r="B95" s="8">
        <f>COUNTIF(MatchScoutingData!B$2:B$9991, $A95)</f>
        <v>0</v>
      </c>
    </row>
    <row r="96" spans="1:2" x14ac:dyDescent="0.2">
      <c r="A96" s="8"/>
      <c r="B96" s="8">
        <f>COUNTIF(MatchScoutingData!B$2:B$9991, $A96)</f>
        <v>0</v>
      </c>
    </row>
    <row r="97" spans="1:2" x14ac:dyDescent="0.2">
      <c r="A97" s="8"/>
      <c r="B97" s="8">
        <f>COUNTIF(MatchScoutingData!B$2:B$9991, $A97)</f>
        <v>0</v>
      </c>
    </row>
    <row r="98" spans="1:2" x14ac:dyDescent="0.2">
      <c r="A98" s="8"/>
      <c r="B98" s="8">
        <f>COUNTIF(MatchScoutingData!B$2:B$9991, $A98)</f>
        <v>0</v>
      </c>
    </row>
    <row r="99" spans="1:2" x14ac:dyDescent="0.2">
      <c r="A99" s="8"/>
      <c r="B99" s="8">
        <f>COUNTIF(MatchScoutingData!B$2:B$9991, $A99)</f>
        <v>0</v>
      </c>
    </row>
    <row r="100" spans="1:2" x14ac:dyDescent="0.2">
      <c r="A100" s="8"/>
      <c r="B100" s="8">
        <f>COUNTIF(MatchScoutingData!B$2:B$9991, $A100)</f>
        <v>0</v>
      </c>
    </row>
    <row r="101" spans="1:2" x14ac:dyDescent="0.2">
      <c r="A101" s="8"/>
      <c r="B101" s="8">
        <f>COUNTIF(MatchScoutingData!B$2:B$9991, $A101)</f>
        <v>0</v>
      </c>
    </row>
  </sheetData>
  <autoFilter ref="A1:B101" xr:uid="{1EA67406-71CB-8848-9683-0925184C540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4B0C7-8491-5245-AEE9-A2EE3051E88F}">
  <dimension ref="A1:G2"/>
  <sheetViews>
    <sheetView zoomScale="150" zoomScaleNormal="150" workbookViewId="0">
      <selection activeCell="A2" sqref="A2"/>
    </sheetView>
  </sheetViews>
  <sheetFormatPr baseColWidth="10" defaultRowHeight="15" x14ac:dyDescent="0.2"/>
  <cols>
    <col min="1" max="7" width="18.83203125" customWidth="1"/>
  </cols>
  <sheetData>
    <row r="1" spans="1:7" s="7" customFormat="1" ht="16" x14ac:dyDescent="0.2">
      <c r="A1" s="5" t="s">
        <v>3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23</v>
      </c>
      <c r="G1" s="5" t="s">
        <v>24</v>
      </c>
    </row>
    <row r="2" spans="1:7" x14ac:dyDescent="0.2">
      <c r="A2" t="e">
        <f>'Team Summary'!#REF!</f>
        <v>#REF!</v>
      </c>
      <c r="B2" t="e">
        <f>'Team Summary'!#REF!</f>
        <v>#REF!</v>
      </c>
      <c r="C2" t="e">
        <f>'Team Summary'!#REF!</f>
        <v>#REF!</v>
      </c>
      <c r="D2" t="e">
        <f>'Team Summary'!#REF!</f>
        <v>#REF!</v>
      </c>
      <c r="E2" t="e">
        <f>'Team Summary'!#REF!</f>
        <v>#REF!</v>
      </c>
      <c r="F2" t="e">
        <f>'Team Summary'!#REF!</f>
        <v>#REF!</v>
      </c>
      <c r="G2" t="e">
        <f>'Team Summary'!#REF!</f>
        <v>#REF!</v>
      </c>
    </row>
  </sheetData>
  <autoFilter ref="A1:G1" xr:uid="{ABB4B0C7-8491-5245-AEE9-A2EE3051E88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MatchScoutingData</vt:lpstr>
      <vt:lpstr>Event</vt:lpstr>
      <vt:lpstr>Teams</vt:lpstr>
      <vt:lpstr>Matches</vt:lpstr>
      <vt:lpstr>Team Scores</vt:lpstr>
      <vt:lpstr>Team Summary</vt:lpstr>
      <vt:lpstr>PB Scouter Summary</vt:lpstr>
      <vt:lpstr>PB Team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Hurrell</cp:lastModifiedBy>
  <dcterms:created xsi:type="dcterms:W3CDTF">2025-01-14T14:14:10Z</dcterms:created>
  <dcterms:modified xsi:type="dcterms:W3CDTF">2026-03-26T20:45:00Z</dcterms:modified>
</cp:coreProperties>
</file>